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276 - SETIEMBRE 16-09-2021" sheetId="1" r:id="rId1"/>
  </sheets>
  <definedNames>
    <definedName name="_xlnm._FilterDatabase" localSheetId="0" hidden="1">'276 - SETIEMBRE 16-09-2021'!$A$2:$AT$265</definedName>
    <definedName name="GENERAL">'276 - SETIEMBRE 16-09-2021'!$I$2:$AT$262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L264" i="1"/>
  <c r="AL263"/>
  <c r="AL262"/>
  <c r="AL261"/>
  <c r="AL260"/>
  <c r="AL259"/>
  <c r="AL258"/>
  <c r="AL257"/>
  <c r="AL256"/>
  <c r="AL255"/>
  <c r="AL254"/>
  <c r="AL253"/>
  <c r="AL252"/>
  <c r="AL251"/>
  <c r="AL250"/>
  <c r="AL249"/>
  <c r="AL248"/>
  <c r="AL247"/>
  <c r="AL246"/>
  <c r="AL245"/>
  <c r="AL244"/>
  <c r="AL243"/>
  <c r="AL242"/>
  <c r="AL241"/>
  <c r="AL240"/>
  <c r="AL239"/>
  <c r="AL238"/>
  <c r="AL237"/>
  <c r="AL236"/>
  <c r="AL235"/>
  <c r="AL234"/>
  <c r="AL233"/>
  <c r="AL232"/>
  <c r="AL231"/>
  <c r="AL230"/>
  <c r="AL229"/>
  <c r="AL228"/>
  <c r="AL227"/>
  <c r="AL226"/>
  <c r="AL225"/>
  <c r="AL224"/>
  <c r="AL223"/>
  <c r="AL222"/>
  <c r="AL221"/>
  <c r="AL220"/>
  <c r="AL219"/>
  <c r="AL218"/>
  <c r="AL217"/>
  <c r="AL216"/>
  <c r="AL215"/>
  <c r="AL214"/>
  <c r="AL213"/>
  <c r="AL212"/>
  <c r="AL211"/>
  <c r="AL210"/>
  <c r="AL209"/>
  <c r="AL208"/>
  <c r="AL207"/>
  <c r="AL206"/>
  <c r="AL205"/>
  <c r="AL204"/>
  <c r="AL203"/>
  <c r="AL202"/>
  <c r="AL201"/>
  <c r="AL200"/>
  <c r="AL199"/>
  <c r="AL198"/>
  <c r="AL197"/>
  <c r="AL196"/>
  <c r="AL195"/>
  <c r="AL194"/>
  <c r="AL193"/>
  <c r="AL192"/>
  <c r="AL191"/>
  <c r="AL190"/>
  <c r="AL189"/>
  <c r="AL188"/>
  <c r="AL187"/>
  <c r="AL186"/>
  <c r="AL185"/>
  <c r="AL184"/>
  <c r="AL183"/>
  <c r="AL182"/>
  <c r="AL181"/>
  <c r="AL180"/>
  <c r="AL179"/>
  <c r="AL178"/>
  <c r="AL177"/>
  <c r="AL176"/>
  <c r="AL175"/>
  <c r="AL174"/>
  <c r="AL173"/>
  <c r="AL172"/>
  <c r="AL171"/>
  <c r="AL170"/>
  <c r="AL169"/>
  <c r="AL168"/>
  <c r="AL167"/>
  <c r="AL166"/>
  <c r="AL165"/>
  <c r="AL164"/>
  <c r="AL163"/>
  <c r="AL162"/>
  <c r="AL161"/>
  <c r="AL160"/>
  <c r="AL159"/>
  <c r="AL158"/>
  <c r="AL157"/>
  <c r="AL156"/>
  <c r="AL155"/>
  <c r="AL154"/>
  <c r="AL153"/>
  <c r="AL152"/>
  <c r="AL151"/>
  <c r="AL150"/>
  <c r="AL149"/>
  <c r="AL148"/>
  <c r="AL147"/>
  <c r="AL146"/>
  <c r="AL145"/>
  <c r="AL144"/>
  <c r="AL143"/>
  <c r="AL142"/>
  <c r="AL141"/>
  <c r="AL140"/>
  <c r="AL139"/>
  <c r="AL138"/>
  <c r="AL137"/>
  <c r="AL136"/>
  <c r="AL135"/>
  <c r="AL134"/>
  <c r="AL133"/>
  <c r="AL132"/>
  <c r="AL131"/>
  <c r="AL130"/>
  <c r="AL129"/>
  <c r="AL128"/>
  <c r="AL127"/>
  <c r="AL126"/>
  <c r="AL125"/>
  <c r="AL124"/>
  <c r="AL123"/>
  <c r="AL122"/>
  <c r="AL121"/>
  <c r="AL120"/>
  <c r="AL119"/>
  <c r="AL118"/>
  <c r="AL117"/>
  <c r="AL116"/>
  <c r="AL115"/>
  <c r="AL114"/>
  <c r="AL113"/>
  <c r="AL112"/>
  <c r="AL111"/>
  <c r="AL110"/>
  <c r="AL109"/>
  <c r="AL108"/>
  <c r="AL107"/>
  <c r="AL106"/>
  <c r="AL105"/>
  <c r="AL104"/>
  <c r="AL103"/>
  <c r="AL102"/>
  <c r="AL101"/>
  <c r="AL100"/>
  <c r="AL99"/>
  <c r="AL98"/>
  <c r="AL97"/>
  <c r="AL96"/>
  <c r="AL95"/>
  <c r="AL94"/>
  <c r="AL93"/>
  <c r="AL92"/>
  <c r="AL91"/>
  <c r="AL90"/>
  <c r="AL89"/>
  <c r="AL88"/>
  <c r="AL87"/>
  <c r="AL86"/>
  <c r="AL85"/>
  <c r="AL84"/>
  <c r="AL83"/>
  <c r="AL82"/>
  <c r="AL81"/>
  <c r="AL80"/>
  <c r="AL79"/>
  <c r="AL78"/>
  <c r="AL77"/>
  <c r="AL76"/>
  <c r="AL75"/>
  <c r="AL74"/>
  <c r="AL73"/>
  <c r="AL72"/>
  <c r="AL71"/>
  <c r="AL70"/>
  <c r="AL69"/>
  <c r="AL68"/>
  <c r="AL67"/>
  <c r="AL66"/>
  <c r="AL65"/>
  <c r="AL64"/>
  <c r="AL63"/>
  <c r="AL62"/>
  <c r="AL61"/>
  <c r="AL60"/>
  <c r="AL59"/>
  <c r="AL58"/>
  <c r="AL57"/>
  <c r="AL56"/>
  <c r="AL55"/>
  <c r="AL54"/>
  <c r="AL53"/>
  <c r="AL52"/>
  <c r="AL51"/>
  <c r="AL50"/>
  <c r="AL49"/>
  <c r="AL48"/>
  <c r="AL47"/>
  <c r="AL46"/>
  <c r="AL45"/>
  <c r="AL44"/>
  <c r="AL43"/>
  <c r="AL42"/>
  <c r="AL41"/>
  <c r="AL40"/>
  <c r="AL39"/>
  <c r="AL38"/>
  <c r="AL37"/>
  <c r="AL36"/>
  <c r="AL35"/>
  <c r="AL34"/>
  <c r="AL33"/>
  <c r="AL32"/>
  <c r="AL31"/>
  <c r="AL30"/>
  <c r="AL29"/>
  <c r="AL28"/>
  <c r="AL27"/>
  <c r="AL26"/>
  <c r="AL25"/>
  <c r="AL24"/>
  <c r="AL23"/>
  <c r="AL22"/>
  <c r="AL21"/>
  <c r="AL20"/>
  <c r="AL19"/>
  <c r="AL18"/>
  <c r="AL17"/>
  <c r="AL16"/>
  <c r="AL15"/>
  <c r="AL14"/>
  <c r="AL13"/>
  <c r="AL12"/>
  <c r="AL11"/>
  <c r="AL10"/>
  <c r="AL9"/>
  <c r="AL8"/>
  <c r="AL7"/>
  <c r="AL6"/>
  <c r="AL5"/>
  <c r="AL3"/>
  <c r="AL4"/>
  <c r="AO3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O155"/>
  <c r="AO156"/>
  <c r="AO157"/>
  <c r="AO158"/>
  <c r="AO159"/>
  <c r="AO160"/>
  <c r="AO161"/>
  <c r="AO162"/>
  <c r="AO163"/>
  <c r="AO164"/>
  <c r="AO165"/>
  <c r="AO166"/>
  <c r="AO167"/>
  <c r="AO168"/>
  <c r="AO169"/>
  <c r="AO170"/>
  <c r="AO171"/>
  <c r="AO172"/>
  <c r="AO173"/>
  <c r="AO174"/>
  <c r="AO175"/>
  <c r="AO176"/>
  <c r="AO177"/>
  <c r="AO178"/>
  <c r="AO179"/>
  <c r="AO180"/>
  <c r="AO181"/>
  <c r="AO182"/>
  <c r="AO183"/>
  <c r="AO184"/>
  <c r="AO185"/>
  <c r="AO186"/>
  <c r="AO187"/>
  <c r="AO188"/>
  <c r="AO189"/>
  <c r="AO190"/>
  <c r="AO191"/>
  <c r="AO192"/>
  <c r="AO193"/>
  <c r="AO194"/>
  <c r="AO195"/>
  <c r="AO196"/>
  <c r="AO197"/>
  <c r="AO198"/>
  <c r="AO199"/>
  <c r="AO200"/>
  <c r="AO201"/>
  <c r="AO202"/>
  <c r="AO203"/>
  <c r="AO204"/>
  <c r="AO205"/>
  <c r="AO206"/>
  <c r="AO207"/>
  <c r="AO208"/>
  <c r="AO209"/>
  <c r="AO210"/>
  <c r="AO211"/>
  <c r="AO212"/>
  <c r="AO213"/>
  <c r="AO214"/>
  <c r="AO215"/>
  <c r="AO216"/>
  <c r="AO217"/>
  <c r="AO218"/>
  <c r="AO219"/>
  <c r="AO220"/>
  <c r="AO221"/>
  <c r="AO222"/>
  <c r="AO223"/>
  <c r="AO224"/>
  <c r="AO225"/>
  <c r="AO226"/>
  <c r="AO227"/>
  <c r="AO228"/>
  <c r="AO229"/>
  <c r="AO230"/>
  <c r="AO231"/>
  <c r="AO232"/>
  <c r="AO233"/>
  <c r="AO234"/>
  <c r="AO235"/>
  <c r="AO236"/>
  <c r="AO237"/>
  <c r="AO238"/>
  <c r="AO239"/>
  <c r="AO240"/>
  <c r="AO241"/>
  <c r="AO242"/>
  <c r="AO243"/>
  <c r="AO244"/>
  <c r="AO245"/>
  <c r="AO246"/>
  <c r="AO247"/>
  <c r="AO248"/>
  <c r="AO249"/>
  <c r="AO250"/>
  <c r="AO251"/>
  <c r="AO252"/>
  <c r="AO253"/>
  <c r="AO254"/>
  <c r="AO255"/>
  <c r="AO256"/>
  <c r="AO257"/>
  <c r="AO258"/>
  <c r="AO259"/>
  <c r="AO260"/>
  <c r="AO261"/>
  <c r="AO262"/>
  <c r="AO263"/>
  <c r="AO264"/>
  <c r="AS265" l="1"/>
  <c r="AP265"/>
  <c r="AK265"/>
  <c r="AH265"/>
  <c r="AB265"/>
  <c r="S265"/>
  <c r="E279" l="1"/>
  <c r="D279"/>
  <c r="F278"/>
  <c r="F277"/>
  <c r="E276"/>
  <c r="E280" s="1"/>
  <c r="D276"/>
  <c r="D280" s="1"/>
  <c r="F275"/>
  <c r="F274"/>
  <c r="F273"/>
  <c r="F272"/>
  <c r="F276" l="1"/>
  <c r="F279"/>
  <c r="F280" l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Y264"/>
  <c r="Y263"/>
  <c r="P265" l="1"/>
  <c r="AE264"/>
  <c r="AE263"/>
  <c r="AM263" l="1"/>
  <c r="AJ263"/>
  <c r="V263"/>
  <c r="AV263" l="1"/>
  <c r="AW263" s="1"/>
  <c r="AJ256"/>
  <c r="AJ257"/>
  <c r="AJ258"/>
  <c r="AJ259"/>
  <c r="AJ260"/>
  <c r="AJ261"/>
  <c r="AJ262"/>
  <c r="AM207"/>
  <c r="AJ207"/>
  <c r="AE207"/>
  <c r="Y207"/>
  <c r="V207"/>
  <c r="AM144"/>
  <c r="AJ144"/>
  <c r="AE144"/>
  <c r="Y144"/>
  <c r="V144"/>
  <c r="AM117"/>
  <c r="AJ117"/>
  <c r="AE117"/>
  <c r="Y117"/>
  <c r="V117"/>
  <c r="AM66"/>
  <c r="AJ66"/>
  <c r="AE66"/>
  <c r="Y66"/>
  <c r="V66"/>
  <c r="AM40"/>
  <c r="AJ40"/>
  <c r="AE40"/>
  <c r="Y40"/>
  <c r="V40"/>
  <c r="AM26"/>
  <c r="AJ26"/>
  <c r="AE26"/>
  <c r="Y26"/>
  <c r="V26"/>
  <c r="AV40" l="1"/>
  <c r="AW40" s="1"/>
  <c r="AV117"/>
  <c r="AW117" s="1"/>
  <c r="AV207"/>
  <c r="AW207" s="1"/>
  <c r="AV26"/>
  <c r="AW26" s="1"/>
  <c r="AV66"/>
  <c r="AW66" s="1"/>
  <c r="AV144"/>
  <c r="AW144" s="1"/>
  <c r="AJ5"/>
  <c r="AM262" l="1"/>
  <c r="AE262"/>
  <c r="Y262"/>
  <c r="V262"/>
  <c r="AM261"/>
  <c r="AE261"/>
  <c r="Y261"/>
  <c r="V261"/>
  <c r="AM260"/>
  <c r="AE260"/>
  <c r="Y260"/>
  <c r="V260"/>
  <c r="AB137"/>
  <c r="AB220"/>
  <c r="AB98"/>
  <c r="AB63"/>
  <c r="AB16"/>
  <c r="AB142"/>
  <c r="AB139"/>
  <c r="AB238"/>
  <c r="AB158"/>
  <c r="AB17"/>
  <c r="AB58"/>
  <c r="AB165"/>
  <c r="AB49"/>
  <c r="AB222"/>
  <c r="AM64"/>
  <c r="AJ64"/>
  <c r="AE64"/>
  <c r="Y64"/>
  <c r="V64"/>
  <c r="AM228"/>
  <c r="AJ228"/>
  <c r="AE228"/>
  <c r="Y228"/>
  <c r="V228"/>
  <c r="AM203"/>
  <c r="AJ203"/>
  <c r="AE203"/>
  <c r="Y203"/>
  <c r="V203"/>
  <c r="AM97"/>
  <c r="AJ97"/>
  <c r="AE97"/>
  <c r="Y97"/>
  <c r="V97"/>
  <c r="AM5"/>
  <c r="AE5"/>
  <c r="Y5"/>
  <c r="V5"/>
  <c r="AV5" l="1"/>
  <c r="AW5" s="1"/>
  <c r="AV261"/>
  <c r="AW261" s="1"/>
  <c r="AV97"/>
  <c r="AW97" s="1"/>
  <c r="AV228"/>
  <c r="AW228" s="1"/>
  <c r="AV262"/>
  <c r="AW262" s="1"/>
  <c r="AV203"/>
  <c r="AW203" s="1"/>
  <c r="AV64"/>
  <c r="AW64" s="1"/>
  <c r="AV260"/>
  <c r="AW260" s="1"/>
  <c r="AM259"/>
  <c r="AE259"/>
  <c r="Y259"/>
  <c r="V259"/>
  <c r="AV259" l="1"/>
  <c r="AW259" s="1"/>
  <c r="AM59"/>
  <c r="AJ59"/>
  <c r="AE59"/>
  <c r="Y59"/>
  <c r="V59"/>
  <c r="AV59" l="1"/>
  <c r="AW59" s="1"/>
  <c r="AR252"/>
  <c r="AR205"/>
  <c r="AR130"/>
  <c r="AR122"/>
  <c r="AR112"/>
  <c r="AS112" s="1"/>
  <c r="AR89"/>
  <c r="AR25"/>
  <c r="AP53"/>
  <c r="AP101"/>
  <c r="AP120"/>
  <c r="AP143"/>
  <c r="AP196"/>
  <c r="AP198"/>
  <c r="AP241"/>
  <c r="AM83"/>
  <c r="AM101"/>
  <c r="AM143"/>
  <c r="AM196"/>
  <c r="AJ101"/>
  <c r="AE101"/>
  <c r="Y101"/>
  <c r="V101"/>
  <c r="AJ83"/>
  <c r="AE83"/>
  <c r="Y83"/>
  <c r="V83"/>
  <c r="AJ196"/>
  <c r="AE196"/>
  <c r="Y196"/>
  <c r="V196"/>
  <c r="AJ143"/>
  <c r="AE143"/>
  <c r="Y143"/>
  <c r="V143"/>
  <c r="AE4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7"/>
  <c r="AE28"/>
  <c r="AE29"/>
  <c r="AE258"/>
  <c r="AE30"/>
  <c r="AE31"/>
  <c r="AE32"/>
  <c r="AE33"/>
  <c r="AE34"/>
  <c r="AE35"/>
  <c r="AE36"/>
  <c r="AE37"/>
  <c r="AE38"/>
  <c r="AE39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256"/>
  <c r="AE58"/>
  <c r="AE60"/>
  <c r="AE61"/>
  <c r="AE62"/>
  <c r="AE63"/>
  <c r="AE65"/>
  <c r="AE67"/>
  <c r="AE68"/>
  <c r="AE69"/>
  <c r="AE70"/>
  <c r="AE71"/>
  <c r="AE72"/>
  <c r="AE73"/>
  <c r="AE74"/>
  <c r="AE75"/>
  <c r="AE76"/>
  <c r="AE77"/>
  <c r="AE78"/>
  <c r="AE79"/>
  <c r="AE80"/>
  <c r="AE81"/>
  <c r="AE82"/>
  <c r="AE84"/>
  <c r="AE85"/>
  <c r="AE86"/>
  <c r="AE87"/>
  <c r="AE88"/>
  <c r="AE257"/>
  <c r="AE89"/>
  <c r="AE90"/>
  <c r="AE91"/>
  <c r="AE92"/>
  <c r="AE93"/>
  <c r="AE94"/>
  <c r="AE95"/>
  <c r="AE96"/>
  <c r="AE98"/>
  <c r="AE99"/>
  <c r="AE100"/>
  <c r="AE102"/>
  <c r="AE103"/>
  <c r="AE104"/>
  <c r="AE105"/>
  <c r="AE106"/>
  <c r="AE107"/>
  <c r="AE108"/>
  <c r="AE109"/>
  <c r="AE110"/>
  <c r="AE111"/>
  <c r="AE112"/>
  <c r="AE113"/>
  <c r="AE114"/>
  <c r="AE115"/>
  <c r="AE116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5"/>
  <c r="AE146"/>
  <c r="AE147"/>
  <c r="AE148"/>
  <c r="AE149"/>
  <c r="AE150"/>
  <c r="AE151"/>
  <c r="AE152"/>
  <c r="AE153"/>
  <c r="AE154"/>
  <c r="AE155"/>
  <c r="AE156"/>
  <c r="AE157"/>
  <c r="AE158"/>
  <c r="AE159"/>
  <c r="AE160"/>
  <c r="AE161"/>
  <c r="AE162"/>
  <c r="AE163"/>
  <c r="AE164"/>
  <c r="AE165"/>
  <c r="AE166"/>
  <c r="AE167"/>
  <c r="AE168"/>
  <c r="AE169"/>
  <c r="AE170"/>
  <c r="AE171"/>
  <c r="AE172"/>
  <c r="AE173"/>
  <c r="AE174"/>
  <c r="AE175"/>
  <c r="AE176"/>
  <c r="AE177"/>
  <c r="AE178"/>
  <c r="AE179"/>
  <c r="AE180"/>
  <c r="AE181"/>
  <c r="AE182"/>
  <c r="AE183"/>
  <c r="AE184"/>
  <c r="AE185"/>
  <c r="AE186"/>
  <c r="AE187"/>
  <c r="AE188"/>
  <c r="AE189"/>
  <c r="AE190"/>
  <c r="AE191"/>
  <c r="AE192"/>
  <c r="AE193"/>
  <c r="AE194"/>
  <c r="AE195"/>
  <c r="AE197"/>
  <c r="AE198"/>
  <c r="AE199"/>
  <c r="AE200"/>
  <c r="AE201"/>
  <c r="AE202"/>
  <c r="AE204"/>
  <c r="AE205"/>
  <c r="AE206"/>
  <c r="AE208"/>
  <c r="AE209"/>
  <c r="AE210"/>
  <c r="AE211"/>
  <c r="AE212"/>
  <c r="AE213"/>
  <c r="AE214"/>
  <c r="AE215"/>
  <c r="AE216"/>
  <c r="AE217"/>
  <c r="AE218"/>
  <c r="AE219"/>
  <c r="AE220"/>
  <c r="AE221"/>
  <c r="AE222"/>
  <c r="AE223"/>
  <c r="AE224"/>
  <c r="AE225"/>
  <c r="AE226"/>
  <c r="AE227"/>
  <c r="AE229"/>
  <c r="AE230"/>
  <c r="AE231"/>
  <c r="AE232"/>
  <c r="AE233"/>
  <c r="AE234"/>
  <c r="AE235"/>
  <c r="AE236"/>
  <c r="AE237"/>
  <c r="AE238"/>
  <c r="AE239"/>
  <c r="AE240"/>
  <c r="AE241"/>
  <c r="AE242"/>
  <c r="AE243"/>
  <c r="AE244"/>
  <c r="AE245"/>
  <c r="AE246"/>
  <c r="AE247"/>
  <c r="AE248"/>
  <c r="AE249"/>
  <c r="AE250"/>
  <c r="AE251"/>
  <c r="AE252"/>
  <c r="AE253"/>
  <c r="AE254"/>
  <c r="AE255"/>
  <c r="AE3"/>
  <c r="AJ4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7"/>
  <c r="AJ28"/>
  <c r="AJ29"/>
  <c r="AJ30"/>
  <c r="AJ31"/>
  <c r="AJ32"/>
  <c r="AJ33"/>
  <c r="AJ34"/>
  <c r="AJ35"/>
  <c r="AJ36"/>
  <c r="AJ37"/>
  <c r="AJ38"/>
  <c r="AJ39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60"/>
  <c r="AJ61"/>
  <c r="AJ62"/>
  <c r="AJ63"/>
  <c r="AJ65"/>
  <c r="AJ67"/>
  <c r="AJ68"/>
  <c r="AJ69"/>
  <c r="AJ70"/>
  <c r="AJ71"/>
  <c r="AJ72"/>
  <c r="AJ73"/>
  <c r="AJ74"/>
  <c r="AJ75"/>
  <c r="AJ76"/>
  <c r="AJ77"/>
  <c r="AJ78"/>
  <c r="AJ79"/>
  <c r="AJ80"/>
  <c r="AJ81"/>
  <c r="AJ82"/>
  <c r="AJ84"/>
  <c r="AJ85"/>
  <c r="AJ86"/>
  <c r="AJ87"/>
  <c r="AJ88"/>
  <c r="AJ89"/>
  <c r="AJ90"/>
  <c r="AJ91"/>
  <c r="AJ92"/>
  <c r="AJ93"/>
  <c r="AJ94"/>
  <c r="AJ95"/>
  <c r="AJ96"/>
  <c r="AJ98"/>
  <c r="AJ99"/>
  <c r="AJ100"/>
  <c r="AJ102"/>
  <c r="AJ103"/>
  <c r="AJ104"/>
  <c r="AJ105"/>
  <c r="AJ106"/>
  <c r="AJ107"/>
  <c r="AJ108"/>
  <c r="AJ109"/>
  <c r="AJ110"/>
  <c r="AJ111"/>
  <c r="AJ112"/>
  <c r="AJ113"/>
  <c r="AJ114"/>
  <c r="AJ115"/>
  <c r="AJ116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264"/>
  <c r="AJ265" s="1"/>
  <c r="AJ136"/>
  <c r="AJ137"/>
  <c r="AJ138"/>
  <c r="AJ139"/>
  <c r="AJ140"/>
  <c r="AJ141"/>
  <c r="AJ142"/>
  <c r="AJ145"/>
  <c r="AJ146"/>
  <c r="AJ147"/>
  <c r="AJ148"/>
  <c r="AJ149"/>
  <c r="AJ150"/>
  <c r="AJ151"/>
  <c r="AJ152"/>
  <c r="AJ153"/>
  <c r="AJ154"/>
  <c r="AJ155"/>
  <c r="AJ156"/>
  <c r="AJ157"/>
  <c r="AJ158"/>
  <c r="AJ159"/>
  <c r="AJ160"/>
  <c r="AJ161"/>
  <c r="AJ162"/>
  <c r="AJ163"/>
  <c r="AJ164"/>
  <c r="AJ165"/>
  <c r="AJ166"/>
  <c r="AJ167"/>
  <c r="AJ168"/>
  <c r="AJ169"/>
  <c r="AJ170"/>
  <c r="AJ171"/>
  <c r="AJ172"/>
  <c r="AJ173"/>
  <c r="AJ174"/>
  <c r="AJ175"/>
  <c r="AJ176"/>
  <c r="AJ177"/>
  <c r="AJ178"/>
  <c r="AJ179"/>
  <c r="AJ180"/>
  <c r="AJ181"/>
  <c r="AJ182"/>
  <c r="AJ183"/>
  <c r="AJ184"/>
  <c r="AJ185"/>
  <c r="AJ186"/>
  <c r="AJ187"/>
  <c r="AJ188"/>
  <c r="AJ189"/>
  <c r="AJ190"/>
  <c r="AJ191"/>
  <c r="AJ192"/>
  <c r="AJ193"/>
  <c r="AJ194"/>
  <c r="AJ195"/>
  <c r="AJ197"/>
  <c r="AJ198"/>
  <c r="AJ199"/>
  <c r="AJ200"/>
  <c r="AJ201"/>
  <c r="AJ202"/>
  <c r="AJ204"/>
  <c r="AJ205"/>
  <c r="AJ206"/>
  <c r="AJ208"/>
  <c r="AJ209"/>
  <c r="AJ210"/>
  <c r="AJ211"/>
  <c r="AJ212"/>
  <c r="AJ213"/>
  <c r="AJ214"/>
  <c r="AJ215"/>
  <c r="AJ216"/>
  <c r="AJ217"/>
  <c r="AJ218"/>
  <c r="AJ219"/>
  <c r="AJ220"/>
  <c r="AJ221"/>
  <c r="AJ222"/>
  <c r="AJ223"/>
  <c r="AJ224"/>
  <c r="AJ225"/>
  <c r="AJ226"/>
  <c r="AJ227"/>
  <c r="AJ229"/>
  <c r="AJ230"/>
  <c r="AJ231"/>
  <c r="AJ232"/>
  <c r="AJ233"/>
  <c r="AJ234"/>
  <c r="AJ235"/>
  <c r="AJ236"/>
  <c r="AJ237"/>
  <c r="AJ238"/>
  <c r="AJ239"/>
  <c r="AJ240"/>
  <c r="AJ241"/>
  <c r="AJ242"/>
  <c r="AJ243"/>
  <c r="AJ244"/>
  <c r="AJ245"/>
  <c r="AJ246"/>
  <c r="AJ247"/>
  <c r="AJ248"/>
  <c r="AJ249"/>
  <c r="AJ250"/>
  <c r="AJ251"/>
  <c r="AJ252"/>
  <c r="AJ253"/>
  <c r="AJ254"/>
  <c r="AJ255"/>
  <c r="AJ3"/>
  <c r="AE265" l="1"/>
  <c r="AV83"/>
  <c r="AW83" s="1"/>
  <c r="AV101"/>
  <c r="AW101" s="1"/>
  <c r="AV143"/>
  <c r="AW143" s="1"/>
  <c r="AV196"/>
  <c r="AW196" s="1"/>
  <c r="AB245"/>
  <c r="AB224"/>
  <c r="AB205"/>
  <c r="AB186"/>
  <c r="AB157"/>
  <c r="AB152"/>
  <c r="AB151"/>
  <c r="AB116"/>
  <c r="AB112"/>
  <c r="AB94"/>
  <c r="AB79"/>
  <c r="AM133" l="1"/>
  <c r="Y133"/>
  <c r="V133"/>
  <c r="AM51"/>
  <c r="Y51"/>
  <c r="V51"/>
  <c r="AM28"/>
  <c r="Y28"/>
  <c r="V28"/>
  <c r="AV51" l="1"/>
  <c r="AW51" s="1"/>
  <c r="AV28"/>
  <c r="AW28" s="1"/>
  <c r="AV133"/>
  <c r="AW133" s="1"/>
  <c r="AM105"/>
  <c r="Y105"/>
  <c r="V105"/>
  <c r="AV105" l="1"/>
  <c r="AW105" s="1"/>
  <c r="AM229"/>
  <c r="Y229"/>
  <c r="V229"/>
  <c r="AM227"/>
  <c r="Y227"/>
  <c r="V227"/>
  <c r="AM183"/>
  <c r="Y183"/>
  <c r="V183"/>
  <c r="AM132"/>
  <c r="Y132"/>
  <c r="V132"/>
  <c r="AM110"/>
  <c r="Y110"/>
  <c r="V110"/>
  <c r="AM69"/>
  <c r="Y69"/>
  <c r="V69"/>
  <c r="AV69" l="1"/>
  <c r="AW69" s="1"/>
  <c r="AV227"/>
  <c r="AW227" s="1"/>
  <c r="AV132"/>
  <c r="AW132" s="1"/>
  <c r="AV183"/>
  <c r="AW183" s="1"/>
  <c r="AV110"/>
  <c r="AW110" s="1"/>
  <c r="AV229"/>
  <c r="AW229" s="1"/>
  <c r="AM255"/>
  <c r="Y255"/>
  <c r="V255"/>
  <c r="AM254"/>
  <c r="Y254"/>
  <c r="V254"/>
  <c r="AM253"/>
  <c r="Y253"/>
  <c r="V253"/>
  <c r="AS252"/>
  <c r="AM252"/>
  <c r="Y252"/>
  <c r="V252"/>
  <c r="AM251"/>
  <c r="Y251"/>
  <c r="V251"/>
  <c r="AM250"/>
  <c r="Y250"/>
  <c r="V250"/>
  <c r="AM249"/>
  <c r="Y249"/>
  <c r="V249"/>
  <c r="AM248"/>
  <c r="Y248"/>
  <c r="V248"/>
  <c r="AM247"/>
  <c r="Y247"/>
  <c r="V247"/>
  <c r="AM246"/>
  <c r="Y246"/>
  <c r="V246"/>
  <c r="AM245"/>
  <c r="Y245"/>
  <c r="V245"/>
  <c r="AM244"/>
  <c r="Y244"/>
  <c r="V244"/>
  <c r="AP243"/>
  <c r="AM243"/>
  <c r="Y243"/>
  <c r="V243"/>
  <c r="AM242"/>
  <c r="Y242"/>
  <c r="V242"/>
  <c r="AM241"/>
  <c r="Y241"/>
  <c r="V241"/>
  <c r="AM240"/>
  <c r="Y240"/>
  <c r="V240"/>
  <c r="AM239"/>
  <c r="Y239"/>
  <c r="V239"/>
  <c r="AM238"/>
  <c r="Y238"/>
  <c r="V238"/>
  <c r="AP237"/>
  <c r="AM237"/>
  <c r="Y237"/>
  <c r="V237"/>
  <c r="AM236"/>
  <c r="Y236"/>
  <c r="V236"/>
  <c r="AM235"/>
  <c r="Y235"/>
  <c r="V235"/>
  <c r="AP234"/>
  <c r="AM234"/>
  <c r="Y234"/>
  <c r="V234"/>
  <c r="AM233"/>
  <c r="Y233"/>
  <c r="V233"/>
  <c r="AM232"/>
  <c r="Y232"/>
  <c r="V232"/>
  <c r="AM231"/>
  <c r="Y231"/>
  <c r="V231"/>
  <c r="AM230"/>
  <c r="Y230"/>
  <c r="V230"/>
  <c r="AM226"/>
  <c r="Y226"/>
  <c r="V226"/>
  <c r="AM225"/>
  <c r="Y225"/>
  <c r="V225"/>
  <c r="AM224"/>
  <c r="Y224"/>
  <c r="V224"/>
  <c r="AM223"/>
  <c r="Y223"/>
  <c r="V223"/>
  <c r="AP222"/>
  <c r="AM222"/>
  <c r="Y222"/>
  <c r="V222"/>
  <c r="AP221"/>
  <c r="AM221"/>
  <c r="Y221"/>
  <c r="V221"/>
  <c r="AM220"/>
  <c r="Y220"/>
  <c r="V220"/>
  <c r="AM219"/>
  <c r="Y219"/>
  <c r="V219"/>
  <c r="AM218"/>
  <c r="Y218"/>
  <c r="V218"/>
  <c r="AM217"/>
  <c r="Y217"/>
  <c r="V217"/>
  <c r="AM216"/>
  <c r="Y216"/>
  <c r="V216"/>
  <c r="AM215"/>
  <c r="Y215"/>
  <c r="V215"/>
  <c r="AM214"/>
  <c r="AH214"/>
  <c r="S214"/>
  <c r="AP213"/>
  <c r="AM213"/>
  <c r="Y213"/>
  <c r="V213"/>
  <c r="AM212"/>
  <c r="Y212"/>
  <c r="V212"/>
  <c r="AM211"/>
  <c r="Y211"/>
  <c r="V211"/>
  <c r="AM210"/>
  <c r="Y210"/>
  <c r="V210"/>
  <c r="AM209"/>
  <c r="Y209"/>
  <c r="V209"/>
  <c r="AM208"/>
  <c r="Y208"/>
  <c r="V208"/>
  <c r="AM206"/>
  <c r="Y206"/>
  <c r="V206"/>
  <c r="AS205"/>
  <c r="AM205"/>
  <c r="Y205"/>
  <c r="V205"/>
  <c r="AM204"/>
  <c r="Y204"/>
  <c r="V204"/>
  <c r="AM202"/>
  <c r="Y202"/>
  <c r="V202"/>
  <c r="AM201"/>
  <c r="Y201"/>
  <c r="V201"/>
  <c r="AM200"/>
  <c r="Y200"/>
  <c r="V200"/>
  <c r="AM199"/>
  <c r="Y199"/>
  <c r="V199"/>
  <c r="AM198"/>
  <c r="Y198"/>
  <c r="V198"/>
  <c r="AM197"/>
  <c r="Y197"/>
  <c r="V197"/>
  <c r="AP195"/>
  <c r="AM195"/>
  <c r="Y195"/>
  <c r="V195"/>
  <c r="AP194"/>
  <c r="AM194"/>
  <c r="Y194"/>
  <c r="V194"/>
  <c r="AM193"/>
  <c r="Y193"/>
  <c r="V193"/>
  <c r="AM192"/>
  <c r="Y192"/>
  <c r="V192"/>
  <c r="AM191"/>
  <c r="Y191"/>
  <c r="V191"/>
  <c r="AP190"/>
  <c r="AM190"/>
  <c r="Y190"/>
  <c r="V190"/>
  <c r="AP189"/>
  <c r="AM189"/>
  <c r="Y189"/>
  <c r="V189"/>
  <c r="AM188"/>
  <c r="Y188"/>
  <c r="V188"/>
  <c r="AM187"/>
  <c r="Y187"/>
  <c r="V187"/>
  <c r="AP186"/>
  <c r="AM186"/>
  <c r="Y186"/>
  <c r="V186"/>
  <c r="AM185"/>
  <c r="AH185"/>
  <c r="S185"/>
  <c r="AP184"/>
  <c r="AM184"/>
  <c r="Y184"/>
  <c r="V184"/>
  <c r="AM182"/>
  <c r="Y182"/>
  <c r="V182"/>
  <c r="AM181"/>
  <c r="Y181"/>
  <c r="V181"/>
  <c r="AM180"/>
  <c r="Y180"/>
  <c r="V180"/>
  <c r="AM179"/>
  <c r="Y179"/>
  <c r="V179"/>
  <c r="AM178"/>
  <c r="Y178"/>
  <c r="V178"/>
  <c r="AM177"/>
  <c r="Y177"/>
  <c r="V177"/>
  <c r="AM176"/>
  <c r="Y176"/>
  <c r="V176"/>
  <c r="AP175"/>
  <c r="AM175"/>
  <c r="Y175"/>
  <c r="V175"/>
  <c r="AM174"/>
  <c r="Y174"/>
  <c r="V174"/>
  <c r="AM173"/>
  <c r="Y173"/>
  <c r="V173"/>
  <c r="AM172"/>
  <c r="Y172"/>
  <c r="V172"/>
  <c r="AM171"/>
  <c r="Y171"/>
  <c r="V171"/>
  <c r="AM170"/>
  <c r="Y170"/>
  <c r="V170"/>
  <c r="AP169"/>
  <c r="AM169"/>
  <c r="Y169"/>
  <c r="V169"/>
  <c r="AM168"/>
  <c r="Y168"/>
  <c r="V168"/>
  <c r="AM167"/>
  <c r="Y167"/>
  <c r="V167"/>
  <c r="AM166"/>
  <c r="Y166"/>
  <c r="V166"/>
  <c r="AM165"/>
  <c r="Y165"/>
  <c r="V165"/>
  <c r="AM164"/>
  <c r="Y164"/>
  <c r="V164"/>
  <c r="AM163"/>
  <c r="Y163"/>
  <c r="V163"/>
  <c r="AM162"/>
  <c r="Y162"/>
  <c r="V162"/>
  <c r="AP161"/>
  <c r="AM161"/>
  <c r="Y161"/>
  <c r="V161"/>
  <c r="AM160"/>
  <c r="Y160"/>
  <c r="V160"/>
  <c r="AM159"/>
  <c r="Y159"/>
  <c r="V159"/>
  <c r="AP158"/>
  <c r="AM158"/>
  <c r="Y158"/>
  <c r="V158"/>
  <c r="AP157"/>
  <c r="AM157"/>
  <c r="Y157"/>
  <c r="V157"/>
  <c r="AM156"/>
  <c r="Y156"/>
  <c r="V156"/>
  <c r="AM155"/>
  <c r="Y155"/>
  <c r="V155"/>
  <c r="AM154"/>
  <c r="Y154"/>
  <c r="V154"/>
  <c r="AM153"/>
  <c r="Y153"/>
  <c r="V153"/>
  <c r="AM152"/>
  <c r="Y152"/>
  <c r="V152"/>
  <c r="AM151"/>
  <c r="Y151"/>
  <c r="V151"/>
  <c r="AM150"/>
  <c r="Y150"/>
  <c r="V150"/>
  <c r="AM149"/>
  <c r="Y149"/>
  <c r="V149"/>
  <c r="AM148"/>
  <c r="Y148"/>
  <c r="V148"/>
  <c r="AP147"/>
  <c r="AM147"/>
  <c r="Y147"/>
  <c r="V147"/>
  <c r="AM146"/>
  <c r="Y146"/>
  <c r="V146"/>
  <c r="AM145"/>
  <c r="Y145"/>
  <c r="V145"/>
  <c r="AM142"/>
  <c r="Y142"/>
  <c r="V142"/>
  <c r="AM141"/>
  <c r="Y141"/>
  <c r="V141"/>
  <c r="AM140"/>
  <c r="Y140"/>
  <c r="V140"/>
  <c r="AM139"/>
  <c r="Y139"/>
  <c r="V139"/>
  <c r="AM138"/>
  <c r="Y138"/>
  <c r="V138"/>
  <c r="AM137"/>
  <c r="Y137"/>
  <c r="V137"/>
  <c r="AM136"/>
  <c r="Y136"/>
  <c r="V136"/>
  <c r="AM264"/>
  <c r="V264"/>
  <c r="AV264" s="1"/>
  <c r="AM135"/>
  <c r="Y135"/>
  <c r="V135"/>
  <c r="AM134"/>
  <c r="Y134"/>
  <c r="V134"/>
  <c r="AP131"/>
  <c r="AM131"/>
  <c r="Y131"/>
  <c r="V131"/>
  <c r="AS130"/>
  <c r="AP130"/>
  <c r="AM130"/>
  <c r="Y130"/>
  <c r="V130"/>
  <c r="AM129"/>
  <c r="Y129"/>
  <c r="V129"/>
  <c r="AP128"/>
  <c r="AM128"/>
  <c r="AH128"/>
  <c r="S128"/>
  <c r="AM127"/>
  <c r="Y127"/>
  <c r="V127"/>
  <c r="AM126"/>
  <c r="Y126"/>
  <c r="V126"/>
  <c r="AM125"/>
  <c r="Y125"/>
  <c r="V125"/>
  <c r="AM124"/>
  <c r="Y124"/>
  <c r="V124"/>
  <c r="AM123"/>
  <c r="Y123"/>
  <c r="V123"/>
  <c r="AS122"/>
  <c r="AP122"/>
  <c r="AM122"/>
  <c r="Y122"/>
  <c r="V122"/>
  <c r="AM121"/>
  <c r="Y121"/>
  <c r="V121"/>
  <c r="AM120"/>
  <c r="Y120"/>
  <c r="V120"/>
  <c r="AM119"/>
  <c r="Y119"/>
  <c r="V119"/>
  <c r="AM118"/>
  <c r="Y118"/>
  <c r="V118"/>
  <c r="AM116"/>
  <c r="Y116"/>
  <c r="V116"/>
  <c r="AM115"/>
  <c r="Y115"/>
  <c r="V115"/>
  <c r="AM114"/>
  <c r="Y114"/>
  <c r="V114"/>
  <c r="AM113"/>
  <c r="Y113"/>
  <c r="V113"/>
  <c r="AM112"/>
  <c r="Y112"/>
  <c r="V112"/>
  <c r="AM111"/>
  <c r="Y111"/>
  <c r="V111"/>
  <c r="AM109"/>
  <c r="Y109"/>
  <c r="V109"/>
  <c r="AM108"/>
  <c r="Y108"/>
  <c r="V108"/>
  <c r="AM107"/>
  <c r="Y107"/>
  <c r="V107"/>
  <c r="AM106"/>
  <c r="Y106"/>
  <c r="V106"/>
  <c r="AM104"/>
  <c r="Y104"/>
  <c r="V104"/>
  <c r="AP103"/>
  <c r="AM103"/>
  <c r="Y103"/>
  <c r="V103"/>
  <c r="AM102"/>
  <c r="AH102"/>
  <c r="S102"/>
  <c r="AM100"/>
  <c r="Y100"/>
  <c r="V100"/>
  <c r="AM99"/>
  <c r="Y99"/>
  <c r="V99"/>
  <c r="AP98"/>
  <c r="AM98"/>
  <c r="Y98"/>
  <c r="V98"/>
  <c r="AM96"/>
  <c r="Y96"/>
  <c r="V96"/>
  <c r="AM95"/>
  <c r="Y95"/>
  <c r="V95"/>
  <c r="AM94"/>
  <c r="Y94"/>
  <c r="V94"/>
  <c r="AM93"/>
  <c r="Y93"/>
  <c r="V93"/>
  <c r="AM92"/>
  <c r="Y92"/>
  <c r="V92"/>
  <c r="AP91"/>
  <c r="AM91"/>
  <c r="Y91"/>
  <c r="V91"/>
  <c r="AM90"/>
  <c r="Y90"/>
  <c r="V90"/>
  <c r="AS89"/>
  <c r="AP89"/>
  <c r="AM89"/>
  <c r="Y89"/>
  <c r="V89"/>
  <c r="AM257"/>
  <c r="Y257"/>
  <c r="V257"/>
  <c r="AM88"/>
  <c r="Y88"/>
  <c r="V88"/>
  <c r="AM87"/>
  <c r="Y87"/>
  <c r="V87"/>
  <c r="AM86"/>
  <c r="Y86"/>
  <c r="V86"/>
  <c r="AP85"/>
  <c r="AM85"/>
  <c r="Y85"/>
  <c r="V85"/>
  <c r="AM84"/>
  <c r="Y84"/>
  <c r="V84"/>
  <c r="AP82"/>
  <c r="AM82"/>
  <c r="Y82"/>
  <c r="V82"/>
  <c r="AM81"/>
  <c r="Y81"/>
  <c r="V81"/>
  <c r="AM80"/>
  <c r="Y80"/>
  <c r="V80"/>
  <c r="AM79"/>
  <c r="Y79"/>
  <c r="V79"/>
  <c r="AM78"/>
  <c r="Y78"/>
  <c r="V78"/>
  <c r="AM77"/>
  <c r="Y77"/>
  <c r="V77"/>
  <c r="AM76"/>
  <c r="Y76"/>
  <c r="V76"/>
  <c r="AM75"/>
  <c r="Y75"/>
  <c r="V75"/>
  <c r="AP74"/>
  <c r="AM74"/>
  <c r="Y74"/>
  <c r="V74"/>
  <c r="AP73"/>
  <c r="AM73"/>
  <c r="Y73"/>
  <c r="V73"/>
  <c r="AM72"/>
  <c r="Y72"/>
  <c r="V72"/>
  <c r="AM71"/>
  <c r="Y71"/>
  <c r="V71"/>
  <c r="AM70"/>
  <c r="Y70"/>
  <c r="V70"/>
  <c r="AM68"/>
  <c r="Y68"/>
  <c r="V68"/>
  <c r="AP67"/>
  <c r="AM67"/>
  <c r="Y67"/>
  <c r="V67"/>
  <c r="AM65"/>
  <c r="Y65"/>
  <c r="V65"/>
  <c r="AM63"/>
  <c r="Y63"/>
  <c r="V63"/>
  <c r="AM62"/>
  <c r="Y62"/>
  <c r="V62"/>
  <c r="AM61"/>
  <c r="Y61"/>
  <c r="V61"/>
  <c r="AM60"/>
  <c r="Y60"/>
  <c r="V60"/>
  <c r="AP58"/>
  <c r="AM58"/>
  <c r="Y58"/>
  <c r="V58"/>
  <c r="AM256"/>
  <c r="Y256"/>
  <c r="V256"/>
  <c r="AM57"/>
  <c r="Y57"/>
  <c r="V57"/>
  <c r="AM56"/>
  <c r="Y56"/>
  <c r="V56"/>
  <c r="AM55"/>
  <c r="Y55"/>
  <c r="V55"/>
  <c r="AM54"/>
  <c r="Y54"/>
  <c r="V54"/>
  <c r="AM53"/>
  <c r="Y53"/>
  <c r="V53"/>
  <c r="AM52"/>
  <c r="Y52"/>
  <c r="V52"/>
  <c r="AM50"/>
  <c r="Y50"/>
  <c r="V50"/>
  <c r="AM49"/>
  <c r="Y49"/>
  <c r="V49"/>
  <c r="AM48"/>
  <c r="Y48"/>
  <c r="V48"/>
  <c r="AM47"/>
  <c r="Y47"/>
  <c r="V47"/>
  <c r="AP46"/>
  <c r="AM46"/>
  <c r="Y46"/>
  <c r="V46"/>
  <c r="AM45"/>
  <c r="Y45"/>
  <c r="V45"/>
  <c r="AM44"/>
  <c r="Y44"/>
  <c r="V44"/>
  <c r="AM43"/>
  <c r="Y43"/>
  <c r="V43"/>
  <c r="AM42"/>
  <c r="Y42"/>
  <c r="V42"/>
  <c r="AP41"/>
  <c r="AM41"/>
  <c r="Y41"/>
  <c r="V41"/>
  <c r="AM39"/>
  <c r="Y39"/>
  <c r="V39"/>
  <c r="AM38"/>
  <c r="Y38"/>
  <c r="V38"/>
  <c r="AM37"/>
  <c r="Y37"/>
  <c r="V37"/>
  <c r="AM36"/>
  <c r="Y36"/>
  <c r="V36"/>
  <c r="AM35"/>
  <c r="Y35"/>
  <c r="V35"/>
  <c r="AM34"/>
  <c r="Y34"/>
  <c r="V34"/>
  <c r="AM33"/>
  <c r="Y33"/>
  <c r="V33"/>
  <c r="AM32"/>
  <c r="Y32"/>
  <c r="V32"/>
  <c r="AM31"/>
  <c r="Y31"/>
  <c r="V31"/>
  <c r="AM30"/>
  <c r="Y30"/>
  <c r="V30"/>
  <c r="AM258"/>
  <c r="Y258"/>
  <c r="V258"/>
  <c r="AM29"/>
  <c r="Y29"/>
  <c r="V29"/>
  <c r="AM27"/>
  <c r="Y27"/>
  <c r="V27"/>
  <c r="AS25"/>
  <c r="AP25"/>
  <c r="AM25"/>
  <c r="Y25"/>
  <c r="V25"/>
  <c r="AM24"/>
  <c r="Y24"/>
  <c r="V24"/>
  <c r="AM23"/>
  <c r="Y23"/>
  <c r="V23"/>
  <c r="AM22"/>
  <c r="Y22"/>
  <c r="V22"/>
  <c r="AP21"/>
  <c r="AM21"/>
  <c r="Y21"/>
  <c r="V21"/>
  <c r="AM20"/>
  <c r="Y20"/>
  <c r="V20"/>
  <c r="AM19"/>
  <c r="Y19"/>
  <c r="V19"/>
  <c r="AP18"/>
  <c r="AM18"/>
  <c r="Y18"/>
  <c r="V18"/>
  <c r="AM17"/>
  <c r="Y17"/>
  <c r="V17"/>
  <c r="AM16"/>
  <c r="Y16"/>
  <c r="V16"/>
  <c r="AM15"/>
  <c r="Y15"/>
  <c r="V15"/>
  <c r="AM14"/>
  <c r="Y14"/>
  <c r="V14"/>
  <c r="AM13"/>
  <c r="Y13"/>
  <c r="V13"/>
  <c r="AM12"/>
  <c r="Y12"/>
  <c r="V12"/>
  <c r="AP11"/>
  <c r="AM11"/>
  <c r="Y11"/>
  <c r="V11"/>
  <c r="AM10"/>
  <c r="Y10"/>
  <c r="V10"/>
  <c r="AM9"/>
  <c r="Y9"/>
  <c r="V9"/>
  <c r="AM8"/>
  <c r="AH8"/>
  <c r="S8"/>
  <c r="AP7"/>
  <c r="AM7"/>
  <c r="Y7"/>
  <c r="V7"/>
  <c r="AM6"/>
  <c r="AH6"/>
  <c r="S6"/>
  <c r="AP4"/>
  <c r="AM4"/>
  <c r="Y4"/>
  <c r="V4"/>
  <c r="AM3"/>
  <c r="AH3"/>
  <c r="S3"/>
  <c r="P3"/>
  <c r="AV166" l="1"/>
  <c r="AM265"/>
  <c r="V265"/>
  <c r="Y265"/>
  <c r="AW264"/>
  <c r="AV10"/>
  <c r="AW10" s="1"/>
  <c r="AV15"/>
  <c r="AW15" s="1"/>
  <c r="AV20"/>
  <c r="AW20" s="1"/>
  <c r="AV25"/>
  <c r="AW25" s="1"/>
  <c r="AV29"/>
  <c r="AW29" s="1"/>
  <c r="AV32"/>
  <c r="AW32" s="1"/>
  <c r="AV36"/>
  <c r="AW36" s="1"/>
  <c r="AV41"/>
  <c r="AW41" s="1"/>
  <c r="AV42"/>
  <c r="AW42" s="1"/>
  <c r="AV46"/>
  <c r="AW46" s="1"/>
  <c r="AV47"/>
  <c r="AW47" s="1"/>
  <c r="AV52"/>
  <c r="AW52" s="1"/>
  <c r="AV56"/>
  <c r="AW56" s="1"/>
  <c r="AV61"/>
  <c r="AW61" s="1"/>
  <c r="AV68"/>
  <c r="AW68" s="1"/>
  <c r="AV73"/>
  <c r="AW73" s="1"/>
  <c r="AV74"/>
  <c r="AW74" s="1"/>
  <c r="AV75"/>
  <c r="AW75" s="1"/>
  <c r="AV79"/>
  <c r="AW79" s="1"/>
  <c r="AV85"/>
  <c r="AW85" s="1"/>
  <c r="AV86"/>
  <c r="AW86" s="1"/>
  <c r="AV89"/>
  <c r="AW89" s="1"/>
  <c r="AV91"/>
  <c r="AW91" s="1"/>
  <c r="AV92"/>
  <c r="AW92" s="1"/>
  <c r="AV96"/>
  <c r="AW96" s="1"/>
  <c r="AV103"/>
  <c r="AW103" s="1"/>
  <c r="AV104"/>
  <c r="AW104" s="1"/>
  <c r="AV109"/>
  <c r="AW109" s="1"/>
  <c r="AV114"/>
  <c r="AW114" s="1"/>
  <c r="AV119"/>
  <c r="AW119" s="1"/>
  <c r="AV125"/>
  <c r="AW125" s="1"/>
  <c r="AV130"/>
  <c r="AW130" s="1"/>
  <c r="AV135"/>
  <c r="AW135" s="1"/>
  <c r="AV137"/>
  <c r="AW137" s="1"/>
  <c r="AV141"/>
  <c r="AW141" s="1"/>
  <c r="AV147"/>
  <c r="AW147" s="1"/>
  <c r="AV148"/>
  <c r="AW148" s="1"/>
  <c r="AV152"/>
  <c r="AW152" s="1"/>
  <c r="AV156"/>
  <c r="AW156" s="1"/>
  <c r="AV163"/>
  <c r="AW163" s="1"/>
  <c r="AV167"/>
  <c r="AW167" s="1"/>
  <c r="AV172"/>
  <c r="AW172" s="1"/>
  <c r="AV177"/>
  <c r="AW177" s="1"/>
  <c r="AV181"/>
  <c r="AW181" s="1"/>
  <c r="AV188"/>
  <c r="AW188" s="1"/>
  <c r="AV194"/>
  <c r="AW194" s="1"/>
  <c r="AV195"/>
  <c r="AW195" s="1"/>
  <c r="AV197"/>
  <c r="AW197" s="1"/>
  <c r="AV201"/>
  <c r="AW201" s="1"/>
  <c r="AV208"/>
  <c r="AW208" s="1"/>
  <c r="AV212"/>
  <c r="AW212" s="1"/>
  <c r="AV217"/>
  <c r="AW217" s="1"/>
  <c r="AV221"/>
  <c r="AW221" s="1"/>
  <c r="AV222"/>
  <c r="AW222" s="1"/>
  <c r="AV223"/>
  <c r="AW223" s="1"/>
  <c r="AV230"/>
  <c r="AW230" s="1"/>
  <c r="AV234"/>
  <c r="AW234" s="1"/>
  <c r="AV235"/>
  <c r="AW235" s="1"/>
  <c r="AV240"/>
  <c r="AW240" s="1"/>
  <c r="AV245"/>
  <c r="AW245" s="1"/>
  <c r="AV249"/>
  <c r="AW249" s="1"/>
  <c r="AV254"/>
  <c r="AW254" s="1"/>
  <c r="AV67"/>
  <c r="AW67" s="1"/>
  <c r="AV7"/>
  <c r="AW7" s="1"/>
  <c r="AV8"/>
  <c r="AW8" s="1"/>
  <c r="AV13"/>
  <c r="AW13" s="1"/>
  <c r="AV17"/>
  <c r="AW17" s="1"/>
  <c r="AV23"/>
  <c r="AW23" s="1"/>
  <c r="AV30"/>
  <c r="AW30" s="1"/>
  <c r="AV34"/>
  <c r="AW34" s="1"/>
  <c r="AV38"/>
  <c r="AW38" s="1"/>
  <c r="AV49"/>
  <c r="AW49" s="1"/>
  <c r="AV54"/>
  <c r="AW54" s="1"/>
  <c r="AV256"/>
  <c r="AW256" s="1"/>
  <c r="AV63"/>
  <c r="AW63" s="1"/>
  <c r="AV71"/>
  <c r="AW71" s="1"/>
  <c r="AV77"/>
  <c r="AW77" s="1"/>
  <c r="AV81"/>
  <c r="AW81" s="1"/>
  <c r="AV88"/>
  <c r="AW88" s="1"/>
  <c r="AV94"/>
  <c r="AW94" s="1"/>
  <c r="AV100"/>
  <c r="AW100" s="1"/>
  <c r="AV107"/>
  <c r="AW107" s="1"/>
  <c r="AV112"/>
  <c r="AW112" s="1"/>
  <c r="AV116"/>
  <c r="AW116" s="1"/>
  <c r="AV121"/>
  <c r="AW121" s="1"/>
  <c r="AV123"/>
  <c r="AW123" s="1"/>
  <c r="AV127"/>
  <c r="AW127" s="1"/>
  <c r="AV139"/>
  <c r="AW139" s="1"/>
  <c r="AV145"/>
  <c r="AW145" s="1"/>
  <c r="AV150"/>
  <c r="AW150" s="1"/>
  <c r="AV160"/>
  <c r="AW160" s="1"/>
  <c r="AV169"/>
  <c r="AW169" s="1"/>
  <c r="AV170"/>
  <c r="AW170" s="1"/>
  <c r="AV174"/>
  <c r="AW174" s="1"/>
  <c r="AV179"/>
  <c r="AW179" s="1"/>
  <c r="AV184"/>
  <c r="AW184" s="1"/>
  <c r="AV185"/>
  <c r="AW185" s="1"/>
  <c r="AV192"/>
  <c r="AW192" s="1"/>
  <c r="AV199"/>
  <c r="AW199" s="1"/>
  <c r="AV204"/>
  <c r="AW204" s="1"/>
  <c r="AV210"/>
  <c r="AW210" s="1"/>
  <c r="AV215"/>
  <c r="AW215" s="1"/>
  <c r="AV219"/>
  <c r="AW219" s="1"/>
  <c r="AV225"/>
  <c r="AW225" s="1"/>
  <c r="AV232"/>
  <c r="AW232" s="1"/>
  <c r="AV237"/>
  <c r="AW237" s="1"/>
  <c r="AV238"/>
  <c r="AW238" s="1"/>
  <c r="AV242"/>
  <c r="AW242" s="1"/>
  <c r="AV247"/>
  <c r="AW247" s="1"/>
  <c r="AV251"/>
  <c r="AW251" s="1"/>
  <c r="AV154"/>
  <c r="AW154" s="1"/>
  <c r="AV3"/>
  <c r="AW3" s="1"/>
  <c r="AV4"/>
  <c r="AW4" s="1"/>
  <c r="AV6"/>
  <c r="AW6" s="1"/>
  <c r="AV11"/>
  <c r="AW11" s="1"/>
  <c r="AV12"/>
  <c r="AW12" s="1"/>
  <c r="AV16"/>
  <c r="AW16" s="1"/>
  <c r="AV21"/>
  <c r="AW21" s="1"/>
  <c r="AV22"/>
  <c r="AW22" s="1"/>
  <c r="AV258"/>
  <c r="AW258" s="1"/>
  <c r="AV33"/>
  <c r="AW33" s="1"/>
  <c r="AV37"/>
  <c r="AW37" s="1"/>
  <c r="AV43"/>
  <c r="AW43" s="1"/>
  <c r="AV48"/>
  <c r="AW48" s="1"/>
  <c r="AV53"/>
  <c r="AW53" s="1"/>
  <c r="AV57"/>
  <c r="AW57" s="1"/>
  <c r="AV62"/>
  <c r="AW62" s="1"/>
  <c r="AV70"/>
  <c r="AW70" s="1"/>
  <c r="AV76"/>
  <c r="AW76" s="1"/>
  <c r="AV80"/>
  <c r="AW80" s="1"/>
  <c r="AV87"/>
  <c r="AW87" s="1"/>
  <c r="AV93"/>
  <c r="AW93" s="1"/>
  <c r="AV98"/>
  <c r="AW98" s="1"/>
  <c r="AV99"/>
  <c r="AW99" s="1"/>
  <c r="AV106"/>
  <c r="AW106" s="1"/>
  <c r="AV111"/>
  <c r="AW111" s="1"/>
  <c r="AV115"/>
  <c r="AW115" s="1"/>
  <c r="AV120"/>
  <c r="AW120" s="1"/>
  <c r="AV126"/>
  <c r="AW126" s="1"/>
  <c r="AV138"/>
  <c r="AW138" s="1"/>
  <c r="AV142"/>
  <c r="AW142" s="1"/>
  <c r="AV149"/>
  <c r="AW149" s="1"/>
  <c r="AV153"/>
  <c r="AW153" s="1"/>
  <c r="AV157"/>
  <c r="AW157" s="1"/>
  <c r="AV158"/>
  <c r="AW158" s="1"/>
  <c r="AV159"/>
  <c r="AW159" s="1"/>
  <c r="AV164"/>
  <c r="AW164" s="1"/>
  <c r="AV168"/>
  <c r="AW168" s="1"/>
  <c r="AV173"/>
  <c r="AW173" s="1"/>
  <c r="AV178"/>
  <c r="AW178" s="1"/>
  <c r="AV182"/>
  <c r="AW182" s="1"/>
  <c r="AV189"/>
  <c r="AW189" s="1"/>
  <c r="AV190"/>
  <c r="AW190" s="1"/>
  <c r="AV191"/>
  <c r="AW191" s="1"/>
  <c r="AV198"/>
  <c r="AW198" s="1"/>
  <c r="AV202"/>
  <c r="AW202" s="1"/>
  <c r="AV209"/>
  <c r="AW209" s="1"/>
  <c r="AV213"/>
  <c r="AW213" s="1"/>
  <c r="AV214"/>
  <c r="AW214" s="1"/>
  <c r="AV44"/>
  <c r="AW44" s="1"/>
  <c r="AV165"/>
  <c r="AW165" s="1"/>
  <c r="AV9"/>
  <c r="AW9" s="1"/>
  <c r="AV14"/>
  <c r="AW14" s="1"/>
  <c r="AV18"/>
  <c r="AW18" s="1"/>
  <c r="AV19"/>
  <c r="AW19" s="1"/>
  <c r="AV24"/>
  <c r="AW24" s="1"/>
  <c r="AV27"/>
  <c r="AW27" s="1"/>
  <c r="AV31"/>
  <c r="AW31" s="1"/>
  <c r="AV35"/>
  <c r="AW35" s="1"/>
  <c r="AV39"/>
  <c r="AW39" s="1"/>
  <c r="AV45"/>
  <c r="AW45" s="1"/>
  <c r="AV50"/>
  <c r="AW50" s="1"/>
  <c r="AV55"/>
  <c r="AW55" s="1"/>
  <c r="AV58"/>
  <c r="AW58" s="1"/>
  <c r="AV60"/>
  <c r="AW60" s="1"/>
  <c r="AV65"/>
  <c r="AW65" s="1"/>
  <c r="AV72"/>
  <c r="AW72" s="1"/>
  <c r="AV78"/>
  <c r="AW78" s="1"/>
  <c r="AV82"/>
  <c r="AW82" s="1"/>
  <c r="AV84"/>
  <c r="AW84" s="1"/>
  <c r="AV257"/>
  <c r="AW257" s="1"/>
  <c r="AV90"/>
  <c r="AW90" s="1"/>
  <c r="AV95"/>
  <c r="AW95" s="1"/>
  <c r="AV102"/>
  <c r="AW102" s="1"/>
  <c r="AV108"/>
  <c r="AW108" s="1"/>
  <c r="AV113"/>
  <c r="AW113" s="1"/>
  <c r="AV118"/>
  <c r="AW118" s="1"/>
  <c r="AV122"/>
  <c r="AW122" s="1"/>
  <c r="AV124"/>
  <c r="AW124" s="1"/>
  <c r="AV128"/>
  <c r="AW128" s="1"/>
  <c r="AV129"/>
  <c r="AW129" s="1"/>
  <c r="AV131"/>
  <c r="AW131" s="1"/>
  <c r="AV134"/>
  <c r="AW134" s="1"/>
  <c r="AV136"/>
  <c r="AW136" s="1"/>
  <c r="AV140"/>
  <c r="AW140" s="1"/>
  <c r="AV146"/>
  <c r="AW146" s="1"/>
  <c r="AV151"/>
  <c r="AW151" s="1"/>
  <c r="AV155"/>
  <c r="AW155" s="1"/>
  <c r="AV161"/>
  <c r="AW161" s="1"/>
  <c r="AV162"/>
  <c r="AW162" s="1"/>
  <c r="AW166"/>
  <c r="AV171"/>
  <c r="AW171" s="1"/>
  <c r="AV175"/>
  <c r="AW175" s="1"/>
  <c r="AV176"/>
  <c r="AW176" s="1"/>
  <c r="AV180"/>
  <c r="AW180" s="1"/>
  <c r="AV186"/>
  <c r="AW186" s="1"/>
  <c r="AV187"/>
  <c r="AW187" s="1"/>
  <c r="AV193"/>
  <c r="AW193" s="1"/>
  <c r="AV200"/>
  <c r="AW200" s="1"/>
  <c r="AV205"/>
  <c r="AW205" s="1"/>
  <c r="AV206"/>
  <c r="AW206" s="1"/>
  <c r="AV211"/>
  <c r="AW211" s="1"/>
  <c r="AV216"/>
  <c r="AW216" s="1"/>
  <c r="AV220"/>
  <c r="AW220" s="1"/>
  <c r="AV226"/>
  <c r="AW226" s="1"/>
  <c r="AV233"/>
  <c r="AW233" s="1"/>
  <c r="AV239"/>
  <c r="AW239" s="1"/>
  <c r="AV243"/>
  <c r="AW243" s="1"/>
  <c r="AV244"/>
  <c r="AW244" s="1"/>
  <c r="AV248"/>
  <c r="AW248" s="1"/>
  <c r="AV252"/>
  <c r="AW252" s="1"/>
  <c r="AV253"/>
  <c r="AW253" s="1"/>
  <c r="AV218"/>
  <c r="AW218" s="1"/>
  <c r="AV224"/>
  <c r="AW224" s="1"/>
  <c r="AV231"/>
  <c r="AW231" s="1"/>
  <c r="AV236"/>
  <c r="AW236" s="1"/>
  <c r="AV241"/>
  <c r="AW241" s="1"/>
  <c r="AV246"/>
  <c r="AW246" s="1"/>
  <c r="AV250"/>
  <c r="AW250" s="1"/>
  <c r="AV255"/>
  <c r="AW255" s="1"/>
  <c r="AW265" l="1"/>
</calcChain>
</file>

<file path=xl/sharedStrings.xml><?xml version="1.0" encoding="utf-8"?>
<sst xmlns="http://schemas.openxmlformats.org/spreadsheetml/2006/main" count="860" uniqueCount="336">
  <si>
    <t>Nº</t>
  </si>
  <si>
    <t>CODI_EMPL_,C,8</t>
  </si>
  <si>
    <t>DNI,C,8</t>
  </si>
  <si>
    <t>NOMB_CORT_,C,50</t>
  </si>
  <si>
    <t>NIVEL,C,55</t>
  </si>
  <si>
    <t>MONTO,N,17,2</t>
  </si>
  <si>
    <t>ESTADO</t>
  </si>
  <si>
    <t>HABERES</t>
  </si>
  <si>
    <t>TOTAL HABERES</t>
  </si>
  <si>
    <t>CLAS. H</t>
  </si>
  <si>
    <t>CLAS.BE</t>
  </si>
  <si>
    <t>BONO FISCAL</t>
  </si>
  <si>
    <t>TOTAL BONO FISCAL</t>
  </si>
  <si>
    <t>CLAS.BF</t>
  </si>
  <si>
    <t>G.O</t>
  </si>
  <si>
    <t>TOTAL G.O.</t>
  </si>
  <si>
    <t>CLAS.G.O</t>
  </si>
  <si>
    <t>AGUINALDOS</t>
  </si>
  <si>
    <t>TOTAL AGUI</t>
  </si>
  <si>
    <t>CLAS AGU</t>
  </si>
  <si>
    <t>CAFAE</t>
  </si>
  <si>
    <t>TOTAL CAFAE</t>
  </si>
  <si>
    <t>CLAS. CAFAE</t>
  </si>
  <si>
    <t>ESSALUD 9%</t>
  </si>
  <si>
    <t>TOTAL ESSALUD 9%</t>
  </si>
  <si>
    <t>CLS ES 9%</t>
  </si>
  <si>
    <t>EPS 2.25%</t>
  </si>
  <si>
    <t>TOTAL EPS 2.25%</t>
  </si>
  <si>
    <t>CLS 2.25%</t>
  </si>
  <si>
    <t>FPENSI 6%</t>
  </si>
  <si>
    <t>TOTAL FONDP 6%</t>
  </si>
  <si>
    <t>CLS 6%</t>
  </si>
  <si>
    <t>1</t>
  </si>
  <si>
    <t>2.1. 3  1. 1  5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</si>
  <si>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</si>
  <si>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</si>
  <si>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</si>
  <si>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</si>
  <si>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</si>
  <si>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</si>
  <si>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</si>
  <si>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</si>
  <si>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</si>
  <si>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</si>
  <si>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</si>
  <si>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</si>
  <si>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</si>
  <si>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</si>
  <si>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</si>
  <si>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</si>
  <si>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</si>
  <si>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</si>
  <si>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</si>
  <si>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</si>
  <si>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</si>
  <si>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</si>
  <si>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</si>
  <si>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</si>
  <si>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</si>
  <si>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</si>
  <si>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</si>
  <si>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</si>
  <si>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</si>
  <si>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</si>
  <si>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</si>
  <si>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</si>
  <si>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</si>
  <si>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</si>
  <si>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</si>
  <si>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</si>
  <si>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</si>
  <si>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</si>
  <si>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</si>
  <si>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</si>
  <si>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</si>
  <si>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</si>
  <si>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</si>
  <si>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</si>
  <si>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</si>
  <si>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</si>
  <si>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</si>
  <si>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</si>
  <si>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</si>
  <si>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</si>
  <si>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</si>
  <si>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</si>
  <si>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</si>
  <si>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</si>
  <si>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</si>
  <si>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</si>
  <si>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</si>
  <si>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</si>
  <si>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</si>
  <si>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</si>
  <si>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</si>
  <si>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</si>
  <si>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</si>
  <si>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</si>
  <si>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</si>
  <si>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</si>
  <si>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</si>
  <si>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</si>
  <si>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</si>
  <si>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</si>
  <si>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</si>
  <si>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</si>
  <si>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</si>
  <si>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</si>
  <si>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</si>
  <si>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</si>
  <si>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</si>
  <si>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</si>
  <si>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</si>
  <si>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</si>
  <si>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</si>
  <si>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</si>
  <si>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</si>
  <si>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</si>
  <si>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</si>
  <si>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</si>
  <si>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</si>
  <si>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</si>
  <si>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</si>
  <si>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</si>
  <si>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</si>
  <si>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</si>
  <si>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</si>
  <si>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</si>
  <si>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</si>
  <si>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</si>
  <si>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</si>
  <si>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</si>
  <si>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</si>
  <si>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</si>
  <si>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</si>
  <si>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</si>
  <si>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</si>
  <si>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</si>
  <si>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</si>
  <si>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</si>
  <si>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</si>
  <si>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</si>
  <si>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</si>
  <si>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</si>
  <si>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</si>
  <si>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</si>
  <si>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</si>
  <si>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</si>
  <si>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</si>
  <si>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</si>
  <si>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</si>
  <si>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</si>
  <si>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</si>
  <si>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</si>
  <si>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</si>
  <si>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</si>
  <si>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</si>
  <si>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</si>
  <si>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</si>
  <si>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</si>
  <si>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</si>
  <si>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</si>
  <si>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</si>
  <si>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</si>
  <si>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</si>
  <si>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</si>
  <si>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</si>
  <si>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</si>
  <si>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</si>
  <si>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</si>
  <si>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</si>
  <si>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</si>
  <si>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</si>
  <si>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</si>
  <si>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</si>
  <si>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</si>
  <si>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</si>
  <si>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</si>
  <si>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</si>
  <si>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</si>
  <si>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</si>
  <si>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</si>
  <si>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</si>
  <si>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</si>
  <si>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</si>
  <si>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</si>
  <si>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</si>
  <si>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</si>
  <si>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</si>
  <si>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</si>
  <si>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</si>
  <si>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</si>
  <si>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</si>
  <si>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</si>
  <si>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</si>
  <si>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</si>
  <si>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</si>
  <si>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</si>
  <si>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</si>
  <si>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</si>
  <si>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</si>
  <si>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</si>
  <si>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</si>
  <si>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</si>
  <si>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</si>
  <si>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</si>
  <si>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</si>
  <si>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</si>
  <si>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</si>
  <si>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</si>
  <si>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</si>
  <si>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</si>
  <si>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</si>
  <si>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</si>
  <si>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</si>
  <si>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</si>
  <si>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</si>
  <si>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</si>
  <si>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</si>
  <si>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</si>
  <si>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</si>
  <si>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</si>
  <si>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</si>
  <si>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</si>
  <si>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</si>
  <si>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</si>
  <si>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</si>
  <si>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</si>
  <si>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</si>
  <si>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</si>
  <si>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</si>
  <si>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</si>
  <si>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</si>
  <si>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</si>
  <si>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</si>
  <si>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</si>
  <si>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</si>
  <si>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</si>
  <si>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</si>
  <si>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</si>
  <si>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</si>
  <si>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</si>
  <si>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</si>
  <si>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</si>
  <si>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</si>
  <si>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</si>
  <si>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</si>
  <si>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</si>
  <si>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</si>
  <si>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</si>
  <si>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</si>
  <si>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</si>
  <si>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</si>
  <si>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</si>
  <si>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</si>
  <si>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</si>
  <si>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</si>
  <si>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</si>
  <si>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</si>
  <si>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</si>
  <si>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</si>
  <si>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</si>
  <si>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</si>
  <si>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</si>
  <si>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</si>
  <si>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</si>
  <si>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</si>
  <si>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</si>
  <si>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</si>
  <si>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</si>
  <si>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</si>
  <si>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</si>
  <si>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</si>
  <si>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</si>
  <si>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</si>
  <si>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</si>
  <si>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</si>
  <si>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</si>
  <si>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</si>
  <si>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</si>
  <si>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</si>
  <si>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</si>
  <si>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</si>
  <si>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</si>
  <si>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</si>
  <si>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257</t>
  </si>
  <si>
    <t>258</t>
  </si>
  <si>
    <t>259</t>
  </si>
  <si>
    <t>260</t>
  </si>
  <si>
    <t>261</t>
  </si>
  <si>
    <t>60</t>
  </si>
  <si>
    <t>157</t>
  </si>
  <si>
    <t>EPS,C,150</t>
  </si>
  <si>
    <t>FISCAL ADJUNTO PROVINCIAL</t>
  </si>
  <si>
    <t>FISCAL SUPERIOR</t>
  </si>
  <si>
    <t>FISCAL ADJUNTO SUPERIOR</t>
  </si>
  <si>
    <t>FISCAL PROVINCIAL</t>
  </si>
  <si>
    <t>CARGO TITULAR</t>
  </si>
  <si>
    <t>CARGO PEA</t>
  </si>
  <si>
    <t>VACANTE</t>
  </si>
  <si>
    <t>TOTAL 25%</t>
  </si>
  <si>
    <t>CLAS.</t>
  </si>
  <si>
    <t>ESCOLARIDAD</t>
  </si>
  <si>
    <t>CLASIF</t>
  </si>
  <si>
    <t>2.1.1.9.1.3</t>
  </si>
  <si>
    <t>MESES PROYECCION</t>
  </si>
  <si>
    <t>N° GRATIFICACION</t>
  </si>
  <si>
    <t>CARGO COMP</t>
  </si>
  <si>
    <t>BENEF. EXTR</t>
  </si>
  <si>
    <t>TOTAL BEN. EX</t>
  </si>
  <si>
    <t>173</t>
  </si>
  <si>
    <t>25% RETARDO</t>
  </si>
  <si>
    <t>NIVEL</t>
  </si>
  <si>
    <t>262</t>
  </si>
  <si>
    <t>TOTAL</t>
  </si>
  <si>
    <t>FECHA DE INGRESO</t>
  </si>
  <si>
    <t>CARGO</t>
  </si>
  <si>
    <t>RES. 1028-2019-MP-FN-GG DE FECHA 11/10/2019</t>
  </si>
  <si>
    <t>PAP</t>
  </si>
  <si>
    <t>PEA</t>
  </si>
  <si>
    <t>VACANTES</t>
  </si>
  <si>
    <t>8URP</t>
  </si>
  <si>
    <t>7URP - AS</t>
  </si>
  <si>
    <t>7URP FP</t>
  </si>
  <si>
    <t>5URP FA</t>
  </si>
  <si>
    <t>FISCALES</t>
  </si>
  <si>
    <t>TECNICO EN ABOGACIA II</t>
  </si>
  <si>
    <t>F2</t>
  </si>
  <si>
    <t>TECNICO ADMINISTRATIVO I</t>
  </si>
  <si>
    <t>F1 - TECN ADM</t>
  </si>
  <si>
    <t>ADMINISTRATIVOS</t>
  </si>
  <si>
    <t>255</t>
  </si>
  <si>
    <t>TOTAL + ESSSALUD</t>
  </si>
  <si>
    <t>NO</t>
  </si>
  <si>
    <t>META</t>
  </si>
  <si>
    <t>TITULAR/PROV</t>
  </si>
</sst>
</file>

<file path=xl/styles.xml><?xml version="1.0" encoding="utf-8"?>
<styleSheet xmlns="http://schemas.openxmlformats.org/spreadsheetml/2006/main">
  <numFmts count="1">
    <numFmt numFmtId="164" formatCode="dd/mm/yy"/>
  </numFmts>
  <fonts count="23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rgb="FFFFC000"/>
      <name val="Arial"/>
      <family val="2"/>
    </font>
    <font>
      <sz val="10"/>
      <color rgb="FFFFC000"/>
      <name val="Arial"/>
      <family val="2"/>
    </font>
    <font>
      <b/>
      <sz val="11"/>
      <color rgb="FFFFC00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0"/>
      <color theme="0" tint="-0.249977111117893"/>
      <name val="Arial"/>
      <family val="2"/>
    </font>
    <font>
      <b/>
      <sz val="8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sz val="8"/>
      <color theme="0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Border="1" applyAlignment="1">
      <alignment horizontal="center" shrinkToFit="1"/>
    </xf>
    <xf numFmtId="0" fontId="1" fillId="3" borderId="6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4" fontId="1" fillId="3" borderId="2" xfId="0" applyNumberFormat="1" applyFont="1" applyFill="1" applyBorder="1" applyAlignment="1">
      <alignment horizontal="center" vertical="center" shrinkToFit="1"/>
    </xf>
    <xf numFmtId="0" fontId="1" fillId="3" borderId="3" xfId="0" applyFont="1" applyFill="1" applyBorder="1" applyAlignment="1">
      <alignment horizontal="center" vertical="center" shrinkToFit="1"/>
    </xf>
    <xf numFmtId="4" fontId="1" fillId="3" borderId="1" xfId="0" applyNumberFormat="1" applyFont="1" applyFill="1" applyBorder="1" applyAlignment="1">
      <alignment horizontal="center" vertical="center" shrinkToFit="1"/>
    </xf>
    <xf numFmtId="0" fontId="6" fillId="3" borderId="7" xfId="0" applyFont="1" applyFill="1" applyBorder="1" applyAlignment="1">
      <alignment shrinkToFit="1"/>
    </xf>
    <xf numFmtId="0" fontId="1" fillId="3" borderId="2" xfId="0" applyFont="1" applyFill="1" applyBorder="1" applyAlignment="1">
      <alignment horizontal="center" vertical="center" shrinkToFit="1"/>
    </xf>
    <xf numFmtId="0" fontId="1" fillId="3" borderId="0" xfId="0" applyFont="1" applyFill="1" applyBorder="1" applyAlignment="1">
      <alignment horizontal="center" vertical="center" shrinkToFit="1"/>
    </xf>
    <xf numFmtId="0" fontId="8" fillId="2" borderId="0" xfId="0" applyFont="1" applyFill="1" applyBorder="1" applyAlignment="1">
      <alignment horizontal="center" vertical="center" shrinkToFit="1"/>
    </xf>
    <xf numFmtId="0" fontId="7" fillId="2" borderId="0" xfId="0" applyFont="1" applyFill="1" applyBorder="1" applyAlignment="1">
      <alignment horizontal="center" vertical="center" shrinkToFit="1"/>
    </xf>
    <xf numFmtId="1" fontId="7" fillId="0" borderId="9" xfId="0" applyNumberFormat="1" applyFont="1" applyBorder="1"/>
    <xf numFmtId="0" fontId="7" fillId="2" borderId="0" xfId="0" applyFont="1" applyFill="1" applyBorder="1" applyAlignment="1">
      <alignment shrinkToFit="1"/>
    </xf>
    <xf numFmtId="0" fontId="7" fillId="2" borderId="0" xfId="0" applyFont="1" applyFill="1" applyBorder="1" applyAlignment="1">
      <alignment horizontal="right" vertical="center" shrinkToFit="1"/>
    </xf>
    <xf numFmtId="0" fontId="8" fillId="6" borderId="9" xfId="0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/>
    </xf>
    <xf numFmtId="0" fontId="0" fillId="0" borderId="0" xfId="0" applyAlignment="1">
      <alignment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0" borderId="0" xfId="0" applyFont="1" applyFill="1"/>
    <xf numFmtId="0" fontId="4" fillId="0" borderId="0" xfId="0" applyFont="1" applyFill="1" applyBorder="1" applyAlignment="1">
      <alignment horizontal="left" vertical="center"/>
    </xf>
    <xf numFmtId="164" fontId="4" fillId="0" borderId="0" xfId="0" applyNumberFormat="1" applyFont="1" applyFill="1"/>
    <xf numFmtId="0" fontId="4" fillId="0" borderId="0" xfId="0" applyFont="1" applyFill="1" applyBorder="1" applyAlignment="1">
      <alignment horizontal="left" vertical="center" shrinkToFit="1"/>
    </xf>
    <xf numFmtId="4" fontId="2" fillId="0" borderId="0" xfId="0" applyNumberFormat="1" applyFont="1" applyFill="1" applyBorder="1" applyAlignment="1">
      <alignment horizontal="right" vertical="center" shrinkToFit="1"/>
    </xf>
    <xf numFmtId="0" fontId="4" fillId="0" borderId="0" xfId="0" applyFont="1" applyFill="1" applyBorder="1" applyAlignment="1">
      <alignment horizontal="right" vertical="center" shrinkToFit="1"/>
    </xf>
    <xf numFmtId="4" fontId="4" fillId="0" borderId="0" xfId="0" applyNumberFormat="1" applyFont="1" applyFill="1"/>
    <xf numFmtId="0" fontId="3" fillId="0" borderId="0" xfId="0" applyFont="1" applyFill="1"/>
    <xf numFmtId="164" fontId="4" fillId="0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left" vertical="center" shrinkToFit="1"/>
    </xf>
    <xf numFmtId="4" fontId="2" fillId="0" borderId="4" xfId="0" applyNumberFormat="1" applyFont="1" applyFill="1" applyBorder="1" applyAlignment="1">
      <alignment horizontal="right" vertical="center" shrinkToFit="1"/>
    </xf>
    <xf numFmtId="0" fontId="3" fillId="0" borderId="5" xfId="0" applyFont="1" applyFill="1" applyBorder="1" applyAlignment="1">
      <alignment horizontal="right" vertical="center" shrinkToFit="1"/>
    </xf>
    <xf numFmtId="0" fontId="10" fillId="0" borderId="8" xfId="0" quotePrefix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164" fontId="7" fillId="0" borderId="0" xfId="0" applyNumberFormat="1" applyFont="1" applyFill="1"/>
    <xf numFmtId="0" fontId="7" fillId="0" borderId="0" xfId="0" applyFont="1" applyFill="1"/>
    <xf numFmtId="0" fontId="7" fillId="0" borderId="0" xfId="0" applyFont="1" applyFill="1" applyBorder="1" applyAlignment="1">
      <alignment horizontal="left" vertical="center" shrinkToFit="1"/>
    </xf>
    <xf numFmtId="4" fontId="10" fillId="0" borderId="12" xfId="0" applyNumberFormat="1" applyFont="1" applyFill="1" applyBorder="1" applyAlignment="1">
      <alignment horizontal="right" vertical="center" shrinkToFit="1"/>
    </xf>
    <xf numFmtId="4" fontId="10" fillId="0" borderId="0" xfId="0" applyNumberFormat="1" applyFont="1" applyFill="1" applyBorder="1" applyAlignment="1">
      <alignment horizontal="right" vertical="center" shrinkToFit="1"/>
    </xf>
    <xf numFmtId="0" fontId="7" fillId="0" borderId="5" xfId="0" applyFont="1" applyFill="1" applyBorder="1" applyAlignment="1">
      <alignment horizontal="right" vertical="center" shrinkToFit="1"/>
    </xf>
    <xf numFmtId="4" fontId="7" fillId="0" borderId="4" xfId="0" applyNumberFormat="1" applyFont="1" applyFill="1" applyBorder="1" applyAlignment="1">
      <alignment horizontal="right" vertical="center" shrinkToFit="1"/>
    </xf>
    <xf numFmtId="4" fontId="10" fillId="0" borderId="4" xfId="0" applyNumberFormat="1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right" vertical="center" shrinkToFit="1"/>
    </xf>
    <xf numFmtId="4" fontId="7" fillId="0" borderId="0" xfId="0" applyNumberFormat="1" applyFont="1" applyFill="1"/>
    <xf numFmtId="164" fontId="7" fillId="0" borderId="0" xfId="0" applyNumberFormat="1" applyFont="1" applyFill="1" applyBorder="1"/>
    <xf numFmtId="164" fontId="7" fillId="0" borderId="0" xfId="0" applyNumberFormat="1" applyFont="1" applyFill="1" applyAlignment="1">
      <alignment horizontal="center"/>
    </xf>
    <xf numFmtId="0" fontId="10" fillId="0" borderId="0" xfId="0" applyFont="1" applyFill="1" applyBorder="1" applyAlignment="1">
      <alignment horizontal="left" vertical="center" shrinkToFit="1"/>
    </xf>
    <xf numFmtId="0" fontId="2" fillId="0" borderId="8" xfId="0" quotePrefix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shrinkToFit="1"/>
    </xf>
    <xf numFmtId="164" fontId="3" fillId="0" borderId="0" xfId="0" applyNumberFormat="1" applyFont="1" applyFill="1" applyAlignment="1">
      <alignment horizontal="center"/>
    </xf>
    <xf numFmtId="0" fontId="3" fillId="0" borderId="0" xfId="0" applyFont="1" applyFill="1" applyBorder="1"/>
    <xf numFmtId="4" fontId="2" fillId="0" borderId="12" xfId="0" applyNumberFormat="1" applyFont="1" applyFill="1" applyBorder="1" applyAlignment="1">
      <alignment horizontal="right" vertical="center" shrinkToFit="1"/>
    </xf>
    <xf numFmtId="4" fontId="3" fillId="0" borderId="4" xfId="0" applyNumberFormat="1" applyFont="1" applyFill="1" applyBorder="1" applyAlignment="1">
      <alignment horizontal="right" vertical="center" shrinkToFit="1"/>
    </xf>
    <xf numFmtId="0" fontId="3" fillId="0" borderId="0" xfId="0" applyFont="1" applyFill="1" applyBorder="1" applyAlignment="1">
      <alignment horizontal="right" vertical="center" shrinkToFit="1"/>
    </xf>
    <xf numFmtId="4" fontId="3" fillId="0" borderId="4" xfId="0" applyNumberFormat="1" applyFont="1" applyFill="1" applyBorder="1"/>
    <xf numFmtId="4" fontId="3" fillId="0" borderId="0" xfId="0" applyNumberFormat="1" applyFont="1" applyFill="1"/>
    <xf numFmtId="164" fontId="3" fillId="0" borderId="0" xfId="0" applyNumberFormat="1" applyFont="1" applyFill="1" applyBorder="1"/>
    <xf numFmtId="0" fontId="2" fillId="0" borderId="0" xfId="0" applyFont="1" applyFill="1" applyBorder="1" applyAlignment="1">
      <alignment horizontal="left" vertical="center" shrinkToFit="1"/>
    </xf>
    <xf numFmtId="164" fontId="3" fillId="0" borderId="0" xfId="0" applyNumberFormat="1" applyFont="1" applyFill="1"/>
    <xf numFmtId="4" fontId="2" fillId="0" borderId="4" xfId="0" applyNumberFormat="1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2" fillId="0" borderId="0" xfId="0" applyFont="1" applyFill="1"/>
    <xf numFmtId="0" fontId="5" fillId="0" borderId="0" xfId="0" quotePrefix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/>
    </xf>
    <xf numFmtId="0" fontId="7" fillId="2" borderId="9" xfId="0" applyFont="1" applyFill="1" applyBorder="1" applyAlignment="1">
      <alignment horizontal="center" shrinkToFit="1"/>
    </xf>
    <xf numFmtId="0" fontId="3" fillId="0" borderId="0" xfId="0" quotePrefix="1" applyFont="1" applyFill="1" applyAlignment="1">
      <alignment horizontal="center"/>
    </xf>
    <xf numFmtId="0" fontId="7" fillId="0" borderId="0" xfId="0" quotePrefix="1" applyFont="1" applyFill="1" applyBorder="1" applyAlignment="1">
      <alignment horizontal="center" vertical="center" shrinkToFit="1"/>
    </xf>
    <xf numFmtId="0" fontId="7" fillId="0" borderId="0" xfId="0" quotePrefix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1" fillId="4" borderId="10" xfId="0" applyFont="1" applyFill="1" applyBorder="1" applyAlignment="1">
      <alignment vertical="center" shrinkToFit="1"/>
    </xf>
    <xf numFmtId="0" fontId="0" fillId="0" borderId="10" xfId="0" applyBorder="1" applyAlignment="1">
      <alignment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0" borderId="9" xfId="0" applyFont="1" applyFill="1" applyBorder="1" applyAlignment="1">
      <alignment horizontal="center" vertical="center" shrinkToFit="1"/>
    </xf>
    <xf numFmtId="0" fontId="13" fillId="0" borderId="9" xfId="0" applyFont="1" applyFill="1" applyBorder="1" applyAlignment="1">
      <alignment horizontal="center" vertical="center" shrinkToFit="1"/>
    </xf>
    <xf numFmtId="0" fontId="0" fillId="7" borderId="9" xfId="0" applyFill="1" applyBorder="1" applyAlignment="1">
      <alignment horizontal="center" vertical="center" shrinkToFit="1"/>
    </xf>
    <xf numFmtId="0" fontId="8" fillId="5" borderId="0" xfId="0" applyFont="1" applyFill="1" applyBorder="1" applyAlignment="1">
      <alignment horizontal="center" vertical="center" shrinkToFit="1"/>
    </xf>
    <xf numFmtId="0" fontId="7" fillId="5" borderId="0" xfId="0" applyFont="1" applyFill="1"/>
    <xf numFmtId="0" fontId="7" fillId="6" borderId="9" xfId="0" applyFont="1" applyFill="1" applyBorder="1" applyAlignment="1">
      <alignment shrinkToFit="1"/>
    </xf>
    <xf numFmtId="0" fontId="10" fillId="6" borderId="9" xfId="0" applyFont="1" applyFill="1" applyBorder="1" applyAlignment="1">
      <alignment horizontal="left" vertical="center"/>
    </xf>
    <xf numFmtId="4" fontId="3" fillId="6" borderId="0" xfId="0" applyNumberFormat="1" applyFont="1" applyFill="1"/>
    <xf numFmtId="0" fontId="7" fillId="8" borderId="0" xfId="0" applyFont="1" applyFill="1" applyBorder="1" applyAlignment="1">
      <alignment shrinkToFit="1"/>
    </xf>
    <xf numFmtId="0" fontId="3" fillId="8" borderId="0" xfId="0" applyFont="1" applyFill="1" applyBorder="1" applyAlignment="1">
      <alignment horizontal="center" shrinkToFit="1"/>
    </xf>
    <xf numFmtId="4" fontId="3" fillId="8" borderId="0" xfId="0" applyNumberFormat="1" applyFont="1" applyFill="1"/>
    <xf numFmtId="0" fontId="3" fillId="8" borderId="0" xfId="0" applyFont="1" applyFill="1"/>
    <xf numFmtId="4" fontId="7" fillId="6" borderId="0" xfId="0" applyNumberFormat="1" applyFont="1" applyFill="1"/>
    <xf numFmtId="4" fontId="7" fillId="8" borderId="0" xfId="0" applyNumberFormat="1" applyFont="1" applyFill="1"/>
    <xf numFmtId="0" fontId="14" fillId="6" borderId="11" xfId="0" applyFont="1" applyFill="1" applyBorder="1" applyAlignment="1">
      <alignment horizontal="center" vertical="center" shrinkToFit="1"/>
    </xf>
    <xf numFmtId="4" fontId="1" fillId="2" borderId="0" xfId="0" applyNumberFormat="1" applyFont="1" applyFill="1" applyBorder="1" applyAlignment="1">
      <alignment horizontal="right" vertical="center" shrinkToFit="1"/>
    </xf>
    <xf numFmtId="0" fontId="6" fillId="2" borderId="0" xfId="0" applyFont="1" applyFill="1" applyBorder="1" applyAlignment="1">
      <alignment horizontal="right" vertical="center" shrinkToFit="1"/>
    </xf>
    <xf numFmtId="9" fontId="6" fillId="2" borderId="0" xfId="0" applyNumberFormat="1" applyFont="1" applyFill="1" applyBorder="1" applyAlignment="1">
      <alignment horizontal="right" vertical="center" shrinkToFit="1"/>
    </xf>
    <xf numFmtId="10" fontId="1" fillId="2" borderId="0" xfId="0" applyNumberFormat="1" applyFont="1" applyFill="1" applyBorder="1" applyAlignment="1">
      <alignment horizontal="right" vertical="center" shrinkToFit="1"/>
    </xf>
    <xf numFmtId="4" fontId="6" fillId="2" borderId="0" xfId="0" applyNumberFormat="1" applyFont="1" applyFill="1" applyBorder="1" applyAlignment="1">
      <alignment horizontal="right" vertical="center" shrinkToFit="1"/>
    </xf>
    <xf numFmtId="4" fontId="1" fillId="3" borderId="12" xfId="0" applyNumberFormat="1" applyFont="1" applyFill="1" applyBorder="1" applyAlignment="1">
      <alignment horizontal="center" vertical="center" shrinkToFit="1"/>
    </xf>
    <xf numFmtId="4" fontId="1" fillId="0" borderId="12" xfId="0" applyNumberFormat="1" applyFont="1" applyFill="1" applyBorder="1" applyAlignment="1">
      <alignment horizontal="right" vertical="center" shrinkToFit="1"/>
    </xf>
    <xf numFmtId="4" fontId="1" fillId="0" borderId="0" xfId="0" applyNumberFormat="1" applyFont="1" applyFill="1" applyBorder="1" applyAlignment="1">
      <alignment horizontal="right" vertical="center" shrinkToFit="1"/>
    </xf>
    <xf numFmtId="0" fontId="6" fillId="0" borderId="5" xfId="0" applyFont="1" applyFill="1" applyBorder="1" applyAlignment="1">
      <alignment horizontal="right" vertical="center" shrinkToFit="1"/>
    </xf>
    <xf numFmtId="4" fontId="6" fillId="0" borderId="4" xfId="0" applyNumberFormat="1" applyFont="1" applyFill="1" applyBorder="1" applyAlignment="1">
      <alignment horizontal="right" vertical="center" shrinkToFit="1"/>
    </xf>
    <xf numFmtId="4" fontId="1" fillId="0" borderId="4" xfId="0" applyNumberFormat="1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right" vertical="center" shrinkToFit="1"/>
    </xf>
    <xf numFmtId="0" fontId="6" fillId="0" borderId="0" xfId="0" applyFont="1" applyFill="1"/>
    <xf numFmtId="4" fontId="6" fillId="0" borderId="0" xfId="0" applyNumberFormat="1" applyFont="1" applyFill="1"/>
    <xf numFmtId="4" fontId="3" fillId="0" borderId="0" xfId="0" applyNumberFormat="1" applyFont="1" applyFill="1" applyBorder="1" applyAlignment="1">
      <alignment horizontal="right" vertical="center" shrinkToFit="1"/>
    </xf>
    <xf numFmtId="0" fontId="2" fillId="0" borderId="12" xfId="0" applyFont="1" applyFill="1" applyBorder="1"/>
    <xf numFmtId="0" fontId="2" fillId="2" borderId="12" xfId="0" applyFont="1" applyFill="1" applyBorder="1"/>
    <xf numFmtId="4" fontId="15" fillId="2" borderId="0" xfId="0" applyNumberFormat="1" applyFont="1" applyFill="1" applyBorder="1" applyAlignment="1">
      <alignment horizontal="right" vertical="center" shrinkToFit="1"/>
    </xf>
    <xf numFmtId="4" fontId="15" fillId="3" borderId="2" xfId="0" applyNumberFormat="1" applyFont="1" applyFill="1" applyBorder="1" applyAlignment="1">
      <alignment horizontal="center" vertical="center" shrinkToFit="1"/>
    </xf>
    <xf numFmtId="4" fontId="16" fillId="0" borderId="0" xfId="0" applyNumberFormat="1" applyFont="1" applyFill="1" applyBorder="1" applyAlignment="1">
      <alignment horizontal="right" vertical="center" shrinkToFit="1"/>
    </xf>
    <xf numFmtId="4" fontId="15" fillId="0" borderId="0" xfId="0" applyNumberFormat="1" applyFont="1" applyFill="1" applyBorder="1" applyAlignment="1">
      <alignment horizontal="right" vertical="center" shrinkToFit="1"/>
    </xf>
    <xf numFmtId="0" fontId="16" fillId="0" borderId="0" xfId="0" applyFont="1" applyFill="1"/>
    <xf numFmtId="0" fontId="16" fillId="2" borderId="0" xfId="0" applyFont="1" applyFill="1"/>
    <xf numFmtId="3" fontId="15" fillId="2" borderId="0" xfId="0" applyNumberFormat="1" applyFont="1" applyFill="1" applyBorder="1" applyAlignment="1">
      <alignment horizontal="right" vertical="center" shrinkToFit="1"/>
    </xf>
    <xf numFmtId="10" fontId="17" fillId="2" borderId="0" xfId="0" applyNumberFormat="1" applyFont="1" applyFill="1" applyBorder="1" applyAlignment="1">
      <alignment horizontal="right" vertical="center" shrinkToFit="1"/>
    </xf>
    <xf numFmtId="4" fontId="17" fillId="2" borderId="0" xfId="0" applyNumberFormat="1" applyFont="1" applyFill="1" applyBorder="1" applyAlignment="1">
      <alignment horizontal="right" vertical="center" shrinkToFit="1"/>
    </xf>
    <xf numFmtId="4" fontId="16" fillId="0" borderId="0" xfId="0" applyNumberFormat="1" applyFont="1" applyFill="1"/>
    <xf numFmtId="4" fontId="3" fillId="8" borderId="9" xfId="0" applyNumberFormat="1" applyFont="1" applyFill="1" applyBorder="1"/>
    <xf numFmtId="0" fontId="12" fillId="0" borderId="0" xfId="0" applyFont="1" applyAlignment="1">
      <alignment horizontal="center" shrinkToFit="1"/>
    </xf>
    <xf numFmtId="0" fontId="1" fillId="4" borderId="0" xfId="0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164" fontId="3" fillId="0" borderId="0" xfId="0" applyNumberFormat="1" applyFont="1" applyFill="1" applyBorder="1" applyAlignment="1">
      <alignment horizontal="center"/>
    </xf>
    <xf numFmtId="0" fontId="18" fillId="2" borderId="9" xfId="0" applyFont="1" applyFill="1" applyBorder="1"/>
    <xf numFmtId="0" fontId="18" fillId="2" borderId="10" xfId="0" applyFont="1" applyFill="1" applyBorder="1" applyAlignment="1">
      <alignment shrinkToFit="1"/>
    </xf>
    <xf numFmtId="0" fontId="19" fillId="3" borderId="0" xfId="0" applyFont="1" applyFill="1" applyBorder="1" applyAlignment="1">
      <alignment horizontal="center" vertical="center" shrinkToFit="1"/>
    </xf>
    <xf numFmtId="0" fontId="20" fillId="3" borderId="0" xfId="0" applyFont="1" applyFill="1" applyBorder="1" applyAlignment="1">
      <alignment horizontal="center" vertical="center" shrinkToFit="1"/>
    </xf>
    <xf numFmtId="4" fontId="21" fillId="0" borderId="0" xfId="0" applyNumberFormat="1" applyFont="1" applyFill="1" applyBorder="1" applyAlignment="1">
      <alignment horizontal="right" vertical="center" shrinkToFit="1"/>
    </xf>
    <xf numFmtId="0" fontId="22" fillId="0" borderId="0" xfId="0" applyFont="1" applyFill="1" applyBorder="1" applyAlignment="1">
      <alignment horizontal="center" vertical="center" shrinkToFit="1"/>
    </xf>
    <xf numFmtId="0" fontId="21" fillId="0" borderId="0" xfId="0" applyFont="1" applyFill="1" applyBorder="1" applyAlignment="1">
      <alignment horizontal="right" vertical="center" shrinkToFit="1"/>
    </xf>
    <xf numFmtId="0" fontId="21" fillId="0" borderId="0" xfId="0" applyFont="1" applyFill="1" applyBorder="1" applyAlignment="1">
      <alignment horizontal="right" vertical="center"/>
    </xf>
    <xf numFmtId="0" fontId="19" fillId="0" borderId="0" xfId="0" applyFont="1" applyFill="1" applyBorder="1" applyAlignment="1">
      <alignment horizontal="right" vertical="center" shrinkToFit="1"/>
    </xf>
    <xf numFmtId="0" fontId="20" fillId="0" borderId="0" xfId="0" applyFont="1" applyFill="1" applyBorder="1" applyAlignment="1">
      <alignment horizontal="center" vertical="center" shrinkToFit="1"/>
    </xf>
    <xf numFmtId="0" fontId="21" fillId="0" borderId="0" xfId="0" applyFont="1" applyFill="1"/>
    <xf numFmtId="0" fontId="22" fillId="0" borderId="0" xfId="0" applyFont="1" applyFill="1" applyAlignment="1">
      <alignment horizontal="center"/>
    </xf>
    <xf numFmtId="0" fontId="21" fillId="2" borderId="0" xfId="0" applyFont="1" applyFill="1"/>
    <xf numFmtId="0" fontId="22" fillId="2" borderId="0" xfId="0" applyFont="1" applyFill="1" applyAlignment="1">
      <alignment horizontal="center"/>
    </xf>
    <xf numFmtId="0" fontId="1" fillId="4" borderId="9" xfId="0" applyFont="1" applyFill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center" vertical="center" shrinkToFit="1"/>
    </xf>
    <xf numFmtId="0" fontId="0" fillId="0" borderId="9" xfId="0" applyBorder="1" applyAlignment="1">
      <alignment horizontal="left" vertical="center" shrinkToFit="1"/>
    </xf>
    <xf numFmtId="0" fontId="1" fillId="4" borderId="13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shrinkToFit="1"/>
    </xf>
    <xf numFmtId="0" fontId="11" fillId="4" borderId="9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82"/>
  <sheetViews>
    <sheetView tabSelected="1" topLeftCell="Z1" workbookViewId="0">
      <pane ySplit="2" topLeftCell="A3" activePane="bottomLeft" state="frozen"/>
      <selection pane="bottomLeft" activeCell="AL3" sqref="AL3"/>
    </sheetView>
  </sheetViews>
  <sheetFormatPr baseColWidth="10" defaultRowHeight="15"/>
  <cols>
    <col min="1" max="1" width="4.42578125" style="2" bestFit="1" customWidth="1"/>
    <col min="2" max="2" width="13.85546875" style="2" customWidth="1"/>
    <col min="3" max="3" width="11.42578125" style="2"/>
    <col min="4" max="4" width="30.7109375" style="2" customWidth="1"/>
    <col min="5" max="5" width="17.42578125" style="18" customWidth="1"/>
    <col min="6" max="7" width="18.140625" style="2" customWidth="1"/>
    <col min="8" max="8" width="33.5703125" style="2" customWidth="1"/>
    <col min="9" max="9" width="11.42578125" style="18"/>
    <col min="10" max="10" width="11.42578125" style="2"/>
    <col min="11" max="11" width="28.140625" style="2" customWidth="1"/>
    <col min="12" max="12" width="7.28515625" style="2" customWidth="1"/>
    <col min="13" max="13" width="11.5703125" style="138" customWidth="1"/>
    <col min="14" max="14" width="9" style="139" customWidth="1"/>
    <col min="15" max="15" width="11.42578125" style="110"/>
    <col min="16" max="16" width="14.5703125" style="116" customWidth="1"/>
    <col min="17" max="21" width="11.42578125" style="1"/>
    <col min="22" max="22" width="16" style="116" customWidth="1"/>
    <col min="23" max="23" width="11.42578125" style="1"/>
    <col min="24" max="24" width="12.42578125" style="1" customWidth="1"/>
    <col min="25" max="25" width="14" style="116" customWidth="1"/>
    <col min="26" max="30" width="11.42578125" style="1"/>
    <col min="31" max="31" width="11.42578125" style="116"/>
    <col min="32" max="38" width="11.42578125" style="1"/>
    <col min="39" max="39" width="11.42578125" style="116"/>
    <col min="40" max="41" width="11.42578125" style="1"/>
    <col min="42" max="42" width="11.42578125" style="116"/>
    <col min="43" max="47" width="11.42578125" style="1"/>
    <col min="48" max="48" width="15.140625" style="2" customWidth="1"/>
    <col min="49" max="49" width="19.42578125" style="90" customWidth="1"/>
    <col min="50" max="50" width="15.140625" style="2" customWidth="1"/>
    <col min="51" max="189" width="11.42578125" style="2"/>
    <col min="190" max="190" width="4.42578125" style="2" bestFit="1" customWidth="1"/>
    <col min="191" max="192" width="11.42578125" style="2"/>
    <col min="193" max="193" width="38.5703125" style="2" customWidth="1"/>
    <col min="194" max="195" width="11.42578125" style="2"/>
    <col min="196" max="196" width="11.5703125" style="2" customWidth="1"/>
    <col min="197" max="197" width="9" style="2" customWidth="1"/>
    <col min="198" max="206" width="11.42578125" style="2"/>
    <col min="207" max="207" width="12.42578125" style="2" customWidth="1"/>
    <col min="208" max="238" width="11.42578125" style="2"/>
    <col min="239" max="239" width="54" style="2" customWidth="1"/>
    <col min="240" max="240" width="5.5703125" style="2" customWidth="1"/>
    <col min="241" max="241" width="9.5703125" style="2" customWidth="1"/>
    <col min="242" max="242" width="35.140625" style="2" customWidth="1"/>
    <col min="243" max="243" width="28.42578125" style="2" customWidth="1"/>
    <col min="244" max="244" width="35.5703125" style="2" customWidth="1"/>
    <col min="245" max="245" width="9.85546875" style="2" customWidth="1"/>
    <col min="246" max="246" width="8.140625" style="2" customWidth="1"/>
    <col min="247" max="445" width="11.42578125" style="2"/>
    <col min="446" max="446" width="4.42578125" style="2" bestFit="1" customWidth="1"/>
    <col min="447" max="448" width="11.42578125" style="2"/>
    <col min="449" max="449" width="38.5703125" style="2" customWidth="1"/>
    <col min="450" max="451" width="11.42578125" style="2"/>
    <col min="452" max="452" width="11.5703125" style="2" customWidth="1"/>
    <col min="453" max="453" width="9" style="2" customWidth="1"/>
    <col min="454" max="462" width="11.42578125" style="2"/>
    <col min="463" max="463" width="12.42578125" style="2" customWidth="1"/>
    <col min="464" max="494" width="11.42578125" style="2"/>
    <col min="495" max="495" width="54" style="2" customWidth="1"/>
    <col min="496" max="496" width="5.5703125" style="2" customWidth="1"/>
    <col min="497" max="497" width="9.5703125" style="2" customWidth="1"/>
    <col min="498" max="498" width="35.140625" style="2" customWidth="1"/>
    <col min="499" max="499" width="28.42578125" style="2" customWidth="1"/>
    <col min="500" max="500" width="35.5703125" style="2" customWidth="1"/>
    <col min="501" max="501" width="9.85546875" style="2" customWidth="1"/>
    <col min="502" max="502" width="8.140625" style="2" customWidth="1"/>
    <col min="503" max="701" width="11.42578125" style="2"/>
    <col min="702" max="702" width="4.42578125" style="2" bestFit="1" customWidth="1"/>
    <col min="703" max="704" width="11.42578125" style="2"/>
    <col min="705" max="705" width="38.5703125" style="2" customWidth="1"/>
    <col min="706" max="707" width="11.42578125" style="2"/>
    <col min="708" max="708" width="11.5703125" style="2" customWidth="1"/>
    <col min="709" max="709" width="9" style="2" customWidth="1"/>
    <col min="710" max="718" width="11.42578125" style="2"/>
    <col min="719" max="719" width="12.42578125" style="2" customWidth="1"/>
    <col min="720" max="750" width="11.42578125" style="2"/>
    <col min="751" max="751" width="54" style="2" customWidth="1"/>
    <col min="752" max="752" width="5.5703125" style="2" customWidth="1"/>
    <col min="753" max="753" width="9.5703125" style="2" customWidth="1"/>
    <col min="754" max="754" width="35.140625" style="2" customWidth="1"/>
    <col min="755" max="755" width="28.42578125" style="2" customWidth="1"/>
    <col min="756" max="756" width="35.5703125" style="2" customWidth="1"/>
    <col min="757" max="757" width="9.85546875" style="2" customWidth="1"/>
    <col min="758" max="758" width="8.140625" style="2" customWidth="1"/>
    <col min="759" max="957" width="11.42578125" style="2"/>
    <col min="958" max="958" width="4.42578125" style="2" bestFit="1" customWidth="1"/>
    <col min="959" max="960" width="11.42578125" style="2"/>
    <col min="961" max="961" width="38.5703125" style="2" customWidth="1"/>
    <col min="962" max="963" width="11.42578125" style="2"/>
    <col min="964" max="964" width="11.5703125" style="2" customWidth="1"/>
    <col min="965" max="965" width="9" style="2" customWidth="1"/>
    <col min="966" max="974" width="11.42578125" style="2"/>
    <col min="975" max="975" width="12.42578125" style="2" customWidth="1"/>
    <col min="976" max="1006" width="11.42578125" style="2"/>
    <col min="1007" max="1007" width="54" style="2" customWidth="1"/>
    <col min="1008" max="1008" width="5.5703125" style="2" customWidth="1"/>
    <col min="1009" max="1009" width="9.5703125" style="2" customWidth="1"/>
    <col min="1010" max="1010" width="35.140625" style="2" customWidth="1"/>
    <col min="1011" max="1011" width="28.42578125" style="2" customWidth="1"/>
    <col min="1012" max="1012" width="35.5703125" style="2" customWidth="1"/>
    <col min="1013" max="1013" width="9.85546875" style="2" customWidth="1"/>
    <col min="1014" max="1014" width="8.140625" style="2" customWidth="1"/>
    <col min="1015" max="1213" width="11.42578125" style="2"/>
    <col min="1214" max="1214" width="4.42578125" style="2" bestFit="1" customWidth="1"/>
    <col min="1215" max="1216" width="11.42578125" style="2"/>
    <col min="1217" max="1217" width="38.5703125" style="2" customWidth="1"/>
    <col min="1218" max="1219" width="11.42578125" style="2"/>
    <col min="1220" max="1220" width="11.5703125" style="2" customWidth="1"/>
    <col min="1221" max="1221" width="9" style="2" customWidth="1"/>
    <col min="1222" max="1230" width="11.42578125" style="2"/>
    <col min="1231" max="1231" width="12.42578125" style="2" customWidth="1"/>
    <col min="1232" max="1262" width="11.42578125" style="2"/>
    <col min="1263" max="1263" width="54" style="2" customWidth="1"/>
    <col min="1264" max="1264" width="5.5703125" style="2" customWidth="1"/>
    <col min="1265" max="1265" width="9.5703125" style="2" customWidth="1"/>
    <col min="1266" max="1266" width="35.140625" style="2" customWidth="1"/>
    <col min="1267" max="1267" width="28.42578125" style="2" customWidth="1"/>
    <col min="1268" max="1268" width="35.5703125" style="2" customWidth="1"/>
    <col min="1269" max="1269" width="9.85546875" style="2" customWidth="1"/>
    <col min="1270" max="1270" width="8.140625" style="2" customWidth="1"/>
    <col min="1271" max="1469" width="11.42578125" style="2"/>
    <col min="1470" max="1470" width="4.42578125" style="2" bestFit="1" customWidth="1"/>
    <col min="1471" max="1472" width="11.42578125" style="2"/>
    <col min="1473" max="1473" width="38.5703125" style="2" customWidth="1"/>
    <col min="1474" max="1475" width="11.42578125" style="2"/>
    <col min="1476" max="1476" width="11.5703125" style="2" customWidth="1"/>
    <col min="1477" max="1477" width="9" style="2" customWidth="1"/>
    <col min="1478" max="1486" width="11.42578125" style="2"/>
    <col min="1487" max="1487" width="12.42578125" style="2" customWidth="1"/>
    <col min="1488" max="1518" width="11.42578125" style="2"/>
    <col min="1519" max="1519" width="54" style="2" customWidth="1"/>
    <col min="1520" max="1520" width="5.5703125" style="2" customWidth="1"/>
    <col min="1521" max="1521" width="9.5703125" style="2" customWidth="1"/>
    <col min="1522" max="1522" width="35.140625" style="2" customWidth="1"/>
    <col min="1523" max="1523" width="28.42578125" style="2" customWidth="1"/>
    <col min="1524" max="1524" width="35.5703125" style="2" customWidth="1"/>
    <col min="1525" max="1525" width="9.85546875" style="2" customWidth="1"/>
    <col min="1526" max="1526" width="8.140625" style="2" customWidth="1"/>
    <col min="1527" max="1725" width="11.42578125" style="2"/>
    <col min="1726" max="1726" width="4.42578125" style="2" bestFit="1" customWidth="1"/>
    <col min="1727" max="1728" width="11.42578125" style="2"/>
    <col min="1729" max="1729" width="38.5703125" style="2" customWidth="1"/>
    <col min="1730" max="1731" width="11.42578125" style="2"/>
    <col min="1732" max="1732" width="11.5703125" style="2" customWidth="1"/>
    <col min="1733" max="1733" width="9" style="2" customWidth="1"/>
    <col min="1734" max="1742" width="11.42578125" style="2"/>
    <col min="1743" max="1743" width="12.42578125" style="2" customWidth="1"/>
    <col min="1744" max="1774" width="11.42578125" style="2"/>
    <col min="1775" max="1775" width="54" style="2" customWidth="1"/>
    <col min="1776" max="1776" width="5.5703125" style="2" customWidth="1"/>
    <col min="1777" max="1777" width="9.5703125" style="2" customWidth="1"/>
    <col min="1778" max="1778" width="35.140625" style="2" customWidth="1"/>
    <col min="1779" max="1779" width="28.42578125" style="2" customWidth="1"/>
    <col min="1780" max="1780" width="35.5703125" style="2" customWidth="1"/>
    <col min="1781" max="1781" width="9.85546875" style="2" customWidth="1"/>
    <col min="1782" max="1782" width="8.140625" style="2" customWidth="1"/>
    <col min="1783" max="1981" width="11.42578125" style="2"/>
    <col min="1982" max="1982" width="4.42578125" style="2" bestFit="1" customWidth="1"/>
    <col min="1983" max="1984" width="11.42578125" style="2"/>
    <col min="1985" max="1985" width="38.5703125" style="2" customWidth="1"/>
    <col min="1986" max="1987" width="11.42578125" style="2"/>
    <col min="1988" max="1988" width="11.5703125" style="2" customWidth="1"/>
    <col min="1989" max="1989" width="9" style="2" customWidth="1"/>
    <col min="1990" max="1998" width="11.42578125" style="2"/>
    <col min="1999" max="1999" width="12.42578125" style="2" customWidth="1"/>
    <col min="2000" max="2030" width="11.42578125" style="2"/>
    <col min="2031" max="2031" width="54" style="2" customWidth="1"/>
    <col min="2032" max="2032" width="5.5703125" style="2" customWidth="1"/>
    <col min="2033" max="2033" width="9.5703125" style="2" customWidth="1"/>
    <col min="2034" max="2034" width="35.140625" style="2" customWidth="1"/>
    <col min="2035" max="2035" width="28.42578125" style="2" customWidth="1"/>
    <col min="2036" max="2036" width="35.5703125" style="2" customWidth="1"/>
    <col min="2037" max="2037" width="9.85546875" style="2" customWidth="1"/>
    <col min="2038" max="2038" width="8.140625" style="2" customWidth="1"/>
    <col min="2039" max="2237" width="11.42578125" style="2"/>
    <col min="2238" max="2238" width="4.42578125" style="2" bestFit="1" customWidth="1"/>
    <col min="2239" max="2240" width="11.42578125" style="2"/>
    <col min="2241" max="2241" width="38.5703125" style="2" customWidth="1"/>
    <col min="2242" max="2243" width="11.42578125" style="2"/>
    <col min="2244" max="2244" width="11.5703125" style="2" customWidth="1"/>
    <col min="2245" max="2245" width="9" style="2" customWidth="1"/>
    <col min="2246" max="2254" width="11.42578125" style="2"/>
    <col min="2255" max="2255" width="12.42578125" style="2" customWidth="1"/>
    <col min="2256" max="2286" width="11.42578125" style="2"/>
    <col min="2287" max="2287" width="54" style="2" customWidth="1"/>
    <col min="2288" max="2288" width="5.5703125" style="2" customWidth="1"/>
    <col min="2289" max="2289" width="9.5703125" style="2" customWidth="1"/>
    <col min="2290" max="2290" width="35.140625" style="2" customWidth="1"/>
    <col min="2291" max="2291" width="28.42578125" style="2" customWidth="1"/>
    <col min="2292" max="2292" width="35.5703125" style="2" customWidth="1"/>
    <col min="2293" max="2293" width="9.85546875" style="2" customWidth="1"/>
    <col min="2294" max="2294" width="8.140625" style="2" customWidth="1"/>
    <col min="2295" max="2493" width="11.42578125" style="2"/>
    <col min="2494" max="2494" width="4.42578125" style="2" bestFit="1" customWidth="1"/>
    <col min="2495" max="2496" width="11.42578125" style="2"/>
    <col min="2497" max="2497" width="38.5703125" style="2" customWidth="1"/>
    <col min="2498" max="2499" width="11.42578125" style="2"/>
    <col min="2500" max="2500" width="11.5703125" style="2" customWidth="1"/>
    <col min="2501" max="2501" width="9" style="2" customWidth="1"/>
    <col min="2502" max="2510" width="11.42578125" style="2"/>
    <col min="2511" max="2511" width="12.42578125" style="2" customWidth="1"/>
    <col min="2512" max="2542" width="11.42578125" style="2"/>
    <col min="2543" max="2543" width="54" style="2" customWidth="1"/>
    <col min="2544" max="2544" width="5.5703125" style="2" customWidth="1"/>
    <col min="2545" max="2545" width="9.5703125" style="2" customWidth="1"/>
    <col min="2546" max="2546" width="35.140625" style="2" customWidth="1"/>
    <col min="2547" max="2547" width="28.42578125" style="2" customWidth="1"/>
    <col min="2548" max="2548" width="35.5703125" style="2" customWidth="1"/>
    <col min="2549" max="2549" width="9.85546875" style="2" customWidth="1"/>
    <col min="2550" max="2550" width="8.140625" style="2" customWidth="1"/>
    <col min="2551" max="2749" width="11.42578125" style="2"/>
    <col min="2750" max="2750" width="4.42578125" style="2" bestFit="1" customWidth="1"/>
    <col min="2751" max="2752" width="11.42578125" style="2"/>
    <col min="2753" max="2753" width="38.5703125" style="2" customWidth="1"/>
    <col min="2754" max="2755" width="11.42578125" style="2"/>
    <col min="2756" max="2756" width="11.5703125" style="2" customWidth="1"/>
    <col min="2757" max="2757" width="9" style="2" customWidth="1"/>
    <col min="2758" max="2766" width="11.42578125" style="2"/>
    <col min="2767" max="2767" width="12.42578125" style="2" customWidth="1"/>
    <col min="2768" max="2798" width="11.42578125" style="2"/>
    <col min="2799" max="2799" width="54" style="2" customWidth="1"/>
    <col min="2800" max="2800" width="5.5703125" style="2" customWidth="1"/>
    <col min="2801" max="2801" width="9.5703125" style="2" customWidth="1"/>
    <col min="2802" max="2802" width="35.140625" style="2" customWidth="1"/>
    <col min="2803" max="2803" width="28.42578125" style="2" customWidth="1"/>
    <col min="2804" max="2804" width="35.5703125" style="2" customWidth="1"/>
    <col min="2805" max="2805" width="9.85546875" style="2" customWidth="1"/>
    <col min="2806" max="2806" width="8.140625" style="2" customWidth="1"/>
    <col min="2807" max="3005" width="11.42578125" style="2"/>
    <col min="3006" max="3006" width="4.42578125" style="2" bestFit="1" customWidth="1"/>
    <col min="3007" max="3008" width="11.42578125" style="2"/>
    <col min="3009" max="3009" width="38.5703125" style="2" customWidth="1"/>
    <col min="3010" max="3011" width="11.42578125" style="2"/>
    <col min="3012" max="3012" width="11.5703125" style="2" customWidth="1"/>
    <col min="3013" max="3013" width="9" style="2" customWidth="1"/>
    <col min="3014" max="3022" width="11.42578125" style="2"/>
    <col min="3023" max="3023" width="12.42578125" style="2" customWidth="1"/>
    <col min="3024" max="3054" width="11.42578125" style="2"/>
    <col min="3055" max="3055" width="54" style="2" customWidth="1"/>
    <col min="3056" max="3056" width="5.5703125" style="2" customWidth="1"/>
    <col min="3057" max="3057" width="9.5703125" style="2" customWidth="1"/>
    <col min="3058" max="3058" width="35.140625" style="2" customWidth="1"/>
    <col min="3059" max="3059" width="28.42578125" style="2" customWidth="1"/>
    <col min="3060" max="3060" width="35.5703125" style="2" customWidth="1"/>
    <col min="3061" max="3061" width="9.85546875" style="2" customWidth="1"/>
    <col min="3062" max="3062" width="8.140625" style="2" customWidth="1"/>
    <col min="3063" max="3261" width="11.42578125" style="2"/>
    <col min="3262" max="3262" width="4.42578125" style="2" bestFit="1" customWidth="1"/>
    <col min="3263" max="3264" width="11.42578125" style="2"/>
    <col min="3265" max="3265" width="38.5703125" style="2" customWidth="1"/>
    <col min="3266" max="3267" width="11.42578125" style="2"/>
    <col min="3268" max="3268" width="11.5703125" style="2" customWidth="1"/>
    <col min="3269" max="3269" width="9" style="2" customWidth="1"/>
    <col min="3270" max="3278" width="11.42578125" style="2"/>
    <col min="3279" max="3279" width="12.42578125" style="2" customWidth="1"/>
    <col min="3280" max="3310" width="11.42578125" style="2"/>
    <col min="3311" max="3311" width="54" style="2" customWidth="1"/>
    <col min="3312" max="3312" width="5.5703125" style="2" customWidth="1"/>
    <col min="3313" max="3313" width="9.5703125" style="2" customWidth="1"/>
    <col min="3314" max="3314" width="35.140625" style="2" customWidth="1"/>
    <col min="3315" max="3315" width="28.42578125" style="2" customWidth="1"/>
    <col min="3316" max="3316" width="35.5703125" style="2" customWidth="1"/>
    <col min="3317" max="3317" width="9.85546875" style="2" customWidth="1"/>
    <col min="3318" max="3318" width="8.140625" style="2" customWidth="1"/>
    <col min="3319" max="3517" width="11.42578125" style="2"/>
    <col min="3518" max="3518" width="4.42578125" style="2" bestFit="1" customWidth="1"/>
    <col min="3519" max="3520" width="11.42578125" style="2"/>
    <col min="3521" max="3521" width="38.5703125" style="2" customWidth="1"/>
    <col min="3522" max="3523" width="11.42578125" style="2"/>
    <col min="3524" max="3524" width="11.5703125" style="2" customWidth="1"/>
    <col min="3525" max="3525" width="9" style="2" customWidth="1"/>
    <col min="3526" max="3534" width="11.42578125" style="2"/>
    <col min="3535" max="3535" width="12.42578125" style="2" customWidth="1"/>
    <col min="3536" max="3566" width="11.42578125" style="2"/>
    <col min="3567" max="3567" width="54" style="2" customWidth="1"/>
    <col min="3568" max="3568" width="5.5703125" style="2" customWidth="1"/>
    <col min="3569" max="3569" width="9.5703125" style="2" customWidth="1"/>
    <col min="3570" max="3570" width="35.140625" style="2" customWidth="1"/>
    <col min="3571" max="3571" width="28.42578125" style="2" customWidth="1"/>
    <col min="3572" max="3572" width="35.5703125" style="2" customWidth="1"/>
    <col min="3573" max="3573" width="9.85546875" style="2" customWidth="1"/>
    <col min="3574" max="3574" width="8.140625" style="2" customWidth="1"/>
    <col min="3575" max="3773" width="11.42578125" style="2"/>
    <col min="3774" max="3774" width="4.42578125" style="2" bestFit="1" customWidth="1"/>
    <col min="3775" max="3776" width="11.42578125" style="2"/>
    <col min="3777" max="3777" width="38.5703125" style="2" customWidth="1"/>
    <col min="3778" max="3779" width="11.42578125" style="2"/>
    <col min="3780" max="3780" width="11.5703125" style="2" customWidth="1"/>
    <col min="3781" max="3781" width="9" style="2" customWidth="1"/>
    <col min="3782" max="3790" width="11.42578125" style="2"/>
    <col min="3791" max="3791" width="12.42578125" style="2" customWidth="1"/>
    <col min="3792" max="3822" width="11.42578125" style="2"/>
    <col min="3823" max="3823" width="54" style="2" customWidth="1"/>
    <col min="3824" max="3824" width="5.5703125" style="2" customWidth="1"/>
    <col min="3825" max="3825" width="9.5703125" style="2" customWidth="1"/>
    <col min="3826" max="3826" width="35.140625" style="2" customWidth="1"/>
    <col min="3827" max="3827" width="28.42578125" style="2" customWidth="1"/>
    <col min="3828" max="3828" width="35.5703125" style="2" customWidth="1"/>
    <col min="3829" max="3829" width="9.85546875" style="2" customWidth="1"/>
    <col min="3830" max="3830" width="8.140625" style="2" customWidth="1"/>
    <col min="3831" max="4029" width="11.42578125" style="2"/>
    <col min="4030" max="4030" width="4.42578125" style="2" bestFit="1" customWidth="1"/>
    <col min="4031" max="4032" width="11.42578125" style="2"/>
    <col min="4033" max="4033" width="38.5703125" style="2" customWidth="1"/>
    <col min="4034" max="4035" width="11.42578125" style="2"/>
    <col min="4036" max="4036" width="11.5703125" style="2" customWidth="1"/>
    <col min="4037" max="4037" width="9" style="2" customWidth="1"/>
    <col min="4038" max="4046" width="11.42578125" style="2"/>
    <col min="4047" max="4047" width="12.42578125" style="2" customWidth="1"/>
    <col min="4048" max="4078" width="11.42578125" style="2"/>
    <col min="4079" max="4079" width="54" style="2" customWidth="1"/>
    <col min="4080" max="4080" width="5.5703125" style="2" customWidth="1"/>
    <col min="4081" max="4081" width="9.5703125" style="2" customWidth="1"/>
    <col min="4082" max="4082" width="35.140625" style="2" customWidth="1"/>
    <col min="4083" max="4083" width="28.42578125" style="2" customWidth="1"/>
    <col min="4084" max="4084" width="35.5703125" style="2" customWidth="1"/>
    <col min="4085" max="4085" width="9.85546875" style="2" customWidth="1"/>
    <col min="4086" max="4086" width="8.140625" style="2" customWidth="1"/>
    <col min="4087" max="4285" width="11.42578125" style="2"/>
    <col min="4286" max="4286" width="4.42578125" style="2" bestFit="1" customWidth="1"/>
    <col min="4287" max="4288" width="11.42578125" style="2"/>
    <col min="4289" max="4289" width="38.5703125" style="2" customWidth="1"/>
    <col min="4290" max="4291" width="11.42578125" style="2"/>
    <col min="4292" max="4292" width="11.5703125" style="2" customWidth="1"/>
    <col min="4293" max="4293" width="9" style="2" customWidth="1"/>
    <col min="4294" max="4302" width="11.42578125" style="2"/>
    <col min="4303" max="4303" width="12.42578125" style="2" customWidth="1"/>
    <col min="4304" max="4334" width="11.42578125" style="2"/>
    <col min="4335" max="4335" width="54" style="2" customWidth="1"/>
    <col min="4336" max="4336" width="5.5703125" style="2" customWidth="1"/>
    <col min="4337" max="4337" width="9.5703125" style="2" customWidth="1"/>
    <col min="4338" max="4338" width="35.140625" style="2" customWidth="1"/>
    <col min="4339" max="4339" width="28.42578125" style="2" customWidth="1"/>
    <col min="4340" max="4340" width="35.5703125" style="2" customWidth="1"/>
    <col min="4341" max="4341" width="9.85546875" style="2" customWidth="1"/>
    <col min="4342" max="4342" width="8.140625" style="2" customWidth="1"/>
    <col min="4343" max="4541" width="11.42578125" style="2"/>
    <col min="4542" max="4542" width="4.42578125" style="2" bestFit="1" customWidth="1"/>
    <col min="4543" max="4544" width="11.42578125" style="2"/>
    <col min="4545" max="4545" width="38.5703125" style="2" customWidth="1"/>
    <col min="4546" max="4547" width="11.42578125" style="2"/>
    <col min="4548" max="4548" width="11.5703125" style="2" customWidth="1"/>
    <col min="4549" max="4549" width="9" style="2" customWidth="1"/>
    <col min="4550" max="4558" width="11.42578125" style="2"/>
    <col min="4559" max="4559" width="12.42578125" style="2" customWidth="1"/>
    <col min="4560" max="4590" width="11.42578125" style="2"/>
    <col min="4591" max="4591" width="54" style="2" customWidth="1"/>
    <col min="4592" max="4592" width="5.5703125" style="2" customWidth="1"/>
    <col min="4593" max="4593" width="9.5703125" style="2" customWidth="1"/>
    <col min="4594" max="4594" width="35.140625" style="2" customWidth="1"/>
    <col min="4595" max="4595" width="28.42578125" style="2" customWidth="1"/>
    <col min="4596" max="4596" width="35.5703125" style="2" customWidth="1"/>
    <col min="4597" max="4597" width="9.85546875" style="2" customWidth="1"/>
    <col min="4598" max="4598" width="8.140625" style="2" customWidth="1"/>
    <col min="4599" max="4797" width="11.42578125" style="2"/>
    <col min="4798" max="4798" width="4.42578125" style="2" bestFit="1" customWidth="1"/>
    <col min="4799" max="4800" width="11.42578125" style="2"/>
    <col min="4801" max="4801" width="38.5703125" style="2" customWidth="1"/>
    <col min="4802" max="4803" width="11.42578125" style="2"/>
    <col min="4804" max="4804" width="11.5703125" style="2" customWidth="1"/>
    <col min="4805" max="4805" width="9" style="2" customWidth="1"/>
    <col min="4806" max="4814" width="11.42578125" style="2"/>
    <col min="4815" max="4815" width="12.42578125" style="2" customWidth="1"/>
    <col min="4816" max="4846" width="11.42578125" style="2"/>
    <col min="4847" max="4847" width="54" style="2" customWidth="1"/>
    <col min="4848" max="4848" width="5.5703125" style="2" customWidth="1"/>
    <col min="4849" max="4849" width="9.5703125" style="2" customWidth="1"/>
    <col min="4850" max="4850" width="35.140625" style="2" customWidth="1"/>
    <col min="4851" max="4851" width="28.42578125" style="2" customWidth="1"/>
    <col min="4852" max="4852" width="35.5703125" style="2" customWidth="1"/>
    <col min="4853" max="4853" width="9.85546875" style="2" customWidth="1"/>
    <col min="4854" max="4854" width="8.140625" style="2" customWidth="1"/>
    <col min="4855" max="5053" width="11.42578125" style="2"/>
    <col min="5054" max="5054" width="4.42578125" style="2" bestFit="1" customWidth="1"/>
    <col min="5055" max="5056" width="11.42578125" style="2"/>
    <col min="5057" max="5057" width="38.5703125" style="2" customWidth="1"/>
    <col min="5058" max="5059" width="11.42578125" style="2"/>
    <col min="5060" max="5060" width="11.5703125" style="2" customWidth="1"/>
    <col min="5061" max="5061" width="9" style="2" customWidth="1"/>
    <col min="5062" max="5070" width="11.42578125" style="2"/>
    <col min="5071" max="5071" width="12.42578125" style="2" customWidth="1"/>
    <col min="5072" max="5102" width="11.42578125" style="2"/>
    <col min="5103" max="5103" width="54" style="2" customWidth="1"/>
    <col min="5104" max="5104" width="5.5703125" style="2" customWidth="1"/>
    <col min="5105" max="5105" width="9.5703125" style="2" customWidth="1"/>
    <col min="5106" max="5106" width="35.140625" style="2" customWidth="1"/>
    <col min="5107" max="5107" width="28.42578125" style="2" customWidth="1"/>
    <col min="5108" max="5108" width="35.5703125" style="2" customWidth="1"/>
    <col min="5109" max="5109" width="9.85546875" style="2" customWidth="1"/>
    <col min="5110" max="5110" width="8.140625" style="2" customWidth="1"/>
    <col min="5111" max="5309" width="11.42578125" style="2"/>
    <col min="5310" max="5310" width="4.42578125" style="2" bestFit="1" customWidth="1"/>
    <col min="5311" max="5312" width="11.42578125" style="2"/>
    <col min="5313" max="5313" width="38.5703125" style="2" customWidth="1"/>
    <col min="5314" max="5315" width="11.42578125" style="2"/>
    <col min="5316" max="5316" width="11.5703125" style="2" customWidth="1"/>
    <col min="5317" max="5317" width="9" style="2" customWidth="1"/>
    <col min="5318" max="5326" width="11.42578125" style="2"/>
    <col min="5327" max="5327" width="12.42578125" style="2" customWidth="1"/>
    <col min="5328" max="5358" width="11.42578125" style="2"/>
    <col min="5359" max="5359" width="54" style="2" customWidth="1"/>
    <col min="5360" max="5360" width="5.5703125" style="2" customWidth="1"/>
    <col min="5361" max="5361" width="9.5703125" style="2" customWidth="1"/>
    <col min="5362" max="5362" width="35.140625" style="2" customWidth="1"/>
    <col min="5363" max="5363" width="28.42578125" style="2" customWidth="1"/>
    <col min="5364" max="5364" width="35.5703125" style="2" customWidth="1"/>
    <col min="5365" max="5365" width="9.85546875" style="2" customWidth="1"/>
    <col min="5366" max="5366" width="8.140625" style="2" customWidth="1"/>
    <col min="5367" max="5565" width="11.42578125" style="2"/>
    <col min="5566" max="5566" width="4.42578125" style="2" bestFit="1" customWidth="1"/>
    <col min="5567" max="5568" width="11.42578125" style="2"/>
    <col min="5569" max="5569" width="38.5703125" style="2" customWidth="1"/>
    <col min="5570" max="5571" width="11.42578125" style="2"/>
    <col min="5572" max="5572" width="11.5703125" style="2" customWidth="1"/>
    <col min="5573" max="5573" width="9" style="2" customWidth="1"/>
    <col min="5574" max="5582" width="11.42578125" style="2"/>
    <col min="5583" max="5583" width="12.42578125" style="2" customWidth="1"/>
    <col min="5584" max="5614" width="11.42578125" style="2"/>
    <col min="5615" max="5615" width="54" style="2" customWidth="1"/>
    <col min="5616" max="5616" width="5.5703125" style="2" customWidth="1"/>
    <col min="5617" max="5617" width="9.5703125" style="2" customWidth="1"/>
    <col min="5618" max="5618" width="35.140625" style="2" customWidth="1"/>
    <col min="5619" max="5619" width="28.42578125" style="2" customWidth="1"/>
    <col min="5620" max="5620" width="35.5703125" style="2" customWidth="1"/>
    <col min="5621" max="5621" width="9.85546875" style="2" customWidth="1"/>
    <col min="5622" max="5622" width="8.140625" style="2" customWidth="1"/>
    <col min="5623" max="5821" width="11.42578125" style="2"/>
    <col min="5822" max="5822" width="4.42578125" style="2" bestFit="1" customWidth="1"/>
    <col min="5823" max="5824" width="11.42578125" style="2"/>
    <col min="5825" max="5825" width="38.5703125" style="2" customWidth="1"/>
    <col min="5826" max="5827" width="11.42578125" style="2"/>
    <col min="5828" max="5828" width="11.5703125" style="2" customWidth="1"/>
    <col min="5829" max="5829" width="9" style="2" customWidth="1"/>
    <col min="5830" max="5838" width="11.42578125" style="2"/>
    <col min="5839" max="5839" width="12.42578125" style="2" customWidth="1"/>
    <col min="5840" max="5870" width="11.42578125" style="2"/>
    <col min="5871" max="5871" width="54" style="2" customWidth="1"/>
    <col min="5872" max="5872" width="5.5703125" style="2" customWidth="1"/>
    <col min="5873" max="5873" width="9.5703125" style="2" customWidth="1"/>
    <col min="5874" max="5874" width="35.140625" style="2" customWidth="1"/>
    <col min="5875" max="5875" width="28.42578125" style="2" customWidth="1"/>
    <col min="5876" max="5876" width="35.5703125" style="2" customWidth="1"/>
    <col min="5877" max="5877" width="9.85546875" style="2" customWidth="1"/>
    <col min="5878" max="5878" width="8.140625" style="2" customWidth="1"/>
    <col min="5879" max="6077" width="11.42578125" style="2"/>
    <col min="6078" max="6078" width="4.42578125" style="2" bestFit="1" customWidth="1"/>
    <col min="6079" max="6080" width="11.42578125" style="2"/>
    <col min="6081" max="6081" width="38.5703125" style="2" customWidth="1"/>
    <col min="6082" max="6083" width="11.42578125" style="2"/>
    <col min="6084" max="6084" width="11.5703125" style="2" customWidth="1"/>
    <col min="6085" max="6085" width="9" style="2" customWidth="1"/>
    <col min="6086" max="6094" width="11.42578125" style="2"/>
    <col min="6095" max="6095" width="12.42578125" style="2" customWidth="1"/>
    <col min="6096" max="6126" width="11.42578125" style="2"/>
    <col min="6127" max="6127" width="54" style="2" customWidth="1"/>
    <col min="6128" max="6128" width="5.5703125" style="2" customWidth="1"/>
    <col min="6129" max="6129" width="9.5703125" style="2" customWidth="1"/>
    <col min="6130" max="6130" width="35.140625" style="2" customWidth="1"/>
    <col min="6131" max="6131" width="28.42578125" style="2" customWidth="1"/>
    <col min="6132" max="6132" width="35.5703125" style="2" customWidth="1"/>
    <col min="6133" max="6133" width="9.85546875" style="2" customWidth="1"/>
    <col min="6134" max="6134" width="8.140625" style="2" customWidth="1"/>
    <col min="6135" max="6333" width="11.42578125" style="2"/>
    <col min="6334" max="6334" width="4.42578125" style="2" bestFit="1" customWidth="1"/>
    <col min="6335" max="6336" width="11.42578125" style="2"/>
    <col min="6337" max="6337" width="38.5703125" style="2" customWidth="1"/>
    <col min="6338" max="6339" width="11.42578125" style="2"/>
    <col min="6340" max="6340" width="11.5703125" style="2" customWidth="1"/>
    <col min="6341" max="6341" width="9" style="2" customWidth="1"/>
    <col min="6342" max="6350" width="11.42578125" style="2"/>
    <col min="6351" max="6351" width="12.42578125" style="2" customWidth="1"/>
    <col min="6352" max="6382" width="11.42578125" style="2"/>
    <col min="6383" max="6383" width="54" style="2" customWidth="1"/>
    <col min="6384" max="6384" width="5.5703125" style="2" customWidth="1"/>
    <col min="6385" max="6385" width="9.5703125" style="2" customWidth="1"/>
    <col min="6386" max="6386" width="35.140625" style="2" customWidth="1"/>
    <col min="6387" max="6387" width="28.42578125" style="2" customWidth="1"/>
    <col min="6388" max="6388" width="35.5703125" style="2" customWidth="1"/>
    <col min="6389" max="6389" width="9.85546875" style="2" customWidth="1"/>
    <col min="6390" max="6390" width="8.140625" style="2" customWidth="1"/>
    <col min="6391" max="6589" width="11.42578125" style="2"/>
    <col min="6590" max="6590" width="4.42578125" style="2" bestFit="1" customWidth="1"/>
    <col min="6591" max="6592" width="11.42578125" style="2"/>
    <col min="6593" max="6593" width="38.5703125" style="2" customWidth="1"/>
    <col min="6594" max="6595" width="11.42578125" style="2"/>
    <col min="6596" max="6596" width="11.5703125" style="2" customWidth="1"/>
    <col min="6597" max="6597" width="9" style="2" customWidth="1"/>
    <col min="6598" max="6606" width="11.42578125" style="2"/>
    <col min="6607" max="6607" width="12.42578125" style="2" customWidth="1"/>
    <col min="6608" max="6638" width="11.42578125" style="2"/>
    <col min="6639" max="6639" width="54" style="2" customWidth="1"/>
    <col min="6640" max="6640" width="5.5703125" style="2" customWidth="1"/>
    <col min="6641" max="6641" width="9.5703125" style="2" customWidth="1"/>
    <col min="6642" max="6642" width="35.140625" style="2" customWidth="1"/>
    <col min="6643" max="6643" width="28.42578125" style="2" customWidth="1"/>
    <col min="6644" max="6644" width="35.5703125" style="2" customWidth="1"/>
    <col min="6645" max="6645" width="9.85546875" style="2" customWidth="1"/>
    <col min="6646" max="6646" width="8.140625" style="2" customWidth="1"/>
    <col min="6647" max="6845" width="11.42578125" style="2"/>
    <col min="6846" max="6846" width="4.42578125" style="2" bestFit="1" customWidth="1"/>
    <col min="6847" max="6848" width="11.42578125" style="2"/>
    <col min="6849" max="6849" width="38.5703125" style="2" customWidth="1"/>
    <col min="6850" max="6851" width="11.42578125" style="2"/>
    <col min="6852" max="6852" width="11.5703125" style="2" customWidth="1"/>
    <col min="6853" max="6853" width="9" style="2" customWidth="1"/>
    <col min="6854" max="6862" width="11.42578125" style="2"/>
    <col min="6863" max="6863" width="12.42578125" style="2" customWidth="1"/>
    <col min="6864" max="6894" width="11.42578125" style="2"/>
    <col min="6895" max="6895" width="54" style="2" customWidth="1"/>
    <col min="6896" max="6896" width="5.5703125" style="2" customWidth="1"/>
    <col min="6897" max="6897" width="9.5703125" style="2" customWidth="1"/>
    <col min="6898" max="6898" width="35.140625" style="2" customWidth="1"/>
    <col min="6899" max="6899" width="28.42578125" style="2" customWidth="1"/>
    <col min="6900" max="6900" width="35.5703125" style="2" customWidth="1"/>
    <col min="6901" max="6901" width="9.85546875" style="2" customWidth="1"/>
    <col min="6902" max="6902" width="8.140625" style="2" customWidth="1"/>
    <col min="6903" max="7101" width="11.42578125" style="2"/>
    <col min="7102" max="7102" width="4.42578125" style="2" bestFit="1" customWidth="1"/>
    <col min="7103" max="7104" width="11.42578125" style="2"/>
    <col min="7105" max="7105" width="38.5703125" style="2" customWidth="1"/>
    <col min="7106" max="7107" width="11.42578125" style="2"/>
    <col min="7108" max="7108" width="11.5703125" style="2" customWidth="1"/>
    <col min="7109" max="7109" width="9" style="2" customWidth="1"/>
    <col min="7110" max="7118" width="11.42578125" style="2"/>
    <col min="7119" max="7119" width="12.42578125" style="2" customWidth="1"/>
    <col min="7120" max="7150" width="11.42578125" style="2"/>
    <col min="7151" max="7151" width="54" style="2" customWidth="1"/>
    <col min="7152" max="7152" width="5.5703125" style="2" customWidth="1"/>
    <col min="7153" max="7153" width="9.5703125" style="2" customWidth="1"/>
    <col min="7154" max="7154" width="35.140625" style="2" customWidth="1"/>
    <col min="7155" max="7155" width="28.42578125" style="2" customWidth="1"/>
    <col min="7156" max="7156" width="35.5703125" style="2" customWidth="1"/>
    <col min="7157" max="7157" width="9.85546875" style="2" customWidth="1"/>
    <col min="7158" max="7158" width="8.140625" style="2" customWidth="1"/>
    <col min="7159" max="7357" width="11.42578125" style="2"/>
    <col min="7358" max="7358" width="4.42578125" style="2" bestFit="1" customWidth="1"/>
    <col min="7359" max="7360" width="11.42578125" style="2"/>
    <col min="7361" max="7361" width="38.5703125" style="2" customWidth="1"/>
    <col min="7362" max="7363" width="11.42578125" style="2"/>
    <col min="7364" max="7364" width="11.5703125" style="2" customWidth="1"/>
    <col min="7365" max="7365" width="9" style="2" customWidth="1"/>
    <col min="7366" max="7374" width="11.42578125" style="2"/>
    <col min="7375" max="7375" width="12.42578125" style="2" customWidth="1"/>
    <col min="7376" max="7406" width="11.42578125" style="2"/>
    <col min="7407" max="7407" width="54" style="2" customWidth="1"/>
    <col min="7408" max="7408" width="5.5703125" style="2" customWidth="1"/>
    <col min="7409" max="7409" width="9.5703125" style="2" customWidth="1"/>
    <col min="7410" max="7410" width="35.140625" style="2" customWidth="1"/>
    <col min="7411" max="7411" width="28.42578125" style="2" customWidth="1"/>
    <col min="7412" max="7412" width="35.5703125" style="2" customWidth="1"/>
    <col min="7413" max="7413" width="9.85546875" style="2" customWidth="1"/>
    <col min="7414" max="7414" width="8.140625" style="2" customWidth="1"/>
    <col min="7415" max="7613" width="11.42578125" style="2"/>
    <col min="7614" max="7614" width="4.42578125" style="2" bestFit="1" customWidth="1"/>
    <col min="7615" max="7616" width="11.42578125" style="2"/>
    <col min="7617" max="7617" width="38.5703125" style="2" customWidth="1"/>
    <col min="7618" max="7619" width="11.42578125" style="2"/>
    <col min="7620" max="7620" width="11.5703125" style="2" customWidth="1"/>
    <col min="7621" max="7621" width="9" style="2" customWidth="1"/>
    <col min="7622" max="7630" width="11.42578125" style="2"/>
    <col min="7631" max="7631" width="12.42578125" style="2" customWidth="1"/>
    <col min="7632" max="7662" width="11.42578125" style="2"/>
    <col min="7663" max="7663" width="54" style="2" customWidth="1"/>
    <col min="7664" max="7664" width="5.5703125" style="2" customWidth="1"/>
    <col min="7665" max="7665" width="9.5703125" style="2" customWidth="1"/>
    <col min="7666" max="7666" width="35.140625" style="2" customWidth="1"/>
    <col min="7667" max="7667" width="28.42578125" style="2" customWidth="1"/>
    <col min="7668" max="7668" width="35.5703125" style="2" customWidth="1"/>
    <col min="7669" max="7669" width="9.85546875" style="2" customWidth="1"/>
    <col min="7670" max="7670" width="8.140625" style="2" customWidth="1"/>
    <col min="7671" max="7869" width="11.42578125" style="2"/>
    <col min="7870" max="7870" width="4.42578125" style="2" bestFit="1" customWidth="1"/>
    <col min="7871" max="7872" width="11.42578125" style="2"/>
    <col min="7873" max="7873" width="38.5703125" style="2" customWidth="1"/>
    <col min="7874" max="7875" width="11.42578125" style="2"/>
    <col min="7876" max="7876" width="11.5703125" style="2" customWidth="1"/>
    <col min="7877" max="7877" width="9" style="2" customWidth="1"/>
    <col min="7878" max="7886" width="11.42578125" style="2"/>
    <col min="7887" max="7887" width="12.42578125" style="2" customWidth="1"/>
    <col min="7888" max="7918" width="11.42578125" style="2"/>
    <col min="7919" max="7919" width="54" style="2" customWidth="1"/>
    <col min="7920" max="7920" width="5.5703125" style="2" customWidth="1"/>
    <col min="7921" max="7921" width="9.5703125" style="2" customWidth="1"/>
    <col min="7922" max="7922" width="35.140625" style="2" customWidth="1"/>
    <col min="7923" max="7923" width="28.42578125" style="2" customWidth="1"/>
    <col min="7924" max="7924" width="35.5703125" style="2" customWidth="1"/>
    <col min="7925" max="7925" width="9.85546875" style="2" customWidth="1"/>
    <col min="7926" max="7926" width="8.140625" style="2" customWidth="1"/>
    <col min="7927" max="8125" width="11.42578125" style="2"/>
    <col min="8126" max="8126" width="4.42578125" style="2" bestFit="1" customWidth="1"/>
    <col min="8127" max="8128" width="11.42578125" style="2"/>
    <col min="8129" max="8129" width="38.5703125" style="2" customWidth="1"/>
    <col min="8130" max="8131" width="11.42578125" style="2"/>
    <col min="8132" max="8132" width="11.5703125" style="2" customWidth="1"/>
    <col min="8133" max="8133" width="9" style="2" customWidth="1"/>
    <col min="8134" max="8142" width="11.42578125" style="2"/>
    <col min="8143" max="8143" width="12.42578125" style="2" customWidth="1"/>
    <col min="8144" max="8174" width="11.42578125" style="2"/>
    <col min="8175" max="8175" width="54" style="2" customWidth="1"/>
    <col min="8176" max="8176" width="5.5703125" style="2" customWidth="1"/>
    <col min="8177" max="8177" width="9.5703125" style="2" customWidth="1"/>
    <col min="8178" max="8178" width="35.140625" style="2" customWidth="1"/>
    <col min="8179" max="8179" width="28.42578125" style="2" customWidth="1"/>
    <col min="8180" max="8180" width="35.5703125" style="2" customWidth="1"/>
    <col min="8181" max="8181" width="9.85546875" style="2" customWidth="1"/>
    <col min="8182" max="8182" width="8.140625" style="2" customWidth="1"/>
    <col min="8183" max="8381" width="11.42578125" style="2"/>
    <col min="8382" max="8382" width="4.42578125" style="2" bestFit="1" customWidth="1"/>
    <col min="8383" max="8384" width="11.42578125" style="2"/>
    <col min="8385" max="8385" width="38.5703125" style="2" customWidth="1"/>
    <col min="8386" max="8387" width="11.42578125" style="2"/>
    <col min="8388" max="8388" width="11.5703125" style="2" customWidth="1"/>
    <col min="8389" max="8389" width="9" style="2" customWidth="1"/>
    <col min="8390" max="8398" width="11.42578125" style="2"/>
    <col min="8399" max="8399" width="12.42578125" style="2" customWidth="1"/>
    <col min="8400" max="8430" width="11.42578125" style="2"/>
    <col min="8431" max="8431" width="54" style="2" customWidth="1"/>
    <col min="8432" max="8432" width="5.5703125" style="2" customWidth="1"/>
    <col min="8433" max="8433" width="9.5703125" style="2" customWidth="1"/>
    <col min="8434" max="8434" width="35.140625" style="2" customWidth="1"/>
    <col min="8435" max="8435" width="28.42578125" style="2" customWidth="1"/>
    <col min="8436" max="8436" width="35.5703125" style="2" customWidth="1"/>
    <col min="8437" max="8437" width="9.85546875" style="2" customWidth="1"/>
    <col min="8438" max="8438" width="8.140625" style="2" customWidth="1"/>
    <col min="8439" max="8637" width="11.42578125" style="2"/>
    <col min="8638" max="8638" width="4.42578125" style="2" bestFit="1" customWidth="1"/>
    <col min="8639" max="8640" width="11.42578125" style="2"/>
    <col min="8641" max="8641" width="38.5703125" style="2" customWidth="1"/>
    <col min="8642" max="8643" width="11.42578125" style="2"/>
    <col min="8644" max="8644" width="11.5703125" style="2" customWidth="1"/>
    <col min="8645" max="8645" width="9" style="2" customWidth="1"/>
    <col min="8646" max="8654" width="11.42578125" style="2"/>
    <col min="8655" max="8655" width="12.42578125" style="2" customWidth="1"/>
    <col min="8656" max="8686" width="11.42578125" style="2"/>
    <col min="8687" max="8687" width="54" style="2" customWidth="1"/>
    <col min="8688" max="8688" width="5.5703125" style="2" customWidth="1"/>
    <col min="8689" max="8689" width="9.5703125" style="2" customWidth="1"/>
    <col min="8690" max="8690" width="35.140625" style="2" customWidth="1"/>
    <col min="8691" max="8691" width="28.42578125" style="2" customWidth="1"/>
    <col min="8692" max="8692" width="35.5703125" style="2" customWidth="1"/>
    <col min="8693" max="8693" width="9.85546875" style="2" customWidth="1"/>
    <col min="8694" max="8694" width="8.140625" style="2" customWidth="1"/>
    <col min="8695" max="8893" width="11.42578125" style="2"/>
    <col min="8894" max="8894" width="4.42578125" style="2" bestFit="1" customWidth="1"/>
    <col min="8895" max="8896" width="11.42578125" style="2"/>
    <col min="8897" max="8897" width="38.5703125" style="2" customWidth="1"/>
    <col min="8898" max="8899" width="11.42578125" style="2"/>
    <col min="8900" max="8900" width="11.5703125" style="2" customWidth="1"/>
    <col min="8901" max="8901" width="9" style="2" customWidth="1"/>
    <col min="8902" max="8910" width="11.42578125" style="2"/>
    <col min="8911" max="8911" width="12.42578125" style="2" customWidth="1"/>
    <col min="8912" max="8942" width="11.42578125" style="2"/>
    <col min="8943" max="8943" width="54" style="2" customWidth="1"/>
    <col min="8944" max="8944" width="5.5703125" style="2" customWidth="1"/>
    <col min="8945" max="8945" width="9.5703125" style="2" customWidth="1"/>
    <col min="8946" max="8946" width="35.140625" style="2" customWidth="1"/>
    <col min="8947" max="8947" width="28.42578125" style="2" customWidth="1"/>
    <col min="8948" max="8948" width="35.5703125" style="2" customWidth="1"/>
    <col min="8949" max="8949" width="9.85546875" style="2" customWidth="1"/>
    <col min="8950" max="8950" width="8.140625" style="2" customWidth="1"/>
    <col min="8951" max="9149" width="11.42578125" style="2"/>
    <col min="9150" max="9150" width="4.42578125" style="2" bestFit="1" customWidth="1"/>
    <col min="9151" max="9152" width="11.42578125" style="2"/>
    <col min="9153" max="9153" width="38.5703125" style="2" customWidth="1"/>
    <col min="9154" max="9155" width="11.42578125" style="2"/>
    <col min="9156" max="9156" width="11.5703125" style="2" customWidth="1"/>
    <col min="9157" max="9157" width="9" style="2" customWidth="1"/>
    <col min="9158" max="9166" width="11.42578125" style="2"/>
    <col min="9167" max="9167" width="12.42578125" style="2" customWidth="1"/>
    <col min="9168" max="9198" width="11.42578125" style="2"/>
    <col min="9199" max="9199" width="54" style="2" customWidth="1"/>
    <col min="9200" max="9200" width="5.5703125" style="2" customWidth="1"/>
    <col min="9201" max="9201" width="9.5703125" style="2" customWidth="1"/>
    <col min="9202" max="9202" width="35.140625" style="2" customWidth="1"/>
    <col min="9203" max="9203" width="28.42578125" style="2" customWidth="1"/>
    <col min="9204" max="9204" width="35.5703125" style="2" customWidth="1"/>
    <col min="9205" max="9205" width="9.85546875" style="2" customWidth="1"/>
    <col min="9206" max="9206" width="8.140625" style="2" customWidth="1"/>
    <col min="9207" max="9405" width="11.42578125" style="2"/>
    <col min="9406" max="9406" width="4.42578125" style="2" bestFit="1" customWidth="1"/>
    <col min="9407" max="9408" width="11.42578125" style="2"/>
    <col min="9409" max="9409" width="38.5703125" style="2" customWidth="1"/>
    <col min="9410" max="9411" width="11.42578125" style="2"/>
    <col min="9412" max="9412" width="11.5703125" style="2" customWidth="1"/>
    <col min="9413" max="9413" width="9" style="2" customWidth="1"/>
    <col min="9414" max="9422" width="11.42578125" style="2"/>
    <col min="9423" max="9423" width="12.42578125" style="2" customWidth="1"/>
    <col min="9424" max="9454" width="11.42578125" style="2"/>
    <col min="9455" max="9455" width="54" style="2" customWidth="1"/>
    <col min="9456" max="9456" width="5.5703125" style="2" customWidth="1"/>
    <col min="9457" max="9457" width="9.5703125" style="2" customWidth="1"/>
    <col min="9458" max="9458" width="35.140625" style="2" customWidth="1"/>
    <col min="9459" max="9459" width="28.42578125" style="2" customWidth="1"/>
    <col min="9460" max="9460" width="35.5703125" style="2" customWidth="1"/>
    <col min="9461" max="9461" width="9.85546875" style="2" customWidth="1"/>
    <col min="9462" max="9462" width="8.140625" style="2" customWidth="1"/>
    <col min="9463" max="9661" width="11.42578125" style="2"/>
    <col min="9662" max="9662" width="4.42578125" style="2" bestFit="1" customWidth="1"/>
    <col min="9663" max="9664" width="11.42578125" style="2"/>
    <col min="9665" max="9665" width="38.5703125" style="2" customWidth="1"/>
    <col min="9666" max="9667" width="11.42578125" style="2"/>
    <col min="9668" max="9668" width="11.5703125" style="2" customWidth="1"/>
    <col min="9669" max="9669" width="9" style="2" customWidth="1"/>
    <col min="9670" max="9678" width="11.42578125" style="2"/>
    <col min="9679" max="9679" width="12.42578125" style="2" customWidth="1"/>
    <col min="9680" max="9710" width="11.42578125" style="2"/>
    <col min="9711" max="9711" width="54" style="2" customWidth="1"/>
    <col min="9712" max="9712" width="5.5703125" style="2" customWidth="1"/>
    <col min="9713" max="9713" width="9.5703125" style="2" customWidth="1"/>
    <col min="9714" max="9714" width="35.140625" style="2" customWidth="1"/>
    <col min="9715" max="9715" width="28.42578125" style="2" customWidth="1"/>
    <col min="9716" max="9716" width="35.5703125" style="2" customWidth="1"/>
    <col min="9717" max="9717" width="9.85546875" style="2" customWidth="1"/>
    <col min="9718" max="9718" width="8.140625" style="2" customWidth="1"/>
    <col min="9719" max="9917" width="11.42578125" style="2"/>
    <col min="9918" max="9918" width="4.42578125" style="2" bestFit="1" customWidth="1"/>
    <col min="9919" max="9920" width="11.42578125" style="2"/>
    <col min="9921" max="9921" width="38.5703125" style="2" customWidth="1"/>
    <col min="9922" max="9923" width="11.42578125" style="2"/>
    <col min="9924" max="9924" width="11.5703125" style="2" customWidth="1"/>
    <col min="9925" max="9925" width="9" style="2" customWidth="1"/>
    <col min="9926" max="9934" width="11.42578125" style="2"/>
    <col min="9935" max="9935" width="12.42578125" style="2" customWidth="1"/>
    <col min="9936" max="9966" width="11.42578125" style="2"/>
    <col min="9967" max="9967" width="54" style="2" customWidth="1"/>
    <col min="9968" max="9968" width="5.5703125" style="2" customWidth="1"/>
    <col min="9969" max="9969" width="9.5703125" style="2" customWidth="1"/>
    <col min="9970" max="9970" width="35.140625" style="2" customWidth="1"/>
    <col min="9971" max="9971" width="28.42578125" style="2" customWidth="1"/>
    <col min="9972" max="9972" width="35.5703125" style="2" customWidth="1"/>
    <col min="9973" max="9973" width="9.85546875" style="2" customWidth="1"/>
    <col min="9974" max="9974" width="8.140625" style="2" customWidth="1"/>
    <col min="9975" max="10173" width="11.42578125" style="2"/>
    <col min="10174" max="10174" width="4.42578125" style="2" bestFit="1" customWidth="1"/>
    <col min="10175" max="10176" width="11.42578125" style="2"/>
    <col min="10177" max="10177" width="38.5703125" style="2" customWidth="1"/>
    <col min="10178" max="10179" width="11.42578125" style="2"/>
    <col min="10180" max="10180" width="11.5703125" style="2" customWidth="1"/>
    <col min="10181" max="10181" width="9" style="2" customWidth="1"/>
    <col min="10182" max="10190" width="11.42578125" style="2"/>
    <col min="10191" max="10191" width="12.42578125" style="2" customWidth="1"/>
    <col min="10192" max="10222" width="11.42578125" style="2"/>
    <col min="10223" max="10223" width="54" style="2" customWidth="1"/>
    <col min="10224" max="10224" width="5.5703125" style="2" customWidth="1"/>
    <col min="10225" max="10225" width="9.5703125" style="2" customWidth="1"/>
    <col min="10226" max="10226" width="35.140625" style="2" customWidth="1"/>
    <col min="10227" max="10227" width="28.42578125" style="2" customWidth="1"/>
    <col min="10228" max="10228" width="35.5703125" style="2" customWidth="1"/>
    <col min="10229" max="10229" width="9.85546875" style="2" customWidth="1"/>
    <col min="10230" max="10230" width="8.140625" style="2" customWidth="1"/>
    <col min="10231" max="10429" width="11.42578125" style="2"/>
    <col min="10430" max="10430" width="4.42578125" style="2" bestFit="1" customWidth="1"/>
    <col min="10431" max="10432" width="11.42578125" style="2"/>
    <col min="10433" max="10433" width="38.5703125" style="2" customWidth="1"/>
    <col min="10434" max="10435" width="11.42578125" style="2"/>
    <col min="10436" max="10436" width="11.5703125" style="2" customWidth="1"/>
    <col min="10437" max="10437" width="9" style="2" customWidth="1"/>
    <col min="10438" max="10446" width="11.42578125" style="2"/>
    <col min="10447" max="10447" width="12.42578125" style="2" customWidth="1"/>
    <col min="10448" max="10478" width="11.42578125" style="2"/>
    <col min="10479" max="10479" width="54" style="2" customWidth="1"/>
    <col min="10480" max="10480" width="5.5703125" style="2" customWidth="1"/>
    <col min="10481" max="10481" width="9.5703125" style="2" customWidth="1"/>
    <col min="10482" max="10482" width="35.140625" style="2" customWidth="1"/>
    <col min="10483" max="10483" width="28.42578125" style="2" customWidth="1"/>
    <col min="10484" max="10484" width="35.5703125" style="2" customWidth="1"/>
    <col min="10485" max="10485" width="9.85546875" style="2" customWidth="1"/>
    <col min="10486" max="10486" width="8.140625" style="2" customWidth="1"/>
    <col min="10487" max="10685" width="11.42578125" style="2"/>
    <col min="10686" max="10686" width="4.42578125" style="2" bestFit="1" customWidth="1"/>
    <col min="10687" max="10688" width="11.42578125" style="2"/>
    <col min="10689" max="10689" width="38.5703125" style="2" customWidth="1"/>
    <col min="10690" max="10691" width="11.42578125" style="2"/>
    <col min="10692" max="10692" width="11.5703125" style="2" customWidth="1"/>
    <col min="10693" max="10693" width="9" style="2" customWidth="1"/>
    <col min="10694" max="10702" width="11.42578125" style="2"/>
    <col min="10703" max="10703" width="12.42578125" style="2" customWidth="1"/>
    <col min="10704" max="10734" width="11.42578125" style="2"/>
    <col min="10735" max="10735" width="54" style="2" customWidth="1"/>
    <col min="10736" max="10736" width="5.5703125" style="2" customWidth="1"/>
    <col min="10737" max="10737" width="9.5703125" style="2" customWidth="1"/>
    <col min="10738" max="10738" width="35.140625" style="2" customWidth="1"/>
    <col min="10739" max="10739" width="28.42578125" style="2" customWidth="1"/>
    <col min="10740" max="10740" width="35.5703125" style="2" customWidth="1"/>
    <col min="10741" max="10741" width="9.85546875" style="2" customWidth="1"/>
    <col min="10742" max="10742" width="8.140625" style="2" customWidth="1"/>
    <col min="10743" max="10941" width="11.42578125" style="2"/>
    <col min="10942" max="10942" width="4.42578125" style="2" bestFit="1" customWidth="1"/>
    <col min="10943" max="10944" width="11.42578125" style="2"/>
    <col min="10945" max="10945" width="38.5703125" style="2" customWidth="1"/>
    <col min="10946" max="10947" width="11.42578125" style="2"/>
    <col min="10948" max="10948" width="11.5703125" style="2" customWidth="1"/>
    <col min="10949" max="10949" width="9" style="2" customWidth="1"/>
    <col min="10950" max="10958" width="11.42578125" style="2"/>
    <col min="10959" max="10959" width="12.42578125" style="2" customWidth="1"/>
    <col min="10960" max="10990" width="11.42578125" style="2"/>
    <col min="10991" max="10991" width="54" style="2" customWidth="1"/>
    <col min="10992" max="10992" width="5.5703125" style="2" customWidth="1"/>
    <col min="10993" max="10993" width="9.5703125" style="2" customWidth="1"/>
    <col min="10994" max="10994" width="35.140625" style="2" customWidth="1"/>
    <col min="10995" max="10995" width="28.42578125" style="2" customWidth="1"/>
    <col min="10996" max="10996" width="35.5703125" style="2" customWidth="1"/>
    <col min="10997" max="10997" width="9.85546875" style="2" customWidth="1"/>
    <col min="10998" max="10998" width="8.140625" style="2" customWidth="1"/>
    <col min="10999" max="11197" width="11.42578125" style="2"/>
    <col min="11198" max="11198" width="4.42578125" style="2" bestFit="1" customWidth="1"/>
    <col min="11199" max="11200" width="11.42578125" style="2"/>
    <col min="11201" max="11201" width="38.5703125" style="2" customWidth="1"/>
    <col min="11202" max="11203" width="11.42578125" style="2"/>
    <col min="11204" max="11204" width="11.5703125" style="2" customWidth="1"/>
    <col min="11205" max="11205" width="9" style="2" customWidth="1"/>
    <col min="11206" max="11214" width="11.42578125" style="2"/>
    <col min="11215" max="11215" width="12.42578125" style="2" customWidth="1"/>
    <col min="11216" max="11246" width="11.42578125" style="2"/>
    <col min="11247" max="11247" width="54" style="2" customWidth="1"/>
    <col min="11248" max="11248" width="5.5703125" style="2" customWidth="1"/>
    <col min="11249" max="11249" width="9.5703125" style="2" customWidth="1"/>
    <col min="11250" max="11250" width="35.140625" style="2" customWidth="1"/>
    <col min="11251" max="11251" width="28.42578125" style="2" customWidth="1"/>
    <col min="11252" max="11252" width="35.5703125" style="2" customWidth="1"/>
    <col min="11253" max="11253" width="9.85546875" style="2" customWidth="1"/>
    <col min="11254" max="11254" width="8.140625" style="2" customWidth="1"/>
    <col min="11255" max="11453" width="11.42578125" style="2"/>
    <col min="11454" max="11454" width="4.42578125" style="2" bestFit="1" customWidth="1"/>
    <col min="11455" max="11456" width="11.42578125" style="2"/>
    <col min="11457" max="11457" width="38.5703125" style="2" customWidth="1"/>
    <col min="11458" max="11459" width="11.42578125" style="2"/>
    <col min="11460" max="11460" width="11.5703125" style="2" customWidth="1"/>
    <col min="11461" max="11461" width="9" style="2" customWidth="1"/>
    <col min="11462" max="11470" width="11.42578125" style="2"/>
    <col min="11471" max="11471" width="12.42578125" style="2" customWidth="1"/>
    <col min="11472" max="11502" width="11.42578125" style="2"/>
    <col min="11503" max="11503" width="54" style="2" customWidth="1"/>
    <col min="11504" max="11504" width="5.5703125" style="2" customWidth="1"/>
    <col min="11505" max="11505" width="9.5703125" style="2" customWidth="1"/>
    <col min="11506" max="11506" width="35.140625" style="2" customWidth="1"/>
    <col min="11507" max="11507" width="28.42578125" style="2" customWidth="1"/>
    <col min="11508" max="11508" width="35.5703125" style="2" customWidth="1"/>
    <col min="11509" max="11509" width="9.85546875" style="2" customWidth="1"/>
    <col min="11510" max="11510" width="8.140625" style="2" customWidth="1"/>
    <col min="11511" max="11709" width="11.42578125" style="2"/>
    <col min="11710" max="11710" width="4.42578125" style="2" bestFit="1" customWidth="1"/>
    <col min="11711" max="11712" width="11.42578125" style="2"/>
    <col min="11713" max="11713" width="38.5703125" style="2" customWidth="1"/>
    <col min="11714" max="11715" width="11.42578125" style="2"/>
    <col min="11716" max="11716" width="11.5703125" style="2" customWidth="1"/>
    <col min="11717" max="11717" width="9" style="2" customWidth="1"/>
    <col min="11718" max="11726" width="11.42578125" style="2"/>
    <col min="11727" max="11727" width="12.42578125" style="2" customWidth="1"/>
    <col min="11728" max="11758" width="11.42578125" style="2"/>
    <col min="11759" max="11759" width="54" style="2" customWidth="1"/>
    <col min="11760" max="11760" width="5.5703125" style="2" customWidth="1"/>
    <col min="11761" max="11761" width="9.5703125" style="2" customWidth="1"/>
    <col min="11762" max="11762" width="35.140625" style="2" customWidth="1"/>
    <col min="11763" max="11763" width="28.42578125" style="2" customWidth="1"/>
    <col min="11764" max="11764" width="35.5703125" style="2" customWidth="1"/>
    <col min="11765" max="11765" width="9.85546875" style="2" customWidth="1"/>
    <col min="11766" max="11766" width="8.140625" style="2" customWidth="1"/>
    <col min="11767" max="11965" width="11.42578125" style="2"/>
    <col min="11966" max="11966" width="4.42578125" style="2" bestFit="1" customWidth="1"/>
    <col min="11967" max="11968" width="11.42578125" style="2"/>
    <col min="11969" max="11969" width="38.5703125" style="2" customWidth="1"/>
    <col min="11970" max="11971" width="11.42578125" style="2"/>
    <col min="11972" max="11972" width="11.5703125" style="2" customWidth="1"/>
    <col min="11973" max="11973" width="9" style="2" customWidth="1"/>
    <col min="11974" max="11982" width="11.42578125" style="2"/>
    <col min="11983" max="11983" width="12.42578125" style="2" customWidth="1"/>
    <col min="11984" max="12014" width="11.42578125" style="2"/>
    <col min="12015" max="12015" width="54" style="2" customWidth="1"/>
    <col min="12016" max="12016" width="5.5703125" style="2" customWidth="1"/>
    <col min="12017" max="12017" width="9.5703125" style="2" customWidth="1"/>
    <col min="12018" max="12018" width="35.140625" style="2" customWidth="1"/>
    <col min="12019" max="12019" width="28.42578125" style="2" customWidth="1"/>
    <col min="12020" max="12020" width="35.5703125" style="2" customWidth="1"/>
    <col min="12021" max="12021" width="9.85546875" style="2" customWidth="1"/>
    <col min="12022" max="12022" width="8.140625" style="2" customWidth="1"/>
    <col min="12023" max="12221" width="11.42578125" style="2"/>
    <col min="12222" max="12222" width="4.42578125" style="2" bestFit="1" customWidth="1"/>
    <col min="12223" max="12224" width="11.42578125" style="2"/>
    <col min="12225" max="12225" width="38.5703125" style="2" customWidth="1"/>
    <col min="12226" max="12227" width="11.42578125" style="2"/>
    <col min="12228" max="12228" width="11.5703125" style="2" customWidth="1"/>
    <col min="12229" max="12229" width="9" style="2" customWidth="1"/>
    <col min="12230" max="12238" width="11.42578125" style="2"/>
    <col min="12239" max="12239" width="12.42578125" style="2" customWidth="1"/>
    <col min="12240" max="12270" width="11.42578125" style="2"/>
    <col min="12271" max="12271" width="54" style="2" customWidth="1"/>
    <col min="12272" max="12272" width="5.5703125" style="2" customWidth="1"/>
    <col min="12273" max="12273" width="9.5703125" style="2" customWidth="1"/>
    <col min="12274" max="12274" width="35.140625" style="2" customWidth="1"/>
    <col min="12275" max="12275" width="28.42578125" style="2" customWidth="1"/>
    <col min="12276" max="12276" width="35.5703125" style="2" customWidth="1"/>
    <col min="12277" max="12277" width="9.85546875" style="2" customWidth="1"/>
    <col min="12278" max="12278" width="8.140625" style="2" customWidth="1"/>
    <col min="12279" max="12477" width="11.42578125" style="2"/>
    <col min="12478" max="12478" width="4.42578125" style="2" bestFit="1" customWidth="1"/>
    <col min="12479" max="12480" width="11.42578125" style="2"/>
    <col min="12481" max="12481" width="38.5703125" style="2" customWidth="1"/>
    <col min="12482" max="12483" width="11.42578125" style="2"/>
    <col min="12484" max="12484" width="11.5703125" style="2" customWidth="1"/>
    <col min="12485" max="12485" width="9" style="2" customWidth="1"/>
    <col min="12486" max="12494" width="11.42578125" style="2"/>
    <col min="12495" max="12495" width="12.42578125" style="2" customWidth="1"/>
    <col min="12496" max="12526" width="11.42578125" style="2"/>
    <col min="12527" max="12527" width="54" style="2" customWidth="1"/>
    <col min="12528" max="12528" width="5.5703125" style="2" customWidth="1"/>
    <col min="12529" max="12529" width="9.5703125" style="2" customWidth="1"/>
    <col min="12530" max="12530" width="35.140625" style="2" customWidth="1"/>
    <col min="12531" max="12531" width="28.42578125" style="2" customWidth="1"/>
    <col min="12532" max="12532" width="35.5703125" style="2" customWidth="1"/>
    <col min="12533" max="12533" width="9.85546875" style="2" customWidth="1"/>
    <col min="12534" max="12534" width="8.140625" style="2" customWidth="1"/>
    <col min="12535" max="12733" width="11.42578125" style="2"/>
    <col min="12734" max="12734" width="4.42578125" style="2" bestFit="1" customWidth="1"/>
    <col min="12735" max="12736" width="11.42578125" style="2"/>
    <col min="12737" max="12737" width="38.5703125" style="2" customWidth="1"/>
    <col min="12738" max="12739" width="11.42578125" style="2"/>
    <col min="12740" max="12740" width="11.5703125" style="2" customWidth="1"/>
    <col min="12741" max="12741" width="9" style="2" customWidth="1"/>
    <col min="12742" max="12750" width="11.42578125" style="2"/>
    <col min="12751" max="12751" width="12.42578125" style="2" customWidth="1"/>
    <col min="12752" max="12782" width="11.42578125" style="2"/>
    <col min="12783" max="12783" width="54" style="2" customWidth="1"/>
    <col min="12784" max="12784" width="5.5703125" style="2" customWidth="1"/>
    <col min="12785" max="12785" width="9.5703125" style="2" customWidth="1"/>
    <col min="12786" max="12786" width="35.140625" style="2" customWidth="1"/>
    <col min="12787" max="12787" width="28.42578125" style="2" customWidth="1"/>
    <col min="12788" max="12788" width="35.5703125" style="2" customWidth="1"/>
    <col min="12789" max="12789" width="9.85546875" style="2" customWidth="1"/>
    <col min="12790" max="12790" width="8.140625" style="2" customWidth="1"/>
    <col min="12791" max="12989" width="11.42578125" style="2"/>
    <col min="12990" max="12990" width="4.42578125" style="2" bestFit="1" customWidth="1"/>
    <col min="12991" max="12992" width="11.42578125" style="2"/>
    <col min="12993" max="12993" width="38.5703125" style="2" customWidth="1"/>
    <col min="12994" max="12995" width="11.42578125" style="2"/>
    <col min="12996" max="12996" width="11.5703125" style="2" customWidth="1"/>
    <col min="12997" max="12997" width="9" style="2" customWidth="1"/>
    <col min="12998" max="13006" width="11.42578125" style="2"/>
    <col min="13007" max="13007" width="12.42578125" style="2" customWidth="1"/>
    <col min="13008" max="13038" width="11.42578125" style="2"/>
    <col min="13039" max="13039" width="54" style="2" customWidth="1"/>
    <col min="13040" max="13040" width="5.5703125" style="2" customWidth="1"/>
    <col min="13041" max="13041" width="9.5703125" style="2" customWidth="1"/>
    <col min="13042" max="13042" width="35.140625" style="2" customWidth="1"/>
    <col min="13043" max="13043" width="28.42578125" style="2" customWidth="1"/>
    <col min="13044" max="13044" width="35.5703125" style="2" customWidth="1"/>
    <col min="13045" max="13045" width="9.85546875" style="2" customWidth="1"/>
    <col min="13046" max="13046" width="8.140625" style="2" customWidth="1"/>
    <col min="13047" max="13245" width="11.42578125" style="2"/>
    <col min="13246" max="13246" width="4.42578125" style="2" bestFit="1" customWidth="1"/>
    <col min="13247" max="13248" width="11.42578125" style="2"/>
    <col min="13249" max="13249" width="38.5703125" style="2" customWidth="1"/>
    <col min="13250" max="13251" width="11.42578125" style="2"/>
    <col min="13252" max="13252" width="11.5703125" style="2" customWidth="1"/>
    <col min="13253" max="13253" width="9" style="2" customWidth="1"/>
    <col min="13254" max="13262" width="11.42578125" style="2"/>
    <col min="13263" max="13263" width="12.42578125" style="2" customWidth="1"/>
    <col min="13264" max="13294" width="11.42578125" style="2"/>
    <col min="13295" max="13295" width="54" style="2" customWidth="1"/>
    <col min="13296" max="13296" width="5.5703125" style="2" customWidth="1"/>
    <col min="13297" max="13297" width="9.5703125" style="2" customWidth="1"/>
    <col min="13298" max="13298" width="35.140625" style="2" customWidth="1"/>
    <col min="13299" max="13299" width="28.42578125" style="2" customWidth="1"/>
    <col min="13300" max="13300" width="35.5703125" style="2" customWidth="1"/>
    <col min="13301" max="13301" width="9.85546875" style="2" customWidth="1"/>
    <col min="13302" max="13302" width="8.140625" style="2" customWidth="1"/>
    <col min="13303" max="13501" width="11.42578125" style="2"/>
    <col min="13502" max="13502" width="4.42578125" style="2" bestFit="1" customWidth="1"/>
    <col min="13503" max="13504" width="11.42578125" style="2"/>
    <col min="13505" max="13505" width="38.5703125" style="2" customWidth="1"/>
    <col min="13506" max="13507" width="11.42578125" style="2"/>
    <col min="13508" max="13508" width="11.5703125" style="2" customWidth="1"/>
    <col min="13509" max="13509" width="9" style="2" customWidth="1"/>
    <col min="13510" max="13518" width="11.42578125" style="2"/>
    <col min="13519" max="13519" width="12.42578125" style="2" customWidth="1"/>
    <col min="13520" max="13550" width="11.42578125" style="2"/>
    <col min="13551" max="13551" width="54" style="2" customWidth="1"/>
    <col min="13552" max="13552" width="5.5703125" style="2" customWidth="1"/>
    <col min="13553" max="13553" width="9.5703125" style="2" customWidth="1"/>
    <col min="13554" max="13554" width="35.140625" style="2" customWidth="1"/>
    <col min="13555" max="13555" width="28.42578125" style="2" customWidth="1"/>
    <col min="13556" max="13556" width="35.5703125" style="2" customWidth="1"/>
    <col min="13557" max="13557" width="9.85546875" style="2" customWidth="1"/>
    <col min="13558" max="13558" width="8.140625" style="2" customWidth="1"/>
    <col min="13559" max="13757" width="11.42578125" style="2"/>
    <col min="13758" max="13758" width="4.42578125" style="2" bestFit="1" customWidth="1"/>
    <col min="13759" max="13760" width="11.42578125" style="2"/>
    <col min="13761" max="13761" width="38.5703125" style="2" customWidth="1"/>
    <col min="13762" max="13763" width="11.42578125" style="2"/>
    <col min="13764" max="13764" width="11.5703125" style="2" customWidth="1"/>
    <col min="13765" max="13765" width="9" style="2" customWidth="1"/>
    <col min="13766" max="13774" width="11.42578125" style="2"/>
    <col min="13775" max="13775" width="12.42578125" style="2" customWidth="1"/>
    <col min="13776" max="13806" width="11.42578125" style="2"/>
    <col min="13807" max="13807" width="54" style="2" customWidth="1"/>
    <col min="13808" max="13808" width="5.5703125" style="2" customWidth="1"/>
    <col min="13809" max="13809" width="9.5703125" style="2" customWidth="1"/>
    <col min="13810" max="13810" width="35.140625" style="2" customWidth="1"/>
    <col min="13811" max="13811" width="28.42578125" style="2" customWidth="1"/>
    <col min="13812" max="13812" width="35.5703125" style="2" customWidth="1"/>
    <col min="13813" max="13813" width="9.85546875" style="2" customWidth="1"/>
    <col min="13814" max="13814" width="8.140625" style="2" customWidth="1"/>
    <col min="13815" max="14013" width="11.42578125" style="2"/>
    <col min="14014" max="14014" width="4.42578125" style="2" bestFit="1" customWidth="1"/>
    <col min="14015" max="14016" width="11.42578125" style="2"/>
    <col min="14017" max="14017" width="38.5703125" style="2" customWidth="1"/>
    <col min="14018" max="14019" width="11.42578125" style="2"/>
    <col min="14020" max="14020" width="11.5703125" style="2" customWidth="1"/>
    <col min="14021" max="14021" width="9" style="2" customWidth="1"/>
    <col min="14022" max="14030" width="11.42578125" style="2"/>
    <col min="14031" max="14031" width="12.42578125" style="2" customWidth="1"/>
    <col min="14032" max="14062" width="11.42578125" style="2"/>
    <col min="14063" max="14063" width="54" style="2" customWidth="1"/>
    <col min="14064" max="14064" width="5.5703125" style="2" customWidth="1"/>
    <col min="14065" max="14065" width="9.5703125" style="2" customWidth="1"/>
    <col min="14066" max="14066" width="35.140625" style="2" customWidth="1"/>
    <col min="14067" max="14067" width="28.42578125" style="2" customWidth="1"/>
    <col min="14068" max="14068" width="35.5703125" style="2" customWidth="1"/>
    <col min="14069" max="14069" width="9.85546875" style="2" customWidth="1"/>
    <col min="14070" max="14070" width="8.140625" style="2" customWidth="1"/>
    <col min="14071" max="14269" width="11.42578125" style="2"/>
    <col min="14270" max="14270" width="4.42578125" style="2" bestFit="1" customWidth="1"/>
    <col min="14271" max="14272" width="11.42578125" style="2"/>
    <col min="14273" max="14273" width="38.5703125" style="2" customWidth="1"/>
    <col min="14274" max="14275" width="11.42578125" style="2"/>
    <col min="14276" max="14276" width="11.5703125" style="2" customWidth="1"/>
    <col min="14277" max="14277" width="9" style="2" customWidth="1"/>
    <col min="14278" max="14286" width="11.42578125" style="2"/>
    <col min="14287" max="14287" width="12.42578125" style="2" customWidth="1"/>
    <col min="14288" max="14318" width="11.42578125" style="2"/>
    <col min="14319" max="14319" width="54" style="2" customWidth="1"/>
    <col min="14320" max="14320" width="5.5703125" style="2" customWidth="1"/>
    <col min="14321" max="14321" width="9.5703125" style="2" customWidth="1"/>
    <col min="14322" max="14322" width="35.140625" style="2" customWidth="1"/>
    <col min="14323" max="14323" width="28.42578125" style="2" customWidth="1"/>
    <col min="14324" max="14324" width="35.5703125" style="2" customWidth="1"/>
    <col min="14325" max="14325" width="9.85546875" style="2" customWidth="1"/>
    <col min="14326" max="14326" width="8.140625" style="2" customWidth="1"/>
    <col min="14327" max="14525" width="11.42578125" style="2"/>
    <col min="14526" max="14526" width="4.42578125" style="2" bestFit="1" customWidth="1"/>
    <col min="14527" max="14528" width="11.42578125" style="2"/>
    <col min="14529" max="14529" width="38.5703125" style="2" customWidth="1"/>
    <col min="14530" max="14531" width="11.42578125" style="2"/>
    <col min="14532" max="14532" width="11.5703125" style="2" customWidth="1"/>
    <col min="14533" max="14533" width="9" style="2" customWidth="1"/>
    <col min="14534" max="14542" width="11.42578125" style="2"/>
    <col min="14543" max="14543" width="12.42578125" style="2" customWidth="1"/>
    <col min="14544" max="14574" width="11.42578125" style="2"/>
    <col min="14575" max="14575" width="54" style="2" customWidth="1"/>
    <col min="14576" max="14576" width="5.5703125" style="2" customWidth="1"/>
    <col min="14577" max="14577" width="9.5703125" style="2" customWidth="1"/>
    <col min="14578" max="14578" width="35.140625" style="2" customWidth="1"/>
    <col min="14579" max="14579" width="28.42578125" style="2" customWidth="1"/>
    <col min="14580" max="14580" width="35.5703125" style="2" customWidth="1"/>
    <col min="14581" max="14581" width="9.85546875" style="2" customWidth="1"/>
    <col min="14582" max="14582" width="8.140625" style="2" customWidth="1"/>
    <col min="14583" max="14781" width="11.42578125" style="2"/>
    <col min="14782" max="14782" width="4.42578125" style="2" bestFit="1" customWidth="1"/>
    <col min="14783" max="14784" width="11.42578125" style="2"/>
    <col min="14785" max="14785" width="38.5703125" style="2" customWidth="1"/>
    <col min="14786" max="14787" width="11.42578125" style="2"/>
    <col min="14788" max="14788" width="11.5703125" style="2" customWidth="1"/>
    <col min="14789" max="14789" width="9" style="2" customWidth="1"/>
    <col min="14790" max="14798" width="11.42578125" style="2"/>
    <col min="14799" max="14799" width="12.42578125" style="2" customWidth="1"/>
    <col min="14800" max="14830" width="11.42578125" style="2"/>
    <col min="14831" max="14831" width="54" style="2" customWidth="1"/>
    <col min="14832" max="14832" width="5.5703125" style="2" customWidth="1"/>
    <col min="14833" max="14833" width="9.5703125" style="2" customWidth="1"/>
    <col min="14834" max="14834" width="35.140625" style="2" customWidth="1"/>
    <col min="14835" max="14835" width="28.42578125" style="2" customWidth="1"/>
    <col min="14836" max="14836" width="35.5703125" style="2" customWidth="1"/>
    <col min="14837" max="14837" width="9.85546875" style="2" customWidth="1"/>
    <col min="14838" max="14838" width="8.140625" style="2" customWidth="1"/>
    <col min="14839" max="15037" width="11.42578125" style="2"/>
    <col min="15038" max="15038" width="4.42578125" style="2" bestFit="1" customWidth="1"/>
    <col min="15039" max="15040" width="11.42578125" style="2"/>
    <col min="15041" max="15041" width="38.5703125" style="2" customWidth="1"/>
    <col min="15042" max="15043" width="11.42578125" style="2"/>
    <col min="15044" max="15044" width="11.5703125" style="2" customWidth="1"/>
    <col min="15045" max="15045" width="9" style="2" customWidth="1"/>
    <col min="15046" max="15054" width="11.42578125" style="2"/>
    <col min="15055" max="15055" width="12.42578125" style="2" customWidth="1"/>
    <col min="15056" max="15086" width="11.42578125" style="2"/>
    <col min="15087" max="15087" width="54" style="2" customWidth="1"/>
    <col min="15088" max="15088" width="5.5703125" style="2" customWidth="1"/>
    <col min="15089" max="15089" width="9.5703125" style="2" customWidth="1"/>
    <col min="15090" max="15090" width="35.140625" style="2" customWidth="1"/>
    <col min="15091" max="15091" width="28.42578125" style="2" customWidth="1"/>
    <col min="15092" max="15092" width="35.5703125" style="2" customWidth="1"/>
    <col min="15093" max="15093" width="9.85546875" style="2" customWidth="1"/>
    <col min="15094" max="15094" width="8.140625" style="2" customWidth="1"/>
    <col min="15095" max="16384" width="11.42578125" style="2"/>
  </cols>
  <sheetData>
    <row r="1" spans="1:53" s="15" customFormat="1" ht="15.75" customHeight="1" thickBot="1">
      <c r="A1" s="13"/>
      <c r="B1" s="85" t="s">
        <v>305</v>
      </c>
      <c r="C1" s="84"/>
      <c r="D1" s="17">
        <v>1</v>
      </c>
      <c r="E1" s="82" t="s">
        <v>299</v>
      </c>
      <c r="F1" s="83"/>
      <c r="G1" s="83"/>
      <c r="H1" s="14" t="s">
        <v>306</v>
      </c>
      <c r="I1" s="70"/>
      <c r="J1" s="17">
        <v>1</v>
      </c>
      <c r="K1" s="12"/>
      <c r="M1" s="126" t="s">
        <v>302</v>
      </c>
      <c r="N1" s="127"/>
      <c r="O1" s="93" t="s">
        <v>333</v>
      </c>
      <c r="P1" s="111"/>
      <c r="Q1" s="95"/>
      <c r="R1" s="94"/>
      <c r="S1" s="94"/>
      <c r="T1" s="95"/>
      <c r="U1" s="94"/>
      <c r="V1" s="111"/>
      <c r="W1" s="95"/>
      <c r="X1" s="94"/>
      <c r="Y1" s="111"/>
      <c r="Z1" s="95"/>
      <c r="AA1" s="95"/>
      <c r="AB1" s="95"/>
      <c r="AC1" s="95"/>
      <c r="AD1" s="94"/>
      <c r="AE1" s="117"/>
      <c r="AF1" s="95"/>
      <c r="AG1" s="94"/>
      <c r="AH1" s="94"/>
      <c r="AI1" s="95"/>
      <c r="AJ1" s="95"/>
      <c r="AK1" s="95"/>
      <c r="AL1" s="96">
        <v>0.09</v>
      </c>
      <c r="AM1" s="118">
        <v>6.7500000000000004E-2</v>
      </c>
      <c r="AN1" s="97"/>
      <c r="AO1" s="98"/>
      <c r="AP1" s="119"/>
      <c r="AQ1" s="95"/>
      <c r="AR1" s="98"/>
      <c r="AS1" s="98"/>
      <c r="AT1" s="95"/>
      <c r="AU1" s="16"/>
      <c r="AW1" s="87"/>
      <c r="AY1" s="2"/>
      <c r="AZ1" s="2"/>
      <c r="BA1" s="2"/>
    </row>
    <row r="2" spans="1:53" s="3" customFormat="1" ht="14.25" customHeight="1">
      <c r="A2" s="4" t="s">
        <v>0</v>
      </c>
      <c r="B2" s="5" t="s">
        <v>1</v>
      </c>
      <c r="C2" s="5" t="s">
        <v>2</v>
      </c>
      <c r="D2" s="5" t="s">
        <v>3</v>
      </c>
      <c r="E2" s="5" t="s">
        <v>315</v>
      </c>
      <c r="F2" s="5" t="s">
        <v>297</v>
      </c>
      <c r="G2" s="5" t="s">
        <v>335</v>
      </c>
      <c r="H2" s="5" t="s">
        <v>292</v>
      </c>
      <c r="I2" s="5" t="s">
        <v>334</v>
      </c>
      <c r="J2" s="9" t="s">
        <v>298</v>
      </c>
      <c r="K2" s="9" t="s">
        <v>307</v>
      </c>
      <c r="L2" s="5" t="s">
        <v>4</v>
      </c>
      <c r="M2" s="128" t="s">
        <v>5</v>
      </c>
      <c r="N2" s="129" t="s">
        <v>6</v>
      </c>
      <c r="O2" s="99" t="s">
        <v>7</v>
      </c>
      <c r="P2" s="112" t="s">
        <v>8</v>
      </c>
      <c r="Q2" s="7" t="s">
        <v>9</v>
      </c>
      <c r="R2" s="8" t="s">
        <v>308</v>
      </c>
      <c r="S2" s="6" t="s">
        <v>309</v>
      </c>
      <c r="T2" s="7" t="s">
        <v>10</v>
      </c>
      <c r="U2" s="8" t="s">
        <v>11</v>
      </c>
      <c r="V2" s="112" t="s">
        <v>12</v>
      </c>
      <c r="W2" s="7" t="s">
        <v>13</v>
      </c>
      <c r="X2" s="8" t="s">
        <v>14</v>
      </c>
      <c r="Y2" s="112" t="s">
        <v>15</v>
      </c>
      <c r="Z2" s="7" t="s">
        <v>16</v>
      </c>
      <c r="AA2" s="10" t="s">
        <v>311</v>
      </c>
      <c r="AB2" s="10" t="s">
        <v>300</v>
      </c>
      <c r="AC2" s="10" t="s">
        <v>301</v>
      </c>
      <c r="AD2" s="8" t="s">
        <v>17</v>
      </c>
      <c r="AE2" s="112" t="s">
        <v>18</v>
      </c>
      <c r="AF2" s="7" t="s">
        <v>19</v>
      </c>
      <c r="AG2" s="8" t="s">
        <v>20</v>
      </c>
      <c r="AH2" s="6" t="s">
        <v>21</v>
      </c>
      <c r="AI2" s="7" t="s">
        <v>22</v>
      </c>
      <c r="AJ2" s="10" t="s">
        <v>302</v>
      </c>
      <c r="AK2" s="10" t="s">
        <v>303</v>
      </c>
      <c r="AL2" s="8" t="s">
        <v>23</v>
      </c>
      <c r="AM2" s="112" t="s">
        <v>24</v>
      </c>
      <c r="AN2" s="7" t="s">
        <v>25</v>
      </c>
      <c r="AO2" s="8" t="s">
        <v>26</v>
      </c>
      <c r="AP2" s="112" t="s">
        <v>27</v>
      </c>
      <c r="AQ2" s="7" t="s">
        <v>28</v>
      </c>
      <c r="AR2" s="8" t="s">
        <v>29</v>
      </c>
      <c r="AS2" s="6" t="s">
        <v>30</v>
      </c>
      <c r="AT2" s="7" t="s">
        <v>31</v>
      </c>
      <c r="AU2" s="11"/>
      <c r="AV2" s="3" t="s">
        <v>314</v>
      </c>
      <c r="AW2" s="88" t="s">
        <v>332</v>
      </c>
      <c r="AY2" s="15"/>
      <c r="AZ2" s="15"/>
      <c r="BA2" s="15"/>
    </row>
    <row r="3" spans="1:53" s="29" customFormat="1">
      <c r="A3" s="50" t="s">
        <v>32</v>
      </c>
      <c r="B3" s="51"/>
      <c r="C3" s="51"/>
      <c r="D3" s="52"/>
      <c r="E3" s="53"/>
      <c r="F3" s="54"/>
      <c r="G3" s="54"/>
      <c r="I3" s="69"/>
      <c r="L3" s="51"/>
      <c r="M3" s="130"/>
      <c r="N3" s="131"/>
      <c r="O3" s="55"/>
      <c r="P3" s="113">
        <f t="shared" ref="P3:P66" si="0">ROUND(O3*$D$1,2)</f>
        <v>0</v>
      </c>
      <c r="Q3" s="33"/>
      <c r="R3" s="32"/>
      <c r="S3" s="113">
        <f>ROUND(R3*$D$1,2)</f>
        <v>0</v>
      </c>
      <c r="T3" s="33"/>
      <c r="U3" s="32"/>
      <c r="V3" s="26"/>
      <c r="W3" s="33"/>
      <c r="X3" s="56"/>
      <c r="Y3" s="26"/>
      <c r="Z3" s="33"/>
      <c r="AA3" s="57"/>
      <c r="AB3" s="57"/>
      <c r="AC3" s="57"/>
      <c r="AD3" s="32"/>
      <c r="AE3" s="113">
        <f t="shared" ref="AE3:AE66" si="1">ROUND(AD3*$J$1,2)</f>
        <v>0</v>
      </c>
      <c r="AF3" s="33"/>
      <c r="AG3" s="32"/>
      <c r="AH3" s="113">
        <f>ROUND(AG3*$D$1,2)</f>
        <v>0</v>
      </c>
      <c r="AI3" s="33"/>
      <c r="AJ3" s="29">
        <f t="shared" ref="AJ3:AJ66" si="2">IF($O$1="SI",400,0)</f>
        <v>0</v>
      </c>
      <c r="AK3" s="57" t="s">
        <v>304</v>
      </c>
      <c r="AL3" s="58">
        <f t="shared" ref="AL3:AL66" si="3">IF(H3="RIMAC EPS EMPRESA PRESTADORA DE SALUD",O3*0.0675,O3*0.09)</f>
        <v>0</v>
      </c>
      <c r="AM3" s="113">
        <f t="shared" ref="AM3:AM66" si="4">ROUND(AL3*$D$1,2)</f>
        <v>0</v>
      </c>
      <c r="AN3" s="33" t="s">
        <v>33</v>
      </c>
      <c r="AO3" s="59">
        <f t="shared" ref="AO3:AO34" si="5">IF(H3="RIMAC EPS EMPRESA PRESTADORA DE SALUD",O3*0.0225,O3*0)</f>
        <v>0</v>
      </c>
      <c r="AP3" s="26"/>
      <c r="AQ3" s="33"/>
      <c r="AR3" s="56"/>
      <c r="AS3" s="26"/>
      <c r="AT3" s="33"/>
      <c r="AU3" s="57"/>
      <c r="AV3" s="59">
        <f>P3+S3+V3+Y3+AB3+AE3+AH3+AJ3</f>
        <v>0</v>
      </c>
      <c r="AW3" s="89">
        <f>AV3+AM3+AP3+AS3</f>
        <v>0</v>
      </c>
      <c r="AX3" s="59"/>
      <c r="AY3" s="3"/>
      <c r="AZ3" s="3"/>
      <c r="BA3" s="3"/>
    </row>
    <row r="4" spans="1:53" s="29" customFormat="1">
      <c r="A4" s="50" t="s">
        <v>34</v>
      </c>
      <c r="B4" s="51"/>
      <c r="C4" s="51"/>
      <c r="D4" s="52"/>
      <c r="E4" s="53"/>
      <c r="F4" s="60"/>
      <c r="G4" s="125"/>
      <c r="I4" s="69"/>
      <c r="L4" s="52"/>
      <c r="M4" s="132"/>
      <c r="N4" s="131"/>
      <c r="O4" s="55"/>
      <c r="P4" s="113">
        <f t="shared" si="0"/>
        <v>0</v>
      </c>
      <c r="Q4" s="33"/>
      <c r="R4" s="56"/>
      <c r="S4" s="26"/>
      <c r="T4" s="33"/>
      <c r="U4" s="32"/>
      <c r="V4" s="113">
        <f>ROUND(U4*$D$1,2)</f>
        <v>0</v>
      </c>
      <c r="W4" s="33"/>
      <c r="X4" s="32"/>
      <c r="Y4" s="113">
        <f>ROUND(X4*$D$1,2)</f>
        <v>0</v>
      </c>
      <c r="Z4" s="33"/>
      <c r="AA4" s="57"/>
      <c r="AB4" s="57"/>
      <c r="AC4" s="57"/>
      <c r="AD4" s="32"/>
      <c r="AE4" s="113">
        <f t="shared" si="1"/>
        <v>0</v>
      </c>
      <c r="AF4" s="33"/>
      <c r="AG4" s="32"/>
      <c r="AH4" s="26"/>
      <c r="AI4" s="33"/>
      <c r="AJ4" s="29">
        <f t="shared" si="2"/>
        <v>0</v>
      </c>
      <c r="AK4" s="57" t="s">
        <v>304</v>
      </c>
      <c r="AL4" s="58">
        <f>IF(H4="RIMAC EPS EMPRESA PRESTADORA DE SALUD",O4*0.0675,O4*0.09)</f>
        <v>0</v>
      </c>
      <c r="AM4" s="113">
        <f t="shared" si="4"/>
        <v>0</v>
      </c>
      <c r="AN4" s="33" t="s">
        <v>33</v>
      </c>
      <c r="AO4" s="59">
        <f t="shared" si="5"/>
        <v>0</v>
      </c>
      <c r="AP4" s="113">
        <f>ROUND(AO4*$D$1,2)</f>
        <v>0</v>
      </c>
      <c r="AQ4" s="33"/>
      <c r="AR4" s="56"/>
      <c r="AS4" s="26"/>
      <c r="AT4" s="33"/>
      <c r="AU4" s="57"/>
      <c r="AV4" s="86">
        <f t="shared" ref="AV4:AV67" si="6">P4+S4+V4+Y4+AB4+AE4+AH4+AJ4</f>
        <v>0</v>
      </c>
      <c r="AW4" s="89">
        <f t="shared" ref="AW4:AW67" si="7">AV4+AM4+AP4+AS4</f>
        <v>0</v>
      </c>
      <c r="AX4" s="86"/>
    </row>
    <row r="5" spans="1:53" s="29" customFormat="1">
      <c r="A5" s="50" t="s">
        <v>35</v>
      </c>
      <c r="E5" s="53"/>
      <c r="G5" s="69"/>
      <c r="I5" s="69"/>
      <c r="L5" s="52"/>
      <c r="M5" s="132"/>
      <c r="N5" s="131"/>
      <c r="O5" s="55"/>
      <c r="P5" s="113">
        <f t="shared" si="0"/>
        <v>0</v>
      </c>
      <c r="Q5" s="33"/>
      <c r="R5" s="56"/>
      <c r="S5" s="26"/>
      <c r="T5" s="33"/>
      <c r="U5" s="32"/>
      <c r="V5" s="113">
        <f>ROUND(U5*$D$1,2)</f>
        <v>0</v>
      </c>
      <c r="W5" s="33"/>
      <c r="X5" s="32"/>
      <c r="Y5" s="113">
        <f>ROUND(X5*$D$1,2)</f>
        <v>0</v>
      </c>
      <c r="Z5" s="33"/>
      <c r="AA5" s="57"/>
      <c r="AB5" s="57"/>
      <c r="AC5" s="57"/>
      <c r="AD5" s="32"/>
      <c r="AE5" s="113">
        <f t="shared" si="1"/>
        <v>0</v>
      </c>
      <c r="AF5" s="33"/>
      <c r="AG5" s="32"/>
      <c r="AH5" s="26"/>
      <c r="AI5" s="33"/>
      <c r="AJ5" s="29">
        <f t="shared" si="2"/>
        <v>0</v>
      </c>
      <c r="AK5" s="57" t="s">
        <v>304</v>
      </c>
      <c r="AL5" s="58">
        <f t="shared" ref="AL5:AL68" si="8">IF(H5="RIMAC EPS EMPRESA PRESTADORA DE SALUD",O5*0.0675,O5*0.09)</f>
        <v>0</v>
      </c>
      <c r="AM5" s="113">
        <f t="shared" si="4"/>
        <v>0</v>
      </c>
      <c r="AN5" s="33" t="s">
        <v>33</v>
      </c>
      <c r="AO5" s="59">
        <f t="shared" si="5"/>
        <v>0</v>
      </c>
      <c r="AP5" s="26"/>
      <c r="AQ5" s="33"/>
      <c r="AR5" s="56"/>
      <c r="AS5" s="26"/>
      <c r="AT5" s="33"/>
      <c r="AU5" s="57"/>
      <c r="AV5" s="86">
        <f t="shared" si="6"/>
        <v>0</v>
      </c>
      <c r="AW5" s="89">
        <f t="shared" si="7"/>
        <v>0</v>
      </c>
      <c r="AX5" s="86"/>
    </row>
    <row r="6" spans="1:53" s="29" customFormat="1">
      <c r="A6" s="50" t="s">
        <v>36</v>
      </c>
      <c r="B6" s="51"/>
      <c r="C6" s="51"/>
      <c r="D6" s="52"/>
      <c r="E6" s="53"/>
      <c r="F6" s="60"/>
      <c r="G6" s="69"/>
      <c r="I6" s="69"/>
      <c r="L6" s="52"/>
      <c r="M6" s="130"/>
      <c r="N6" s="131"/>
      <c r="O6" s="55"/>
      <c r="P6" s="113">
        <f t="shared" si="0"/>
        <v>0</v>
      </c>
      <c r="Q6" s="33"/>
      <c r="R6" s="32"/>
      <c r="S6" s="113">
        <f>ROUND(R6*$D$1,2)</f>
        <v>0</v>
      </c>
      <c r="T6" s="33"/>
      <c r="U6" s="32"/>
      <c r="V6" s="26"/>
      <c r="W6" s="33"/>
      <c r="X6" s="56"/>
      <c r="Y6" s="26"/>
      <c r="Z6" s="33"/>
      <c r="AA6" s="57"/>
      <c r="AB6" s="57"/>
      <c r="AC6" s="57"/>
      <c r="AD6" s="32"/>
      <c r="AE6" s="113">
        <f t="shared" si="1"/>
        <v>0</v>
      </c>
      <c r="AF6" s="33"/>
      <c r="AG6" s="32"/>
      <c r="AH6" s="113">
        <f>ROUND(AG6*$D$1,2)</f>
        <v>0</v>
      </c>
      <c r="AI6" s="33"/>
      <c r="AJ6" s="29">
        <f t="shared" si="2"/>
        <v>0</v>
      </c>
      <c r="AK6" s="57" t="s">
        <v>304</v>
      </c>
      <c r="AL6" s="58">
        <f t="shared" si="8"/>
        <v>0</v>
      </c>
      <c r="AM6" s="113">
        <f t="shared" si="4"/>
        <v>0</v>
      </c>
      <c r="AN6" s="33" t="s">
        <v>33</v>
      </c>
      <c r="AO6" s="59">
        <f t="shared" si="5"/>
        <v>0</v>
      </c>
      <c r="AP6" s="26"/>
      <c r="AQ6" s="33"/>
      <c r="AR6" s="56"/>
      <c r="AS6" s="26"/>
      <c r="AT6" s="33"/>
      <c r="AU6" s="57"/>
      <c r="AV6" s="59">
        <f t="shared" si="6"/>
        <v>0</v>
      </c>
      <c r="AW6" s="89">
        <f t="shared" si="7"/>
        <v>0</v>
      </c>
      <c r="AX6" s="59"/>
    </row>
    <row r="7" spans="1:53" s="29" customFormat="1">
      <c r="A7" s="50" t="s">
        <v>37</v>
      </c>
      <c r="B7" s="51"/>
      <c r="C7" s="51"/>
      <c r="D7" s="52"/>
      <c r="E7" s="53"/>
      <c r="F7" s="60"/>
      <c r="G7" s="69"/>
      <c r="I7" s="69"/>
      <c r="L7" s="61"/>
      <c r="M7" s="132"/>
      <c r="N7" s="131"/>
      <c r="O7" s="55"/>
      <c r="P7" s="113">
        <f t="shared" si="0"/>
        <v>0</v>
      </c>
      <c r="Q7" s="33"/>
      <c r="R7" s="56"/>
      <c r="S7" s="26"/>
      <c r="T7" s="33"/>
      <c r="U7" s="32"/>
      <c r="V7" s="113">
        <f>ROUND(U7*$D$1,2)</f>
        <v>0</v>
      </c>
      <c r="W7" s="33"/>
      <c r="X7" s="32"/>
      <c r="Y7" s="113">
        <f>ROUND(X7*$D$1,2)</f>
        <v>0</v>
      </c>
      <c r="Z7" s="33"/>
      <c r="AA7" s="57"/>
      <c r="AB7" s="57"/>
      <c r="AC7" s="57"/>
      <c r="AD7" s="32"/>
      <c r="AE7" s="113">
        <f t="shared" si="1"/>
        <v>0</v>
      </c>
      <c r="AF7" s="33"/>
      <c r="AG7" s="32"/>
      <c r="AH7" s="26"/>
      <c r="AI7" s="33"/>
      <c r="AJ7" s="29">
        <f t="shared" si="2"/>
        <v>0</v>
      </c>
      <c r="AK7" s="57" t="s">
        <v>304</v>
      </c>
      <c r="AL7" s="58">
        <f t="shared" si="8"/>
        <v>0</v>
      </c>
      <c r="AM7" s="113">
        <f t="shared" si="4"/>
        <v>0</v>
      </c>
      <c r="AN7" s="33" t="s">
        <v>33</v>
      </c>
      <c r="AO7" s="59">
        <f t="shared" si="5"/>
        <v>0</v>
      </c>
      <c r="AP7" s="113">
        <f>ROUND(AO7*$D$1,2)</f>
        <v>0</v>
      </c>
      <c r="AQ7" s="33"/>
      <c r="AR7" s="56"/>
      <c r="AS7" s="26"/>
      <c r="AT7" s="33"/>
      <c r="AU7" s="57"/>
      <c r="AV7" s="86">
        <f t="shared" si="6"/>
        <v>0</v>
      </c>
      <c r="AW7" s="89">
        <f t="shared" si="7"/>
        <v>0</v>
      </c>
      <c r="AX7" s="86"/>
    </row>
    <row r="8" spans="1:53" s="29" customFormat="1">
      <c r="A8" s="50" t="s">
        <v>38</v>
      </c>
      <c r="B8" s="51"/>
      <c r="C8" s="51"/>
      <c r="D8" s="52"/>
      <c r="E8" s="53"/>
      <c r="F8" s="62"/>
      <c r="G8" s="69"/>
      <c r="I8" s="69"/>
      <c r="L8" s="51"/>
      <c r="M8" s="130"/>
      <c r="N8" s="131"/>
      <c r="O8" s="55"/>
      <c r="P8" s="113">
        <f t="shared" si="0"/>
        <v>0</v>
      </c>
      <c r="Q8" s="33"/>
      <c r="R8" s="32"/>
      <c r="S8" s="113">
        <f>ROUND(R8*$D$1,2)</f>
        <v>0</v>
      </c>
      <c r="T8" s="33"/>
      <c r="U8" s="32"/>
      <c r="V8" s="26"/>
      <c r="W8" s="33"/>
      <c r="X8" s="56"/>
      <c r="Y8" s="26"/>
      <c r="Z8" s="33"/>
      <c r="AA8" s="57"/>
      <c r="AB8" s="57"/>
      <c r="AC8" s="57"/>
      <c r="AD8" s="32"/>
      <c r="AE8" s="113">
        <f t="shared" si="1"/>
        <v>0</v>
      </c>
      <c r="AF8" s="33"/>
      <c r="AG8" s="32"/>
      <c r="AH8" s="113">
        <f>ROUND(AG8*$D$1,2)</f>
        <v>0</v>
      </c>
      <c r="AI8" s="33"/>
      <c r="AJ8" s="29">
        <f t="shared" si="2"/>
        <v>0</v>
      </c>
      <c r="AK8" s="57" t="s">
        <v>304</v>
      </c>
      <c r="AL8" s="58">
        <f t="shared" si="8"/>
        <v>0</v>
      </c>
      <c r="AM8" s="113">
        <f t="shared" si="4"/>
        <v>0</v>
      </c>
      <c r="AN8" s="33" t="s">
        <v>33</v>
      </c>
      <c r="AO8" s="59">
        <f t="shared" si="5"/>
        <v>0</v>
      </c>
      <c r="AP8" s="26"/>
      <c r="AQ8" s="33"/>
      <c r="AR8" s="56"/>
      <c r="AS8" s="26"/>
      <c r="AT8" s="33"/>
      <c r="AU8" s="57"/>
      <c r="AV8" s="59">
        <f t="shared" si="6"/>
        <v>0</v>
      </c>
      <c r="AW8" s="89">
        <f t="shared" si="7"/>
        <v>0</v>
      </c>
      <c r="AX8" s="59"/>
    </row>
    <row r="9" spans="1:53" s="29" customFormat="1">
      <c r="A9" s="50" t="s">
        <v>39</v>
      </c>
      <c r="B9" s="51"/>
      <c r="C9" s="51"/>
      <c r="D9" s="52"/>
      <c r="E9" s="53"/>
      <c r="F9" s="62"/>
      <c r="G9" s="125"/>
      <c r="I9" s="69"/>
      <c r="L9" s="52"/>
      <c r="M9" s="132"/>
      <c r="N9" s="131"/>
      <c r="O9" s="55"/>
      <c r="P9" s="113">
        <f t="shared" si="0"/>
        <v>0</v>
      </c>
      <c r="Q9" s="33"/>
      <c r="R9" s="56"/>
      <c r="S9" s="26"/>
      <c r="T9" s="33"/>
      <c r="U9" s="32"/>
      <c r="V9" s="113">
        <f t="shared" ref="V9:V40" si="9">ROUND(U9*$D$1,2)</f>
        <v>0</v>
      </c>
      <c r="W9" s="33"/>
      <c r="X9" s="32"/>
      <c r="Y9" s="113">
        <f t="shared" ref="Y9:Y40" si="10">ROUND(X9*$D$1,2)</f>
        <v>0</v>
      </c>
      <c r="Z9" s="33"/>
      <c r="AA9" s="57"/>
      <c r="AB9" s="57"/>
      <c r="AC9" s="57"/>
      <c r="AD9" s="32"/>
      <c r="AE9" s="113">
        <f t="shared" si="1"/>
        <v>0</v>
      </c>
      <c r="AF9" s="33"/>
      <c r="AG9" s="32"/>
      <c r="AH9" s="26"/>
      <c r="AI9" s="33"/>
      <c r="AJ9" s="29">
        <f t="shared" si="2"/>
        <v>0</v>
      </c>
      <c r="AK9" s="57" t="s">
        <v>304</v>
      </c>
      <c r="AL9" s="58">
        <f t="shared" si="8"/>
        <v>0</v>
      </c>
      <c r="AM9" s="113">
        <f t="shared" si="4"/>
        <v>0</v>
      </c>
      <c r="AN9" s="33" t="s">
        <v>33</v>
      </c>
      <c r="AO9" s="59">
        <f t="shared" si="5"/>
        <v>0</v>
      </c>
      <c r="AP9" s="26"/>
      <c r="AQ9" s="33"/>
      <c r="AR9" s="56"/>
      <c r="AS9" s="26"/>
      <c r="AT9" s="33"/>
      <c r="AU9" s="57"/>
      <c r="AV9" s="86">
        <f t="shared" si="6"/>
        <v>0</v>
      </c>
      <c r="AW9" s="89">
        <f t="shared" si="7"/>
        <v>0</v>
      </c>
      <c r="AX9" s="86"/>
    </row>
    <row r="10" spans="1:53" s="29" customFormat="1">
      <c r="A10" s="50" t="s">
        <v>40</v>
      </c>
      <c r="B10" s="54"/>
      <c r="C10" s="54"/>
      <c r="D10" s="54"/>
      <c r="E10" s="53"/>
      <c r="F10" s="62"/>
      <c r="G10" s="125"/>
      <c r="I10" s="69"/>
      <c r="L10" s="52"/>
      <c r="M10" s="132"/>
      <c r="N10" s="131"/>
      <c r="O10" s="55"/>
      <c r="P10" s="113">
        <f t="shared" si="0"/>
        <v>0</v>
      </c>
      <c r="Q10" s="33"/>
      <c r="R10" s="56"/>
      <c r="S10" s="26"/>
      <c r="T10" s="33"/>
      <c r="U10" s="32"/>
      <c r="V10" s="113">
        <f t="shared" si="9"/>
        <v>0</v>
      </c>
      <c r="W10" s="33"/>
      <c r="X10" s="32"/>
      <c r="Y10" s="113">
        <f t="shared" si="10"/>
        <v>0</v>
      </c>
      <c r="Z10" s="33"/>
      <c r="AA10" s="57"/>
      <c r="AB10" s="57"/>
      <c r="AC10" s="57"/>
      <c r="AD10" s="32"/>
      <c r="AE10" s="113">
        <f t="shared" si="1"/>
        <v>0</v>
      </c>
      <c r="AF10" s="33"/>
      <c r="AG10" s="32"/>
      <c r="AH10" s="26"/>
      <c r="AI10" s="33"/>
      <c r="AJ10" s="29">
        <f t="shared" si="2"/>
        <v>0</v>
      </c>
      <c r="AK10" s="57" t="s">
        <v>304</v>
      </c>
      <c r="AL10" s="58">
        <f t="shared" si="8"/>
        <v>0</v>
      </c>
      <c r="AM10" s="113">
        <f t="shared" si="4"/>
        <v>0</v>
      </c>
      <c r="AN10" s="33" t="s">
        <v>33</v>
      </c>
      <c r="AO10" s="59">
        <f t="shared" si="5"/>
        <v>0</v>
      </c>
      <c r="AP10" s="26"/>
      <c r="AQ10" s="33"/>
      <c r="AR10" s="56"/>
      <c r="AS10" s="26"/>
      <c r="AT10" s="33"/>
      <c r="AU10" s="57"/>
      <c r="AV10" s="86">
        <f t="shared" si="6"/>
        <v>0</v>
      </c>
      <c r="AW10" s="89">
        <f t="shared" si="7"/>
        <v>0</v>
      </c>
      <c r="AX10" s="86"/>
    </row>
    <row r="11" spans="1:53" s="29" customFormat="1">
      <c r="A11" s="50" t="s">
        <v>41</v>
      </c>
      <c r="B11" s="51"/>
      <c r="C11" s="51"/>
      <c r="D11" s="52"/>
      <c r="E11" s="53"/>
      <c r="F11" s="62"/>
      <c r="G11" s="69"/>
      <c r="I11" s="69"/>
      <c r="L11" s="52"/>
      <c r="M11" s="132"/>
      <c r="N11" s="131"/>
      <c r="O11" s="55"/>
      <c r="P11" s="113">
        <f t="shared" si="0"/>
        <v>0</v>
      </c>
      <c r="Q11" s="33"/>
      <c r="R11" s="56"/>
      <c r="S11" s="26"/>
      <c r="T11" s="33"/>
      <c r="U11" s="32"/>
      <c r="V11" s="113">
        <f t="shared" si="9"/>
        <v>0</v>
      </c>
      <c r="W11" s="33"/>
      <c r="X11" s="32"/>
      <c r="Y11" s="113">
        <f t="shared" si="10"/>
        <v>0</v>
      </c>
      <c r="Z11" s="33"/>
      <c r="AA11" s="57"/>
      <c r="AB11" s="57"/>
      <c r="AC11" s="57"/>
      <c r="AD11" s="32"/>
      <c r="AE11" s="113">
        <f t="shared" si="1"/>
        <v>0</v>
      </c>
      <c r="AF11" s="33"/>
      <c r="AG11" s="32"/>
      <c r="AH11" s="26"/>
      <c r="AI11" s="33"/>
      <c r="AJ11" s="29">
        <f t="shared" si="2"/>
        <v>0</v>
      </c>
      <c r="AK11" s="57" t="s">
        <v>304</v>
      </c>
      <c r="AL11" s="58">
        <f t="shared" si="8"/>
        <v>0</v>
      </c>
      <c r="AM11" s="113">
        <f t="shared" si="4"/>
        <v>0</v>
      </c>
      <c r="AN11" s="33" t="s">
        <v>33</v>
      </c>
      <c r="AO11" s="59">
        <f t="shared" si="5"/>
        <v>0</v>
      </c>
      <c r="AP11" s="113">
        <f>ROUND(AO11*$D$1,2)</f>
        <v>0</v>
      </c>
      <c r="AQ11" s="33"/>
      <c r="AR11" s="56"/>
      <c r="AS11" s="26"/>
      <c r="AT11" s="33"/>
      <c r="AU11" s="57"/>
      <c r="AV11" s="86">
        <f t="shared" si="6"/>
        <v>0</v>
      </c>
      <c r="AW11" s="89">
        <f t="shared" si="7"/>
        <v>0</v>
      </c>
      <c r="AX11" s="86"/>
    </row>
    <row r="12" spans="1:53" s="29" customFormat="1">
      <c r="A12" s="50" t="s">
        <v>42</v>
      </c>
      <c r="B12" s="51"/>
      <c r="C12" s="51"/>
      <c r="D12" s="52"/>
      <c r="E12" s="53"/>
      <c r="F12" s="62"/>
      <c r="G12" s="125"/>
      <c r="I12" s="69"/>
      <c r="L12" s="52"/>
      <c r="M12" s="132"/>
      <c r="N12" s="131"/>
      <c r="O12" s="55"/>
      <c r="P12" s="113">
        <f t="shared" si="0"/>
        <v>0</v>
      </c>
      <c r="Q12" s="33"/>
      <c r="R12" s="56"/>
      <c r="S12" s="26"/>
      <c r="T12" s="33"/>
      <c r="U12" s="32"/>
      <c r="V12" s="113">
        <f t="shared" si="9"/>
        <v>0</v>
      </c>
      <c r="W12" s="33"/>
      <c r="X12" s="63"/>
      <c r="Y12" s="113">
        <f t="shared" si="10"/>
        <v>0</v>
      </c>
      <c r="Z12" s="33"/>
      <c r="AA12" s="57"/>
      <c r="AB12" s="57"/>
      <c r="AC12" s="57"/>
      <c r="AD12" s="32"/>
      <c r="AE12" s="113">
        <f t="shared" si="1"/>
        <v>0</v>
      </c>
      <c r="AF12" s="33"/>
      <c r="AG12" s="32"/>
      <c r="AH12" s="26"/>
      <c r="AI12" s="33"/>
      <c r="AJ12" s="29">
        <f t="shared" si="2"/>
        <v>0</v>
      </c>
      <c r="AK12" s="57" t="s">
        <v>304</v>
      </c>
      <c r="AL12" s="58">
        <f t="shared" si="8"/>
        <v>0</v>
      </c>
      <c r="AM12" s="113">
        <f t="shared" si="4"/>
        <v>0</v>
      </c>
      <c r="AN12" s="33" t="s">
        <v>33</v>
      </c>
      <c r="AO12" s="59">
        <f t="shared" si="5"/>
        <v>0</v>
      </c>
      <c r="AP12" s="26"/>
      <c r="AQ12" s="33"/>
      <c r="AR12" s="56"/>
      <c r="AS12" s="26"/>
      <c r="AT12" s="33"/>
      <c r="AU12" s="57"/>
      <c r="AV12" s="86">
        <f t="shared" si="6"/>
        <v>0</v>
      </c>
      <c r="AW12" s="89">
        <f t="shared" si="7"/>
        <v>0</v>
      </c>
      <c r="AX12" s="86"/>
    </row>
    <row r="13" spans="1:53" s="29" customFormat="1">
      <c r="A13" s="50" t="s">
        <v>43</v>
      </c>
      <c r="B13" s="51"/>
      <c r="C13" s="51"/>
      <c r="D13" s="52"/>
      <c r="E13" s="53"/>
      <c r="F13" s="62"/>
      <c r="G13" s="125"/>
      <c r="I13" s="69"/>
      <c r="L13" s="61"/>
      <c r="M13" s="132"/>
      <c r="N13" s="131"/>
      <c r="O13" s="55"/>
      <c r="P13" s="113">
        <f t="shared" si="0"/>
        <v>0</v>
      </c>
      <c r="Q13" s="33"/>
      <c r="R13" s="56"/>
      <c r="S13" s="26"/>
      <c r="T13" s="33"/>
      <c r="U13" s="32"/>
      <c r="V13" s="113">
        <f t="shared" si="9"/>
        <v>0</v>
      </c>
      <c r="W13" s="33"/>
      <c r="X13" s="32"/>
      <c r="Y13" s="113">
        <f t="shared" si="10"/>
        <v>0</v>
      </c>
      <c r="Z13" s="33"/>
      <c r="AA13" s="57"/>
      <c r="AB13" s="57"/>
      <c r="AC13" s="57"/>
      <c r="AD13" s="32"/>
      <c r="AE13" s="113">
        <f t="shared" si="1"/>
        <v>0</v>
      </c>
      <c r="AF13" s="33"/>
      <c r="AG13" s="32"/>
      <c r="AH13" s="26"/>
      <c r="AI13" s="33"/>
      <c r="AJ13" s="29">
        <f t="shared" si="2"/>
        <v>0</v>
      </c>
      <c r="AK13" s="57" t="s">
        <v>304</v>
      </c>
      <c r="AL13" s="58">
        <f t="shared" si="8"/>
        <v>0</v>
      </c>
      <c r="AM13" s="113">
        <f t="shared" si="4"/>
        <v>0</v>
      </c>
      <c r="AN13" s="33" t="s">
        <v>33</v>
      </c>
      <c r="AO13" s="59">
        <f t="shared" si="5"/>
        <v>0</v>
      </c>
      <c r="AP13" s="26"/>
      <c r="AQ13" s="33"/>
      <c r="AR13" s="56"/>
      <c r="AS13" s="26"/>
      <c r="AT13" s="33"/>
      <c r="AU13" s="57"/>
      <c r="AV13" s="86">
        <f t="shared" si="6"/>
        <v>0</v>
      </c>
      <c r="AW13" s="89">
        <f t="shared" si="7"/>
        <v>0</v>
      </c>
      <c r="AX13" s="86"/>
    </row>
    <row r="14" spans="1:53" s="29" customFormat="1">
      <c r="A14" s="50" t="s">
        <v>44</v>
      </c>
      <c r="B14" s="51"/>
      <c r="C14" s="51"/>
      <c r="D14" s="52"/>
      <c r="E14" s="53"/>
      <c r="F14" s="62"/>
      <c r="G14" s="69"/>
      <c r="I14" s="69"/>
      <c r="L14" s="52"/>
      <c r="M14" s="132"/>
      <c r="N14" s="131"/>
      <c r="O14" s="55"/>
      <c r="P14" s="113">
        <f t="shared" si="0"/>
        <v>0</v>
      </c>
      <c r="Q14" s="33"/>
      <c r="R14" s="56"/>
      <c r="S14" s="26"/>
      <c r="T14" s="33"/>
      <c r="U14" s="32"/>
      <c r="V14" s="113">
        <f t="shared" si="9"/>
        <v>0</v>
      </c>
      <c r="W14" s="33"/>
      <c r="X14" s="32"/>
      <c r="Y14" s="113">
        <f t="shared" si="10"/>
        <v>0</v>
      </c>
      <c r="Z14" s="33"/>
      <c r="AA14" s="57"/>
      <c r="AB14" s="57"/>
      <c r="AC14" s="57"/>
      <c r="AD14" s="32"/>
      <c r="AE14" s="113">
        <f t="shared" si="1"/>
        <v>0</v>
      </c>
      <c r="AF14" s="33"/>
      <c r="AG14" s="32"/>
      <c r="AH14" s="26"/>
      <c r="AI14" s="33"/>
      <c r="AJ14" s="29">
        <f t="shared" si="2"/>
        <v>0</v>
      </c>
      <c r="AK14" s="57" t="s">
        <v>304</v>
      </c>
      <c r="AL14" s="58">
        <f t="shared" si="8"/>
        <v>0</v>
      </c>
      <c r="AM14" s="113">
        <f t="shared" si="4"/>
        <v>0</v>
      </c>
      <c r="AN14" s="33" t="s">
        <v>33</v>
      </c>
      <c r="AO14" s="59">
        <f t="shared" si="5"/>
        <v>0</v>
      </c>
      <c r="AP14" s="26"/>
      <c r="AQ14" s="33"/>
      <c r="AR14" s="56"/>
      <c r="AS14" s="26"/>
      <c r="AT14" s="33"/>
      <c r="AU14" s="57"/>
      <c r="AV14" s="86">
        <f t="shared" si="6"/>
        <v>0</v>
      </c>
      <c r="AW14" s="89">
        <f t="shared" si="7"/>
        <v>0</v>
      </c>
      <c r="AX14" s="86"/>
    </row>
    <row r="15" spans="1:53" s="29" customFormat="1">
      <c r="A15" s="50" t="s">
        <v>45</v>
      </c>
      <c r="B15" s="51"/>
      <c r="C15" s="51"/>
      <c r="D15" s="52"/>
      <c r="E15" s="53"/>
      <c r="F15" s="62"/>
      <c r="G15" s="125"/>
      <c r="I15" s="69"/>
      <c r="L15" s="52"/>
      <c r="M15" s="132"/>
      <c r="N15" s="131"/>
      <c r="O15" s="55"/>
      <c r="P15" s="113">
        <f t="shared" si="0"/>
        <v>0</v>
      </c>
      <c r="Q15" s="33"/>
      <c r="R15" s="56"/>
      <c r="S15" s="26"/>
      <c r="T15" s="33"/>
      <c r="U15" s="32"/>
      <c r="V15" s="113">
        <f t="shared" si="9"/>
        <v>0</v>
      </c>
      <c r="W15" s="33"/>
      <c r="X15" s="32"/>
      <c r="Y15" s="113">
        <f t="shared" si="10"/>
        <v>0</v>
      </c>
      <c r="Z15" s="33"/>
      <c r="AA15" s="57"/>
      <c r="AB15" s="57"/>
      <c r="AC15" s="57"/>
      <c r="AD15" s="32"/>
      <c r="AE15" s="113">
        <f t="shared" si="1"/>
        <v>0</v>
      </c>
      <c r="AF15" s="33"/>
      <c r="AG15" s="32"/>
      <c r="AH15" s="26"/>
      <c r="AI15" s="33"/>
      <c r="AJ15" s="29">
        <f t="shared" si="2"/>
        <v>0</v>
      </c>
      <c r="AK15" s="57" t="s">
        <v>304</v>
      </c>
      <c r="AL15" s="58">
        <f t="shared" si="8"/>
        <v>0</v>
      </c>
      <c r="AM15" s="113">
        <f t="shared" si="4"/>
        <v>0</v>
      </c>
      <c r="AN15" s="33" t="s">
        <v>33</v>
      </c>
      <c r="AO15" s="59">
        <f t="shared" si="5"/>
        <v>0</v>
      </c>
      <c r="AP15" s="26"/>
      <c r="AQ15" s="33"/>
      <c r="AR15" s="56"/>
      <c r="AS15" s="26"/>
      <c r="AT15" s="33"/>
      <c r="AU15" s="57"/>
      <c r="AV15" s="86">
        <f t="shared" si="6"/>
        <v>0</v>
      </c>
      <c r="AW15" s="89">
        <f t="shared" si="7"/>
        <v>0</v>
      </c>
      <c r="AX15" s="86"/>
    </row>
    <row r="16" spans="1:53" s="29" customFormat="1">
      <c r="A16" s="50" t="s">
        <v>46</v>
      </c>
      <c r="B16" s="51"/>
      <c r="C16" s="51"/>
      <c r="D16" s="52"/>
      <c r="E16" s="53"/>
      <c r="F16" s="62"/>
      <c r="G16" s="125"/>
      <c r="I16" s="69"/>
      <c r="L16" s="61"/>
      <c r="M16" s="132"/>
      <c r="N16" s="131"/>
      <c r="O16" s="55"/>
      <c r="P16" s="113">
        <f t="shared" si="0"/>
        <v>0</v>
      </c>
      <c r="Q16" s="33"/>
      <c r="R16" s="56"/>
      <c r="S16" s="26"/>
      <c r="T16" s="33"/>
      <c r="U16" s="32"/>
      <c r="V16" s="113">
        <f t="shared" si="9"/>
        <v>0</v>
      </c>
      <c r="W16" s="33"/>
      <c r="X16" s="32"/>
      <c r="Y16" s="113">
        <f t="shared" si="10"/>
        <v>0</v>
      </c>
      <c r="Z16" s="33"/>
      <c r="AA16" s="57"/>
      <c r="AB16" s="113">
        <f>ROUND(AA16*$D$1,2)</f>
        <v>0</v>
      </c>
      <c r="AC16" s="33"/>
      <c r="AD16" s="32"/>
      <c r="AE16" s="113">
        <f t="shared" si="1"/>
        <v>0</v>
      </c>
      <c r="AF16" s="33"/>
      <c r="AG16" s="32"/>
      <c r="AH16" s="26"/>
      <c r="AI16" s="33"/>
      <c r="AJ16" s="29">
        <f t="shared" si="2"/>
        <v>0</v>
      </c>
      <c r="AK16" s="57" t="s">
        <v>304</v>
      </c>
      <c r="AL16" s="58">
        <f t="shared" si="8"/>
        <v>0</v>
      </c>
      <c r="AM16" s="113">
        <f t="shared" si="4"/>
        <v>0</v>
      </c>
      <c r="AN16" s="33" t="s">
        <v>33</v>
      </c>
      <c r="AO16" s="59">
        <f t="shared" si="5"/>
        <v>0</v>
      </c>
      <c r="AP16" s="26"/>
      <c r="AQ16" s="33"/>
      <c r="AR16" s="56"/>
      <c r="AS16" s="26"/>
      <c r="AT16" s="33"/>
      <c r="AU16" s="57"/>
      <c r="AV16" s="86">
        <f t="shared" si="6"/>
        <v>0</v>
      </c>
      <c r="AW16" s="89">
        <f t="shared" si="7"/>
        <v>0</v>
      </c>
      <c r="AX16" s="86"/>
    </row>
    <row r="17" spans="1:50" s="29" customFormat="1">
      <c r="A17" s="50" t="s">
        <v>47</v>
      </c>
      <c r="B17" s="51"/>
      <c r="C17" s="51"/>
      <c r="D17" s="52"/>
      <c r="E17" s="53"/>
      <c r="F17" s="62"/>
      <c r="G17" s="125"/>
      <c r="I17" s="69"/>
      <c r="L17" s="61"/>
      <c r="M17" s="132"/>
      <c r="N17" s="131"/>
      <c r="O17" s="55"/>
      <c r="P17" s="113">
        <f t="shared" si="0"/>
        <v>0</v>
      </c>
      <c r="Q17" s="33"/>
      <c r="R17" s="56"/>
      <c r="S17" s="26"/>
      <c r="T17" s="33"/>
      <c r="U17" s="32"/>
      <c r="V17" s="113">
        <f t="shared" si="9"/>
        <v>0</v>
      </c>
      <c r="W17" s="33"/>
      <c r="X17" s="32"/>
      <c r="Y17" s="113">
        <f t="shared" si="10"/>
        <v>0</v>
      </c>
      <c r="Z17" s="33"/>
      <c r="AA17" s="57"/>
      <c r="AB17" s="113">
        <f>ROUND(AA17*$D$1,2)</f>
        <v>0</v>
      </c>
      <c r="AC17" s="33"/>
      <c r="AD17" s="32"/>
      <c r="AE17" s="113">
        <f t="shared" si="1"/>
        <v>0</v>
      </c>
      <c r="AF17" s="33"/>
      <c r="AG17" s="32"/>
      <c r="AH17" s="26"/>
      <c r="AI17" s="33"/>
      <c r="AJ17" s="29">
        <f t="shared" si="2"/>
        <v>0</v>
      </c>
      <c r="AK17" s="57" t="s">
        <v>304</v>
      </c>
      <c r="AL17" s="58">
        <f t="shared" si="8"/>
        <v>0</v>
      </c>
      <c r="AM17" s="113">
        <f t="shared" si="4"/>
        <v>0</v>
      </c>
      <c r="AN17" s="33" t="s">
        <v>33</v>
      </c>
      <c r="AO17" s="59">
        <f t="shared" si="5"/>
        <v>0</v>
      </c>
      <c r="AP17" s="26"/>
      <c r="AQ17" s="33"/>
      <c r="AR17" s="56"/>
      <c r="AS17" s="26"/>
      <c r="AT17" s="33"/>
      <c r="AU17" s="57"/>
      <c r="AV17" s="86">
        <f t="shared" si="6"/>
        <v>0</v>
      </c>
      <c r="AW17" s="89">
        <f t="shared" si="7"/>
        <v>0</v>
      </c>
      <c r="AX17" s="86"/>
    </row>
    <row r="18" spans="1:50" s="29" customFormat="1">
      <c r="A18" s="50" t="s">
        <v>48</v>
      </c>
      <c r="B18" s="51"/>
      <c r="C18" s="51"/>
      <c r="D18" s="51"/>
      <c r="E18" s="53"/>
      <c r="F18" s="62"/>
      <c r="G18" s="125"/>
      <c r="I18" s="69"/>
      <c r="L18" s="52"/>
      <c r="M18" s="132"/>
      <c r="N18" s="131"/>
      <c r="O18" s="55"/>
      <c r="P18" s="113">
        <f t="shared" si="0"/>
        <v>0</v>
      </c>
      <c r="Q18" s="33"/>
      <c r="R18" s="56"/>
      <c r="S18" s="26"/>
      <c r="T18" s="33"/>
      <c r="U18" s="32"/>
      <c r="V18" s="113">
        <f t="shared" si="9"/>
        <v>0</v>
      </c>
      <c r="W18" s="33"/>
      <c r="X18" s="32"/>
      <c r="Y18" s="113">
        <f t="shared" si="10"/>
        <v>0</v>
      </c>
      <c r="Z18" s="33"/>
      <c r="AA18" s="57"/>
      <c r="AB18" s="57"/>
      <c r="AC18" s="57"/>
      <c r="AD18" s="32"/>
      <c r="AE18" s="113">
        <f t="shared" si="1"/>
        <v>0</v>
      </c>
      <c r="AF18" s="33"/>
      <c r="AG18" s="32"/>
      <c r="AH18" s="26"/>
      <c r="AI18" s="33"/>
      <c r="AJ18" s="29">
        <f t="shared" si="2"/>
        <v>0</v>
      </c>
      <c r="AK18" s="57" t="s">
        <v>304</v>
      </c>
      <c r="AL18" s="58">
        <f t="shared" si="8"/>
        <v>0</v>
      </c>
      <c r="AM18" s="113">
        <f t="shared" si="4"/>
        <v>0</v>
      </c>
      <c r="AN18" s="33" t="s">
        <v>33</v>
      </c>
      <c r="AO18" s="59">
        <f t="shared" si="5"/>
        <v>0</v>
      </c>
      <c r="AP18" s="113">
        <f>ROUND(AO18*$D$1,2)</f>
        <v>0</v>
      </c>
      <c r="AQ18" s="33"/>
      <c r="AR18" s="56"/>
      <c r="AS18" s="26"/>
      <c r="AT18" s="33"/>
      <c r="AU18" s="57"/>
      <c r="AV18" s="86">
        <f t="shared" si="6"/>
        <v>0</v>
      </c>
      <c r="AW18" s="89">
        <f t="shared" si="7"/>
        <v>0</v>
      </c>
      <c r="AX18" s="86"/>
    </row>
    <row r="19" spans="1:50" s="29" customFormat="1">
      <c r="A19" s="50" t="s">
        <v>49</v>
      </c>
      <c r="B19" s="51"/>
      <c r="C19" s="51"/>
      <c r="D19" s="52"/>
      <c r="E19" s="53"/>
      <c r="F19" s="62"/>
      <c r="G19" s="125"/>
      <c r="I19" s="69"/>
      <c r="L19" s="52"/>
      <c r="M19" s="132"/>
      <c r="N19" s="131"/>
      <c r="O19" s="55"/>
      <c r="P19" s="113">
        <f t="shared" si="0"/>
        <v>0</v>
      </c>
      <c r="Q19" s="33"/>
      <c r="R19" s="56"/>
      <c r="S19" s="26"/>
      <c r="T19" s="33"/>
      <c r="U19" s="32"/>
      <c r="V19" s="113">
        <f t="shared" si="9"/>
        <v>0</v>
      </c>
      <c r="W19" s="33"/>
      <c r="X19" s="32"/>
      <c r="Y19" s="113">
        <f t="shared" si="10"/>
        <v>0</v>
      </c>
      <c r="Z19" s="33"/>
      <c r="AA19" s="57"/>
      <c r="AB19" s="57"/>
      <c r="AC19" s="57"/>
      <c r="AD19" s="32"/>
      <c r="AE19" s="113">
        <f t="shared" si="1"/>
        <v>0</v>
      </c>
      <c r="AF19" s="33"/>
      <c r="AG19" s="32"/>
      <c r="AH19" s="26"/>
      <c r="AI19" s="33"/>
      <c r="AJ19" s="29">
        <f t="shared" si="2"/>
        <v>0</v>
      </c>
      <c r="AK19" s="57" t="s">
        <v>304</v>
      </c>
      <c r="AL19" s="58">
        <f t="shared" si="8"/>
        <v>0</v>
      </c>
      <c r="AM19" s="113">
        <f t="shared" si="4"/>
        <v>0</v>
      </c>
      <c r="AN19" s="33" t="s">
        <v>33</v>
      </c>
      <c r="AO19" s="59">
        <f t="shared" si="5"/>
        <v>0</v>
      </c>
      <c r="AP19" s="26"/>
      <c r="AQ19" s="33"/>
      <c r="AR19" s="56"/>
      <c r="AS19" s="26"/>
      <c r="AT19" s="33"/>
      <c r="AU19" s="57"/>
      <c r="AV19" s="86">
        <f t="shared" si="6"/>
        <v>0</v>
      </c>
      <c r="AW19" s="89">
        <f t="shared" si="7"/>
        <v>0</v>
      </c>
      <c r="AX19" s="86"/>
    </row>
    <row r="20" spans="1:50" s="29" customFormat="1">
      <c r="A20" s="50" t="s">
        <v>50</v>
      </c>
      <c r="B20" s="51"/>
      <c r="C20" s="51"/>
      <c r="D20" s="52"/>
      <c r="E20" s="53"/>
      <c r="F20" s="62"/>
      <c r="G20" s="125"/>
      <c r="I20" s="69"/>
      <c r="L20" s="61"/>
      <c r="M20" s="132"/>
      <c r="N20" s="131"/>
      <c r="O20" s="55"/>
      <c r="P20" s="113">
        <f t="shared" si="0"/>
        <v>0</v>
      </c>
      <c r="Q20" s="33"/>
      <c r="R20" s="56"/>
      <c r="S20" s="26"/>
      <c r="T20" s="33"/>
      <c r="U20" s="32"/>
      <c r="V20" s="113">
        <f t="shared" si="9"/>
        <v>0</v>
      </c>
      <c r="W20" s="33"/>
      <c r="X20" s="32"/>
      <c r="Y20" s="113">
        <f t="shared" si="10"/>
        <v>0</v>
      </c>
      <c r="Z20" s="33"/>
      <c r="AA20" s="57"/>
      <c r="AB20" s="57"/>
      <c r="AC20" s="57"/>
      <c r="AD20" s="32"/>
      <c r="AE20" s="113">
        <f t="shared" si="1"/>
        <v>0</v>
      </c>
      <c r="AF20" s="33"/>
      <c r="AG20" s="32"/>
      <c r="AH20" s="26"/>
      <c r="AI20" s="33"/>
      <c r="AJ20" s="29">
        <f t="shared" si="2"/>
        <v>0</v>
      </c>
      <c r="AK20" s="57" t="s">
        <v>304</v>
      </c>
      <c r="AL20" s="58">
        <f t="shared" si="8"/>
        <v>0</v>
      </c>
      <c r="AM20" s="113">
        <f t="shared" si="4"/>
        <v>0</v>
      </c>
      <c r="AN20" s="33" t="s">
        <v>33</v>
      </c>
      <c r="AO20" s="59">
        <f t="shared" si="5"/>
        <v>0</v>
      </c>
      <c r="AP20" s="26"/>
      <c r="AQ20" s="33"/>
      <c r="AR20" s="56"/>
      <c r="AS20" s="26"/>
      <c r="AT20" s="33"/>
      <c r="AU20" s="57"/>
      <c r="AV20" s="86">
        <f t="shared" si="6"/>
        <v>0</v>
      </c>
      <c r="AW20" s="89">
        <f t="shared" si="7"/>
        <v>0</v>
      </c>
      <c r="AX20" s="86"/>
    </row>
    <row r="21" spans="1:50" s="29" customFormat="1">
      <c r="A21" s="50" t="s">
        <v>51</v>
      </c>
      <c r="B21" s="51"/>
      <c r="C21" s="51"/>
      <c r="D21" s="52"/>
      <c r="E21" s="53"/>
      <c r="F21" s="62"/>
      <c r="G21" s="125"/>
      <c r="I21" s="69"/>
      <c r="L21" s="61"/>
      <c r="M21" s="132"/>
      <c r="N21" s="131"/>
      <c r="O21" s="55"/>
      <c r="P21" s="113">
        <f t="shared" si="0"/>
        <v>0</v>
      </c>
      <c r="Q21" s="33"/>
      <c r="R21" s="56"/>
      <c r="S21" s="26"/>
      <c r="T21" s="33"/>
      <c r="U21" s="32"/>
      <c r="V21" s="113">
        <f t="shared" si="9"/>
        <v>0</v>
      </c>
      <c r="W21" s="33"/>
      <c r="X21" s="32"/>
      <c r="Y21" s="113">
        <f t="shared" si="10"/>
        <v>0</v>
      </c>
      <c r="Z21" s="33"/>
      <c r="AA21" s="57"/>
      <c r="AB21" s="57"/>
      <c r="AC21" s="57"/>
      <c r="AD21" s="32"/>
      <c r="AE21" s="113">
        <f t="shared" si="1"/>
        <v>0</v>
      </c>
      <c r="AF21" s="33"/>
      <c r="AG21" s="32"/>
      <c r="AH21" s="26"/>
      <c r="AI21" s="33"/>
      <c r="AJ21" s="29">
        <f t="shared" si="2"/>
        <v>0</v>
      </c>
      <c r="AK21" s="57" t="s">
        <v>304</v>
      </c>
      <c r="AL21" s="58">
        <f t="shared" si="8"/>
        <v>0</v>
      </c>
      <c r="AM21" s="113">
        <f t="shared" si="4"/>
        <v>0</v>
      </c>
      <c r="AN21" s="33" t="s">
        <v>33</v>
      </c>
      <c r="AO21" s="59">
        <f t="shared" si="5"/>
        <v>0</v>
      </c>
      <c r="AP21" s="113">
        <f>ROUND(AO21*$D$1,2)</f>
        <v>0</v>
      </c>
      <c r="AQ21" s="33"/>
      <c r="AR21" s="56"/>
      <c r="AS21" s="26"/>
      <c r="AT21" s="33"/>
      <c r="AU21" s="57"/>
      <c r="AV21" s="86">
        <f t="shared" si="6"/>
        <v>0</v>
      </c>
      <c r="AW21" s="89">
        <f t="shared" si="7"/>
        <v>0</v>
      </c>
      <c r="AX21" s="86"/>
    </row>
    <row r="22" spans="1:50" s="29" customFormat="1">
      <c r="A22" s="50" t="s">
        <v>52</v>
      </c>
      <c r="B22" s="51"/>
      <c r="C22" s="51"/>
      <c r="D22" s="52"/>
      <c r="E22" s="53"/>
      <c r="F22" s="62"/>
      <c r="G22" s="125"/>
      <c r="I22" s="69"/>
      <c r="L22" s="52"/>
      <c r="M22" s="132"/>
      <c r="N22" s="131"/>
      <c r="O22" s="55"/>
      <c r="P22" s="113">
        <f t="shared" si="0"/>
        <v>0</v>
      </c>
      <c r="Q22" s="33"/>
      <c r="R22" s="56"/>
      <c r="S22" s="26"/>
      <c r="T22" s="33"/>
      <c r="U22" s="32"/>
      <c r="V22" s="113">
        <f t="shared" si="9"/>
        <v>0</v>
      </c>
      <c r="W22" s="33"/>
      <c r="X22" s="32"/>
      <c r="Y22" s="113">
        <f t="shared" si="10"/>
        <v>0</v>
      </c>
      <c r="Z22" s="33"/>
      <c r="AA22" s="57"/>
      <c r="AB22" s="57"/>
      <c r="AC22" s="57"/>
      <c r="AD22" s="32"/>
      <c r="AE22" s="113">
        <f t="shared" si="1"/>
        <v>0</v>
      </c>
      <c r="AF22" s="33"/>
      <c r="AG22" s="32"/>
      <c r="AH22" s="26"/>
      <c r="AI22" s="33"/>
      <c r="AJ22" s="29">
        <f t="shared" si="2"/>
        <v>0</v>
      </c>
      <c r="AK22" s="57" t="s">
        <v>304</v>
      </c>
      <c r="AL22" s="58">
        <f t="shared" si="8"/>
        <v>0</v>
      </c>
      <c r="AM22" s="113">
        <f t="shared" si="4"/>
        <v>0</v>
      </c>
      <c r="AN22" s="33" t="s">
        <v>33</v>
      </c>
      <c r="AO22" s="59">
        <f t="shared" si="5"/>
        <v>0</v>
      </c>
      <c r="AP22" s="26"/>
      <c r="AQ22" s="33"/>
      <c r="AR22" s="56"/>
      <c r="AS22" s="26"/>
      <c r="AT22" s="33"/>
      <c r="AU22" s="57"/>
      <c r="AV22" s="86">
        <f t="shared" si="6"/>
        <v>0</v>
      </c>
      <c r="AW22" s="89">
        <f t="shared" si="7"/>
        <v>0</v>
      </c>
      <c r="AX22" s="86"/>
    </row>
    <row r="23" spans="1:50" s="29" customFormat="1">
      <c r="A23" s="50" t="s">
        <v>53</v>
      </c>
      <c r="B23" s="51"/>
      <c r="C23" s="51"/>
      <c r="D23" s="52"/>
      <c r="E23" s="53"/>
      <c r="F23" s="62"/>
      <c r="G23" s="125"/>
      <c r="I23" s="69"/>
      <c r="L23" s="61"/>
      <c r="M23" s="132"/>
      <c r="N23" s="131"/>
      <c r="O23" s="55"/>
      <c r="P23" s="113">
        <f t="shared" si="0"/>
        <v>0</v>
      </c>
      <c r="Q23" s="33"/>
      <c r="R23" s="56"/>
      <c r="S23" s="26"/>
      <c r="T23" s="33"/>
      <c r="U23" s="32"/>
      <c r="V23" s="113">
        <f t="shared" si="9"/>
        <v>0</v>
      </c>
      <c r="W23" s="33"/>
      <c r="X23" s="32"/>
      <c r="Y23" s="113">
        <f t="shared" si="10"/>
        <v>0</v>
      </c>
      <c r="Z23" s="33"/>
      <c r="AA23" s="57"/>
      <c r="AB23" s="57"/>
      <c r="AC23" s="57"/>
      <c r="AD23" s="32"/>
      <c r="AE23" s="113">
        <f t="shared" si="1"/>
        <v>0</v>
      </c>
      <c r="AF23" s="33"/>
      <c r="AG23" s="32"/>
      <c r="AH23" s="26"/>
      <c r="AI23" s="33"/>
      <c r="AJ23" s="29">
        <f t="shared" si="2"/>
        <v>0</v>
      </c>
      <c r="AK23" s="57" t="s">
        <v>304</v>
      </c>
      <c r="AL23" s="58">
        <f t="shared" si="8"/>
        <v>0</v>
      </c>
      <c r="AM23" s="113">
        <f t="shared" si="4"/>
        <v>0</v>
      </c>
      <c r="AN23" s="33" t="s">
        <v>33</v>
      </c>
      <c r="AO23" s="59">
        <f t="shared" si="5"/>
        <v>0</v>
      </c>
      <c r="AP23" s="26"/>
      <c r="AQ23" s="33"/>
      <c r="AR23" s="56"/>
      <c r="AS23" s="26"/>
      <c r="AT23" s="33"/>
      <c r="AU23" s="57"/>
      <c r="AV23" s="86">
        <f t="shared" si="6"/>
        <v>0</v>
      </c>
      <c r="AW23" s="89">
        <f t="shared" si="7"/>
        <v>0</v>
      </c>
      <c r="AX23" s="86"/>
    </row>
    <row r="24" spans="1:50" s="29" customFormat="1">
      <c r="A24" s="50" t="s">
        <v>54</v>
      </c>
      <c r="B24" s="51"/>
      <c r="C24" s="51"/>
      <c r="D24" s="51"/>
      <c r="E24" s="53"/>
      <c r="F24" s="62"/>
      <c r="G24" s="125"/>
      <c r="I24" s="69"/>
      <c r="L24" s="61"/>
      <c r="M24" s="132"/>
      <c r="N24" s="131"/>
      <c r="O24" s="55"/>
      <c r="P24" s="113">
        <f t="shared" si="0"/>
        <v>0</v>
      </c>
      <c r="Q24" s="33"/>
      <c r="R24" s="56"/>
      <c r="S24" s="26"/>
      <c r="T24" s="33"/>
      <c r="U24" s="32"/>
      <c r="V24" s="113">
        <f t="shared" si="9"/>
        <v>0</v>
      </c>
      <c r="W24" s="33"/>
      <c r="X24" s="32"/>
      <c r="Y24" s="113">
        <f t="shared" si="10"/>
        <v>0</v>
      </c>
      <c r="Z24" s="33"/>
      <c r="AA24" s="57"/>
      <c r="AB24" s="57"/>
      <c r="AC24" s="57"/>
      <c r="AD24" s="32"/>
      <c r="AE24" s="113">
        <f t="shared" si="1"/>
        <v>0</v>
      </c>
      <c r="AF24" s="33"/>
      <c r="AG24" s="32"/>
      <c r="AH24" s="26"/>
      <c r="AI24" s="33"/>
      <c r="AJ24" s="29">
        <f t="shared" si="2"/>
        <v>0</v>
      </c>
      <c r="AK24" s="57" t="s">
        <v>304</v>
      </c>
      <c r="AL24" s="58">
        <f t="shared" si="8"/>
        <v>0</v>
      </c>
      <c r="AM24" s="113">
        <f t="shared" si="4"/>
        <v>0</v>
      </c>
      <c r="AN24" s="33" t="s">
        <v>33</v>
      </c>
      <c r="AO24" s="59">
        <f t="shared" si="5"/>
        <v>0</v>
      </c>
      <c r="AP24" s="26"/>
      <c r="AQ24" s="33"/>
      <c r="AR24" s="56"/>
      <c r="AS24" s="26"/>
      <c r="AT24" s="33"/>
      <c r="AU24" s="57"/>
      <c r="AV24" s="86">
        <f t="shared" si="6"/>
        <v>0</v>
      </c>
      <c r="AW24" s="89">
        <f t="shared" si="7"/>
        <v>0</v>
      </c>
      <c r="AX24" s="86"/>
    </row>
    <row r="25" spans="1:50" s="29" customFormat="1">
      <c r="A25" s="50" t="s">
        <v>55</v>
      </c>
      <c r="B25" s="51"/>
      <c r="C25" s="51"/>
      <c r="D25" s="52"/>
      <c r="E25" s="53"/>
      <c r="F25" s="62"/>
      <c r="G25" s="125"/>
      <c r="I25" s="69"/>
      <c r="L25" s="52"/>
      <c r="M25" s="132"/>
      <c r="N25" s="131"/>
      <c r="O25" s="55"/>
      <c r="P25" s="113">
        <f t="shared" si="0"/>
        <v>0</v>
      </c>
      <c r="Q25" s="33"/>
      <c r="R25" s="56"/>
      <c r="S25" s="26"/>
      <c r="T25" s="33"/>
      <c r="U25" s="32"/>
      <c r="V25" s="113">
        <f t="shared" si="9"/>
        <v>0</v>
      </c>
      <c r="W25" s="33"/>
      <c r="X25" s="63"/>
      <c r="Y25" s="113">
        <f t="shared" si="10"/>
        <v>0</v>
      </c>
      <c r="Z25" s="33"/>
      <c r="AA25" s="57"/>
      <c r="AB25" s="57"/>
      <c r="AC25" s="57"/>
      <c r="AD25" s="32"/>
      <c r="AE25" s="113">
        <f t="shared" si="1"/>
        <v>0</v>
      </c>
      <c r="AF25" s="33"/>
      <c r="AG25" s="32"/>
      <c r="AH25" s="26"/>
      <c r="AI25" s="33"/>
      <c r="AJ25" s="29">
        <f t="shared" si="2"/>
        <v>0</v>
      </c>
      <c r="AK25" s="57" t="s">
        <v>304</v>
      </c>
      <c r="AL25" s="58">
        <f t="shared" si="8"/>
        <v>0</v>
      </c>
      <c r="AM25" s="113">
        <f t="shared" si="4"/>
        <v>0</v>
      </c>
      <c r="AN25" s="33" t="s">
        <v>33</v>
      </c>
      <c r="AO25" s="59">
        <f t="shared" si="5"/>
        <v>0</v>
      </c>
      <c r="AP25" s="113">
        <f>ROUND(AO25*$D$1,2)</f>
        <v>0</v>
      </c>
      <c r="AQ25" s="33"/>
      <c r="AR25" s="56">
        <f>O25*6%</f>
        <v>0</v>
      </c>
      <c r="AS25" s="113">
        <f>ROUND(AR25*$D$1,2)</f>
        <v>0</v>
      </c>
      <c r="AT25" s="33"/>
      <c r="AU25" s="57"/>
      <c r="AV25" s="86">
        <f t="shared" si="6"/>
        <v>0</v>
      </c>
      <c r="AW25" s="89">
        <f t="shared" si="7"/>
        <v>0</v>
      </c>
      <c r="AX25" s="86"/>
    </row>
    <row r="26" spans="1:50" s="29" customFormat="1">
      <c r="A26" s="50" t="s">
        <v>56</v>
      </c>
      <c r="E26" s="53"/>
      <c r="G26" s="69"/>
      <c r="I26" s="69"/>
      <c r="M26" s="132"/>
      <c r="N26" s="131"/>
      <c r="O26" s="55"/>
      <c r="P26" s="113">
        <f t="shared" si="0"/>
        <v>0</v>
      </c>
      <c r="Q26" s="33"/>
      <c r="R26" s="56"/>
      <c r="S26" s="26"/>
      <c r="T26" s="33"/>
      <c r="U26" s="32"/>
      <c r="V26" s="113">
        <f t="shared" si="9"/>
        <v>0</v>
      </c>
      <c r="W26" s="33"/>
      <c r="X26" s="32"/>
      <c r="Y26" s="113">
        <f t="shared" si="10"/>
        <v>0</v>
      </c>
      <c r="Z26" s="33"/>
      <c r="AA26" s="57"/>
      <c r="AB26" s="57"/>
      <c r="AC26" s="57"/>
      <c r="AD26" s="32"/>
      <c r="AE26" s="113">
        <f t="shared" si="1"/>
        <v>0</v>
      </c>
      <c r="AF26" s="33"/>
      <c r="AG26" s="32"/>
      <c r="AH26" s="26"/>
      <c r="AI26" s="33"/>
      <c r="AJ26" s="29">
        <f t="shared" si="2"/>
        <v>0</v>
      </c>
      <c r="AK26" s="57" t="s">
        <v>304</v>
      </c>
      <c r="AL26" s="58">
        <f t="shared" si="8"/>
        <v>0</v>
      </c>
      <c r="AM26" s="113">
        <f t="shared" si="4"/>
        <v>0</v>
      </c>
      <c r="AN26" s="33" t="s">
        <v>33</v>
      </c>
      <c r="AO26" s="59">
        <f t="shared" si="5"/>
        <v>0</v>
      </c>
      <c r="AP26" s="26"/>
      <c r="AQ26" s="33"/>
      <c r="AR26" s="56"/>
      <c r="AS26" s="26"/>
      <c r="AT26" s="33"/>
      <c r="AU26" s="57"/>
      <c r="AV26" s="86">
        <f t="shared" si="6"/>
        <v>0</v>
      </c>
      <c r="AW26" s="89">
        <f t="shared" si="7"/>
        <v>0</v>
      </c>
      <c r="AX26" s="86"/>
    </row>
    <row r="27" spans="1:50" s="29" customFormat="1">
      <c r="A27" s="50" t="s">
        <v>57</v>
      </c>
      <c r="B27" s="51"/>
      <c r="C27" s="51"/>
      <c r="D27" s="52"/>
      <c r="E27" s="53"/>
      <c r="F27" s="62"/>
      <c r="G27" s="69"/>
      <c r="I27" s="69"/>
      <c r="L27" s="52"/>
      <c r="M27" s="132"/>
      <c r="N27" s="131"/>
      <c r="O27" s="55"/>
      <c r="P27" s="113">
        <f t="shared" si="0"/>
        <v>0</v>
      </c>
      <c r="Q27" s="33"/>
      <c r="R27" s="56"/>
      <c r="S27" s="26"/>
      <c r="T27" s="33"/>
      <c r="U27" s="32"/>
      <c r="V27" s="113">
        <f t="shared" si="9"/>
        <v>0</v>
      </c>
      <c r="W27" s="33"/>
      <c r="X27" s="32"/>
      <c r="Y27" s="113">
        <f t="shared" si="10"/>
        <v>0</v>
      </c>
      <c r="Z27" s="33"/>
      <c r="AA27" s="57"/>
      <c r="AB27" s="57"/>
      <c r="AC27" s="57"/>
      <c r="AD27" s="32"/>
      <c r="AE27" s="113">
        <f t="shared" si="1"/>
        <v>0</v>
      </c>
      <c r="AF27" s="33"/>
      <c r="AG27" s="32"/>
      <c r="AH27" s="26"/>
      <c r="AI27" s="33"/>
      <c r="AJ27" s="29">
        <f t="shared" si="2"/>
        <v>0</v>
      </c>
      <c r="AK27" s="57" t="s">
        <v>304</v>
      </c>
      <c r="AL27" s="58">
        <f t="shared" si="8"/>
        <v>0</v>
      </c>
      <c r="AM27" s="113">
        <f t="shared" si="4"/>
        <v>0</v>
      </c>
      <c r="AN27" s="33" t="s">
        <v>33</v>
      </c>
      <c r="AO27" s="59">
        <f t="shared" si="5"/>
        <v>0</v>
      </c>
      <c r="AP27" s="26"/>
      <c r="AQ27" s="33"/>
      <c r="AR27" s="56"/>
      <c r="AS27" s="26"/>
      <c r="AT27" s="33"/>
      <c r="AU27" s="57"/>
      <c r="AV27" s="86">
        <f t="shared" si="6"/>
        <v>0</v>
      </c>
      <c r="AW27" s="89">
        <f t="shared" si="7"/>
        <v>0</v>
      </c>
      <c r="AX27" s="86"/>
    </row>
    <row r="28" spans="1:50" s="29" customFormat="1">
      <c r="A28" s="50" t="s">
        <v>58</v>
      </c>
      <c r="E28" s="53"/>
      <c r="F28" s="62"/>
      <c r="G28" s="69"/>
      <c r="H28" s="54"/>
      <c r="I28" s="69"/>
      <c r="L28" s="52"/>
      <c r="M28" s="132"/>
      <c r="N28" s="131"/>
      <c r="O28" s="55"/>
      <c r="P28" s="113">
        <f t="shared" si="0"/>
        <v>0</v>
      </c>
      <c r="Q28" s="33"/>
      <c r="R28" s="32"/>
      <c r="S28" s="26"/>
      <c r="T28" s="33"/>
      <c r="U28" s="32"/>
      <c r="V28" s="113">
        <f t="shared" si="9"/>
        <v>0</v>
      </c>
      <c r="W28" s="33"/>
      <c r="X28" s="32"/>
      <c r="Y28" s="113">
        <f t="shared" si="10"/>
        <v>0</v>
      </c>
      <c r="Z28" s="33"/>
      <c r="AA28" s="57"/>
      <c r="AB28" s="57"/>
      <c r="AC28" s="57"/>
      <c r="AD28" s="32"/>
      <c r="AE28" s="113">
        <f t="shared" si="1"/>
        <v>0</v>
      </c>
      <c r="AF28" s="33"/>
      <c r="AG28" s="32"/>
      <c r="AH28" s="26"/>
      <c r="AI28" s="64"/>
      <c r="AJ28" s="29">
        <f t="shared" si="2"/>
        <v>0</v>
      </c>
      <c r="AK28" s="57" t="s">
        <v>304</v>
      </c>
      <c r="AL28" s="58">
        <f t="shared" si="8"/>
        <v>0</v>
      </c>
      <c r="AM28" s="113">
        <f t="shared" si="4"/>
        <v>0</v>
      </c>
      <c r="AN28" s="33" t="s">
        <v>33</v>
      </c>
      <c r="AO28" s="59">
        <f t="shared" si="5"/>
        <v>0</v>
      </c>
      <c r="AP28" s="26"/>
      <c r="AQ28" s="33"/>
      <c r="AR28" s="56"/>
      <c r="AS28" s="26"/>
      <c r="AT28" s="33"/>
      <c r="AU28" s="57"/>
      <c r="AV28" s="86">
        <f t="shared" si="6"/>
        <v>0</v>
      </c>
      <c r="AW28" s="89">
        <f t="shared" si="7"/>
        <v>0</v>
      </c>
      <c r="AX28" s="86"/>
    </row>
    <row r="29" spans="1:50" s="29" customFormat="1">
      <c r="A29" s="50" t="s">
        <v>59</v>
      </c>
      <c r="B29" s="51"/>
      <c r="C29" s="51"/>
      <c r="D29" s="52"/>
      <c r="E29" s="53"/>
      <c r="F29" s="62"/>
      <c r="G29" s="125"/>
      <c r="I29" s="69"/>
      <c r="L29" s="52"/>
      <c r="M29" s="132"/>
      <c r="N29" s="131"/>
      <c r="O29" s="55"/>
      <c r="P29" s="113">
        <f t="shared" si="0"/>
        <v>0</v>
      </c>
      <c r="Q29" s="33"/>
      <c r="R29" s="56"/>
      <c r="S29" s="26"/>
      <c r="T29" s="33"/>
      <c r="U29" s="32"/>
      <c r="V29" s="113">
        <f t="shared" si="9"/>
        <v>0</v>
      </c>
      <c r="W29" s="33"/>
      <c r="X29" s="32"/>
      <c r="Y29" s="113">
        <f t="shared" si="10"/>
        <v>0</v>
      </c>
      <c r="Z29" s="33"/>
      <c r="AA29" s="57"/>
      <c r="AB29" s="57"/>
      <c r="AC29" s="57"/>
      <c r="AD29" s="32"/>
      <c r="AE29" s="113">
        <f t="shared" si="1"/>
        <v>0</v>
      </c>
      <c r="AF29" s="33"/>
      <c r="AG29" s="32"/>
      <c r="AH29" s="26"/>
      <c r="AI29" s="33"/>
      <c r="AJ29" s="29">
        <f t="shared" si="2"/>
        <v>0</v>
      </c>
      <c r="AK29" s="57" t="s">
        <v>304</v>
      </c>
      <c r="AL29" s="58">
        <f t="shared" si="8"/>
        <v>0</v>
      </c>
      <c r="AM29" s="113">
        <f t="shared" si="4"/>
        <v>0</v>
      </c>
      <c r="AN29" s="33" t="s">
        <v>33</v>
      </c>
      <c r="AO29" s="59">
        <f t="shared" si="5"/>
        <v>0</v>
      </c>
      <c r="AP29" s="26"/>
      <c r="AQ29" s="33"/>
      <c r="AR29" s="56"/>
      <c r="AS29" s="26"/>
      <c r="AT29" s="33"/>
      <c r="AU29" s="57"/>
      <c r="AV29" s="86">
        <f t="shared" si="6"/>
        <v>0</v>
      </c>
      <c r="AW29" s="89">
        <f t="shared" si="7"/>
        <v>0</v>
      </c>
      <c r="AX29" s="86"/>
    </row>
    <row r="30" spans="1:50" s="29" customFormat="1">
      <c r="A30" s="50" t="s">
        <v>60</v>
      </c>
      <c r="B30" s="51"/>
      <c r="C30" s="51"/>
      <c r="D30" s="52"/>
      <c r="E30" s="53"/>
      <c r="F30" s="62"/>
      <c r="G30" s="125"/>
      <c r="I30" s="69"/>
      <c r="L30" s="52"/>
      <c r="M30" s="132"/>
      <c r="N30" s="131"/>
      <c r="O30" s="55"/>
      <c r="P30" s="113">
        <f t="shared" si="0"/>
        <v>0</v>
      </c>
      <c r="Q30" s="33"/>
      <c r="R30" s="56"/>
      <c r="S30" s="26"/>
      <c r="T30" s="33"/>
      <c r="U30" s="32"/>
      <c r="V30" s="113">
        <f t="shared" si="9"/>
        <v>0</v>
      </c>
      <c r="W30" s="33"/>
      <c r="X30" s="32"/>
      <c r="Y30" s="113">
        <f t="shared" si="10"/>
        <v>0</v>
      </c>
      <c r="Z30" s="33"/>
      <c r="AA30" s="57"/>
      <c r="AB30" s="57"/>
      <c r="AC30" s="57"/>
      <c r="AD30" s="32"/>
      <c r="AE30" s="113">
        <f t="shared" si="1"/>
        <v>0</v>
      </c>
      <c r="AF30" s="33"/>
      <c r="AG30" s="32"/>
      <c r="AH30" s="26"/>
      <c r="AI30" s="33"/>
      <c r="AJ30" s="29">
        <f t="shared" si="2"/>
        <v>0</v>
      </c>
      <c r="AK30" s="57" t="s">
        <v>304</v>
      </c>
      <c r="AL30" s="58">
        <f t="shared" si="8"/>
        <v>0</v>
      </c>
      <c r="AM30" s="113">
        <f t="shared" si="4"/>
        <v>0</v>
      </c>
      <c r="AN30" s="33" t="s">
        <v>33</v>
      </c>
      <c r="AO30" s="59">
        <f t="shared" si="5"/>
        <v>0</v>
      </c>
      <c r="AP30" s="26"/>
      <c r="AQ30" s="33"/>
      <c r="AR30" s="56"/>
      <c r="AS30" s="26"/>
      <c r="AT30" s="33"/>
      <c r="AU30" s="57"/>
      <c r="AV30" s="86">
        <f t="shared" si="6"/>
        <v>0</v>
      </c>
      <c r="AW30" s="89">
        <f t="shared" si="7"/>
        <v>0</v>
      </c>
      <c r="AX30" s="86"/>
    </row>
    <row r="31" spans="1:50" s="29" customFormat="1">
      <c r="A31" s="50" t="s">
        <v>61</v>
      </c>
      <c r="B31" s="51"/>
      <c r="C31" s="51"/>
      <c r="D31" s="52"/>
      <c r="E31" s="53"/>
      <c r="F31" s="62"/>
      <c r="G31" s="125"/>
      <c r="I31" s="71"/>
      <c r="L31" s="61"/>
      <c r="M31" s="132"/>
      <c r="N31" s="131"/>
      <c r="O31" s="55"/>
      <c r="P31" s="113">
        <f t="shared" si="0"/>
        <v>0</v>
      </c>
      <c r="Q31" s="33"/>
      <c r="R31" s="56"/>
      <c r="S31" s="26"/>
      <c r="T31" s="33"/>
      <c r="U31" s="32"/>
      <c r="V31" s="113">
        <f t="shared" si="9"/>
        <v>0</v>
      </c>
      <c r="W31" s="33"/>
      <c r="X31" s="32"/>
      <c r="Y31" s="113">
        <f t="shared" si="10"/>
        <v>0</v>
      </c>
      <c r="Z31" s="33"/>
      <c r="AA31" s="57"/>
      <c r="AB31" s="57"/>
      <c r="AC31" s="57"/>
      <c r="AD31" s="32"/>
      <c r="AE31" s="113">
        <f t="shared" si="1"/>
        <v>0</v>
      </c>
      <c r="AF31" s="33"/>
      <c r="AG31" s="32"/>
      <c r="AH31" s="26"/>
      <c r="AI31" s="33"/>
      <c r="AJ31" s="29">
        <f t="shared" si="2"/>
        <v>0</v>
      </c>
      <c r="AK31" s="57" t="s">
        <v>304</v>
      </c>
      <c r="AL31" s="58">
        <f t="shared" si="8"/>
        <v>0</v>
      </c>
      <c r="AM31" s="113">
        <f t="shared" si="4"/>
        <v>0</v>
      </c>
      <c r="AN31" s="33" t="s">
        <v>33</v>
      </c>
      <c r="AO31" s="59">
        <f t="shared" si="5"/>
        <v>0</v>
      </c>
      <c r="AP31" s="26"/>
      <c r="AQ31" s="33"/>
      <c r="AR31" s="56"/>
      <c r="AS31" s="26"/>
      <c r="AT31" s="33"/>
      <c r="AU31" s="57"/>
      <c r="AV31" s="86">
        <f t="shared" si="6"/>
        <v>0</v>
      </c>
      <c r="AW31" s="89">
        <f t="shared" si="7"/>
        <v>0</v>
      </c>
      <c r="AX31" s="86"/>
    </row>
    <row r="32" spans="1:50" s="29" customFormat="1">
      <c r="A32" s="50" t="s">
        <v>62</v>
      </c>
      <c r="B32" s="51"/>
      <c r="C32" s="51"/>
      <c r="D32" s="52"/>
      <c r="E32" s="53"/>
      <c r="F32" s="62"/>
      <c r="G32" s="69"/>
      <c r="I32" s="69"/>
      <c r="L32" s="52"/>
      <c r="M32" s="132"/>
      <c r="N32" s="131"/>
      <c r="O32" s="55"/>
      <c r="P32" s="113">
        <f t="shared" si="0"/>
        <v>0</v>
      </c>
      <c r="Q32" s="33"/>
      <c r="R32" s="56"/>
      <c r="S32" s="26"/>
      <c r="T32" s="33"/>
      <c r="U32" s="32"/>
      <c r="V32" s="113">
        <f t="shared" si="9"/>
        <v>0</v>
      </c>
      <c r="W32" s="33"/>
      <c r="X32" s="32"/>
      <c r="Y32" s="113">
        <f t="shared" si="10"/>
        <v>0</v>
      </c>
      <c r="Z32" s="33"/>
      <c r="AA32" s="57"/>
      <c r="AB32" s="57"/>
      <c r="AC32" s="57"/>
      <c r="AD32" s="32"/>
      <c r="AE32" s="113">
        <f t="shared" si="1"/>
        <v>0</v>
      </c>
      <c r="AF32" s="33"/>
      <c r="AG32" s="32"/>
      <c r="AH32" s="26"/>
      <c r="AI32" s="33"/>
      <c r="AJ32" s="29">
        <f t="shared" si="2"/>
        <v>0</v>
      </c>
      <c r="AK32" s="57" t="s">
        <v>304</v>
      </c>
      <c r="AL32" s="58">
        <f t="shared" si="8"/>
        <v>0</v>
      </c>
      <c r="AM32" s="113">
        <f t="shared" si="4"/>
        <v>0</v>
      </c>
      <c r="AN32" s="33" t="s">
        <v>33</v>
      </c>
      <c r="AO32" s="59">
        <f t="shared" si="5"/>
        <v>0</v>
      </c>
      <c r="AP32" s="26"/>
      <c r="AQ32" s="33"/>
      <c r="AR32" s="56"/>
      <c r="AS32" s="26"/>
      <c r="AT32" s="33"/>
      <c r="AU32" s="57"/>
      <c r="AV32" s="86">
        <f t="shared" si="6"/>
        <v>0</v>
      </c>
      <c r="AW32" s="89">
        <f t="shared" si="7"/>
        <v>0</v>
      </c>
      <c r="AX32" s="86"/>
    </row>
    <row r="33" spans="1:50" s="29" customFormat="1">
      <c r="A33" s="50" t="s">
        <v>63</v>
      </c>
      <c r="B33" s="54"/>
      <c r="C33" s="54"/>
      <c r="D33" s="54"/>
      <c r="E33" s="53"/>
      <c r="F33" s="62"/>
      <c r="G33" s="69"/>
      <c r="I33" s="69"/>
      <c r="L33" s="52"/>
      <c r="M33" s="132"/>
      <c r="N33" s="131"/>
      <c r="O33" s="55"/>
      <c r="P33" s="113">
        <f t="shared" si="0"/>
        <v>0</v>
      </c>
      <c r="Q33" s="33"/>
      <c r="R33" s="56"/>
      <c r="S33" s="26"/>
      <c r="T33" s="33"/>
      <c r="U33" s="32"/>
      <c r="V33" s="113">
        <f t="shared" si="9"/>
        <v>0</v>
      </c>
      <c r="W33" s="33"/>
      <c r="X33" s="32"/>
      <c r="Y33" s="113">
        <f t="shared" si="10"/>
        <v>0</v>
      </c>
      <c r="Z33" s="33"/>
      <c r="AA33" s="57"/>
      <c r="AB33" s="57"/>
      <c r="AC33" s="57"/>
      <c r="AD33" s="32"/>
      <c r="AE33" s="113">
        <f t="shared" si="1"/>
        <v>0</v>
      </c>
      <c r="AF33" s="33"/>
      <c r="AG33" s="32"/>
      <c r="AH33" s="26"/>
      <c r="AI33" s="33"/>
      <c r="AJ33" s="29">
        <f t="shared" si="2"/>
        <v>0</v>
      </c>
      <c r="AK33" s="57" t="s">
        <v>304</v>
      </c>
      <c r="AL33" s="58">
        <f t="shared" si="8"/>
        <v>0</v>
      </c>
      <c r="AM33" s="113">
        <f t="shared" si="4"/>
        <v>0</v>
      </c>
      <c r="AN33" s="33" t="s">
        <v>33</v>
      </c>
      <c r="AO33" s="59">
        <f t="shared" si="5"/>
        <v>0</v>
      </c>
      <c r="AP33" s="26"/>
      <c r="AQ33" s="33"/>
      <c r="AR33" s="56"/>
      <c r="AS33" s="26"/>
      <c r="AT33" s="33"/>
      <c r="AU33" s="57"/>
      <c r="AV33" s="86">
        <f t="shared" si="6"/>
        <v>0</v>
      </c>
      <c r="AW33" s="89">
        <f t="shared" si="7"/>
        <v>0</v>
      </c>
      <c r="AX33" s="86"/>
    </row>
    <row r="34" spans="1:50" s="29" customFormat="1">
      <c r="A34" s="50" t="s">
        <v>64</v>
      </c>
      <c r="B34" s="51"/>
      <c r="C34" s="51"/>
      <c r="D34" s="52"/>
      <c r="E34" s="53"/>
      <c r="F34" s="62"/>
      <c r="G34" s="125"/>
      <c r="I34" s="69"/>
      <c r="L34" s="52"/>
      <c r="M34" s="132"/>
      <c r="N34" s="131"/>
      <c r="O34" s="55"/>
      <c r="P34" s="113">
        <f t="shared" si="0"/>
        <v>0</v>
      </c>
      <c r="Q34" s="33"/>
      <c r="R34" s="56"/>
      <c r="S34" s="26"/>
      <c r="T34" s="33"/>
      <c r="U34" s="32"/>
      <c r="V34" s="113">
        <f t="shared" si="9"/>
        <v>0</v>
      </c>
      <c r="W34" s="33"/>
      <c r="X34" s="32"/>
      <c r="Y34" s="113">
        <f t="shared" si="10"/>
        <v>0</v>
      </c>
      <c r="Z34" s="33"/>
      <c r="AA34" s="57"/>
      <c r="AB34" s="57"/>
      <c r="AC34" s="57"/>
      <c r="AD34" s="32"/>
      <c r="AE34" s="113">
        <f t="shared" si="1"/>
        <v>0</v>
      </c>
      <c r="AF34" s="33"/>
      <c r="AG34" s="32"/>
      <c r="AH34" s="26"/>
      <c r="AI34" s="33"/>
      <c r="AJ34" s="29">
        <f t="shared" si="2"/>
        <v>0</v>
      </c>
      <c r="AK34" s="57" t="s">
        <v>304</v>
      </c>
      <c r="AL34" s="58">
        <f t="shared" si="8"/>
        <v>0</v>
      </c>
      <c r="AM34" s="113">
        <f t="shared" si="4"/>
        <v>0</v>
      </c>
      <c r="AN34" s="33" t="s">
        <v>33</v>
      </c>
      <c r="AO34" s="59">
        <f t="shared" si="5"/>
        <v>0</v>
      </c>
      <c r="AP34" s="26"/>
      <c r="AQ34" s="33"/>
      <c r="AR34" s="56"/>
      <c r="AS34" s="26"/>
      <c r="AT34" s="33"/>
      <c r="AU34" s="57"/>
      <c r="AV34" s="86">
        <f t="shared" si="6"/>
        <v>0</v>
      </c>
      <c r="AW34" s="89">
        <f t="shared" si="7"/>
        <v>0</v>
      </c>
      <c r="AX34" s="86"/>
    </row>
    <row r="35" spans="1:50" s="29" customFormat="1">
      <c r="A35" s="50" t="s">
        <v>65</v>
      </c>
      <c r="B35" s="51"/>
      <c r="C35" s="51"/>
      <c r="D35" s="52"/>
      <c r="E35" s="53"/>
      <c r="F35" s="62"/>
      <c r="G35" s="125"/>
      <c r="I35" s="69"/>
      <c r="L35" s="52"/>
      <c r="M35" s="132"/>
      <c r="N35" s="131"/>
      <c r="O35" s="55"/>
      <c r="P35" s="113">
        <f t="shared" si="0"/>
        <v>0</v>
      </c>
      <c r="Q35" s="33"/>
      <c r="R35" s="56"/>
      <c r="S35" s="26"/>
      <c r="T35" s="33"/>
      <c r="U35" s="32"/>
      <c r="V35" s="113">
        <f t="shared" si="9"/>
        <v>0</v>
      </c>
      <c r="W35" s="33"/>
      <c r="X35" s="32"/>
      <c r="Y35" s="113">
        <f t="shared" si="10"/>
        <v>0</v>
      </c>
      <c r="Z35" s="33"/>
      <c r="AA35" s="57"/>
      <c r="AB35" s="57"/>
      <c r="AC35" s="57"/>
      <c r="AD35" s="32"/>
      <c r="AE35" s="113">
        <f t="shared" si="1"/>
        <v>0</v>
      </c>
      <c r="AF35" s="33"/>
      <c r="AG35" s="32"/>
      <c r="AH35" s="26"/>
      <c r="AI35" s="33"/>
      <c r="AJ35" s="29">
        <f t="shared" si="2"/>
        <v>0</v>
      </c>
      <c r="AK35" s="57" t="s">
        <v>304</v>
      </c>
      <c r="AL35" s="58">
        <f t="shared" si="8"/>
        <v>0</v>
      </c>
      <c r="AM35" s="113">
        <f t="shared" si="4"/>
        <v>0</v>
      </c>
      <c r="AN35" s="33" t="s">
        <v>33</v>
      </c>
      <c r="AO35" s="59">
        <f t="shared" ref="AO35:AO66" si="11">IF(H35="RIMAC EPS EMPRESA PRESTADORA DE SALUD",O35*0.0225,O35*0)</f>
        <v>0</v>
      </c>
      <c r="AP35" s="26"/>
      <c r="AQ35" s="33"/>
      <c r="AR35" s="56"/>
      <c r="AS35" s="26"/>
      <c r="AT35" s="33"/>
      <c r="AU35" s="57"/>
      <c r="AV35" s="86">
        <f t="shared" si="6"/>
        <v>0</v>
      </c>
      <c r="AW35" s="89">
        <f t="shared" si="7"/>
        <v>0</v>
      </c>
      <c r="AX35" s="86"/>
    </row>
    <row r="36" spans="1:50" s="29" customFormat="1">
      <c r="A36" s="50" t="s">
        <v>66</v>
      </c>
      <c r="B36" s="51"/>
      <c r="C36" s="51"/>
      <c r="D36" s="52"/>
      <c r="E36" s="53"/>
      <c r="F36" s="62"/>
      <c r="G36" s="69"/>
      <c r="I36" s="69"/>
      <c r="L36" s="52"/>
      <c r="M36" s="132"/>
      <c r="N36" s="131"/>
      <c r="O36" s="55"/>
      <c r="P36" s="113">
        <f t="shared" si="0"/>
        <v>0</v>
      </c>
      <c r="Q36" s="33"/>
      <c r="R36" s="56"/>
      <c r="S36" s="26"/>
      <c r="T36" s="33"/>
      <c r="U36" s="32"/>
      <c r="V36" s="113">
        <f t="shared" si="9"/>
        <v>0</v>
      </c>
      <c r="W36" s="33"/>
      <c r="X36" s="32"/>
      <c r="Y36" s="113">
        <f t="shared" si="10"/>
        <v>0</v>
      </c>
      <c r="Z36" s="33"/>
      <c r="AA36" s="57"/>
      <c r="AB36" s="57"/>
      <c r="AC36" s="57"/>
      <c r="AD36" s="32"/>
      <c r="AE36" s="113">
        <f t="shared" si="1"/>
        <v>0</v>
      </c>
      <c r="AF36" s="33"/>
      <c r="AG36" s="32"/>
      <c r="AH36" s="26"/>
      <c r="AI36" s="33"/>
      <c r="AJ36" s="29">
        <f t="shared" si="2"/>
        <v>0</v>
      </c>
      <c r="AK36" s="57" t="s">
        <v>304</v>
      </c>
      <c r="AL36" s="58">
        <f t="shared" si="8"/>
        <v>0</v>
      </c>
      <c r="AM36" s="113">
        <f t="shared" si="4"/>
        <v>0</v>
      </c>
      <c r="AN36" s="33" t="s">
        <v>33</v>
      </c>
      <c r="AO36" s="59">
        <f t="shared" si="11"/>
        <v>0</v>
      </c>
      <c r="AP36" s="26"/>
      <c r="AQ36" s="33"/>
      <c r="AR36" s="56"/>
      <c r="AS36" s="26"/>
      <c r="AT36" s="33"/>
      <c r="AU36" s="57"/>
      <c r="AV36" s="86">
        <f t="shared" si="6"/>
        <v>0</v>
      </c>
      <c r="AW36" s="89">
        <f t="shared" si="7"/>
        <v>0</v>
      </c>
      <c r="AX36" s="86"/>
    </row>
    <row r="37" spans="1:50" s="29" customFormat="1">
      <c r="A37" s="50" t="s">
        <v>67</v>
      </c>
      <c r="B37" s="51"/>
      <c r="C37" s="51"/>
      <c r="D37" s="54"/>
      <c r="E37" s="53"/>
      <c r="F37" s="62"/>
      <c r="G37" s="125"/>
      <c r="I37" s="69"/>
      <c r="L37" s="52"/>
      <c r="M37" s="132"/>
      <c r="N37" s="131"/>
      <c r="O37" s="55"/>
      <c r="P37" s="113">
        <f t="shared" si="0"/>
        <v>0</v>
      </c>
      <c r="Q37" s="33"/>
      <c r="R37" s="56"/>
      <c r="S37" s="26"/>
      <c r="T37" s="33"/>
      <c r="U37" s="32"/>
      <c r="V37" s="113">
        <f t="shared" si="9"/>
        <v>0</v>
      </c>
      <c r="W37" s="33"/>
      <c r="X37" s="32"/>
      <c r="Y37" s="113">
        <f t="shared" si="10"/>
        <v>0</v>
      </c>
      <c r="Z37" s="33"/>
      <c r="AA37" s="57"/>
      <c r="AB37" s="57"/>
      <c r="AC37" s="57"/>
      <c r="AD37" s="32"/>
      <c r="AE37" s="113">
        <f t="shared" si="1"/>
        <v>0</v>
      </c>
      <c r="AF37" s="33"/>
      <c r="AG37" s="32"/>
      <c r="AH37" s="26"/>
      <c r="AI37" s="33"/>
      <c r="AJ37" s="29">
        <f t="shared" si="2"/>
        <v>0</v>
      </c>
      <c r="AK37" s="57" t="s">
        <v>304</v>
      </c>
      <c r="AL37" s="58">
        <f t="shared" si="8"/>
        <v>0</v>
      </c>
      <c r="AM37" s="113">
        <f t="shared" si="4"/>
        <v>0</v>
      </c>
      <c r="AN37" s="33" t="s">
        <v>33</v>
      </c>
      <c r="AO37" s="59">
        <f t="shared" si="11"/>
        <v>0</v>
      </c>
      <c r="AP37" s="26"/>
      <c r="AQ37" s="33"/>
      <c r="AR37" s="56"/>
      <c r="AS37" s="26"/>
      <c r="AT37" s="33"/>
      <c r="AU37" s="57"/>
      <c r="AV37" s="86">
        <f t="shared" si="6"/>
        <v>0</v>
      </c>
      <c r="AW37" s="89">
        <f t="shared" si="7"/>
        <v>0</v>
      </c>
      <c r="AX37" s="86"/>
    </row>
    <row r="38" spans="1:50" s="29" customFormat="1">
      <c r="A38" s="50" t="s">
        <v>68</v>
      </c>
      <c r="B38" s="51"/>
      <c r="C38" s="51"/>
      <c r="D38" s="52"/>
      <c r="E38" s="53"/>
      <c r="F38" s="62"/>
      <c r="G38" s="125"/>
      <c r="I38" s="69"/>
      <c r="L38" s="61"/>
      <c r="M38" s="132"/>
      <c r="N38" s="131"/>
      <c r="O38" s="55"/>
      <c r="P38" s="113">
        <f t="shared" si="0"/>
        <v>0</v>
      </c>
      <c r="Q38" s="33"/>
      <c r="R38" s="56"/>
      <c r="S38" s="26"/>
      <c r="T38" s="33"/>
      <c r="U38" s="32"/>
      <c r="V38" s="113">
        <f t="shared" si="9"/>
        <v>0</v>
      </c>
      <c r="W38" s="33"/>
      <c r="X38" s="32"/>
      <c r="Y38" s="113">
        <f t="shared" si="10"/>
        <v>0</v>
      </c>
      <c r="Z38" s="33"/>
      <c r="AA38" s="57"/>
      <c r="AB38" s="57"/>
      <c r="AC38" s="57"/>
      <c r="AD38" s="32"/>
      <c r="AE38" s="113">
        <f t="shared" si="1"/>
        <v>0</v>
      </c>
      <c r="AF38" s="33"/>
      <c r="AG38" s="32"/>
      <c r="AH38" s="26"/>
      <c r="AI38" s="33"/>
      <c r="AJ38" s="29">
        <f t="shared" si="2"/>
        <v>0</v>
      </c>
      <c r="AK38" s="57" t="s">
        <v>304</v>
      </c>
      <c r="AL38" s="58">
        <f t="shared" si="8"/>
        <v>0</v>
      </c>
      <c r="AM38" s="113">
        <f t="shared" si="4"/>
        <v>0</v>
      </c>
      <c r="AN38" s="33" t="s">
        <v>33</v>
      </c>
      <c r="AO38" s="59">
        <f t="shared" si="11"/>
        <v>0</v>
      </c>
      <c r="AP38" s="26"/>
      <c r="AQ38" s="33"/>
      <c r="AR38" s="56"/>
      <c r="AS38" s="26"/>
      <c r="AT38" s="33"/>
      <c r="AU38" s="57"/>
      <c r="AV38" s="86">
        <f t="shared" si="6"/>
        <v>0</v>
      </c>
      <c r="AW38" s="89">
        <f t="shared" si="7"/>
        <v>0</v>
      </c>
      <c r="AX38" s="86"/>
    </row>
    <row r="39" spans="1:50" s="29" customFormat="1">
      <c r="A39" s="50" t="s">
        <v>69</v>
      </c>
      <c r="B39" s="51"/>
      <c r="C39" s="51"/>
      <c r="D39" s="51"/>
      <c r="E39" s="53"/>
      <c r="F39" s="62"/>
      <c r="G39" s="69"/>
      <c r="I39" s="69"/>
      <c r="L39" s="52"/>
      <c r="M39" s="132"/>
      <c r="N39" s="131"/>
      <c r="O39" s="55"/>
      <c r="P39" s="113">
        <f t="shared" si="0"/>
        <v>0</v>
      </c>
      <c r="Q39" s="33"/>
      <c r="R39" s="56"/>
      <c r="S39" s="26"/>
      <c r="T39" s="33"/>
      <c r="U39" s="32"/>
      <c r="V39" s="113">
        <f t="shared" si="9"/>
        <v>0</v>
      </c>
      <c r="W39" s="33"/>
      <c r="X39" s="32"/>
      <c r="Y39" s="113">
        <f t="shared" si="10"/>
        <v>0</v>
      </c>
      <c r="Z39" s="33"/>
      <c r="AA39" s="57"/>
      <c r="AB39" s="57"/>
      <c r="AC39" s="57"/>
      <c r="AD39" s="32"/>
      <c r="AE39" s="113">
        <f t="shared" si="1"/>
        <v>0</v>
      </c>
      <c r="AF39" s="33"/>
      <c r="AG39" s="32"/>
      <c r="AH39" s="26"/>
      <c r="AI39" s="33"/>
      <c r="AJ39" s="29">
        <f t="shared" si="2"/>
        <v>0</v>
      </c>
      <c r="AK39" s="57" t="s">
        <v>304</v>
      </c>
      <c r="AL39" s="58">
        <f t="shared" si="8"/>
        <v>0</v>
      </c>
      <c r="AM39" s="113">
        <f t="shared" si="4"/>
        <v>0</v>
      </c>
      <c r="AN39" s="33" t="s">
        <v>33</v>
      </c>
      <c r="AO39" s="59">
        <f t="shared" si="11"/>
        <v>0</v>
      </c>
      <c r="AP39" s="26"/>
      <c r="AQ39" s="33"/>
      <c r="AR39" s="56"/>
      <c r="AS39" s="26"/>
      <c r="AT39" s="33"/>
      <c r="AU39" s="57"/>
      <c r="AV39" s="86">
        <f t="shared" si="6"/>
        <v>0</v>
      </c>
      <c r="AW39" s="89">
        <f t="shared" si="7"/>
        <v>0</v>
      </c>
      <c r="AX39" s="86"/>
    </row>
    <row r="40" spans="1:50" s="29" customFormat="1">
      <c r="A40" s="50" t="s">
        <v>70</v>
      </c>
      <c r="E40" s="53"/>
      <c r="G40" s="69"/>
      <c r="I40" s="69"/>
      <c r="L40" s="52"/>
      <c r="M40" s="132"/>
      <c r="N40" s="131"/>
      <c r="O40" s="55"/>
      <c r="P40" s="113">
        <f t="shared" si="0"/>
        <v>0</v>
      </c>
      <c r="Q40" s="33"/>
      <c r="R40" s="56"/>
      <c r="S40" s="26"/>
      <c r="T40" s="33"/>
      <c r="U40" s="32"/>
      <c r="V40" s="113">
        <f t="shared" si="9"/>
        <v>0</v>
      </c>
      <c r="W40" s="33"/>
      <c r="X40" s="32"/>
      <c r="Y40" s="113">
        <f t="shared" si="10"/>
        <v>0</v>
      </c>
      <c r="Z40" s="33"/>
      <c r="AA40" s="57"/>
      <c r="AB40" s="57"/>
      <c r="AC40" s="57"/>
      <c r="AD40" s="32"/>
      <c r="AE40" s="113">
        <f t="shared" si="1"/>
        <v>0</v>
      </c>
      <c r="AF40" s="33"/>
      <c r="AG40" s="32"/>
      <c r="AH40" s="26"/>
      <c r="AI40" s="33"/>
      <c r="AJ40" s="29">
        <f t="shared" si="2"/>
        <v>0</v>
      </c>
      <c r="AK40" s="57" t="s">
        <v>304</v>
      </c>
      <c r="AL40" s="58">
        <f t="shared" si="8"/>
        <v>0</v>
      </c>
      <c r="AM40" s="113">
        <f t="shared" si="4"/>
        <v>0</v>
      </c>
      <c r="AN40" s="33" t="s">
        <v>33</v>
      </c>
      <c r="AO40" s="59">
        <f t="shared" si="11"/>
        <v>0</v>
      </c>
      <c r="AP40" s="26"/>
      <c r="AQ40" s="33"/>
      <c r="AR40" s="56"/>
      <c r="AS40" s="26"/>
      <c r="AT40" s="33"/>
      <c r="AU40" s="57"/>
      <c r="AV40" s="86">
        <f t="shared" si="6"/>
        <v>0</v>
      </c>
      <c r="AW40" s="89">
        <f t="shared" si="7"/>
        <v>0</v>
      </c>
      <c r="AX40" s="86"/>
    </row>
    <row r="41" spans="1:50" s="29" customFormat="1">
      <c r="A41" s="50" t="s">
        <v>71</v>
      </c>
      <c r="B41" s="51"/>
      <c r="C41" s="51"/>
      <c r="D41" s="52"/>
      <c r="E41" s="53"/>
      <c r="F41" s="62"/>
      <c r="G41" s="125"/>
      <c r="I41" s="69"/>
      <c r="L41" s="61"/>
      <c r="M41" s="132"/>
      <c r="N41" s="131"/>
      <c r="O41" s="55"/>
      <c r="P41" s="113">
        <f t="shared" si="0"/>
        <v>0</v>
      </c>
      <c r="Q41" s="33"/>
      <c r="R41" s="56"/>
      <c r="S41" s="26"/>
      <c r="T41" s="33"/>
      <c r="U41" s="32"/>
      <c r="V41" s="113">
        <f t="shared" ref="V41:V72" si="12">ROUND(U41*$D$1,2)</f>
        <v>0</v>
      </c>
      <c r="W41" s="33"/>
      <c r="X41" s="32"/>
      <c r="Y41" s="113">
        <f t="shared" ref="Y41:Y72" si="13">ROUND(X41*$D$1,2)</f>
        <v>0</v>
      </c>
      <c r="Z41" s="33"/>
      <c r="AA41" s="57"/>
      <c r="AB41" s="57"/>
      <c r="AC41" s="57"/>
      <c r="AD41" s="32"/>
      <c r="AE41" s="113">
        <f t="shared" si="1"/>
        <v>0</v>
      </c>
      <c r="AF41" s="33"/>
      <c r="AG41" s="32"/>
      <c r="AH41" s="26"/>
      <c r="AI41" s="33"/>
      <c r="AJ41" s="29">
        <f t="shared" si="2"/>
        <v>0</v>
      </c>
      <c r="AK41" s="57" t="s">
        <v>304</v>
      </c>
      <c r="AL41" s="58">
        <f t="shared" si="8"/>
        <v>0</v>
      </c>
      <c r="AM41" s="113">
        <f t="shared" si="4"/>
        <v>0</v>
      </c>
      <c r="AN41" s="33" t="s">
        <v>33</v>
      </c>
      <c r="AO41" s="59">
        <f t="shared" si="11"/>
        <v>0</v>
      </c>
      <c r="AP41" s="113">
        <f>ROUND(AO41*$D$1,2)</f>
        <v>0</v>
      </c>
      <c r="AQ41" s="33"/>
      <c r="AR41" s="56"/>
      <c r="AS41" s="26"/>
      <c r="AT41" s="33"/>
      <c r="AU41" s="57"/>
      <c r="AV41" s="86">
        <f t="shared" si="6"/>
        <v>0</v>
      </c>
      <c r="AW41" s="89">
        <f t="shared" si="7"/>
        <v>0</v>
      </c>
      <c r="AX41" s="86"/>
    </row>
    <row r="42" spans="1:50" s="29" customFormat="1">
      <c r="A42" s="50" t="s">
        <v>72</v>
      </c>
      <c r="B42" s="51"/>
      <c r="C42" s="51"/>
      <c r="D42" s="52"/>
      <c r="E42" s="53"/>
      <c r="F42" s="62"/>
      <c r="G42" s="125"/>
      <c r="I42" s="69"/>
      <c r="L42" s="52"/>
      <c r="M42" s="132"/>
      <c r="N42" s="131"/>
      <c r="O42" s="55"/>
      <c r="P42" s="113">
        <f t="shared" si="0"/>
        <v>0</v>
      </c>
      <c r="Q42" s="33"/>
      <c r="R42" s="56"/>
      <c r="S42" s="26"/>
      <c r="T42" s="33"/>
      <c r="U42" s="32"/>
      <c r="V42" s="113">
        <f t="shared" si="12"/>
        <v>0</v>
      </c>
      <c r="W42" s="33"/>
      <c r="X42" s="32"/>
      <c r="Y42" s="113">
        <f t="shared" si="13"/>
        <v>0</v>
      </c>
      <c r="Z42" s="33"/>
      <c r="AA42" s="57"/>
      <c r="AB42" s="57"/>
      <c r="AC42" s="57"/>
      <c r="AD42" s="32"/>
      <c r="AE42" s="113">
        <f t="shared" si="1"/>
        <v>0</v>
      </c>
      <c r="AF42" s="33"/>
      <c r="AG42" s="32"/>
      <c r="AH42" s="26"/>
      <c r="AI42" s="33"/>
      <c r="AJ42" s="29">
        <f t="shared" si="2"/>
        <v>0</v>
      </c>
      <c r="AK42" s="57" t="s">
        <v>304</v>
      </c>
      <c r="AL42" s="58">
        <f t="shared" si="8"/>
        <v>0</v>
      </c>
      <c r="AM42" s="113">
        <f t="shared" si="4"/>
        <v>0</v>
      </c>
      <c r="AN42" s="33" t="s">
        <v>33</v>
      </c>
      <c r="AO42" s="59">
        <f t="shared" si="11"/>
        <v>0</v>
      </c>
      <c r="AP42" s="26"/>
      <c r="AQ42" s="33"/>
      <c r="AR42" s="56"/>
      <c r="AS42" s="26"/>
      <c r="AT42" s="33"/>
      <c r="AU42" s="57"/>
      <c r="AV42" s="86">
        <f t="shared" si="6"/>
        <v>0</v>
      </c>
      <c r="AW42" s="89">
        <f t="shared" si="7"/>
        <v>0</v>
      </c>
      <c r="AX42" s="86"/>
    </row>
    <row r="43" spans="1:50" s="29" customFormat="1">
      <c r="A43" s="50" t="s">
        <v>73</v>
      </c>
      <c r="B43" s="51"/>
      <c r="C43" s="51"/>
      <c r="D43" s="51"/>
      <c r="E43" s="53"/>
      <c r="F43" s="62"/>
      <c r="G43" s="125"/>
      <c r="I43" s="69"/>
      <c r="L43" s="52"/>
      <c r="M43" s="132"/>
      <c r="N43" s="131"/>
      <c r="O43" s="55"/>
      <c r="P43" s="113">
        <f t="shared" si="0"/>
        <v>0</v>
      </c>
      <c r="Q43" s="33"/>
      <c r="R43" s="56"/>
      <c r="S43" s="26"/>
      <c r="T43" s="33"/>
      <c r="U43" s="32"/>
      <c r="V43" s="113">
        <f t="shared" si="12"/>
        <v>0</v>
      </c>
      <c r="W43" s="33"/>
      <c r="X43" s="32"/>
      <c r="Y43" s="113">
        <f t="shared" si="13"/>
        <v>0</v>
      </c>
      <c r="Z43" s="33"/>
      <c r="AA43" s="57"/>
      <c r="AB43" s="57"/>
      <c r="AC43" s="57"/>
      <c r="AD43" s="32"/>
      <c r="AE43" s="113">
        <f t="shared" si="1"/>
        <v>0</v>
      </c>
      <c r="AF43" s="33"/>
      <c r="AG43" s="32"/>
      <c r="AH43" s="26"/>
      <c r="AI43" s="33"/>
      <c r="AJ43" s="29">
        <f t="shared" si="2"/>
        <v>0</v>
      </c>
      <c r="AK43" s="57" t="s">
        <v>304</v>
      </c>
      <c r="AL43" s="58">
        <f t="shared" si="8"/>
        <v>0</v>
      </c>
      <c r="AM43" s="113">
        <f t="shared" si="4"/>
        <v>0</v>
      </c>
      <c r="AN43" s="33" t="s">
        <v>33</v>
      </c>
      <c r="AO43" s="59">
        <f t="shared" si="11"/>
        <v>0</v>
      </c>
      <c r="AP43" s="26"/>
      <c r="AQ43" s="33"/>
      <c r="AR43" s="56"/>
      <c r="AS43" s="26"/>
      <c r="AT43" s="33"/>
      <c r="AU43" s="57"/>
      <c r="AV43" s="86">
        <f t="shared" si="6"/>
        <v>0</v>
      </c>
      <c r="AW43" s="89">
        <f t="shared" si="7"/>
        <v>0</v>
      </c>
      <c r="AX43" s="86"/>
    </row>
    <row r="44" spans="1:50" s="29" customFormat="1">
      <c r="A44" s="50" t="s">
        <v>74</v>
      </c>
      <c r="B44" s="51"/>
      <c r="C44" s="51"/>
      <c r="D44" s="54"/>
      <c r="E44" s="53"/>
      <c r="F44" s="62"/>
      <c r="G44" s="125"/>
      <c r="I44" s="69"/>
      <c r="L44" s="52"/>
      <c r="M44" s="132"/>
      <c r="N44" s="131"/>
      <c r="O44" s="55"/>
      <c r="P44" s="113">
        <f t="shared" si="0"/>
        <v>0</v>
      </c>
      <c r="Q44" s="33"/>
      <c r="R44" s="56"/>
      <c r="S44" s="26"/>
      <c r="T44" s="33"/>
      <c r="U44" s="32"/>
      <c r="V44" s="113">
        <f t="shared" si="12"/>
        <v>0</v>
      </c>
      <c r="W44" s="33"/>
      <c r="X44" s="32"/>
      <c r="Y44" s="113">
        <f t="shared" si="13"/>
        <v>0</v>
      </c>
      <c r="Z44" s="33"/>
      <c r="AA44" s="57"/>
      <c r="AB44" s="57"/>
      <c r="AC44" s="57"/>
      <c r="AD44" s="32"/>
      <c r="AE44" s="113">
        <f t="shared" si="1"/>
        <v>0</v>
      </c>
      <c r="AF44" s="33"/>
      <c r="AG44" s="32"/>
      <c r="AH44" s="26"/>
      <c r="AI44" s="33"/>
      <c r="AJ44" s="29">
        <f t="shared" si="2"/>
        <v>0</v>
      </c>
      <c r="AK44" s="57" t="s">
        <v>304</v>
      </c>
      <c r="AL44" s="58">
        <f t="shared" si="8"/>
        <v>0</v>
      </c>
      <c r="AM44" s="113">
        <f t="shared" si="4"/>
        <v>0</v>
      </c>
      <c r="AN44" s="33" t="s">
        <v>33</v>
      </c>
      <c r="AO44" s="59">
        <f t="shared" si="11"/>
        <v>0</v>
      </c>
      <c r="AP44" s="26"/>
      <c r="AQ44" s="33"/>
      <c r="AR44" s="56"/>
      <c r="AS44" s="26"/>
      <c r="AT44" s="33"/>
      <c r="AU44" s="57"/>
      <c r="AV44" s="86">
        <f t="shared" si="6"/>
        <v>0</v>
      </c>
      <c r="AW44" s="89">
        <f t="shared" si="7"/>
        <v>0</v>
      </c>
      <c r="AX44" s="86"/>
    </row>
    <row r="45" spans="1:50" s="29" customFormat="1">
      <c r="A45" s="50" t="s">
        <v>75</v>
      </c>
      <c r="B45" s="51"/>
      <c r="C45" s="51"/>
      <c r="D45" s="52"/>
      <c r="E45" s="53"/>
      <c r="F45" s="62"/>
      <c r="G45" s="125"/>
      <c r="I45" s="69"/>
      <c r="L45" s="52"/>
      <c r="M45" s="132"/>
      <c r="N45" s="131"/>
      <c r="O45" s="55"/>
      <c r="P45" s="113">
        <f t="shared" si="0"/>
        <v>0</v>
      </c>
      <c r="Q45" s="33"/>
      <c r="R45" s="56"/>
      <c r="S45" s="26"/>
      <c r="T45" s="33"/>
      <c r="U45" s="32"/>
      <c r="V45" s="113">
        <f t="shared" si="12"/>
        <v>0</v>
      </c>
      <c r="W45" s="33"/>
      <c r="X45" s="32"/>
      <c r="Y45" s="113">
        <f t="shared" si="13"/>
        <v>0</v>
      </c>
      <c r="Z45" s="33"/>
      <c r="AA45" s="57"/>
      <c r="AB45" s="57"/>
      <c r="AC45" s="57"/>
      <c r="AD45" s="32"/>
      <c r="AE45" s="113">
        <f t="shared" si="1"/>
        <v>0</v>
      </c>
      <c r="AF45" s="33"/>
      <c r="AG45" s="32"/>
      <c r="AH45" s="26"/>
      <c r="AI45" s="33"/>
      <c r="AJ45" s="29">
        <f t="shared" si="2"/>
        <v>0</v>
      </c>
      <c r="AK45" s="57" t="s">
        <v>304</v>
      </c>
      <c r="AL45" s="58">
        <f t="shared" si="8"/>
        <v>0</v>
      </c>
      <c r="AM45" s="113">
        <f t="shared" si="4"/>
        <v>0</v>
      </c>
      <c r="AN45" s="33" t="s">
        <v>33</v>
      </c>
      <c r="AO45" s="59">
        <f t="shared" si="11"/>
        <v>0</v>
      </c>
      <c r="AP45" s="26"/>
      <c r="AQ45" s="33"/>
      <c r="AR45" s="56"/>
      <c r="AS45" s="26"/>
      <c r="AT45" s="33"/>
      <c r="AU45" s="57"/>
      <c r="AV45" s="86">
        <f t="shared" si="6"/>
        <v>0</v>
      </c>
      <c r="AW45" s="89">
        <f t="shared" si="7"/>
        <v>0</v>
      </c>
      <c r="AX45" s="86"/>
    </row>
    <row r="46" spans="1:50" s="29" customFormat="1">
      <c r="A46" s="50" t="s">
        <v>76</v>
      </c>
      <c r="B46" s="51"/>
      <c r="C46" s="51"/>
      <c r="D46" s="52"/>
      <c r="E46" s="53"/>
      <c r="F46" s="62"/>
      <c r="G46" s="125"/>
      <c r="I46" s="69"/>
      <c r="L46" s="61"/>
      <c r="M46" s="132"/>
      <c r="N46" s="131"/>
      <c r="O46" s="55"/>
      <c r="P46" s="113">
        <f t="shared" si="0"/>
        <v>0</v>
      </c>
      <c r="Q46" s="33"/>
      <c r="R46" s="56"/>
      <c r="S46" s="26"/>
      <c r="T46" s="33"/>
      <c r="U46" s="32"/>
      <c r="V46" s="113">
        <f t="shared" si="12"/>
        <v>0</v>
      </c>
      <c r="W46" s="33"/>
      <c r="X46" s="32"/>
      <c r="Y46" s="113">
        <f t="shared" si="13"/>
        <v>0</v>
      </c>
      <c r="Z46" s="33"/>
      <c r="AA46" s="57"/>
      <c r="AB46" s="57"/>
      <c r="AC46" s="57"/>
      <c r="AD46" s="32"/>
      <c r="AE46" s="113">
        <f t="shared" si="1"/>
        <v>0</v>
      </c>
      <c r="AF46" s="33"/>
      <c r="AG46" s="32"/>
      <c r="AH46" s="26"/>
      <c r="AI46" s="33"/>
      <c r="AJ46" s="29">
        <f t="shared" si="2"/>
        <v>0</v>
      </c>
      <c r="AK46" s="57" t="s">
        <v>304</v>
      </c>
      <c r="AL46" s="58">
        <f t="shared" si="8"/>
        <v>0</v>
      </c>
      <c r="AM46" s="113">
        <f t="shared" si="4"/>
        <v>0</v>
      </c>
      <c r="AN46" s="33" t="s">
        <v>33</v>
      </c>
      <c r="AO46" s="59">
        <f t="shared" si="11"/>
        <v>0</v>
      </c>
      <c r="AP46" s="113">
        <f>ROUND(AO46*$D$1,2)</f>
        <v>0</v>
      </c>
      <c r="AQ46" s="33"/>
      <c r="AR46" s="56"/>
      <c r="AS46" s="26"/>
      <c r="AT46" s="33"/>
      <c r="AU46" s="57"/>
      <c r="AV46" s="86">
        <f t="shared" si="6"/>
        <v>0</v>
      </c>
      <c r="AW46" s="89">
        <f t="shared" si="7"/>
        <v>0</v>
      </c>
      <c r="AX46" s="86"/>
    </row>
    <row r="47" spans="1:50" s="29" customFormat="1">
      <c r="A47" s="50" t="s">
        <v>77</v>
      </c>
      <c r="B47" s="51"/>
      <c r="C47" s="51"/>
      <c r="D47" s="52"/>
      <c r="E47" s="53"/>
      <c r="F47" s="62"/>
      <c r="G47" s="125"/>
      <c r="I47" s="69"/>
      <c r="L47" s="61"/>
      <c r="M47" s="132"/>
      <c r="N47" s="131"/>
      <c r="O47" s="55"/>
      <c r="P47" s="113">
        <f t="shared" si="0"/>
        <v>0</v>
      </c>
      <c r="Q47" s="33"/>
      <c r="R47" s="56"/>
      <c r="S47" s="26"/>
      <c r="T47" s="33"/>
      <c r="U47" s="32"/>
      <c r="V47" s="113">
        <f t="shared" si="12"/>
        <v>0</v>
      </c>
      <c r="W47" s="33"/>
      <c r="X47" s="32"/>
      <c r="Y47" s="113">
        <f t="shared" si="13"/>
        <v>0</v>
      </c>
      <c r="Z47" s="33"/>
      <c r="AA47" s="57"/>
      <c r="AB47" s="57"/>
      <c r="AC47" s="57"/>
      <c r="AD47" s="32"/>
      <c r="AE47" s="113">
        <f t="shared" si="1"/>
        <v>0</v>
      </c>
      <c r="AF47" s="33"/>
      <c r="AG47" s="32"/>
      <c r="AH47" s="26"/>
      <c r="AI47" s="33"/>
      <c r="AJ47" s="29">
        <f t="shared" si="2"/>
        <v>0</v>
      </c>
      <c r="AK47" s="57" t="s">
        <v>304</v>
      </c>
      <c r="AL47" s="58">
        <f t="shared" si="8"/>
        <v>0</v>
      </c>
      <c r="AM47" s="113">
        <f t="shared" si="4"/>
        <v>0</v>
      </c>
      <c r="AN47" s="33" t="s">
        <v>33</v>
      </c>
      <c r="AO47" s="59">
        <f t="shared" si="11"/>
        <v>0</v>
      </c>
      <c r="AP47" s="26"/>
      <c r="AQ47" s="33"/>
      <c r="AR47" s="56"/>
      <c r="AS47" s="26"/>
      <c r="AT47" s="33"/>
      <c r="AU47" s="57"/>
      <c r="AV47" s="86">
        <f t="shared" si="6"/>
        <v>0</v>
      </c>
      <c r="AW47" s="89">
        <f t="shared" si="7"/>
        <v>0</v>
      </c>
      <c r="AX47" s="86"/>
    </row>
    <row r="48" spans="1:50" s="29" customFormat="1">
      <c r="A48" s="50" t="s">
        <v>78</v>
      </c>
      <c r="B48" s="51"/>
      <c r="C48" s="51"/>
      <c r="D48" s="52"/>
      <c r="E48" s="53"/>
      <c r="F48" s="62"/>
      <c r="G48" s="125"/>
      <c r="I48" s="69"/>
      <c r="L48" s="52"/>
      <c r="M48" s="132"/>
      <c r="N48" s="131"/>
      <c r="O48" s="55"/>
      <c r="P48" s="113">
        <f t="shared" si="0"/>
        <v>0</v>
      </c>
      <c r="Q48" s="33"/>
      <c r="R48" s="56"/>
      <c r="S48" s="26"/>
      <c r="T48" s="33"/>
      <c r="U48" s="32"/>
      <c r="V48" s="113">
        <f t="shared" si="12"/>
        <v>0</v>
      </c>
      <c r="W48" s="33"/>
      <c r="X48" s="32"/>
      <c r="Y48" s="113">
        <f t="shared" si="13"/>
        <v>0</v>
      </c>
      <c r="Z48" s="33"/>
      <c r="AA48" s="57"/>
      <c r="AB48" s="57"/>
      <c r="AC48" s="57"/>
      <c r="AD48" s="32"/>
      <c r="AE48" s="113">
        <f t="shared" si="1"/>
        <v>0</v>
      </c>
      <c r="AF48" s="33"/>
      <c r="AG48" s="32"/>
      <c r="AH48" s="26"/>
      <c r="AI48" s="33"/>
      <c r="AJ48" s="29">
        <f t="shared" si="2"/>
        <v>0</v>
      </c>
      <c r="AK48" s="57" t="s">
        <v>304</v>
      </c>
      <c r="AL48" s="58">
        <f t="shared" si="8"/>
        <v>0</v>
      </c>
      <c r="AM48" s="113">
        <f t="shared" si="4"/>
        <v>0</v>
      </c>
      <c r="AN48" s="33" t="s">
        <v>33</v>
      </c>
      <c r="AO48" s="59">
        <f t="shared" si="11"/>
        <v>0</v>
      </c>
      <c r="AP48" s="26"/>
      <c r="AQ48" s="33"/>
      <c r="AR48" s="56"/>
      <c r="AS48" s="26"/>
      <c r="AT48" s="33"/>
      <c r="AU48" s="57"/>
      <c r="AV48" s="86">
        <f t="shared" si="6"/>
        <v>0</v>
      </c>
      <c r="AW48" s="89">
        <f t="shared" si="7"/>
        <v>0</v>
      </c>
      <c r="AX48" s="86"/>
    </row>
    <row r="49" spans="1:50" s="29" customFormat="1">
      <c r="A49" s="50" t="s">
        <v>79</v>
      </c>
      <c r="B49" s="51"/>
      <c r="C49" s="51"/>
      <c r="D49" s="52"/>
      <c r="E49" s="53"/>
      <c r="F49" s="62"/>
      <c r="G49" s="125"/>
      <c r="I49" s="69"/>
      <c r="L49" s="61"/>
      <c r="M49" s="132"/>
      <c r="N49" s="131"/>
      <c r="O49" s="55"/>
      <c r="P49" s="113">
        <f t="shared" si="0"/>
        <v>0</v>
      </c>
      <c r="Q49" s="33"/>
      <c r="R49" s="56"/>
      <c r="S49" s="26"/>
      <c r="T49" s="33"/>
      <c r="U49" s="32"/>
      <c r="V49" s="113">
        <f t="shared" si="12"/>
        <v>0</v>
      </c>
      <c r="W49" s="33"/>
      <c r="X49" s="32"/>
      <c r="Y49" s="113">
        <f t="shared" si="13"/>
        <v>0</v>
      </c>
      <c r="Z49" s="33"/>
      <c r="AA49" s="57"/>
      <c r="AB49" s="113">
        <f>ROUND(AA49*$D$1,2)</f>
        <v>0</v>
      </c>
      <c r="AC49" s="33"/>
      <c r="AD49" s="32"/>
      <c r="AE49" s="113">
        <f t="shared" si="1"/>
        <v>0</v>
      </c>
      <c r="AF49" s="33"/>
      <c r="AG49" s="32"/>
      <c r="AH49" s="26"/>
      <c r="AI49" s="33"/>
      <c r="AJ49" s="29">
        <f t="shared" si="2"/>
        <v>0</v>
      </c>
      <c r="AK49" s="57" t="s">
        <v>304</v>
      </c>
      <c r="AL49" s="58">
        <f t="shared" si="8"/>
        <v>0</v>
      </c>
      <c r="AM49" s="113">
        <f t="shared" si="4"/>
        <v>0</v>
      </c>
      <c r="AN49" s="33" t="s">
        <v>33</v>
      </c>
      <c r="AO49" s="59">
        <f t="shared" si="11"/>
        <v>0</v>
      </c>
      <c r="AP49" s="26"/>
      <c r="AQ49" s="33"/>
      <c r="AR49" s="56"/>
      <c r="AS49" s="26"/>
      <c r="AT49" s="33"/>
      <c r="AU49" s="57"/>
      <c r="AV49" s="86">
        <f t="shared" si="6"/>
        <v>0</v>
      </c>
      <c r="AW49" s="89">
        <f t="shared" si="7"/>
        <v>0</v>
      </c>
      <c r="AX49" s="86"/>
    </row>
    <row r="50" spans="1:50" s="29" customFormat="1">
      <c r="A50" s="50" t="s">
        <v>80</v>
      </c>
      <c r="B50" s="51"/>
      <c r="C50" s="51"/>
      <c r="D50" s="52"/>
      <c r="E50" s="53"/>
      <c r="F50" s="62"/>
      <c r="G50" s="125"/>
      <c r="I50" s="69"/>
      <c r="L50" s="52"/>
      <c r="M50" s="132"/>
      <c r="N50" s="131"/>
      <c r="O50" s="55"/>
      <c r="P50" s="113">
        <f t="shared" si="0"/>
        <v>0</v>
      </c>
      <c r="Q50" s="33"/>
      <c r="R50" s="56"/>
      <c r="S50" s="26"/>
      <c r="T50" s="33"/>
      <c r="U50" s="32"/>
      <c r="V50" s="113">
        <f t="shared" si="12"/>
        <v>0</v>
      </c>
      <c r="W50" s="33"/>
      <c r="X50" s="32"/>
      <c r="Y50" s="113">
        <f t="shared" si="13"/>
        <v>0</v>
      </c>
      <c r="Z50" s="33"/>
      <c r="AA50" s="57"/>
      <c r="AB50" s="57"/>
      <c r="AC50" s="57"/>
      <c r="AD50" s="32"/>
      <c r="AE50" s="113">
        <f t="shared" si="1"/>
        <v>0</v>
      </c>
      <c r="AF50" s="33"/>
      <c r="AG50" s="32"/>
      <c r="AH50" s="26"/>
      <c r="AI50" s="33"/>
      <c r="AJ50" s="29">
        <f t="shared" si="2"/>
        <v>0</v>
      </c>
      <c r="AK50" s="57" t="s">
        <v>304</v>
      </c>
      <c r="AL50" s="58">
        <f t="shared" si="8"/>
        <v>0</v>
      </c>
      <c r="AM50" s="113">
        <f t="shared" si="4"/>
        <v>0</v>
      </c>
      <c r="AN50" s="33" t="s">
        <v>33</v>
      </c>
      <c r="AO50" s="59">
        <f t="shared" si="11"/>
        <v>0</v>
      </c>
      <c r="AP50" s="26"/>
      <c r="AQ50" s="33"/>
      <c r="AR50" s="56"/>
      <c r="AS50" s="26"/>
      <c r="AT50" s="33"/>
      <c r="AU50" s="57"/>
      <c r="AV50" s="86">
        <f t="shared" si="6"/>
        <v>0</v>
      </c>
      <c r="AW50" s="89">
        <f t="shared" si="7"/>
        <v>0</v>
      </c>
      <c r="AX50" s="86"/>
    </row>
    <row r="51" spans="1:50" s="29" customFormat="1">
      <c r="A51" s="50" t="s">
        <v>81</v>
      </c>
      <c r="E51" s="53"/>
      <c r="G51" s="69"/>
      <c r="H51" s="54"/>
      <c r="I51" s="69"/>
      <c r="L51" s="61"/>
      <c r="M51" s="132"/>
      <c r="N51" s="131"/>
      <c r="O51" s="55"/>
      <c r="P51" s="113">
        <f t="shared" si="0"/>
        <v>0</v>
      </c>
      <c r="Q51" s="33"/>
      <c r="R51" s="32"/>
      <c r="S51" s="26"/>
      <c r="T51" s="33"/>
      <c r="U51" s="32"/>
      <c r="V51" s="113">
        <f t="shared" si="12"/>
        <v>0</v>
      </c>
      <c r="W51" s="33"/>
      <c r="X51" s="32"/>
      <c r="Y51" s="113">
        <f t="shared" si="13"/>
        <v>0</v>
      </c>
      <c r="Z51" s="33"/>
      <c r="AA51" s="57"/>
      <c r="AB51" s="57"/>
      <c r="AC51" s="57"/>
      <c r="AD51" s="32"/>
      <c r="AE51" s="113">
        <f t="shared" si="1"/>
        <v>0</v>
      </c>
      <c r="AF51" s="33"/>
      <c r="AG51" s="32"/>
      <c r="AH51" s="26"/>
      <c r="AI51" s="64"/>
      <c r="AJ51" s="29">
        <f t="shared" si="2"/>
        <v>0</v>
      </c>
      <c r="AK51" s="57" t="s">
        <v>304</v>
      </c>
      <c r="AL51" s="58">
        <f t="shared" si="8"/>
        <v>0</v>
      </c>
      <c r="AM51" s="113">
        <f t="shared" si="4"/>
        <v>0</v>
      </c>
      <c r="AN51" s="33" t="s">
        <v>33</v>
      </c>
      <c r="AO51" s="59">
        <f t="shared" si="11"/>
        <v>0</v>
      </c>
      <c r="AP51" s="26"/>
      <c r="AQ51" s="33"/>
      <c r="AR51" s="56"/>
      <c r="AS51" s="26"/>
      <c r="AT51" s="33"/>
      <c r="AU51" s="57"/>
      <c r="AV51" s="86">
        <f t="shared" si="6"/>
        <v>0</v>
      </c>
      <c r="AW51" s="89">
        <f t="shared" si="7"/>
        <v>0</v>
      </c>
      <c r="AX51" s="86"/>
    </row>
    <row r="52" spans="1:50" s="29" customFormat="1">
      <c r="A52" s="50" t="s">
        <v>82</v>
      </c>
      <c r="B52" s="51"/>
      <c r="C52" s="51"/>
      <c r="D52" s="52"/>
      <c r="E52" s="53"/>
      <c r="F52" s="62"/>
      <c r="G52" s="125"/>
      <c r="I52" s="71"/>
      <c r="L52" s="52"/>
      <c r="M52" s="132"/>
      <c r="N52" s="131"/>
      <c r="O52" s="55"/>
      <c r="P52" s="113">
        <f t="shared" si="0"/>
        <v>0</v>
      </c>
      <c r="Q52" s="33"/>
      <c r="R52" s="56"/>
      <c r="S52" s="26"/>
      <c r="T52" s="33"/>
      <c r="U52" s="32"/>
      <c r="V52" s="113">
        <f t="shared" si="12"/>
        <v>0</v>
      </c>
      <c r="W52" s="33"/>
      <c r="X52" s="32"/>
      <c r="Y52" s="113">
        <f t="shared" si="13"/>
        <v>0</v>
      </c>
      <c r="Z52" s="33"/>
      <c r="AA52" s="57"/>
      <c r="AB52" s="57"/>
      <c r="AC52" s="57"/>
      <c r="AD52" s="32"/>
      <c r="AE52" s="113">
        <f t="shared" si="1"/>
        <v>0</v>
      </c>
      <c r="AF52" s="33"/>
      <c r="AG52" s="32"/>
      <c r="AH52" s="26"/>
      <c r="AI52" s="33"/>
      <c r="AJ52" s="29">
        <f t="shared" si="2"/>
        <v>0</v>
      </c>
      <c r="AK52" s="57" t="s">
        <v>304</v>
      </c>
      <c r="AL52" s="58">
        <f t="shared" si="8"/>
        <v>0</v>
      </c>
      <c r="AM52" s="113">
        <f t="shared" si="4"/>
        <v>0</v>
      </c>
      <c r="AN52" s="33" t="s">
        <v>33</v>
      </c>
      <c r="AO52" s="59">
        <f t="shared" si="11"/>
        <v>0</v>
      </c>
      <c r="AP52" s="26"/>
      <c r="AQ52" s="33"/>
      <c r="AR52" s="56"/>
      <c r="AS52" s="26"/>
      <c r="AT52" s="33"/>
      <c r="AU52" s="57"/>
      <c r="AV52" s="86">
        <f t="shared" si="6"/>
        <v>0</v>
      </c>
      <c r="AW52" s="89">
        <f t="shared" si="7"/>
        <v>0</v>
      </c>
      <c r="AX52" s="86"/>
    </row>
    <row r="53" spans="1:50" s="29" customFormat="1">
      <c r="A53" s="50" t="s">
        <v>83</v>
      </c>
      <c r="B53" s="51"/>
      <c r="C53" s="51"/>
      <c r="D53" s="52"/>
      <c r="E53" s="53"/>
      <c r="F53" s="62"/>
      <c r="G53" s="125"/>
      <c r="I53" s="69"/>
      <c r="L53" s="61"/>
      <c r="M53" s="132"/>
      <c r="N53" s="131"/>
      <c r="O53" s="55"/>
      <c r="P53" s="113">
        <f t="shared" si="0"/>
        <v>0</v>
      </c>
      <c r="Q53" s="33"/>
      <c r="R53" s="56"/>
      <c r="S53" s="26"/>
      <c r="T53" s="33"/>
      <c r="U53" s="32"/>
      <c r="V53" s="113">
        <f t="shared" si="12"/>
        <v>0</v>
      </c>
      <c r="W53" s="33"/>
      <c r="X53" s="32"/>
      <c r="Y53" s="113">
        <f t="shared" si="13"/>
        <v>0</v>
      </c>
      <c r="Z53" s="33"/>
      <c r="AA53" s="57"/>
      <c r="AB53" s="57"/>
      <c r="AC53" s="57"/>
      <c r="AD53" s="32"/>
      <c r="AE53" s="113">
        <f t="shared" si="1"/>
        <v>0</v>
      </c>
      <c r="AF53" s="33"/>
      <c r="AG53" s="32"/>
      <c r="AH53" s="26"/>
      <c r="AI53" s="33"/>
      <c r="AJ53" s="29">
        <f t="shared" si="2"/>
        <v>0</v>
      </c>
      <c r="AK53" s="57" t="s">
        <v>304</v>
      </c>
      <c r="AL53" s="58">
        <f t="shared" si="8"/>
        <v>0</v>
      </c>
      <c r="AM53" s="113">
        <f t="shared" si="4"/>
        <v>0</v>
      </c>
      <c r="AN53" s="33" t="s">
        <v>33</v>
      </c>
      <c r="AO53" s="59">
        <f t="shared" si="11"/>
        <v>0</v>
      </c>
      <c r="AP53" s="113">
        <f>ROUND(AO53*$D$1,2)</f>
        <v>0</v>
      </c>
      <c r="AQ53" s="33"/>
      <c r="AR53" s="56"/>
      <c r="AS53" s="26"/>
      <c r="AT53" s="33"/>
      <c r="AU53" s="57"/>
      <c r="AV53" s="86">
        <f t="shared" si="6"/>
        <v>0</v>
      </c>
      <c r="AW53" s="89">
        <f t="shared" si="7"/>
        <v>0</v>
      </c>
      <c r="AX53" s="86"/>
    </row>
    <row r="54" spans="1:50" s="29" customFormat="1">
      <c r="A54" s="50" t="s">
        <v>84</v>
      </c>
      <c r="B54" s="51"/>
      <c r="C54" s="51"/>
      <c r="D54" s="51"/>
      <c r="E54" s="53"/>
      <c r="F54" s="62"/>
      <c r="G54" s="69"/>
      <c r="I54" s="69"/>
      <c r="L54" s="52"/>
      <c r="M54" s="132"/>
      <c r="N54" s="131"/>
      <c r="O54" s="55"/>
      <c r="P54" s="113">
        <f t="shared" si="0"/>
        <v>0</v>
      </c>
      <c r="Q54" s="33"/>
      <c r="R54" s="56"/>
      <c r="S54" s="26"/>
      <c r="T54" s="33"/>
      <c r="U54" s="32"/>
      <c r="V54" s="113">
        <f t="shared" si="12"/>
        <v>0</v>
      </c>
      <c r="W54" s="33"/>
      <c r="X54" s="32"/>
      <c r="Y54" s="113">
        <f t="shared" si="13"/>
        <v>0</v>
      </c>
      <c r="Z54" s="33"/>
      <c r="AA54" s="57"/>
      <c r="AB54" s="57"/>
      <c r="AC54" s="57"/>
      <c r="AD54" s="32"/>
      <c r="AE54" s="113">
        <f t="shared" si="1"/>
        <v>0</v>
      </c>
      <c r="AF54" s="33"/>
      <c r="AG54" s="32"/>
      <c r="AH54" s="26"/>
      <c r="AI54" s="33"/>
      <c r="AJ54" s="29">
        <f t="shared" si="2"/>
        <v>0</v>
      </c>
      <c r="AK54" s="57" t="s">
        <v>304</v>
      </c>
      <c r="AL54" s="58">
        <f t="shared" si="8"/>
        <v>0</v>
      </c>
      <c r="AM54" s="113">
        <f t="shared" si="4"/>
        <v>0</v>
      </c>
      <c r="AN54" s="33" t="s">
        <v>33</v>
      </c>
      <c r="AO54" s="59">
        <f t="shared" si="11"/>
        <v>0</v>
      </c>
      <c r="AP54" s="26"/>
      <c r="AQ54" s="33"/>
      <c r="AR54" s="56"/>
      <c r="AS54" s="26"/>
      <c r="AT54" s="33"/>
      <c r="AU54" s="57"/>
      <c r="AV54" s="86">
        <f t="shared" si="6"/>
        <v>0</v>
      </c>
      <c r="AW54" s="89">
        <f t="shared" si="7"/>
        <v>0</v>
      </c>
      <c r="AX54" s="86"/>
    </row>
    <row r="55" spans="1:50" s="29" customFormat="1">
      <c r="A55" s="50" t="s">
        <v>85</v>
      </c>
      <c r="B55" s="51"/>
      <c r="C55" s="51"/>
      <c r="D55" s="52"/>
      <c r="E55" s="53"/>
      <c r="F55" s="62"/>
      <c r="G55" s="125"/>
      <c r="I55" s="69"/>
      <c r="L55" s="52"/>
      <c r="M55" s="132"/>
      <c r="N55" s="131"/>
      <c r="O55" s="55"/>
      <c r="P55" s="113">
        <f t="shared" si="0"/>
        <v>0</v>
      </c>
      <c r="Q55" s="33"/>
      <c r="R55" s="56"/>
      <c r="S55" s="26"/>
      <c r="T55" s="33"/>
      <c r="U55" s="32"/>
      <c r="V55" s="113">
        <f t="shared" si="12"/>
        <v>0</v>
      </c>
      <c r="W55" s="33"/>
      <c r="X55" s="32"/>
      <c r="Y55" s="113">
        <f t="shared" si="13"/>
        <v>0</v>
      </c>
      <c r="Z55" s="33"/>
      <c r="AA55" s="57"/>
      <c r="AB55" s="57"/>
      <c r="AC55" s="57"/>
      <c r="AD55" s="32"/>
      <c r="AE55" s="113">
        <f t="shared" si="1"/>
        <v>0</v>
      </c>
      <c r="AF55" s="33"/>
      <c r="AG55" s="32"/>
      <c r="AH55" s="26"/>
      <c r="AI55" s="33"/>
      <c r="AJ55" s="29">
        <f t="shared" si="2"/>
        <v>0</v>
      </c>
      <c r="AK55" s="57" t="s">
        <v>304</v>
      </c>
      <c r="AL55" s="58">
        <f t="shared" si="8"/>
        <v>0</v>
      </c>
      <c r="AM55" s="113">
        <f t="shared" si="4"/>
        <v>0</v>
      </c>
      <c r="AN55" s="33" t="s">
        <v>33</v>
      </c>
      <c r="AO55" s="59">
        <f t="shared" si="11"/>
        <v>0</v>
      </c>
      <c r="AP55" s="26"/>
      <c r="AQ55" s="33"/>
      <c r="AR55" s="56"/>
      <c r="AS55" s="26"/>
      <c r="AT55" s="33"/>
      <c r="AU55" s="57"/>
      <c r="AV55" s="86">
        <f t="shared" si="6"/>
        <v>0</v>
      </c>
      <c r="AW55" s="89">
        <f t="shared" si="7"/>
        <v>0</v>
      </c>
      <c r="AX55" s="86"/>
    </row>
    <row r="56" spans="1:50" s="29" customFormat="1">
      <c r="A56" s="50" t="s">
        <v>86</v>
      </c>
      <c r="B56" s="51"/>
      <c r="C56" s="51"/>
      <c r="D56" s="52"/>
      <c r="E56" s="53"/>
      <c r="F56" s="62"/>
      <c r="G56" s="125"/>
      <c r="I56" s="69"/>
      <c r="L56" s="52"/>
      <c r="M56" s="132"/>
      <c r="N56" s="131"/>
      <c r="O56" s="55"/>
      <c r="P56" s="113">
        <f t="shared" si="0"/>
        <v>0</v>
      </c>
      <c r="Q56" s="33"/>
      <c r="R56" s="56"/>
      <c r="S56" s="26"/>
      <c r="T56" s="33"/>
      <c r="U56" s="32"/>
      <c r="V56" s="113">
        <f t="shared" si="12"/>
        <v>0</v>
      </c>
      <c r="W56" s="33"/>
      <c r="X56" s="32"/>
      <c r="Y56" s="113">
        <f t="shared" si="13"/>
        <v>0</v>
      </c>
      <c r="Z56" s="33"/>
      <c r="AA56" s="57"/>
      <c r="AB56" s="57"/>
      <c r="AC56" s="57"/>
      <c r="AD56" s="32"/>
      <c r="AE56" s="113">
        <f t="shared" si="1"/>
        <v>0</v>
      </c>
      <c r="AF56" s="33"/>
      <c r="AG56" s="32"/>
      <c r="AH56" s="26"/>
      <c r="AI56" s="33"/>
      <c r="AJ56" s="29">
        <f t="shared" si="2"/>
        <v>0</v>
      </c>
      <c r="AK56" s="57" t="s">
        <v>304</v>
      </c>
      <c r="AL56" s="58">
        <f t="shared" si="8"/>
        <v>0</v>
      </c>
      <c r="AM56" s="113">
        <f t="shared" si="4"/>
        <v>0</v>
      </c>
      <c r="AN56" s="33" t="s">
        <v>33</v>
      </c>
      <c r="AO56" s="59">
        <f t="shared" si="11"/>
        <v>0</v>
      </c>
      <c r="AP56" s="26"/>
      <c r="AQ56" s="33"/>
      <c r="AR56" s="56"/>
      <c r="AS56" s="26"/>
      <c r="AT56" s="33"/>
      <c r="AU56" s="57"/>
      <c r="AV56" s="86">
        <f t="shared" si="6"/>
        <v>0</v>
      </c>
      <c r="AW56" s="89">
        <f t="shared" si="7"/>
        <v>0</v>
      </c>
      <c r="AX56" s="86"/>
    </row>
    <row r="57" spans="1:50" s="29" customFormat="1">
      <c r="A57" s="50" t="s">
        <v>87</v>
      </c>
      <c r="B57" s="51"/>
      <c r="C57" s="51"/>
      <c r="D57" s="52"/>
      <c r="E57" s="53"/>
      <c r="F57" s="62"/>
      <c r="G57" s="125"/>
      <c r="I57" s="69"/>
      <c r="L57" s="52"/>
      <c r="M57" s="132"/>
      <c r="N57" s="131"/>
      <c r="O57" s="55"/>
      <c r="P57" s="113">
        <f t="shared" si="0"/>
        <v>0</v>
      </c>
      <c r="Q57" s="33"/>
      <c r="R57" s="56"/>
      <c r="S57" s="26"/>
      <c r="T57" s="33"/>
      <c r="U57" s="32"/>
      <c r="V57" s="113">
        <f t="shared" si="12"/>
        <v>0</v>
      </c>
      <c r="W57" s="33"/>
      <c r="X57" s="32"/>
      <c r="Y57" s="113">
        <f t="shared" si="13"/>
        <v>0</v>
      </c>
      <c r="Z57" s="33"/>
      <c r="AA57" s="57"/>
      <c r="AB57" s="57"/>
      <c r="AC57" s="57"/>
      <c r="AD57" s="32"/>
      <c r="AE57" s="113">
        <f t="shared" si="1"/>
        <v>0</v>
      </c>
      <c r="AF57" s="33"/>
      <c r="AG57" s="32"/>
      <c r="AH57" s="26"/>
      <c r="AI57" s="33"/>
      <c r="AJ57" s="29">
        <f t="shared" si="2"/>
        <v>0</v>
      </c>
      <c r="AK57" s="57" t="s">
        <v>304</v>
      </c>
      <c r="AL57" s="58">
        <f t="shared" si="8"/>
        <v>0</v>
      </c>
      <c r="AM57" s="113">
        <f t="shared" si="4"/>
        <v>0</v>
      </c>
      <c r="AN57" s="33" t="s">
        <v>33</v>
      </c>
      <c r="AO57" s="59">
        <f t="shared" si="11"/>
        <v>0</v>
      </c>
      <c r="AP57" s="26"/>
      <c r="AQ57" s="33"/>
      <c r="AR57" s="56"/>
      <c r="AS57" s="26"/>
      <c r="AT57" s="33"/>
      <c r="AU57" s="57"/>
      <c r="AV57" s="86">
        <f t="shared" si="6"/>
        <v>0</v>
      </c>
      <c r="AW57" s="89">
        <f t="shared" si="7"/>
        <v>0</v>
      </c>
      <c r="AX57" s="86"/>
    </row>
    <row r="58" spans="1:50" s="29" customFormat="1">
      <c r="A58" s="50" t="s">
        <v>88</v>
      </c>
      <c r="B58" s="51"/>
      <c r="C58" s="51"/>
      <c r="D58" s="52"/>
      <c r="E58" s="53"/>
      <c r="F58" s="62"/>
      <c r="G58" s="125"/>
      <c r="I58" s="69"/>
      <c r="L58" s="61"/>
      <c r="M58" s="132"/>
      <c r="N58" s="131"/>
      <c r="O58" s="55"/>
      <c r="P58" s="113">
        <f t="shared" si="0"/>
        <v>0</v>
      </c>
      <c r="Q58" s="33"/>
      <c r="R58" s="56"/>
      <c r="S58" s="26"/>
      <c r="T58" s="33"/>
      <c r="U58" s="32"/>
      <c r="V58" s="113">
        <f t="shared" si="12"/>
        <v>0</v>
      </c>
      <c r="W58" s="33"/>
      <c r="X58" s="32"/>
      <c r="Y58" s="113">
        <f t="shared" si="13"/>
        <v>0</v>
      </c>
      <c r="Z58" s="33"/>
      <c r="AA58" s="57"/>
      <c r="AB58" s="113">
        <f>ROUND(AA58*$D$1,2)</f>
        <v>0</v>
      </c>
      <c r="AC58" s="33"/>
      <c r="AD58" s="32"/>
      <c r="AE58" s="113">
        <f t="shared" si="1"/>
        <v>0</v>
      </c>
      <c r="AF58" s="33"/>
      <c r="AG58" s="32"/>
      <c r="AH58" s="26"/>
      <c r="AI58" s="33"/>
      <c r="AJ58" s="29">
        <f t="shared" si="2"/>
        <v>0</v>
      </c>
      <c r="AK58" s="57" t="s">
        <v>304</v>
      </c>
      <c r="AL58" s="58">
        <f t="shared" si="8"/>
        <v>0</v>
      </c>
      <c r="AM58" s="113">
        <f t="shared" si="4"/>
        <v>0</v>
      </c>
      <c r="AN58" s="33" t="s">
        <v>33</v>
      </c>
      <c r="AO58" s="59">
        <f t="shared" si="11"/>
        <v>0</v>
      </c>
      <c r="AP58" s="113">
        <f>ROUND(AO58*$D$1,2)</f>
        <v>0</v>
      </c>
      <c r="AQ58" s="33"/>
      <c r="AR58" s="56"/>
      <c r="AS58" s="26"/>
      <c r="AT58" s="33"/>
      <c r="AU58" s="57"/>
      <c r="AV58" s="86">
        <f t="shared" si="6"/>
        <v>0</v>
      </c>
      <c r="AW58" s="89">
        <f t="shared" si="7"/>
        <v>0</v>
      </c>
      <c r="AX58" s="86"/>
    </row>
    <row r="59" spans="1:50" s="29" customFormat="1">
      <c r="A59" s="50" t="s">
        <v>89</v>
      </c>
      <c r="E59" s="53"/>
      <c r="F59" s="62"/>
      <c r="G59" s="69"/>
      <c r="I59" s="69"/>
      <c r="L59" s="61"/>
      <c r="M59" s="132"/>
      <c r="N59" s="131"/>
      <c r="O59" s="55"/>
      <c r="P59" s="113">
        <f t="shared" si="0"/>
        <v>0</v>
      </c>
      <c r="Q59" s="33"/>
      <c r="R59" s="56"/>
      <c r="S59" s="26"/>
      <c r="T59" s="33"/>
      <c r="U59" s="32"/>
      <c r="V59" s="113">
        <f t="shared" si="12"/>
        <v>0</v>
      </c>
      <c r="W59" s="33"/>
      <c r="X59" s="32"/>
      <c r="Y59" s="113">
        <f t="shared" si="13"/>
        <v>0</v>
      </c>
      <c r="Z59" s="33"/>
      <c r="AA59" s="57"/>
      <c r="AB59" s="57"/>
      <c r="AC59" s="57"/>
      <c r="AD59" s="32"/>
      <c r="AE59" s="113">
        <f t="shared" si="1"/>
        <v>0</v>
      </c>
      <c r="AF59" s="33"/>
      <c r="AG59" s="32"/>
      <c r="AH59" s="26"/>
      <c r="AI59" s="33"/>
      <c r="AJ59" s="29">
        <f t="shared" si="2"/>
        <v>0</v>
      </c>
      <c r="AK59" s="57" t="s">
        <v>304</v>
      </c>
      <c r="AL59" s="58">
        <f t="shared" si="8"/>
        <v>0</v>
      </c>
      <c r="AM59" s="113">
        <f t="shared" si="4"/>
        <v>0</v>
      </c>
      <c r="AN59" s="33" t="s">
        <v>33</v>
      </c>
      <c r="AO59" s="59">
        <f t="shared" si="11"/>
        <v>0</v>
      </c>
      <c r="AP59" s="26"/>
      <c r="AQ59" s="33"/>
      <c r="AR59" s="56"/>
      <c r="AS59" s="26"/>
      <c r="AT59" s="33"/>
      <c r="AU59" s="57"/>
      <c r="AV59" s="86">
        <f t="shared" si="6"/>
        <v>0</v>
      </c>
      <c r="AW59" s="89">
        <f t="shared" si="7"/>
        <v>0</v>
      </c>
      <c r="AX59" s="86"/>
    </row>
    <row r="60" spans="1:50" s="29" customFormat="1">
      <c r="A60" s="50" t="s">
        <v>90</v>
      </c>
      <c r="B60" s="51"/>
      <c r="C60" s="51"/>
      <c r="D60" s="52"/>
      <c r="E60" s="53"/>
      <c r="F60" s="62"/>
      <c r="G60" s="125"/>
      <c r="I60" s="69"/>
      <c r="L60" s="52"/>
      <c r="M60" s="132"/>
      <c r="N60" s="131"/>
      <c r="O60" s="55"/>
      <c r="P60" s="113">
        <f t="shared" si="0"/>
        <v>0</v>
      </c>
      <c r="Q60" s="33"/>
      <c r="R60" s="56"/>
      <c r="S60" s="26"/>
      <c r="T60" s="33"/>
      <c r="U60" s="32"/>
      <c r="V60" s="113">
        <f t="shared" si="12"/>
        <v>0</v>
      </c>
      <c r="W60" s="33"/>
      <c r="X60" s="32"/>
      <c r="Y60" s="113">
        <f t="shared" si="13"/>
        <v>0</v>
      </c>
      <c r="Z60" s="33"/>
      <c r="AA60" s="57"/>
      <c r="AB60" s="57"/>
      <c r="AC60" s="57"/>
      <c r="AD60" s="32"/>
      <c r="AE60" s="113">
        <f t="shared" si="1"/>
        <v>0</v>
      </c>
      <c r="AF60" s="33"/>
      <c r="AG60" s="32"/>
      <c r="AH60" s="26"/>
      <c r="AI60" s="33"/>
      <c r="AJ60" s="29">
        <f t="shared" si="2"/>
        <v>0</v>
      </c>
      <c r="AK60" s="57" t="s">
        <v>304</v>
      </c>
      <c r="AL60" s="58">
        <f t="shared" si="8"/>
        <v>0</v>
      </c>
      <c r="AM60" s="113">
        <f t="shared" si="4"/>
        <v>0</v>
      </c>
      <c r="AN60" s="33" t="s">
        <v>33</v>
      </c>
      <c r="AO60" s="59">
        <f t="shared" si="11"/>
        <v>0</v>
      </c>
      <c r="AP60" s="26"/>
      <c r="AQ60" s="33"/>
      <c r="AR60" s="56"/>
      <c r="AS60" s="26"/>
      <c r="AT60" s="33"/>
      <c r="AU60" s="57"/>
      <c r="AV60" s="86">
        <f t="shared" si="6"/>
        <v>0</v>
      </c>
      <c r="AW60" s="89">
        <f t="shared" si="7"/>
        <v>0</v>
      </c>
      <c r="AX60" s="86"/>
    </row>
    <row r="61" spans="1:50" s="29" customFormat="1">
      <c r="A61" s="50" t="s">
        <v>91</v>
      </c>
      <c r="B61" s="51"/>
      <c r="C61" s="51"/>
      <c r="D61" s="51"/>
      <c r="E61" s="53"/>
      <c r="F61" s="62"/>
      <c r="G61" s="69"/>
      <c r="I61" s="69"/>
      <c r="L61" s="51"/>
      <c r="M61" s="132"/>
      <c r="N61" s="131"/>
      <c r="O61" s="55"/>
      <c r="P61" s="113">
        <f t="shared" si="0"/>
        <v>0</v>
      </c>
      <c r="Q61" s="33"/>
      <c r="R61" s="56"/>
      <c r="S61" s="26"/>
      <c r="T61" s="33"/>
      <c r="U61" s="32"/>
      <c r="V61" s="113">
        <f t="shared" si="12"/>
        <v>0</v>
      </c>
      <c r="W61" s="33"/>
      <c r="X61" s="32"/>
      <c r="Y61" s="113">
        <f t="shared" si="13"/>
        <v>0</v>
      </c>
      <c r="Z61" s="33"/>
      <c r="AA61" s="57"/>
      <c r="AB61" s="57"/>
      <c r="AC61" s="57"/>
      <c r="AD61" s="32"/>
      <c r="AE61" s="113">
        <f t="shared" si="1"/>
        <v>0</v>
      </c>
      <c r="AF61" s="33"/>
      <c r="AG61" s="32"/>
      <c r="AH61" s="26"/>
      <c r="AI61" s="33"/>
      <c r="AJ61" s="29">
        <f t="shared" si="2"/>
        <v>0</v>
      </c>
      <c r="AK61" s="57" t="s">
        <v>304</v>
      </c>
      <c r="AL61" s="58">
        <f t="shared" si="8"/>
        <v>0</v>
      </c>
      <c r="AM61" s="113">
        <f t="shared" si="4"/>
        <v>0</v>
      </c>
      <c r="AN61" s="33" t="s">
        <v>33</v>
      </c>
      <c r="AO61" s="59">
        <f t="shared" si="11"/>
        <v>0</v>
      </c>
      <c r="AP61" s="26"/>
      <c r="AQ61" s="33"/>
      <c r="AR61" s="56"/>
      <c r="AS61" s="26"/>
      <c r="AT61" s="33"/>
      <c r="AU61" s="57"/>
      <c r="AV61" s="86">
        <f t="shared" si="6"/>
        <v>0</v>
      </c>
      <c r="AW61" s="89">
        <f t="shared" si="7"/>
        <v>0</v>
      </c>
      <c r="AX61" s="86"/>
    </row>
    <row r="62" spans="1:50" s="29" customFormat="1">
      <c r="A62" s="50" t="s">
        <v>290</v>
      </c>
      <c r="B62" s="65"/>
      <c r="C62" s="65"/>
      <c r="D62" s="65"/>
      <c r="E62" s="53"/>
      <c r="F62" s="62"/>
      <c r="G62" s="69"/>
      <c r="I62" s="69"/>
      <c r="L62" s="65"/>
      <c r="M62" s="132"/>
      <c r="N62" s="131"/>
      <c r="O62" s="55"/>
      <c r="P62" s="113">
        <f t="shared" si="0"/>
        <v>0</v>
      </c>
      <c r="Q62" s="33"/>
      <c r="R62" s="56"/>
      <c r="S62" s="26"/>
      <c r="T62" s="33"/>
      <c r="U62" s="32"/>
      <c r="V62" s="113">
        <f t="shared" si="12"/>
        <v>0</v>
      </c>
      <c r="W62" s="33"/>
      <c r="X62" s="32"/>
      <c r="Y62" s="113">
        <f t="shared" si="13"/>
        <v>0</v>
      </c>
      <c r="Z62" s="33"/>
      <c r="AA62" s="57"/>
      <c r="AB62" s="57"/>
      <c r="AC62" s="57"/>
      <c r="AD62" s="32"/>
      <c r="AE62" s="113">
        <f t="shared" si="1"/>
        <v>0</v>
      </c>
      <c r="AF62" s="33"/>
      <c r="AG62" s="32"/>
      <c r="AH62" s="26"/>
      <c r="AI62" s="33"/>
      <c r="AJ62" s="29">
        <f t="shared" si="2"/>
        <v>0</v>
      </c>
      <c r="AK62" s="57" t="s">
        <v>304</v>
      </c>
      <c r="AL62" s="58">
        <f t="shared" si="8"/>
        <v>0</v>
      </c>
      <c r="AM62" s="113">
        <f t="shared" si="4"/>
        <v>0</v>
      </c>
      <c r="AN62" s="33" t="s">
        <v>33</v>
      </c>
      <c r="AO62" s="59">
        <f t="shared" si="11"/>
        <v>0</v>
      </c>
      <c r="AP62" s="26"/>
      <c r="AQ62" s="33"/>
      <c r="AR62" s="56"/>
      <c r="AS62" s="26"/>
      <c r="AT62" s="33"/>
      <c r="AU62" s="57"/>
      <c r="AV62" s="86">
        <f t="shared" si="6"/>
        <v>0</v>
      </c>
      <c r="AW62" s="89">
        <f t="shared" si="7"/>
        <v>0</v>
      </c>
      <c r="AX62" s="86"/>
    </row>
    <row r="63" spans="1:50" s="29" customFormat="1">
      <c r="A63" s="50" t="s">
        <v>92</v>
      </c>
      <c r="B63" s="51"/>
      <c r="C63" s="51"/>
      <c r="D63" s="52"/>
      <c r="E63" s="53"/>
      <c r="F63" s="62"/>
      <c r="G63" s="125"/>
      <c r="I63" s="69"/>
      <c r="L63" s="61"/>
      <c r="M63" s="132"/>
      <c r="N63" s="131"/>
      <c r="O63" s="55"/>
      <c r="P63" s="113">
        <f t="shared" si="0"/>
        <v>0</v>
      </c>
      <c r="Q63" s="33"/>
      <c r="R63" s="56"/>
      <c r="S63" s="26"/>
      <c r="T63" s="33"/>
      <c r="U63" s="32"/>
      <c r="V63" s="113">
        <f t="shared" si="12"/>
        <v>0</v>
      </c>
      <c r="W63" s="33"/>
      <c r="X63" s="32"/>
      <c r="Y63" s="113">
        <f t="shared" si="13"/>
        <v>0</v>
      </c>
      <c r="Z63" s="33"/>
      <c r="AA63" s="57"/>
      <c r="AB63" s="113">
        <f>ROUND(AA63*$D$1,2)</f>
        <v>0</v>
      </c>
      <c r="AC63" s="33"/>
      <c r="AD63" s="32"/>
      <c r="AE63" s="113">
        <f t="shared" si="1"/>
        <v>0</v>
      </c>
      <c r="AF63" s="33"/>
      <c r="AG63" s="32"/>
      <c r="AH63" s="26"/>
      <c r="AI63" s="33"/>
      <c r="AJ63" s="29">
        <f t="shared" si="2"/>
        <v>0</v>
      </c>
      <c r="AK63" s="57" t="s">
        <v>304</v>
      </c>
      <c r="AL63" s="58">
        <f t="shared" si="8"/>
        <v>0</v>
      </c>
      <c r="AM63" s="113">
        <f t="shared" si="4"/>
        <v>0</v>
      </c>
      <c r="AN63" s="33" t="s">
        <v>33</v>
      </c>
      <c r="AO63" s="59">
        <f t="shared" si="11"/>
        <v>0</v>
      </c>
      <c r="AP63" s="26"/>
      <c r="AQ63" s="33"/>
      <c r="AR63" s="56"/>
      <c r="AS63" s="26"/>
      <c r="AT63" s="33"/>
      <c r="AU63" s="57"/>
      <c r="AV63" s="86">
        <f t="shared" si="6"/>
        <v>0</v>
      </c>
      <c r="AW63" s="89">
        <f t="shared" si="7"/>
        <v>0</v>
      </c>
      <c r="AX63" s="86"/>
    </row>
    <row r="64" spans="1:50" s="29" customFormat="1">
      <c r="A64" s="50" t="s">
        <v>93</v>
      </c>
      <c r="E64" s="53"/>
      <c r="G64" s="69"/>
      <c r="I64" s="69"/>
      <c r="L64" s="52"/>
      <c r="M64" s="132"/>
      <c r="N64" s="131"/>
      <c r="O64" s="55"/>
      <c r="P64" s="113">
        <f t="shared" si="0"/>
        <v>0</v>
      </c>
      <c r="Q64" s="33"/>
      <c r="R64" s="56"/>
      <c r="S64" s="26"/>
      <c r="T64" s="33"/>
      <c r="U64" s="32"/>
      <c r="V64" s="113">
        <f t="shared" si="12"/>
        <v>0</v>
      </c>
      <c r="W64" s="33"/>
      <c r="X64" s="32"/>
      <c r="Y64" s="113">
        <f t="shared" si="13"/>
        <v>0</v>
      </c>
      <c r="Z64" s="33"/>
      <c r="AA64" s="57"/>
      <c r="AB64" s="57"/>
      <c r="AC64" s="57"/>
      <c r="AD64" s="32"/>
      <c r="AE64" s="113">
        <f t="shared" si="1"/>
        <v>0</v>
      </c>
      <c r="AF64" s="33"/>
      <c r="AG64" s="32"/>
      <c r="AH64" s="26"/>
      <c r="AI64" s="33"/>
      <c r="AJ64" s="29">
        <f t="shared" si="2"/>
        <v>0</v>
      </c>
      <c r="AK64" s="57" t="s">
        <v>304</v>
      </c>
      <c r="AL64" s="58">
        <f t="shared" si="8"/>
        <v>0</v>
      </c>
      <c r="AM64" s="113">
        <f t="shared" si="4"/>
        <v>0</v>
      </c>
      <c r="AN64" s="33" t="s">
        <v>33</v>
      </c>
      <c r="AO64" s="59">
        <f t="shared" si="11"/>
        <v>0</v>
      </c>
      <c r="AP64" s="26"/>
      <c r="AQ64" s="33"/>
      <c r="AR64" s="56"/>
      <c r="AS64" s="26"/>
      <c r="AT64" s="33"/>
      <c r="AU64" s="57"/>
      <c r="AV64" s="86">
        <f t="shared" si="6"/>
        <v>0</v>
      </c>
      <c r="AW64" s="89">
        <f t="shared" si="7"/>
        <v>0</v>
      </c>
      <c r="AX64" s="86"/>
    </row>
    <row r="65" spans="1:50" s="29" customFormat="1">
      <c r="A65" s="50" t="s">
        <v>94</v>
      </c>
      <c r="B65" s="54"/>
      <c r="C65" s="54"/>
      <c r="D65" s="54"/>
      <c r="E65" s="53"/>
      <c r="F65" s="62"/>
      <c r="G65" s="69"/>
      <c r="I65" s="69"/>
      <c r="L65" s="66"/>
      <c r="M65" s="132"/>
      <c r="N65" s="131"/>
      <c r="O65" s="55"/>
      <c r="P65" s="113">
        <f t="shared" si="0"/>
        <v>0</v>
      </c>
      <c r="Q65" s="33"/>
      <c r="R65" s="56"/>
      <c r="S65" s="26"/>
      <c r="T65" s="33"/>
      <c r="U65" s="32"/>
      <c r="V65" s="113">
        <f t="shared" si="12"/>
        <v>0</v>
      </c>
      <c r="W65" s="33"/>
      <c r="X65" s="32"/>
      <c r="Y65" s="113">
        <f t="shared" si="13"/>
        <v>0</v>
      </c>
      <c r="Z65" s="33"/>
      <c r="AA65" s="57"/>
      <c r="AB65" s="57"/>
      <c r="AC65" s="57"/>
      <c r="AD65" s="32"/>
      <c r="AE65" s="113">
        <f t="shared" si="1"/>
        <v>0</v>
      </c>
      <c r="AF65" s="33"/>
      <c r="AG65" s="32"/>
      <c r="AH65" s="26"/>
      <c r="AI65" s="33"/>
      <c r="AJ65" s="29">
        <f t="shared" si="2"/>
        <v>0</v>
      </c>
      <c r="AK65" s="57" t="s">
        <v>304</v>
      </c>
      <c r="AL65" s="58">
        <f t="shared" si="8"/>
        <v>0</v>
      </c>
      <c r="AM65" s="113">
        <f t="shared" si="4"/>
        <v>0</v>
      </c>
      <c r="AN65" s="33" t="s">
        <v>33</v>
      </c>
      <c r="AO65" s="59">
        <f t="shared" si="11"/>
        <v>0</v>
      </c>
      <c r="AP65" s="26"/>
      <c r="AQ65" s="33"/>
      <c r="AR65" s="56"/>
      <c r="AS65" s="26"/>
      <c r="AT65" s="33"/>
      <c r="AU65" s="57"/>
      <c r="AV65" s="86">
        <f t="shared" si="6"/>
        <v>0</v>
      </c>
      <c r="AW65" s="89">
        <f t="shared" si="7"/>
        <v>0</v>
      </c>
      <c r="AX65" s="86"/>
    </row>
    <row r="66" spans="1:50" s="29" customFormat="1">
      <c r="A66" s="50" t="s">
        <v>95</v>
      </c>
      <c r="E66" s="53"/>
      <c r="G66" s="69"/>
      <c r="I66" s="69"/>
      <c r="L66" s="52"/>
      <c r="M66" s="132"/>
      <c r="N66" s="131"/>
      <c r="O66" s="55"/>
      <c r="P66" s="113">
        <f t="shared" si="0"/>
        <v>0</v>
      </c>
      <c r="Q66" s="33"/>
      <c r="R66" s="56"/>
      <c r="S66" s="26"/>
      <c r="T66" s="33"/>
      <c r="U66" s="32"/>
      <c r="V66" s="113">
        <f t="shared" si="12"/>
        <v>0</v>
      </c>
      <c r="W66" s="33"/>
      <c r="X66" s="32"/>
      <c r="Y66" s="113">
        <f t="shared" si="13"/>
        <v>0</v>
      </c>
      <c r="Z66" s="33"/>
      <c r="AA66" s="57"/>
      <c r="AB66" s="57"/>
      <c r="AC66" s="57"/>
      <c r="AD66" s="32"/>
      <c r="AE66" s="113">
        <f t="shared" si="1"/>
        <v>0</v>
      </c>
      <c r="AF66" s="33"/>
      <c r="AG66" s="32"/>
      <c r="AH66" s="26"/>
      <c r="AI66" s="33"/>
      <c r="AJ66" s="29">
        <f t="shared" si="2"/>
        <v>0</v>
      </c>
      <c r="AK66" s="57" t="s">
        <v>304</v>
      </c>
      <c r="AL66" s="58">
        <f t="shared" si="8"/>
        <v>0</v>
      </c>
      <c r="AM66" s="113">
        <f t="shared" si="4"/>
        <v>0</v>
      </c>
      <c r="AN66" s="33" t="s">
        <v>33</v>
      </c>
      <c r="AO66" s="59">
        <f t="shared" si="11"/>
        <v>0</v>
      </c>
      <c r="AP66" s="26"/>
      <c r="AQ66" s="33"/>
      <c r="AR66" s="56"/>
      <c r="AS66" s="26"/>
      <c r="AT66" s="33"/>
      <c r="AU66" s="57"/>
      <c r="AV66" s="86">
        <f t="shared" si="6"/>
        <v>0</v>
      </c>
      <c r="AW66" s="89">
        <f t="shared" si="7"/>
        <v>0</v>
      </c>
      <c r="AX66" s="86"/>
    </row>
    <row r="67" spans="1:50" s="29" customFormat="1">
      <c r="A67" s="50" t="s">
        <v>96</v>
      </c>
      <c r="B67" s="51"/>
      <c r="C67" s="51"/>
      <c r="D67" s="52"/>
      <c r="E67" s="53"/>
      <c r="F67" s="62"/>
      <c r="G67" s="125"/>
      <c r="I67" s="69"/>
      <c r="L67" s="61"/>
      <c r="M67" s="132"/>
      <c r="N67" s="131"/>
      <c r="O67" s="55"/>
      <c r="P67" s="113">
        <f t="shared" ref="P67:P111" si="14">ROUND(O67*$D$1,2)</f>
        <v>0</v>
      </c>
      <c r="Q67" s="33"/>
      <c r="R67" s="56"/>
      <c r="S67" s="26"/>
      <c r="T67" s="33"/>
      <c r="U67" s="32"/>
      <c r="V67" s="113">
        <f t="shared" si="12"/>
        <v>0</v>
      </c>
      <c r="W67" s="33"/>
      <c r="X67" s="32"/>
      <c r="Y67" s="113">
        <f t="shared" si="13"/>
        <v>0</v>
      </c>
      <c r="Z67" s="33"/>
      <c r="AA67" s="57"/>
      <c r="AB67" s="57"/>
      <c r="AC67" s="57"/>
      <c r="AD67" s="32"/>
      <c r="AE67" s="113">
        <f t="shared" ref="AE67:AE111" si="15">ROUND(AD67*$J$1,2)</f>
        <v>0</v>
      </c>
      <c r="AF67" s="33"/>
      <c r="AG67" s="32"/>
      <c r="AH67" s="26"/>
      <c r="AI67" s="33"/>
      <c r="AJ67" s="29">
        <f t="shared" ref="AJ67:AJ111" si="16">IF($O$1="SI",400,0)</f>
        <v>0</v>
      </c>
      <c r="AK67" s="57" t="s">
        <v>304</v>
      </c>
      <c r="AL67" s="58">
        <f t="shared" si="8"/>
        <v>0</v>
      </c>
      <c r="AM67" s="113">
        <f t="shared" ref="AM67:AM111" si="17">ROUND(AL67*$D$1,2)</f>
        <v>0</v>
      </c>
      <c r="AN67" s="33" t="s">
        <v>33</v>
      </c>
      <c r="AO67" s="59">
        <f t="shared" ref="AO67:AO98" si="18">IF(H67="RIMAC EPS EMPRESA PRESTADORA DE SALUD",O67*0.0225,O67*0)</f>
        <v>0</v>
      </c>
      <c r="AP67" s="113">
        <f>ROUND(AO67*$D$1,2)</f>
        <v>0</v>
      </c>
      <c r="AQ67" s="33"/>
      <c r="AR67" s="56"/>
      <c r="AS67" s="26"/>
      <c r="AT67" s="33"/>
      <c r="AU67" s="57"/>
      <c r="AV67" s="86">
        <f t="shared" si="6"/>
        <v>0</v>
      </c>
      <c r="AW67" s="89">
        <f t="shared" si="7"/>
        <v>0</v>
      </c>
      <c r="AX67" s="86"/>
    </row>
    <row r="68" spans="1:50" s="29" customFormat="1">
      <c r="A68" s="50" t="s">
        <v>97</v>
      </c>
      <c r="B68" s="51"/>
      <c r="C68" s="51"/>
      <c r="D68" s="52"/>
      <c r="E68" s="53"/>
      <c r="F68" s="62"/>
      <c r="G68" s="125"/>
      <c r="I68" s="69"/>
      <c r="L68" s="61"/>
      <c r="M68" s="132"/>
      <c r="N68" s="131"/>
      <c r="O68" s="55"/>
      <c r="P68" s="113">
        <f t="shared" si="14"/>
        <v>0</v>
      </c>
      <c r="Q68" s="33"/>
      <c r="R68" s="56"/>
      <c r="S68" s="26"/>
      <c r="T68" s="33"/>
      <c r="U68" s="32"/>
      <c r="V68" s="113">
        <f t="shared" si="12"/>
        <v>0</v>
      </c>
      <c r="W68" s="33"/>
      <c r="X68" s="32"/>
      <c r="Y68" s="113">
        <f t="shared" si="13"/>
        <v>0</v>
      </c>
      <c r="Z68" s="33"/>
      <c r="AA68" s="57"/>
      <c r="AB68" s="57"/>
      <c r="AC68" s="57"/>
      <c r="AD68" s="32"/>
      <c r="AE68" s="113">
        <f t="shared" si="15"/>
        <v>0</v>
      </c>
      <c r="AF68" s="33"/>
      <c r="AG68" s="32"/>
      <c r="AH68" s="26"/>
      <c r="AI68" s="33"/>
      <c r="AJ68" s="29">
        <f t="shared" si="16"/>
        <v>0</v>
      </c>
      <c r="AK68" s="57" t="s">
        <v>304</v>
      </c>
      <c r="AL68" s="58">
        <f t="shared" si="8"/>
        <v>0</v>
      </c>
      <c r="AM68" s="113">
        <f t="shared" si="17"/>
        <v>0</v>
      </c>
      <c r="AN68" s="33" t="s">
        <v>33</v>
      </c>
      <c r="AO68" s="59">
        <f t="shared" si="18"/>
        <v>0</v>
      </c>
      <c r="AP68" s="26"/>
      <c r="AQ68" s="33"/>
      <c r="AR68" s="56"/>
      <c r="AS68" s="26"/>
      <c r="AT68" s="33"/>
      <c r="AU68" s="57"/>
      <c r="AV68" s="86">
        <f t="shared" ref="AV68:AV111" si="19">P68+S68+V68+Y68+AB68+AE68+AH68+AJ68</f>
        <v>0</v>
      </c>
      <c r="AW68" s="89">
        <f t="shared" ref="AW68:AW131" si="20">AV68+AM68+AP68+AS68</f>
        <v>0</v>
      </c>
      <c r="AX68" s="86"/>
    </row>
    <row r="69" spans="1:50" s="29" customFormat="1">
      <c r="A69" s="50" t="s">
        <v>98</v>
      </c>
      <c r="B69" s="54"/>
      <c r="C69" s="54"/>
      <c r="D69" s="54"/>
      <c r="E69" s="53"/>
      <c r="F69" s="62"/>
      <c r="G69" s="69"/>
      <c r="I69" s="69"/>
      <c r="L69" s="52"/>
      <c r="M69" s="132"/>
      <c r="N69" s="131"/>
      <c r="O69" s="55"/>
      <c r="P69" s="113">
        <f t="shared" si="14"/>
        <v>0</v>
      </c>
      <c r="Q69" s="33"/>
      <c r="R69" s="56"/>
      <c r="S69" s="26"/>
      <c r="T69" s="33"/>
      <c r="U69" s="32"/>
      <c r="V69" s="113">
        <f t="shared" si="12"/>
        <v>0</v>
      </c>
      <c r="W69" s="33"/>
      <c r="X69" s="32"/>
      <c r="Y69" s="113">
        <f t="shared" si="13"/>
        <v>0</v>
      </c>
      <c r="Z69" s="33"/>
      <c r="AA69" s="57"/>
      <c r="AB69" s="57"/>
      <c r="AC69" s="57"/>
      <c r="AD69" s="32"/>
      <c r="AE69" s="113">
        <f t="shared" si="15"/>
        <v>0</v>
      </c>
      <c r="AF69" s="33"/>
      <c r="AG69" s="32"/>
      <c r="AH69" s="26"/>
      <c r="AI69" s="33"/>
      <c r="AJ69" s="29">
        <f t="shared" si="16"/>
        <v>0</v>
      </c>
      <c r="AK69" s="57" t="s">
        <v>304</v>
      </c>
      <c r="AL69" s="58">
        <f t="shared" ref="AL69:AL132" si="21">IF(H69="RIMAC EPS EMPRESA PRESTADORA DE SALUD",O69*0.0675,O69*0.09)</f>
        <v>0</v>
      </c>
      <c r="AM69" s="113">
        <f t="shared" si="17"/>
        <v>0</v>
      </c>
      <c r="AN69" s="33" t="s">
        <v>33</v>
      </c>
      <c r="AO69" s="59">
        <f t="shared" si="18"/>
        <v>0</v>
      </c>
      <c r="AP69" s="26"/>
      <c r="AQ69" s="33"/>
      <c r="AR69" s="56"/>
      <c r="AS69" s="26"/>
      <c r="AT69" s="33"/>
      <c r="AU69" s="57"/>
      <c r="AV69" s="86">
        <f t="shared" si="19"/>
        <v>0</v>
      </c>
      <c r="AW69" s="89">
        <f t="shared" si="20"/>
        <v>0</v>
      </c>
      <c r="AX69" s="86"/>
    </row>
    <row r="70" spans="1:50" s="29" customFormat="1">
      <c r="A70" s="50" t="s">
        <v>99</v>
      </c>
      <c r="B70" s="51"/>
      <c r="C70" s="51"/>
      <c r="D70" s="52"/>
      <c r="E70" s="53"/>
      <c r="F70" s="62"/>
      <c r="G70" s="69"/>
      <c r="I70" s="69"/>
      <c r="L70" s="52"/>
      <c r="M70" s="132"/>
      <c r="N70" s="131"/>
      <c r="O70" s="55"/>
      <c r="P70" s="113">
        <f t="shared" si="14"/>
        <v>0</v>
      </c>
      <c r="Q70" s="33"/>
      <c r="R70" s="56"/>
      <c r="S70" s="26"/>
      <c r="T70" s="33"/>
      <c r="U70" s="32"/>
      <c r="V70" s="113">
        <f t="shared" si="12"/>
        <v>0</v>
      </c>
      <c r="W70" s="33"/>
      <c r="X70" s="32"/>
      <c r="Y70" s="113">
        <f t="shared" si="13"/>
        <v>0</v>
      </c>
      <c r="Z70" s="33"/>
      <c r="AA70" s="57"/>
      <c r="AB70" s="57"/>
      <c r="AC70" s="57"/>
      <c r="AD70" s="32"/>
      <c r="AE70" s="113">
        <f t="shared" si="15"/>
        <v>0</v>
      </c>
      <c r="AF70" s="33"/>
      <c r="AG70" s="32"/>
      <c r="AH70" s="26"/>
      <c r="AI70" s="33"/>
      <c r="AJ70" s="29">
        <f t="shared" si="16"/>
        <v>0</v>
      </c>
      <c r="AK70" s="57" t="s">
        <v>304</v>
      </c>
      <c r="AL70" s="58">
        <f t="shared" si="21"/>
        <v>0</v>
      </c>
      <c r="AM70" s="113">
        <f t="shared" si="17"/>
        <v>0</v>
      </c>
      <c r="AN70" s="33" t="s">
        <v>33</v>
      </c>
      <c r="AO70" s="59">
        <f t="shared" si="18"/>
        <v>0</v>
      </c>
      <c r="AP70" s="26"/>
      <c r="AQ70" s="33"/>
      <c r="AR70" s="56"/>
      <c r="AS70" s="26"/>
      <c r="AT70" s="33"/>
      <c r="AU70" s="57"/>
      <c r="AV70" s="86">
        <f t="shared" si="19"/>
        <v>0</v>
      </c>
      <c r="AW70" s="89">
        <f t="shared" si="20"/>
        <v>0</v>
      </c>
      <c r="AX70" s="86"/>
    </row>
    <row r="71" spans="1:50" s="29" customFormat="1">
      <c r="A71" s="50" t="s">
        <v>100</v>
      </c>
      <c r="B71" s="51"/>
      <c r="C71" s="51"/>
      <c r="D71" s="52"/>
      <c r="E71" s="53"/>
      <c r="F71" s="62"/>
      <c r="G71" s="125"/>
      <c r="I71" s="69"/>
      <c r="L71" s="52"/>
      <c r="M71" s="132"/>
      <c r="N71" s="131"/>
      <c r="O71" s="55"/>
      <c r="P71" s="113">
        <f t="shared" si="14"/>
        <v>0</v>
      </c>
      <c r="Q71" s="33"/>
      <c r="R71" s="56"/>
      <c r="S71" s="26"/>
      <c r="T71" s="33"/>
      <c r="U71" s="32"/>
      <c r="V71" s="113">
        <f t="shared" si="12"/>
        <v>0</v>
      </c>
      <c r="W71" s="33"/>
      <c r="X71" s="32"/>
      <c r="Y71" s="113">
        <f t="shared" si="13"/>
        <v>0</v>
      </c>
      <c r="Z71" s="33"/>
      <c r="AA71" s="57"/>
      <c r="AB71" s="57"/>
      <c r="AC71" s="57"/>
      <c r="AD71" s="32"/>
      <c r="AE71" s="113">
        <f t="shared" si="15"/>
        <v>0</v>
      </c>
      <c r="AF71" s="33"/>
      <c r="AG71" s="32"/>
      <c r="AH71" s="26"/>
      <c r="AI71" s="33"/>
      <c r="AJ71" s="29">
        <f t="shared" si="16"/>
        <v>0</v>
      </c>
      <c r="AK71" s="57" t="s">
        <v>304</v>
      </c>
      <c r="AL71" s="58">
        <f t="shared" si="21"/>
        <v>0</v>
      </c>
      <c r="AM71" s="113">
        <f t="shared" si="17"/>
        <v>0</v>
      </c>
      <c r="AN71" s="33" t="s">
        <v>33</v>
      </c>
      <c r="AO71" s="59">
        <f t="shared" si="18"/>
        <v>0</v>
      </c>
      <c r="AP71" s="26"/>
      <c r="AQ71" s="33"/>
      <c r="AR71" s="56"/>
      <c r="AS71" s="26"/>
      <c r="AT71" s="33"/>
      <c r="AU71" s="57"/>
      <c r="AV71" s="86">
        <f t="shared" si="19"/>
        <v>0</v>
      </c>
      <c r="AW71" s="89">
        <f t="shared" si="20"/>
        <v>0</v>
      </c>
      <c r="AX71" s="86"/>
    </row>
    <row r="72" spans="1:50" s="29" customFormat="1">
      <c r="A72" s="50" t="s">
        <v>101</v>
      </c>
      <c r="B72" s="51"/>
      <c r="C72" s="51"/>
      <c r="D72" s="52"/>
      <c r="E72" s="53"/>
      <c r="F72" s="62"/>
      <c r="G72" s="125"/>
      <c r="I72" s="69"/>
      <c r="L72" s="52"/>
      <c r="M72" s="132"/>
      <c r="N72" s="131"/>
      <c r="O72" s="55"/>
      <c r="P72" s="113">
        <f t="shared" si="14"/>
        <v>0</v>
      </c>
      <c r="Q72" s="33"/>
      <c r="R72" s="56"/>
      <c r="S72" s="26"/>
      <c r="T72" s="33"/>
      <c r="U72" s="32"/>
      <c r="V72" s="113">
        <f t="shared" si="12"/>
        <v>0</v>
      </c>
      <c r="W72" s="33"/>
      <c r="X72" s="32"/>
      <c r="Y72" s="113">
        <f t="shared" si="13"/>
        <v>0</v>
      </c>
      <c r="Z72" s="33"/>
      <c r="AA72" s="57"/>
      <c r="AB72" s="57"/>
      <c r="AC72" s="57"/>
      <c r="AD72" s="32"/>
      <c r="AE72" s="113">
        <f t="shared" si="15"/>
        <v>0</v>
      </c>
      <c r="AF72" s="33"/>
      <c r="AG72" s="32"/>
      <c r="AH72" s="26"/>
      <c r="AI72" s="33"/>
      <c r="AJ72" s="29">
        <f t="shared" si="16"/>
        <v>0</v>
      </c>
      <c r="AK72" s="57" t="s">
        <v>304</v>
      </c>
      <c r="AL72" s="58">
        <f t="shared" si="21"/>
        <v>0</v>
      </c>
      <c r="AM72" s="113">
        <f t="shared" si="17"/>
        <v>0</v>
      </c>
      <c r="AN72" s="33" t="s">
        <v>33</v>
      </c>
      <c r="AO72" s="59">
        <f t="shared" si="18"/>
        <v>0</v>
      </c>
      <c r="AP72" s="26"/>
      <c r="AQ72" s="33"/>
      <c r="AR72" s="56"/>
      <c r="AS72" s="26"/>
      <c r="AT72" s="33"/>
      <c r="AU72" s="57"/>
      <c r="AV72" s="86">
        <f t="shared" si="19"/>
        <v>0</v>
      </c>
      <c r="AW72" s="89">
        <f t="shared" si="20"/>
        <v>0</v>
      </c>
      <c r="AX72" s="86"/>
    </row>
    <row r="73" spans="1:50" s="29" customFormat="1">
      <c r="A73" s="50" t="s">
        <v>102</v>
      </c>
      <c r="B73" s="51"/>
      <c r="C73" s="51"/>
      <c r="D73" s="51"/>
      <c r="E73" s="53"/>
      <c r="F73" s="62"/>
      <c r="G73" s="69"/>
      <c r="I73" s="69"/>
      <c r="L73" s="52"/>
      <c r="M73" s="132"/>
      <c r="N73" s="131"/>
      <c r="O73" s="55"/>
      <c r="P73" s="113">
        <f t="shared" si="14"/>
        <v>0</v>
      </c>
      <c r="Q73" s="33"/>
      <c r="R73" s="56"/>
      <c r="S73" s="26"/>
      <c r="T73" s="33"/>
      <c r="U73" s="32"/>
      <c r="V73" s="113">
        <f t="shared" ref="V73:V101" si="22">ROUND(U73*$D$1,2)</f>
        <v>0</v>
      </c>
      <c r="W73" s="33"/>
      <c r="X73" s="32"/>
      <c r="Y73" s="113">
        <f t="shared" ref="Y73:Y101" si="23">ROUND(X73*$D$1,2)</f>
        <v>0</v>
      </c>
      <c r="Z73" s="33"/>
      <c r="AA73" s="57"/>
      <c r="AB73" s="57"/>
      <c r="AC73" s="57"/>
      <c r="AD73" s="32"/>
      <c r="AE73" s="113">
        <f t="shared" si="15"/>
        <v>0</v>
      </c>
      <c r="AF73" s="33"/>
      <c r="AG73" s="32"/>
      <c r="AH73" s="26"/>
      <c r="AI73" s="33"/>
      <c r="AJ73" s="29">
        <f t="shared" si="16"/>
        <v>0</v>
      </c>
      <c r="AK73" s="57" t="s">
        <v>304</v>
      </c>
      <c r="AL73" s="58">
        <f t="shared" si="21"/>
        <v>0</v>
      </c>
      <c r="AM73" s="113">
        <f t="shared" si="17"/>
        <v>0</v>
      </c>
      <c r="AN73" s="33" t="s">
        <v>33</v>
      </c>
      <c r="AO73" s="59">
        <f t="shared" si="18"/>
        <v>0</v>
      </c>
      <c r="AP73" s="113">
        <f>ROUND(AO73*$D$1,2)</f>
        <v>0</v>
      </c>
      <c r="AQ73" s="33"/>
      <c r="AR73" s="56"/>
      <c r="AS73" s="26"/>
      <c r="AT73" s="33"/>
      <c r="AU73" s="57"/>
      <c r="AV73" s="86">
        <f t="shared" si="19"/>
        <v>0</v>
      </c>
      <c r="AW73" s="89">
        <f t="shared" si="20"/>
        <v>0</v>
      </c>
      <c r="AX73" s="86"/>
    </row>
    <row r="74" spans="1:50" s="29" customFormat="1">
      <c r="A74" s="50" t="s">
        <v>103</v>
      </c>
      <c r="B74" s="51"/>
      <c r="C74" s="51"/>
      <c r="D74" s="52"/>
      <c r="E74" s="53"/>
      <c r="F74" s="62"/>
      <c r="G74" s="125"/>
      <c r="I74" s="69"/>
      <c r="L74" s="52"/>
      <c r="M74" s="132"/>
      <c r="N74" s="131"/>
      <c r="O74" s="55"/>
      <c r="P74" s="113">
        <f t="shared" si="14"/>
        <v>0</v>
      </c>
      <c r="Q74" s="33"/>
      <c r="R74" s="56"/>
      <c r="S74" s="26"/>
      <c r="T74" s="33"/>
      <c r="U74" s="32"/>
      <c r="V74" s="113">
        <f t="shared" si="22"/>
        <v>0</v>
      </c>
      <c r="W74" s="33"/>
      <c r="X74" s="32"/>
      <c r="Y74" s="113">
        <f t="shared" si="23"/>
        <v>0</v>
      </c>
      <c r="Z74" s="33"/>
      <c r="AA74" s="57"/>
      <c r="AB74" s="57"/>
      <c r="AC74" s="57"/>
      <c r="AD74" s="32"/>
      <c r="AE74" s="113">
        <f t="shared" si="15"/>
        <v>0</v>
      </c>
      <c r="AF74" s="33"/>
      <c r="AG74" s="32"/>
      <c r="AH74" s="26"/>
      <c r="AI74" s="33"/>
      <c r="AJ74" s="29">
        <f t="shared" si="16"/>
        <v>0</v>
      </c>
      <c r="AK74" s="57" t="s">
        <v>304</v>
      </c>
      <c r="AL74" s="58">
        <f t="shared" si="21"/>
        <v>0</v>
      </c>
      <c r="AM74" s="113">
        <f t="shared" si="17"/>
        <v>0</v>
      </c>
      <c r="AN74" s="33" t="s">
        <v>33</v>
      </c>
      <c r="AO74" s="59">
        <f t="shared" si="18"/>
        <v>0</v>
      </c>
      <c r="AP74" s="113">
        <f>ROUND(AO74*$D$1,2)</f>
        <v>0</v>
      </c>
      <c r="AQ74" s="33"/>
      <c r="AR74" s="56"/>
      <c r="AS74" s="26"/>
      <c r="AT74" s="33"/>
      <c r="AU74" s="57"/>
      <c r="AV74" s="86">
        <f t="shared" si="19"/>
        <v>0</v>
      </c>
      <c r="AW74" s="89">
        <f t="shared" si="20"/>
        <v>0</v>
      </c>
      <c r="AX74" s="86"/>
    </row>
    <row r="75" spans="1:50" s="29" customFormat="1">
      <c r="A75" s="50" t="s">
        <v>104</v>
      </c>
      <c r="B75" s="51"/>
      <c r="C75" s="51"/>
      <c r="D75" s="52"/>
      <c r="E75" s="53"/>
      <c r="F75" s="62"/>
      <c r="G75" s="125"/>
      <c r="I75" s="69"/>
      <c r="L75" s="61"/>
      <c r="M75" s="132"/>
      <c r="N75" s="131"/>
      <c r="O75" s="55"/>
      <c r="P75" s="113">
        <f t="shared" si="14"/>
        <v>0</v>
      </c>
      <c r="Q75" s="33"/>
      <c r="R75" s="56"/>
      <c r="S75" s="26"/>
      <c r="T75" s="33"/>
      <c r="U75" s="32"/>
      <c r="V75" s="113">
        <f t="shared" si="22"/>
        <v>0</v>
      </c>
      <c r="W75" s="33"/>
      <c r="X75" s="32"/>
      <c r="Y75" s="113">
        <f t="shared" si="23"/>
        <v>0</v>
      </c>
      <c r="Z75" s="33"/>
      <c r="AA75" s="57"/>
      <c r="AB75" s="57"/>
      <c r="AC75" s="57"/>
      <c r="AD75" s="32"/>
      <c r="AE75" s="113">
        <f t="shared" si="15"/>
        <v>0</v>
      </c>
      <c r="AF75" s="33"/>
      <c r="AG75" s="32"/>
      <c r="AH75" s="26"/>
      <c r="AI75" s="33"/>
      <c r="AJ75" s="29">
        <f t="shared" si="16"/>
        <v>0</v>
      </c>
      <c r="AK75" s="57" t="s">
        <v>304</v>
      </c>
      <c r="AL75" s="58">
        <f t="shared" si="21"/>
        <v>0</v>
      </c>
      <c r="AM75" s="113">
        <f t="shared" si="17"/>
        <v>0</v>
      </c>
      <c r="AN75" s="33" t="s">
        <v>33</v>
      </c>
      <c r="AO75" s="59">
        <f t="shared" si="18"/>
        <v>0</v>
      </c>
      <c r="AP75" s="26"/>
      <c r="AQ75" s="33"/>
      <c r="AR75" s="56"/>
      <c r="AS75" s="26"/>
      <c r="AT75" s="33"/>
      <c r="AU75" s="57"/>
      <c r="AV75" s="86">
        <f t="shared" si="19"/>
        <v>0</v>
      </c>
      <c r="AW75" s="89">
        <f t="shared" si="20"/>
        <v>0</v>
      </c>
      <c r="AX75" s="86"/>
    </row>
    <row r="76" spans="1:50" s="29" customFormat="1">
      <c r="A76" s="50" t="s">
        <v>105</v>
      </c>
      <c r="B76" s="51"/>
      <c r="C76" s="51"/>
      <c r="D76" s="52"/>
      <c r="E76" s="53"/>
      <c r="F76" s="62"/>
      <c r="G76" s="125"/>
      <c r="I76" s="69"/>
      <c r="L76" s="61"/>
      <c r="M76" s="132"/>
      <c r="N76" s="131"/>
      <c r="O76" s="55"/>
      <c r="P76" s="113">
        <f t="shared" si="14"/>
        <v>0</v>
      </c>
      <c r="Q76" s="33"/>
      <c r="R76" s="56"/>
      <c r="S76" s="26"/>
      <c r="T76" s="33"/>
      <c r="U76" s="32"/>
      <c r="V76" s="113">
        <f t="shared" si="22"/>
        <v>0</v>
      </c>
      <c r="W76" s="33"/>
      <c r="X76" s="32"/>
      <c r="Y76" s="113">
        <f t="shared" si="23"/>
        <v>0</v>
      </c>
      <c r="Z76" s="33"/>
      <c r="AA76" s="57"/>
      <c r="AB76" s="57"/>
      <c r="AC76" s="57"/>
      <c r="AD76" s="32"/>
      <c r="AE76" s="113">
        <f t="shared" si="15"/>
        <v>0</v>
      </c>
      <c r="AF76" s="33"/>
      <c r="AG76" s="32"/>
      <c r="AH76" s="26"/>
      <c r="AI76" s="33"/>
      <c r="AJ76" s="29">
        <f t="shared" si="16"/>
        <v>0</v>
      </c>
      <c r="AK76" s="57" t="s">
        <v>304</v>
      </c>
      <c r="AL76" s="58">
        <f t="shared" si="21"/>
        <v>0</v>
      </c>
      <c r="AM76" s="113">
        <f t="shared" si="17"/>
        <v>0</v>
      </c>
      <c r="AN76" s="33" t="s">
        <v>33</v>
      </c>
      <c r="AO76" s="59">
        <f t="shared" si="18"/>
        <v>0</v>
      </c>
      <c r="AP76" s="26"/>
      <c r="AQ76" s="33"/>
      <c r="AR76" s="56"/>
      <c r="AS76" s="26"/>
      <c r="AT76" s="33"/>
      <c r="AU76" s="57"/>
      <c r="AV76" s="86">
        <f t="shared" si="19"/>
        <v>0</v>
      </c>
      <c r="AW76" s="89">
        <f t="shared" si="20"/>
        <v>0</v>
      </c>
      <c r="AX76" s="86"/>
    </row>
    <row r="77" spans="1:50" s="29" customFormat="1">
      <c r="A77" s="50" t="s">
        <v>106</v>
      </c>
      <c r="B77" s="51"/>
      <c r="C77" s="51"/>
      <c r="D77" s="52"/>
      <c r="E77" s="53"/>
      <c r="F77" s="62"/>
      <c r="G77" s="125"/>
      <c r="I77" s="69"/>
      <c r="L77" s="52"/>
      <c r="M77" s="132"/>
      <c r="N77" s="131"/>
      <c r="O77" s="55"/>
      <c r="P77" s="113">
        <f t="shared" si="14"/>
        <v>0</v>
      </c>
      <c r="Q77" s="33"/>
      <c r="R77" s="56"/>
      <c r="S77" s="26"/>
      <c r="T77" s="33"/>
      <c r="U77" s="32"/>
      <c r="V77" s="113">
        <f t="shared" si="22"/>
        <v>0</v>
      </c>
      <c r="W77" s="33"/>
      <c r="X77" s="32"/>
      <c r="Y77" s="113">
        <f t="shared" si="23"/>
        <v>0</v>
      </c>
      <c r="Z77" s="33"/>
      <c r="AA77" s="57"/>
      <c r="AB77" s="57"/>
      <c r="AC77" s="57"/>
      <c r="AD77" s="32"/>
      <c r="AE77" s="113">
        <f t="shared" si="15"/>
        <v>0</v>
      </c>
      <c r="AF77" s="33"/>
      <c r="AG77" s="32"/>
      <c r="AH77" s="26"/>
      <c r="AI77" s="33"/>
      <c r="AJ77" s="29">
        <f t="shared" si="16"/>
        <v>0</v>
      </c>
      <c r="AK77" s="57" t="s">
        <v>304</v>
      </c>
      <c r="AL77" s="58">
        <f t="shared" si="21"/>
        <v>0</v>
      </c>
      <c r="AM77" s="113">
        <f t="shared" si="17"/>
        <v>0</v>
      </c>
      <c r="AN77" s="33" t="s">
        <v>33</v>
      </c>
      <c r="AO77" s="59">
        <f t="shared" si="18"/>
        <v>0</v>
      </c>
      <c r="AP77" s="26"/>
      <c r="AQ77" s="33"/>
      <c r="AR77" s="56"/>
      <c r="AS77" s="26"/>
      <c r="AT77" s="33"/>
      <c r="AU77" s="57"/>
      <c r="AV77" s="86">
        <f t="shared" si="19"/>
        <v>0</v>
      </c>
      <c r="AW77" s="89">
        <f t="shared" si="20"/>
        <v>0</v>
      </c>
      <c r="AX77" s="86"/>
    </row>
    <row r="78" spans="1:50" s="29" customFormat="1">
      <c r="A78" s="50" t="s">
        <v>107</v>
      </c>
      <c r="B78" s="51"/>
      <c r="C78" s="51"/>
      <c r="D78" s="52"/>
      <c r="E78" s="53"/>
      <c r="F78" s="62"/>
      <c r="G78" s="125"/>
      <c r="I78" s="69"/>
      <c r="L78" s="61"/>
      <c r="M78" s="132"/>
      <c r="N78" s="131"/>
      <c r="O78" s="55"/>
      <c r="P78" s="113">
        <f t="shared" si="14"/>
        <v>0</v>
      </c>
      <c r="Q78" s="33"/>
      <c r="R78" s="56"/>
      <c r="S78" s="26"/>
      <c r="T78" s="33"/>
      <c r="U78" s="32"/>
      <c r="V78" s="113">
        <f t="shared" si="22"/>
        <v>0</v>
      </c>
      <c r="W78" s="33"/>
      <c r="X78" s="32"/>
      <c r="Y78" s="113">
        <f t="shared" si="23"/>
        <v>0</v>
      </c>
      <c r="Z78" s="33"/>
      <c r="AA78" s="57"/>
      <c r="AB78" s="57"/>
      <c r="AC78" s="57"/>
      <c r="AD78" s="32"/>
      <c r="AE78" s="113">
        <f t="shared" si="15"/>
        <v>0</v>
      </c>
      <c r="AF78" s="33"/>
      <c r="AG78" s="32"/>
      <c r="AH78" s="26"/>
      <c r="AI78" s="33"/>
      <c r="AJ78" s="29">
        <f t="shared" si="16"/>
        <v>0</v>
      </c>
      <c r="AK78" s="57" t="s">
        <v>304</v>
      </c>
      <c r="AL78" s="58">
        <f t="shared" si="21"/>
        <v>0</v>
      </c>
      <c r="AM78" s="113">
        <f t="shared" si="17"/>
        <v>0</v>
      </c>
      <c r="AN78" s="33" t="s">
        <v>33</v>
      </c>
      <c r="AO78" s="59">
        <f t="shared" si="18"/>
        <v>0</v>
      </c>
      <c r="AP78" s="26"/>
      <c r="AQ78" s="33"/>
      <c r="AR78" s="56"/>
      <c r="AS78" s="26"/>
      <c r="AT78" s="33"/>
      <c r="AU78" s="57"/>
      <c r="AV78" s="86">
        <f t="shared" si="19"/>
        <v>0</v>
      </c>
      <c r="AW78" s="89">
        <f t="shared" si="20"/>
        <v>0</v>
      </c>
      <c r="AX78" s="86"/>
    </row>
    <row r="79" spans="1:50" s="29" customFormat="1">
      <c r="A79" s="50" t="s">
        <v>108</v>
      </c>
      <c r="B79" s="51"/>
      <c r="C79" s="51"/>
      <c r="D79" s="52"/>
      <c r="E79" s="53"/>
      <c r="F79" s="62"/>
      <c r="G79" s="125"/>
      <c r="I79" s="69"/>
      <c r="L79" s="61"/>
      <c r="M79" s="132"/>
      <c r="N79" s="131"/>
      <c r="O79" s="55"/>
      <c r="P79" s="113">
        <f t="shared" si="14"/>
        <v>0</v>
      </c>
      <c r="Q79" s="33"/>
      <c r="R79" s="56"/>
      <c r="S79" s="26"/>
      <c r="T79" s="33"/>
      <c r="U79" s="32"/>
      <c r="V79" s="113">
        <f t="shared" si="22"/>
        <v>0</v>
      </c>
      <c r="W79" s="33"/>
      <c r="X79" s="32"/>
      <c r="Y79" s="113">
        <f t="shared" si="23"/>
        <v>0</v>
      </c>
      <c r="Z79" s="33"/>
      <c r="AA79" s="57"/>
      <c r="AB79" s="113">
        <f>ROUND(AA79*$D$1,2)</f>
        <v>0</v>
      </c>
      <c r="AC79" s="33"/>
      <c r="AD79" s="32"/>
      <c r="AE79" s="113">
        <f t="shared" si="15"/>
        <v>0</v>
      </c>
      <c r="AF79" s="33"/>
      <c r="AG79" s="32"/>
      <c r="AH79" s="26"/>
      <c r="AI79" s="33"/>
      <c r="AJ79" s="29">
        <f t="shared" si="16"/>
        <v>0</v>
      </c>
      <c r="AK79" s="57" t="s">
        <v>304</v>
      </c>
      <c r="AL79" s="58">
        <f t="shared" si="21"/>
        <v>0</v>
      </c>
      <c r="AM79" s="113">
        <f t="shared" si="17"/>
        <v>0</v>
      </c>
      <c r="AN79" s="33" t="s">
        <v>33</v>
      </c>
      <c r="AO79" s="59">
        <f t="shared" si="18"/>
        <v>0</v>
      </c>
      <c r="AP79" s="26"/>
      <c r="AQ79" s="33"/>
      <c r="AR79" s="56"/>
      <c r="AS79" s="26"/>
      <c r="AT79" s="33"/>
      <c r="AU79" s="57"/>
      <c r="AV79" s="86">
        <f t="shared" si="19"/>
        <v>0</v>
      </c>
      <c r="AW79" s="89">
        <f t="shared" si="20"/>
        <v>0</v>
      </c>
      <c r="AX79" s="86"/>
    </row>
    <row r="80" spans="1:50" s="29" customFormat="1">
      <c r="A80" s="50" t="s">
        <v>109</v>
      </c>
      <c r="B80" s="51"/>
      <c r="C80" s="51"/>
      <c r="D80" s="52"/>
      <c r="E80" s="53"/>
      <c r="F80" s="62"/>
      <c r="G80" s="125"/>
      <c r="I80" s="69"/>
      <c r="L80" s="61"/>
      <c r="M80" s="132"/>
      <c r="N80" s="131"/>
      <c r="O80" s="55"/>
      <c r="P80" s="113">
        <f t="shared" si="14"/>
        <v>0</v>
      </c>
      <c r="Q80" s="33"/>
      <c r="R80" s="56"/>
      <c r="S80" s="26"/>
      <c r="T80" s="33"/>
      <c r="U80" s="32"/>
      <c r="V80" s="113">
        <f t="shared" si="22"/>
        <v>0</v>
      </c>
      <c r="W80" s="33"/>
      <c r="X80" s="32"/>
      <c r="Y80" s="113">
        <f t="shared" si="23"/>
        <v>0</v>
      </c>
      <c r="Z80" s="33"/>
      <c r="AA80" s="57"/>
      <c r="AB80" s="57"/>
      <c r="AC80" s="57"/>
      <c r="AD80" s="32"/>
      <c r="AE80" s="113">
        <f t="shared" si="15"/>
        <v>0</v>
      </c>
      <c r="AF80" s="33"/>
      <c r="AG80" s="32"/>
      <c r="AH80" s="26"/>
      <c r="AI80" s="33"/>
      <c r="AJ80" s="29">
        <f t="shared" si="16"/>
        <v>0</v>
      </c>
      <c r="AK80" s="57" t="s">
        <v>304</v>
      </c>
      <c r="AL80" s="58">
        <f t="shared" si="21"/>
        <v>0</v>
      </c>
      <c r="AM80" s="113">
        <f t="shared" si="17"/>
        <v>0</v>
      </c>
      <c r="AN80" s="33" t="s">
        <v>33</v>
      </c>
      <c r="AO80" s="59">
        <f t="shared" si="18"/>
        <v>0</v>
      </c>
      <c r="AP80" s="26"/>
      <c r="AQ80" s="33"/>
      <c r="AR80" s="56"/>
      <c r="AS80" s="26"/>
      <c r="AT80" s="33"/>
      <c r="AU80" s="57"/>
      <c r="AV80" s="86">
        <f t="shared" si="19"/>
        <v>0</v>
      </c>
      <c r="AW80" s="89">
        <f t="shared" si="20"/>
        <v>0</v>
      </c>
      <c r="AX80" s="86"/>
    </row>
    <row r="81" spans="1:50" s="29" customFormat="1">
      <c r="A81" s="50" t="s">
        <v>110</v>
      </c>
      <c r="B81" s="51"/>
      <c r="C81" s="51"/>
      <c r="D81" s="52"/>
      <c r="E81" s="53"/>
      <c r="F81" s="62"/>
      <c r="G81" s="125"/>
      <c r="I81" s="69"/>
      <c r="L81" s="61"/>
      <c r="M81" s="132"/>
      <c r="N81" s="131"/>
      <c r="O81" s="55"/>
      <c r="P81" s="113">
        <f t="shared" si="14"/>
        <v>0</v>
      </c>
      <c r="Q81" s="33"/>
      <c r="R81" s="56"/>
      <c r="S81" s="26"/>
      <c r="T81" s="33"/>
      <c r="U81" s="32"/>
      <c r="V81" s="113">
        <f t="shared" si="22"/>
        <v>0</v>
      </c>
      <c r="W81" s="33"/>
      <c r="X81" s="32"/>
      <c r="Y81" s="113">
        <f t="shared" si="23"/>
        <v>0</v>
      </c>
      <c r="Z81" s="33"/>
      <c r="AA81" s="57"/>
      <c r="AB81" s="26"/>
      <c r="AC81" s="33"/>
      <c r="AD81" s="32"/>
      <c r="AE81" s="113">
        <f t="shared" si="15"/>
        <v>0</v>
      </c>
      <c r="AF81" s="33"/>
      <c r="AG81" s="32"/>
      <c r="AH81" s="26"/>
      <c r="AI81" s="33"/>
      <c r="AJ81" s="29">
        <f t="shared" si="16"/>
        <v>0</v>
      </c>
      <c r="AK81" s="57" t="s">
        <v>304</v>
      </c>
      <c r="AL81" s="58">
        <f t="shared" si="21"/>
        <v>0</v>
      </c>
      <c r="AM81" s="113">
        <f t="shared" si="17"/>
        <v>0</v>
      </c>
      <c r="AN81" s="33" t="s">
        <v>33</v>
      </c>
      <c r="AO81" s="59">
        <f t="shared" si="18"/>
        <v>0</v>
      </c>
      <c r="AP81" s="26"/>
      <c r="AQ81" s="33"/>
      <c r="AR81" s="56"/>
      <c r="AS81" s="26"/>
      <c r="AT81" s="33"/>
      <c r="AU81" s="57"/>
      <c r="AV81" s="86">
        <f t="shared" si="19"/>
        <v>0</v>
      </c>
      <c r="AW81" s="89">
        <f t="shared" si="20"/>
        <v>0</v>
      </c>
      <c r="AX81" s="86"/>
    </row>
    <row r="82" spans="1:50" s="29" customFormat="1">
      <c r="A82" s="50" t="s">
        <v>111</v>
      </c>
      <c r="B82" s="51"/>
      <c r="C82" s="51"/>
      <c r="D82" s="52"/>
      <c r="E82" s="53"/>
      <c r="F82" s="62"/>
      <c r="G82" s="125"/>
      <c r="I82" s="69"/>
      <c r="L82" s="52"/>
      <c r="M82" s="132"/>
      <c r="N82" s="131"/>
      <c r="O82" s="55"/>
      <c r="P82" s="113">
        <f t="shared" si="14"/>
        <v>0</v>
      </c>
      <c r="Q82" s="33"/>
      <c r="R82" s="56"/>
      <c r="S82" s="26"/>
      <c r="T82" s="33"/>
      <c r="U82" s="32"/>
      <c r="V82" s="113">
        <f t="shared" si="22"/>
        <v>0</v>
      </c>
      <c r="W82" s="33"/>
      <c r="X82" s="32"/>
      <c r="Y82" s="113">
        <f t="shared" si="23"/>
        <v>0</v>
      </c>
      <c r="Z82" s="33"/>
      <c r="AA82" s="57"/>
      <c r="AB82" s="57"/>
      <c r="AC82" s="57"/>
      <c r="AD82" s="32"/>
      <c r="AE82" s="113">
        <f t="shared" si="15"/>
        <v>0</v>
      </c>
      <c r="AF82" s="33"/>
      <c r="AG82" s="32"/>
      <c r="AH82" s="26"/>
      <c r="AI82" s="33"/>
      <c r="AJ82" s="29">
        <f t="shared" si="16"/>
        <v>0</v>
      </c>
      <c r="AK82" s="57" t="s">
        <v>304</v>
      </c>
      <c r="AL82" s="58">
        <f t="shared" si="21"/>
        <v>0</v>
      </c>
      <c r="AM82" s="113">
        <f t="shared" si="17"/>
        <v>0</v>
      </c>
      <c r="AN82" s="33" t="s">
        <v>33</v>
      </c>
      <c r="AO82" s="59">
        <f t="shared" si="18"/>
        <v>0</v>
      </c>
      <c r="AP82" s="113">
        <f>ROUND(AO82*$D$1,2)</f>
        <v>0</v>
      </c>
      <c r="AQ82" s="33"/>
      <c r="AR82" s="56"/>
      <c r="AS82" s="26"/>
      <c r="AT82" s="33"/>
      <c r="AU82" s="57"/>
      <c r="AV82" s="86">
        <f t="shared" si="19"/>
        <v>0</v>
      </c>
      <c r="AW82" s="89">
        <f t="shared" si="20"/>
        <v>0</v>
      </c>
      <c r="AX82" s="86"/>
    </row>
    <row r="83" spans="1:50" s="29" customFormat="1">
      <c r="A83" s="50" t="s">
        <v>112</v>
      </c>
      <c r="B83" s="51"/>
      <c r="C83" s="51"/>
      <c r="D83" s="52"/>
      <c r="E83" s="53"/>
      <c r="F83" s="62"/>
      <c r="G83" s="125"/>
      <c r="I83" s="69"/>
      <c r="L83" s="61"/>
      <c r="M83" s="132"/>
      <c r="N83" s="131"/>
      <c r="O83" s="55"/>
      <c r="P83" s="113">
        <f t="shared" si="14"/>
        <v>0</v>
      </c>
      <c r="Q83" s="33"/>
      <c r="R83" s="56"/>
      <c r="S83" s="26"/>
      <c r="T83" s="33"/>
      <c r="U83" s="32"/>
      <c r="V83" s="113">
        <f t="shared" si="22"/>
        <v>0</v>
      </c>
      <c r="W83" s="33"/>
      <c r="X83" s="32"/>
      <c r="Y83" s="113">
        <f t="shared" si="23"/>
        <v>0</v>
      </c>
      <c r="Z83" s="33"/>
      <c r="AA83" s="57"/>
      <c r="AB83" s="57"/>
      <c r="AC83" s="57"/>
      <c r="AD83" s="32"/>
      <c r="AE83" s="113">
        <f t="shared" si="15"/>
        <v>0</v>
      </c>
      <c r="AF83" s="33"/>
      <c r="AG83" s="32"/>
      <c r="AH83" s="26"/>
      <c r="AI83" s="33"/>
      <c r="AJ83" s="29">
        <f t="shared" si="16"/>
        <v>0</v>
      </c>
      <c r="AK83" s="57" t="s">
        <v>304</v>
      </c>
      <c r="AL83" s="58">
        <f t="shared" si="21"/>
        <v>0</v>
      </c>
      <c r="AM83" s="113">
        <f t="shared" si="17"/>
        <v>0</v>
      </c>
      <c r="AN83" s="33" t="s">
        <v>33</v>
      </c>
      <c r="AO83" s="59">
        <f t="shared" si="18"/>
        <v>0</v>
      </c>
      <c r="AP83" s="26"/>
      <c r="AQ83" s="33"/>
      <c r="AR83" s="56"/>
      <c r="AS83" s="26"/>
      <c r="AT83" s="33"/>
      <c r="AU83" s="57"/>
      <c r="AV83" s="86">
        <f t="shared" si="19"/>
        <v>0</v>
      </c>
      <c r="AW83" s="89">
        <f t="shared" si="20"/>
        <v>0</v>
      </c>
      <c r="AX83" s="86"/>
    </row>
    <row r="84" spans="1:50" s="29" customFormat="1">
      <c r="A84" s="50" t="s">
        <v>113</v>
      </c>
      <c r="B84" s="51"/>
      <c r="C84" s="51"/>
      <c r="D84" s="52"/>
      <c r="E84" s="53"/>
      <c r="F84" s="62"/>
      <c r="G84" s="69"/>
      <c r="I84" s="69"/>
      <c r="L84" s="52"/>
      <c r="M84" s="132"/>
      <c r="N84" s="131"/>
      <c r="O84" s="55"/>
      <c r="P84" s="113">
        <f t="shared" si="14"/>
        <v>0</v>
      </c>
      <c r="Q84" s="33"/>
      <c r="R84" s="56"/>
      <c r="S84" s="26"/>
      <c r="T84" s="33"/>
      <c r="U84" s="32"/>
      <c r="V84" s="113">
        <f t="shared" si="22"/>
        <v>0</v>
      </c>
      <c r="W84" s="33"/>
      <c r="X84" s="32"/>
      <c r="Y84" s="113">
        <f t="shared" si="23"/>
        <v>0</v>
      </c>
      <c r="Z84" s="33"/>
      <c r="AA84" s="57"/>
      <c r="AB84" s="57"/>
      <c r="AC84" s="57"/>
      <c r="AD84" s="32"/>
      <c r="AE84" s="113">
        <f t="shared" si="15"/>
        <v>0</v>
      </c>
      <c r="AF84" s="33"/>
      <c r="AG84" s="32"/>
      <c r="AH84" s="26"/>
      <c r="AI84" s="33"/>
      <c r="AJ84" s="29">
        <f t="shared" si="16"/>
        <v>0</v>
      </c>
      <c r="AK84" s="57" t="s">
        <v>304</v>
      </c>
      <c r="AL84" s="58">
        <f t="shared" si="21"/>
        <v>0</v>
      </c>
      <c r="AM84" s="113">
        <f t="shared" si="17"/>
        <v>0</v>
      </c>
      <c r="AN84" s="33" t="s">
        <v>33</v>
      </c>
      <c r="AO84" s="59">
        <f t="shared" si="18"/>
        <v>0</v>
      </c>
      <c r="AP84" s="26"/>
      <c r="AQ84" s="33"/>
      <c r="AR84" s="56"/>
      <c r="AS84" s="26"/>
      <c r="AT84" s="33"/>
      <c r="AU84" s="57"/>
      <c r="AV84" s="86">
        <f t="shared" si="19"/>
        <v>0</v>
      </c>
      <c r="AW84" s="89">
        <f t="shared" si="20"/>
        <v>0</v>
      </c>
      <c r="AX84" s="86"/>
    </row>
    <row r="85" spans="1:50" s="29" customFormat="1">
      <c r="A85" s="50" t="s">
        <v>114</v>
      </c>
      <c r="B85" s="51"/>
      <c r="C85" s="51"/>
      <c r="D85" s="52"/>
      <c r="E85" s="53"/>
      <c r="F85" s="62"/>
      <c r="G85" s="125"/>
      <c r="I85" s="69"/>
      <c r="L85" s="52"/>
      <c r="M85" s="132"/>
      <c r="N85" s="131"/>
      <c r="O85" s="55"/>
      <c r="P85" s="113">
        <f t="shared" si="14"/>
        <v>0</v>
      </c>
      <c r="Q85" s="33"/>
      <c r="R85" s="56"/>
      <c r="S85" s="26"/>
      <c r="T85" s="33"/>
      <c r="U85" s="32"/>
      <c r="V85" s="113">
        <f t="shared" si="22"/>
        <v>0</v>
      </c>
      <c r="W85" s="33"/>
      <c r="X85" s="32"/>
      <c r="Y85" s="113">
        <f t="shared" si="23"/>
        <v>0</v>
      </c>
      <c r="Z85" s="33"/>
      <c r="AA85" s="57"/>
      <c r="AB85" s="57"/>
      <c r="AC85" s="57"/>
      <c r="AD85" s="32"/>
      <c r="AE85" s="113">
        <f t="shared" si="15"/>
        <v>0</v>
      </c>
      <c r="AF85" s="33"/>
      <c r="AG85" s="32"/>
      <c r="AH85" s="26"/>
      <c r="AI85" s="33"/>
      <c r="AJ85" s="29">
        <f t="shared" si="16"/>
        <v>0</v>
      </c>
      <c r="AK85" s="57" t="s">
        <v>304</v>
      </c>
      <c r="AL85" s="58">
        <f t="shared" si="21"/>
        <v>0</v>
      </c>
      <c r="AM85" s="113">
        <f t="shared" si="17"/>
        <v>0</v>
      </c>
      <c r="AN85" s="33" t="s">
        <v>33</v>
      </c>
      <c r="AO85" s="59">
        <f t="shared" si="18"/>
        <v>0</v>
      </c>
      <c r="AP85" s="113">
        <f>ROUND(AO85*$D$1,2)</f>
        <v>0</v>
      </c>
      <c r="AQ85" s="33"/>
      <c r="AR85" s="56"/>
      <c r="AS85" s="26"/>
      <c r="AT85" s="33"/>
      <c r="AU85" s="57"/>
      <c r="AV85" s="86">
        <f t="shared" si="19"/>
        <v>0</v>
      </c>
      <c r="AW85" s="89">
        <f t="shared" si="20"/>
        <v>0</v>
      </c>
      <c r="AX85" s="86"/>
    </row>
    <row r="86" spans="1:50" s="29" customFormat="1">
      <c r="A86" s="50" t="s">
        <v>115</v>
      </c>
      <c r="B86" s="51"/>
      <c r="C86" s="51"/>
      <c r="D86" s="52"/>
      <c r="E86" s="53"/>
      <c r="F86" s="62"/>
      <c r="G86" s="69"/>
      <c r="I86" s="69"/>
      <c r="L86" s="52"/>
      <c r="M86" s="132"/>
      <c r="N86" s="131"/>
      <c r="O86" s="55"/>
      <c r="P86" s="113">
        <f t="shared" si="14"/>
        <v>0</v>
      </c>
      <c r="Q86" s="33"/>
      <c r="R86" s="56"/>
      <c r="S86" s="26"/>
      <c r="T86" s="33"/>
      <c r="U86" s="32"/>
      <c r="V86" s="113">
        <f t="shared" si="22"/>
        <v>0</v>
      </c>
      <c r="W86" s="33"/>
      <c r="X86" s="32"/>
      <c r="Y86" s="113">
        <f t="shared" si="23"/>
        <v>0</v>
      </c>
      <c r="Z86" s="33"/>
      <c r="AA86" s="57"/>
      <c r="AB86" s="57"/>
      <c r="AC86" s="57"/>
      <c r="AD86" s="32"/>
      <c r="AE86" s="113">
        <f t="shared" si="15"/>
        <v>0</v>
      </c>
      <c r="AF86" s="33"/>
      <c r="AG86" s="32"/>
      <c r="AH86" s="26"/>
      <c r="AI86" s="33"/>
      <c r="AJ86" s="29">
        <f t="shared" si="16"/>
        <v>0</v>
      </c>
      <c r="AK86" s="57" t="s">
        <v>304</v>
      </c>
      <c r="AL86" s="58">
        <f t="shared" si="21"/>
        <v>0</v>
      </c>
      <c r="AM86" s="113">
        <f t="shared" si="17"/>
        <v>0</v>
      </c>
      <c r="AN86" s="33" t="s">
        <v>33</v>
      </c>
      <c r="AO86" s="59">
        <f t="shared" si="18"/>
        <v>0</v>
      </c>
      <c r="AP86" s="26"/>
      <c r="AQ86" s="33"/>
      <c r="AR86" s="56"/>
      <c r="AS86" s="26"/>
      <c r="AT86" s="33"/>
      <c r="AU86" s="57"/>
      <c r="AV86" s="86">
        <f t="shared" si="19"/>
        <v>0</v>
      </c>
      <c r="AW86" s="89">
        <f t="shared" si="20"/>
        <v>0</v>
      </c>
      <c r="AX86" s="86"/>
    </row>
    <row r="87" spans="1:50" s="29" customFormat="1">
      <c r="A87" s="50" t="s">
        <v>116</v>
      </c>
      <c r="B87" s="51"/>
      <c r="C87" s="51"/>
      <c r="D87" s="52"/>
      <c r="E87" s="53"/>
      <c r="F87" s="62"/>
      <c r="G87" s="125"/>
      <c r="I87" s="69"/>
      <c r="L87" s="52"/>
      <c r="M87" s="132"/>
      <c r="N87" s="131"/>
      <c r="O87" s="55"/>
      <c r="P87" s="113">
        <f t="shared" si="14"/>
        <v>0</v>
      </c>
      <c r="Q87" s="33"/>
      <c r="R87" s="56"/>
      <c r="S87" s="26"/>
      <c r="T87" s="33"/>
      <c r="U87" s="32"/>
      <c r="V87" s="113">
        <f t="shared" si="22"/>
        <v>0</v>
      </c>
      <c r="W87" s="33"/>
      <c r="X87" s="32"/>
      <c r="Y87" s="113">
        <f t="shared" si="23"/>
        <v>0</v>
      </c>
      <c r="Z87" s="33"/>
      <c r="AA87" s="57"/>
      <c r="AB87" s="57"/>
      <c r="AC87" s="57"/>
      <c r="AD87" s="32"/>
      <c r="AE87" s="113">
        <f t="shared" si="15"/>
        <v>0</v>
      </c>
      <c r="AF87" s="33"/>
      <c r="AG87" s="32"/>
      <c r="AH87" s="26"/>
      <c r="AI87" s="33"/>
      <c r="AJ87" s="29">
        <f t="shared" si="16"/>
        <v>0</v>
      </c>
      <c r="AK87" s="57" t="s">
        <v>304</v>
      </c>
      <c r="AL87" s="58">
        <f t="shared" si="21"/>
        <v>0</v>
      </c>
      <c r="AM87" s="113">
        <f t="shared" si="17"/>
        <v>0</v>
      </c>
      <c r="AN87" s="33" t="s">
        <v>33</v>
      </c>
      <c r="AO87" s="59">
        <f t="shared" si="18"/>
        <v>0</v>
      </c>
      <c r="AP87" s="26"/>
      <c r="AQ87" s="33"/>
      <c r="AR87" s="56"/>
      <c r="AS87" s="26"/>
      <c r="AT87" s="33"/>
      <c r="AU87" s="57"/>
      <c r="AV87" s="86">
        <f t="shared" si="19"/>
        <v>0</v>
      </c>
      <c r="AW87" s="89">
        <f t="shared" si="20"/>
        <v>0</v>
      </c>
      <c r="AX87" s="86"/>
    </row>
    <row r="88" spans="1:50" s="29" customFormat="1">
      <c r="A88" s="50" t="s">
        <v>117</v>
      </c>
      <c r="B88" s="51"/>
      <c r="C88" s="51"/>
      <c r="D88" s="52"/>
      <c r="E88" s="53"/>
      <c r="F88" s="62"/>
      <c r="G88" s="125"/>
      <c r="I88" s="69"/>
      <c r="L88" s="52"/>
      <c r="M88" s="132"/>
      <c r="N88" s="131"/>
      <c r="O88" s="55"/>
      <c r="P88" s="113">
        <f t="shared" si="14"/>
        <v>0</v>
      </c>
      <c r="Q88" s="33"/>
      <c r="R88" s="56"/>
      <c r="S88" s="26"/>
      <c r="T88" s="33"/>
      <c r="U88" s="32"/>
      <c r="V88" s="113">
        <f t="shared" si="22"/>
        <v>0</v>
      </c>
      <c r="W88" s="33"/>
      <c r="X88" s="32"/>
      <c r="Y88" s="113">
        <f t="shared" si="23"/>
        <v>0</v>
      </c>
      <c r="Z88" s="33"/>
      <c r="AA88" s="57"/>
      <c r="AB88" s="57"/>
      <c r="AC88" s="57"/>
      <c r="AD88" s="32"/>
      <c r="AE88" s="113">
        <f t="shared" si="15"/>
        <v>0</v>
      </c>
      <c r="AF88" s="33"/>
      <c r="AG88" s="32"/>
      <c r="AH88" s="26"/>
      <c r="AI88" s="33"/>
      <c r="AJ88" s="29">
        <f t="shared" si="16"/>
        <v>0</v>
      </c>
      <c r="AK88" s="57" t="s">
        <v>304</v>
      </c>
      <c r="AL88" s="58">
        <f t="shared" si="21"/>
        <v>0</v>
      </c>
      <c r="AM88" s="113">
        <f t="shared" si="17"/>
        <v>0</v>
      </c>
      <c r="AN88" s="33" t="s">
        <v>33</v>
      </c>
      <c r="AO88" s="59">
        <f t="shared" si="18"/>
        <v>0</v>
      </c>
      <c r="AP88" s="26"/>
      <c r="AQ88" s="33"/>
      <c r="AR88" s="56"/>
      <c r="AS88" s="26"/>
      <c r="AT88" s="33"/>
      <c r="AU88" s="57"/>
      <c r="AV88" s="86">
        <f t="shared" si="19"/>
        <v>0</v>
      </c>
      <c r="AW88" s="89">
        <f t="shared" si="20"/>
        <v>0</v>
      </c>
      <c r="AX88" s="86"/>
    </row>
    <row r="89" spans="1:50" s="29" customFormat="1">
      <c r="A89" s="50" t="s">
        <v>118</v>
      </c>
      <c r="B89" s="51"/>
      <c r="C89" s="51"/>
      <c r="D89" s="52"/>
      <c r="E89" s="53"/>
      <c r="F89" s="62"/>
      <c r="G89" s="125"/>
      <c r="I89" s="69"/>
      <c r="L89" s="52"/>
      <c r="M89" s="132"/>
      <c r="N89" s="131"/>
      <c r="O89" s="55"/>
      <c r="P89" s="113">
        <f t="shared" si="14"/>
        <v>0</v>
      </c>
      <c r="Q89" s="33"/>
      <c r="R89" s="56"/>
      <c r="S89" s="26"/>
      <c r="T89" s="33"/>
      <c r="U89" s="32"/>
      <c r="V89" s="113">
        <f t="shared" si="22"/>
        <v>0</v>
      </c>
      <c r="W89" s="33"/>
      <c r="X89" s="32"/>
      <c r="Y89" s="113">
        <f t="shared" si="23"/>
        <v>0</v>
      </c>
      <c r="Z89" s="33"/>
      <c r="AA89" s="57"/>
      <c r="AB89" s="57"/>
      <c r="AC89" s="57"/>
      <c r="AD89" s="32"/>
      <c r="AE89" s="113">
        <f t="shared" si="15"/>
        <v>0</v>
      </c>
      <c r="AF89" s="33"/>
      <c r="AG89" s="32"/>
      <c r="AH89" s="26"/>
      <c r="AI89" s="33"/>
      <c r="AJ89" s="29">
        <f t="shared" si="16"/>
        <v>0</v>
      </c>
      <c r="AK89" s="57" t="s">
        <v>304</v>
      </c>
      <c r="AL89" s="58">
        <f t="shared" si="21"/>
        <v>0</v>
      </c>
      <c r="AM89" s="113">
        <f t="shared" si="17"/>
        <v>0</v>
      </c>
      <c r="AN89" s="33" t="s">
        <v>33</v>
      </c>
      <c r="AO89" s="59">
        <f t="shared" si="18"/>
        <v>0</v>
      </c>
      <c r="AP89" s="113">
        <f>ROUND(AO89*$D$1,2)</f>
        <v>0</v>
      </c>
      <c r="AQ89" s="33"/>
      <c r="AR89" s="56">
        <f>O89*6%</f>
        <v>0</v>
      </c>
      <c r="AS89" s="113">
        <f>ROUND(AR89*$D$1,2)</f>
        <v>0</v>
      </c>
      <c r="AT89" s="33"/>
      <c r="AU89" s="57"/>
      <c r="AV89" s="86">
        <f t="shared" si="19"/>
        <v>0</v>
      </c>
      <c r="AW89" s="89">
        <f t="shared" si="20"/>
        <v>0</v>
      </c>
      <c r="AX89" s="86"/>
    </row>
    <row r="90" spans="1:50" s="29" customFormat="1">
      <c r="A90" s="50" t="s">
        <v>119</v>
      </c>
      <c r="B90" s="51"/>
      <c r="C90" s="51"/>
      <c r="D90" s="52"/>
      <c r="E90" s="53"/>
      <c r="F90" s="62"/>
      <c r="G90" s="125"/>
      <c r="I90" s="69"/>
      <c r="L90" s="52"/>
      <c r="M90" s="132"/>
      <c r="N90" s="131"/>
      <c r="O90" s="55"/>
      <c r="P90" s="113">
        <f t="shared" si="14"/>
        <v>0</v>
      </c>
      <c r="Q90" s="33"/>
      <c r="R90" s="56"/>
      <c r="S90" s="26"/>
      <c r="T90" s="33"/>
      <c r="U90" s="32"/>
      <c r="V90" s="113">
        <f t="shared" si="22"/>
        <v>0</v>
      </c>
      <c r="W90" s="33"/>
      <c r="X90" s="32"/>
      <c r="Y90" s="113">
        <f t="shared" si="23"/>
        <v>0</v>
      </c>
      <c r="Z90" s="33"/>
      <c r="AA90" s="57"/>
      <c r="AB90" s="57"/>
      <c r="AC90" s="57"/>
      <c r="AD90" s="32"/>
      <c r="AE90" s="113">
        <f t="shared" si="15"/>
        <v>0</v>
      </c>
      <c r="AF90" s="33"/>
      <c r="AG90" s="32"/>
      <c r="AH90" s="26"/>
      <c r="AI90" s="33"/>
      <c r="AJ90" s="29">
        <f t="shared" si="16"/>
        <v>0</v>
      </c>
      <c r="AK90" s="57" t="s">
        <v>304</v>
      </c>
      <c r="AL90" s="58">
        <f t="shared" si="21"/>
        <v>0</v>
      </c>
      <c r="AM90" s="113">
        <f t="shared" si="17"/>
        <v>0</v>
      </c>
      <c r="AN90" s="33" t="s">
        <v>33</v>
      </c>
      <c r="AO90" s="59">
        <f t="shared" si="18"/>
        <v>0</v>
      </c>
      <c r="AP90" s="26"/>
      <c r="AQ90" s="33"/>
      <c r="AR90" s="56"/>
      <c r="AS90" s="26"/>
      <c r="AT90" s="33"/>
      <c r="AU90" s="57"/>
      <c r="AV90" s="86">
        <f t="shared" si="19"/>
        <v>0</v>
      </c>
      <c r="AW90" s="89">
        <f t="shared" si="20"/>
        <v>0</v>
      </c>
      <c r="AX90" s="86"/>
    </row>
    <row r="91" spans="1:50" s="29" customFormat="1">
      <c r="A91" s="50" t="s">
        <v>120</v>
      </c>
      <c r="B91" s="51"/>
      <c r="C91" s="51"/>
      <c r="D91" s="52"/>
      <c r="E91" s="53"/>
      <c r="F91" s="62"/>
      <c r="G91" s="125"/>
      <c r="I91" s="69"/>
      <c r="L91" s="61"/>
      <c r="M91" s="132"/>
      <c r="N91" s="131"/>
      <c r="O91" s="55"/>
      <c r="P91" s="113">
        <f t="shared" si="14"/>
        <v>0</v>
      </c>
      <c r="Q91" s="33"/>
      <c r="R91" s="56"/>
      <c r="S91" s="26"/>
      <c r="T91" s="33"/>
      <c r="U91" s="32"/>
      <c r="V91" s="113">
        <f t="shared" si="22"/>
        <v>0</v>
      </c>
      <c r="W91" s="33"/>
      <c r="X91" s="32"/>
      <c r="Y91" s="113">
        <f t="shared" si="23"/>
        <v>0</v>
      </c>
      <c r="Z91" s="33"/>
      <c r="AA91" s="57"/>
      <c r="AB91" s="57"/>
      <c r="AC91" s="57"/>
      <c r="AD91" s="32"/>
      <c r="AE91" s="113">
        <f t="shared" si="15"/>
        <v>0</v>
      </c>
      <c r="AF91" s="33"/>
      <c r="AG91" s="32"/>
      <c r="AH91" s="26"/>
      <c r="AI91" s="33"/>
      <c r="AJ91" s="29">
        <f t="shared" si="16"/>
        <v>0</v>
      </c>
      <c r="AK91" s="57" t="s">
        <v>304</v>
      </c>
      <c r="AL91" s="58">
        <f t="shared" si="21"/>
        <v>0</v>
      </c>
      <c r="AM91" s="113">
        <f t="shared" si="17"/>
        <v>0</v>
      </c>
      <c r="AN91" s="33" t="s">
        <v>33</v>
      </c>
      <c r="AO91" s="59">
        <f t="shared" si="18"/>
        <v>0</v>
      </c>
      <c r="AP91" s="113">
        <f>ROUND(AO91*$D$1,2)</f>
        <v>0</v>
      </c>
      <c r="AQ91" s="33"/>
      <c r="AR91" s="56"/>
      <c r="AS91" s="26"/>
      <c r="AT91" s="33"/>
      <c r="AU91" s="57"/>
      <c r="AV91" s="86">
        <f t="shared" si="19"/>
        <v>0</v>
      </c>
      <c r="AW91" s="89">
        <f t="shared" si="20"/>
        <v>0</v>
      </c>
      <c r="AX91" s="86"/>
    </row>
    <row r="92" spans="1:50" s="29" customFormat="1">
      <c r="A92" s="50" t="s">
        <v>121</v>
      </c>
      <c r="B92" s="51"/>
      <c r="C92" s="51"/>
      <c r="D92" s="52"/>
      <c r="E92" s="53"/>
      <c r="F92" s="62"/>
      <c r="G92" s="125"/>
      <c r="I92" s="69"/>
      <c r="L92" s="52"/>
      <c r="M92" s="132"/>
      <c r="N92" s="131"/>
      <c r="O92" s="55"/>
      <c r="P92" s="113">
        <f t="shared" si="14"/>
        <v>0</v>
      </c>
      <c r="Q92" s="33"/>
      <c r="R92" s="56"/>
      <c r="S92" s="26"/>
      <c r="T92" s="33"/>
      <c r="U92" s="32"/>
      <c r="V92" s="113">
        <f t="shared" si="22"/>
        <v>0</v>
      </c>
      <c r="W92" s="33"/>
      <c r="X92" s="32"/>
      <c r="Y92" s="113">
        <f t="shared" si="23"/>
        <v>0</v>
      </c>
      <c r="Z92" s="33"/>
      <c r="AA92" s="57"/>
      <c r="AB92" s="57"/>
      <c r="AC92" s="57"/>
      <c r="AD92" s="32"/>
      <c r="AE92" s="113">
        <f t="shared" si="15"/>
        <v>0</v>
      </c>
      <c r="AF92" s="33"/>
      <c r="AG92" s="32"/>
      <c r="AH92" s="26"/>
      <c r="AI92" s="33"/>
      <c r="AJ92" s="29">
        <f t="shared" si="16"/>
        <v>0</v>
      </c>
      <c r="AK92" s="57" t="s">
        <v>304</v>
      </c>
      <c r="AL92" s="58">
        <f t="shared" si="21"/>
        <v>0</v>
      </c>
      <c r="AM92" s="113">
        <f t="shared" si="17"/>
        <v>0</v>
      </c>
      <c r="AN92" s="33" t="s">
        <v>33</v>
      </c>
      <c r="AO92" s="59">
        <f t="shared" si="18"/>
        <v>0</v>
      </c>
      <c r="AP92" s="26"/>
      <c r="AQ92" s="33"/>
      <c r="AR92" s="56"/>
      <c r="AS92" s="26"/>
      <c r="AT92" s="33"/>
      <c r="AU92" s="57"/>
      <c r="AV92" s="86">
        <f t="shared" si="19"/>
        <v>0</v>
      </c>
      <c r="AW92" s="89">
        <f t="shared" si="20"/>
        <v>0</v>
      </c>
      <c r="AX92" s="86"/>
    </row>
    <row r="93" spans="1:50" s="29" customFormat="1">
      <c r="A93" s="50" t="s">
        <v>122</v>
      </c>
      <c r="B93" s="51"/>
      <c r="C93" s="51"/>
      <c r="D93" s="52"/>
      <c r="E93" s="53"/>
      <c r="F93" s="62"/>
      <c r="G93" s="125"/>
      <c r="I93" s="69"/>
      <c r="L93" s="52"/>
      <c r="M93" s="132"/>
      <c r="N93" s="131"/>
      <c r="O93" s="55"/>
      <c r="P93" s="113">
        <f t="shared" si="14"/>
        <v>0</v>
      </c>
      <c r="Q93" s="33"/>
      <c r="R93" s="56"/>
      <c r="S93" s="26"/>
      <c r="T93" s="33"/>
      <c r="U93" s="32"/>
      <c r="V93" s="113">
        <f t="shared" si="22"/>
        <v>0</v>
      </c>
      <c r="W93" s="33"/>
      <c r="X93" s="32"/>
      <c r="Y93" s="113">
        <f t="shared" si="23"/>
        <v>0</v>
      </c>
      <c r="Z93" s="33"/>
      <c r="AA93" s="57"/>
      <c r="AB93" s="57"/>
      <c r="AC93" s="57"/>
      <c r="AD93" s="32"/>
      <c r="AE93" s="113">
        <f t="shared" si="15"/>
        <v>0</v>
      </c>
      <c r="AF93" s="33"/>
      <c r="AG93" s="32"/>
      <c r="AH93" s="26"/>
      <c r="AI93" s="33"/>
      <c r="AJ93" s="29">
        <f t="shared" si="16"/>
        <v>0</v>
      </c>
      <c r="AK93" s="57" t="s">
        <v>304</v>
      </c>
      <c r="AL93" s="58">
        <f t="shared" si="21"/>
        <v>0</v>
      </c>
      <c r="AM93" s="113">
        <f t="shared" si="17"/>
        <v>0</v>
      </c>
      <c r="AN93" s="33" t="s">
        <v>33</v>
      </c>
      <c r="AO93" s="59">
        <f t="shared" si="18"/>
        <v>0</v>
      </c>
      <c r="AP93" s="26"/>
      <c r="AQ93" s="33"/>
      <c r="AR93" s="56"/>
      <c r="AS93" s="26"/>
      <c r="AT93" s="33"/>
      <c r="AU93" s="57"/>
      <c r="AV93" s="86">
        <f t="shared" si="19"/>
        <v>0</v>
      </c>
      <c r="AW93" s="89">
        <f t="shared" si="20"/>
        <v>0</v>
      </c>
      <c r="AX93" s="86"/>
    </row>
    <row r="94" spans="1:50" s="29" customFormat="1">
      <c r="A94" s="50" t="s">
        <v>123</v>
      </c>
      <c r="B94" s="51"/>
      <c r="C94" s="51"/>
      <c r="D94" s="52"/>
      <c r="E94" s="53"/>
      <c r="F94" s="62"/>
      <c r="G94" s="125"/>
      <c r="I94" s="69"/>
      <c r="L94" s="61"/>
      <c r="M94" s="132"/>
      <c r="N94" s="131"/>
      <c r="O94" s="55"/>
      <c r="P94" s="113">
        <f t="shared" si="14"/>
        <v>0</v>
      </c>
      <c r="Q94" s="33"/>
      <c r="R94" s="56"/>
      <c r="S94" s="26"/>
      <c r="T94" s="33"/>
      <c r="U94" s="32"/>
      <c r="V94" s="113">
        <f t="shared" si="22"/>
        <v>0</v>
      </c>
      <c r="W94" s="33"/>
      <c r="X94" s="32"/>
      <c r="Y94" s="113">
        <f t="shared" si="23"/>
        <v>0</v>
      </c>
      <c r="Z94" s="33"/>
      <c r="AA94" s="57"/>
      <c r="AB94" s="113">
        <f>ROUND(AA94*$D$1,2)</f>
        <v>0</v>
      </c>
      <c r="AC94" s="33"/>
      <c r="AD94" s="32"/>
      <c r="AE94" s="113">
        <f t="shared" si="15"/>
        <v>0</v>
      </c>
      <c r="AF94" s="33"/>
      <c r="AG94" s="32"/>
      <c r="AH94" s="26"/>
      <c r="AI94" s="33"/>
      <c r="AJ94" s="29">
        <f t="shared" si="16"/>
        <v>0</v>
      </c>
      <c r="AK94" s="57" t="s">
        <v>304</v>
      </c>
      <c r="AL94" s="58">
        <f t="shared" si="21"/>
        <v>0</v>
      </c>
      <c r="AM94" s="113">
        <f t="shared" si="17"/>
        <v>0</v>
      </c>
      <c r="AN94" s="33" t="s">
        <v>33</v>
      </c>
      <c r="AO94" s="59">
        <f t="shared" si="18"/>
        <v>0</v>
      </c>
      <c r="AP94" s="26"/>
      <c r="AQ94" s="33"/>
      <c r="AR94" s="56"/>
      <c r="AS94" s="26"/>
      <c r="AT94" s="33"/>
      <c r="AU94" s="57"/>
      <c r="AV94" s="86">
        <f t="shared" si="19"/>
        <v>0</v>
      </c>
      <c r="AW94" s="89">
        <f t="shared" si="20"/>
        <v>0</v>
      </c>
      <c r="AX94" s="86"/>
    </row>
    <row r="95" spans="1:50" s="29" customFormat="1">
      <c r="A95" s="50" t="s">
        <v>124</v>
      </c>
      <c r="B95" s="51"/>
      <c r="C95" s="51"/>
      <c r="D95" s="52"/>
      <c r="E95" s="53"/>
      <c r="F95" s="62"/>
      <c r="G95" s="125"/>
      <c r="I95" s="69"/>
      <c r="L95" s="52"/>
      <c r="M95" s="132"/>
      <c r="N95" s="131"/>
      <c r="O95" s="55"/>
      <c r="P95" s="113">
        <f t="shared" si="14"/>
        <v>0</v>
      </c>
      <c r="Q95" s="33"/>
      <c r="R95" s="56"/>
      <c r="S95" s="26"/>
      <c r="T95" s="33"/>
      <c r="U95" s="32"/>
      <c r="V95" s="113">
        <f t="shared" si="22"/>
        <v>0</v>
      </c>
      <c r="W95" s="33"/>
      <c r="X95" s="32"/>
      <c r="Y95" s="113">
        <f t="shared" si="23"/>
        <v>0</v>
      </c>
      <c r="Z95" s="33"/>
      <c r="AA95" s="57"/>
      <c r="AB95" s="57"/>
      <c r="AC95" s="57"/>
      <c r="AD95" s="32"/>
      <c r="AE95" s="113">
        <f t="shared" si="15"/>
        <v>0</v>
      </c>
      <c r="AF95" s="33"/>
      <c r="AG95" s="32"/>
      <c r="AH95" s="26"/>
      <c r="AI95" s="33"/>
      <c r="AJ95" s="29">
        <f t="shared" si="16"/>
        <v>0</v>
      </c>
      <c r="AK95" s="57" t="s">
        <v>304</v>
      </c>
      <c r="AL95" s="58">
        <f t="shared" si="21"/>
        <v>0</v>
      </c>
      <c r="AM95" s="113">
        <f t="shared" si="17"/>
        <v>0</v>
      </c>
      <c r="AN95" s="33" t="s">
        <v>33</v>
      </c>
      <c r="AO95" s="59">
        <f t="shared" si="18"/>
        <v>0</v>
      </c>
      <c r="AP95" s="26"/>
      <c r="AQ95" s="33"/>
      <c r="AR95" s="56"/>
      <c r="AS95" s="26"/>
      <c r="AT95" s="33"/>
      <c r="AU95" s="57"/>
      <c r="AV95" s="86">
        <f t="shared" si="19"/>
        <v>0</v>
      </c>
      <c r="AW95" s="89">
        <f t="shared" si="20"/>
        <v>0</v>
      </c>
      <c r="AX95" s="86"/>
    </row>
    <row r="96" spans="1:50" s="29" customFormat="1">
      <c r="A96" s="50" t="s">
        <v>125</v>
      </c>
      <c r="B96" s="51"/>
      <c r="C96" s="51"/>
      <c r="D96" s="52"/>
      <c r="E96" s="53"/>
      <c r="F96" s="62"/>
      <c r="G96" s="69"/>
      <c r="I96" s="69"/>
      <c r="L96" s="52"/>
      <c r="M96" s="132"/>
      <c r="N96" s="131"/>
      <c r="O96" s="55"/>
      <c r="P96" s="113">
        <f t="shared" si="14"/>
        <v>0</v>
      </c>
      <c r="Q96" s="33"/>
      <c r="R96" s="56"/>
      <c r="S96" s="26"/>
      <c r="T96" s="33"/>
      <c r="U96" s="32"/>
      <c r="V96" s="113">
        <f t="shared" si="22"/>
        <v>0</v>
      </c>
      <c r="W96" s="33"/>
      <c r="X96" s="32"/>
      <c r="Y96" s="113">
        <f t="shared" si="23"/>
        <v>0</v>
      </c>
      <c r="Z96" s="33"/>
      <c r="AA96" s="57"/>
      <c r="AB96" s="57"/>
      <c r="AC96" s="57"/>
      <c r="AD96" s="32"/>
      <c r="AE96" s="113">
        <f t="shared" si="15"/>
        <v>0</v>
      </c>
      <c r="AF96" s="33"/>
      <c r="AG96" s="32"/>
      <c r="AH96" s="26"/>
      <c r="AI96" s="33"/>
      <c r="AJ96" s="29">
        <f t="shared" si="16"/>
        <v>0</v>
      </c>
      <c r="AK96" s="57" t="s">
        <v>304</v>
      </c>
      <c r="AL96" s="58">
        <f t="shared" si="21"/>
        <v>0</v>
      </c>
      <c r="AM96" s="113">
        <f t="shared" si="17"/>
        <v>0</v>
      </c>
      <c r="AN96" s="33" t="s">
        <v>33</v>
      </c>
      <c r="AO96" s="59">
        <f t="shared" si="18"/>
        <v>0</v>
      </c>
      <c r="AP96" s="26"/>
      <c r="AQ96" s="33"/>
      <c r="AR96" s="56"/>
      <c r="AS96" s="26"/>
      <c r="AT96" s="33"/>
      <c r="AU96" s="57"/>
      <c r="AV96" s="86">
        <f t="shared" si="19"/>
        <v>0</v>
      </c>
      <c r="AW96" s="89">
        <f t="shared" si="20"/>
        <v>0</v>
      </c>
      <c r="AX96" s="86"/>
    </row>
    <row r="97" spans="1:50" s="29" customFormat="1">
      <c r="A97" s="50" t="s">
        <v>126</v>
      </c>
      <c r="E97" s="53"/>
      <c r="G97" s="69"/>
      <c r="I97" s="69"/>
      <c r="L97" s="52"/>
      <c r="M97" s="132"/>
      <c r="N97" s="131"/>
      <c r="O97" s="55"/>
      <c r="P97" s="113">
        <f t="shared" si="14"/>
        <v>0</v>
      </c>
      <c r="Q97" s="33"/>
      <c r="R97" s="56"/>
      <c r="S97" s="26"/>
      <c r="T97" s="33"/>
      <c r="U97" s="32"/>
      <c r="V97" s="113">
        <f t="shared" si="22"/>
        <v>0</v>
      </c>
      <c r="W97" s="33"/>
      <c r="X97" s="32"/>
      <c r="Y97" s="113">
        <f t="shared" si="23"/>
        <v>0</v>
      </c>
      <c r="Z97" s="33"/>
      <c r="AA97" s="57"/>
      <c r="AB97" s="57"/>
      <c r="AC97" s="57"/>
      <c r="AD97" s="32"/>
      <c r="AE97" s="113">
        <f t="shared" si="15"/>
        <v>0</v>
      </c>
      <c r="AF97" s="33"/>
      <c r="AG97" s="32"/>
      <c r="AH97" s="26"/>
      <c r="AI97" s="33"/>
      <c r="AJ97" s="29">
        <f t="shared" si="16"/>
        <v>0</v>
      </c>
      <c r="AK97" s="57" t="s">
        <v>304</v>
      </c>
      <c r="AL97" s="58">
        <f t="shared" si="21"/>
        <v>0</v>
      </c>
      <c r="AM97" s="113">
        <f t="shared" si="17"/>
        <v>0</v>
      </c>
      <c r="AN97" s="33" t="s">
        <v>33</v>
      </c>
      <c r="AO97" s="59">
        <f t="shared" si="18"/>
        <v>0</v>
      </c>
      <c r="AP97" s="26"/>
      <c r="AQ97" s="33"/>
      <c r="AR97" s="56"/>
      <c r="AS97" s="26"/>
      <c r="AT97" s="33"/>
      <c r="AU97" s="57"/>
      <c r="AV97" s="86">
        <f t="shared" si="19"/>
        <v>0</v>
      </c>
      <c r="AW97" s="89">
        <f t="shared" si="20"/>
        <v>0</v>
      </c>
      <c r="AX97" s="86"/>
    </row>
    <row r="98" spans="1:50" s="29" customFormat="1">
      <c r="A98" s="50" t="s">
        <v>127</v>
      </c>
      <c r="B98" s="51"/>
      <c r="C98" s="51"/>
      <c r="D98" s="52"/>
      <c r="E98" s="53"/>
      <c r="F98" s="62"/>
      <c r="G98" s="125"/>
      <c r="I98" s="69"/>
      <c r="L98" s="61"/>
      <c r="M98" s="132"/>
      <c r="N98" s="131"/>
      <c r="O98" s="55"/>
      <c r="P98" s="113">
        <f t="shared" si="14"/>
        <v>0</v>
      </c>
      <c r="Q98" s="33"/>
      <c r="R98" s="56"/>
      <c r="S98" s="26"/>
      <c r="T98" s="33"/>
      <c r="U98" s="32"/>
      <c r="V98" s="113">
        <f t="shared" si="22"/>
        <v>0</v>
      </c>
      <c r="W98" s="33"/>
      <c r="X98" s="32"/>
      <c r="Y98" s="113">
        <f t="shared" si="23"/>
        <v>0</v>
      </c>
      <c r="Z98" s="33"/>
      <c r="AA98" s="57"/>
      <c r="AB98" s="113">
        <f>ROUND(AA98*$D$1,2)</f>
        <v>0</v>
      </c>
      <c r="AC98" s="33"/>
      <c r="AD98" s="32"/>
      <c r="AE98" s="113">
        <f t="shared" si="15"/>
        <v>0</v>
      </c>
      <c r="AF98" s="33"/>
      <c r="AG98" s="32"/>
      <c r="AH98" s="26"/>
      <c r="AI98" s="33"/>
      <c r="AJ98" s="29">
        <f t="shared" si="16"/>
        <v>0</v>
      </c>
      <c r="AK98" s="57" t="s">
        <v>304</v>
      </c>
      <c r="AL98" s="58">
        <f t="shared" si="21"/>
        <v>0</v>
      </c>
      <c r="AM98" s="113">
        <f t="shared" si="17"/>
        <v>0</v>
      </c>
      <c r="AN98" s="33" t="s">
        <v>33</v>
      </c>
      <c r="AO98" s="59">
        <f t="shared" si="18"/>
        <v>0</v>
      </c>
      <c r="AP98" s="113">
        <f>ROUND(AO98*$D$1,2)</f>
        <v>0</v>
      </c>
      <c r="AQ98" s="33"/>
      <c r="AR98" s="56"/>
      <c r="AS98" s="26"/>
      <c r="AT98" s="33"/>
      <c r="AU98" s="57"/>
      <c r="AV98" s="86">
        <f t="shared" si="19"/>
        <v>0</v>
      </c>
      <c r="AW98" s="89">
        <f t="shared" si="20"/>
        <v>0</v>
      </c>
      <c r="AX98" s="86"/>
    </row>
    <row r="99" spans="1:50" s="29" customFormat="1">
      <c r="A99" s="50" t="s">
        <v>128</v>
      </c>
      <c r="B99" s="51"/>
      <c r="C99" s="51"/>
      <c r="D99" s="51"/>
      <c r="E99" s="53"/>
      <c r="F99" s="62"/>
      <c r="G99" s="69"/>
      <c r="I99" s="69"/>
      <c r="L99" s="52"/>
      <c r="M99" s="132"/>
      <c r="N99" s="131"/>
      <c r="O99" s="55"/>
      <c r="P99" s="113">
        <f t="shared" si="14"/>
        <v>0</v>
      </c>
      <c r="Q99" s="33"/>
      <c r="R99" s="56"/>
      <c r="S99" s="26"/>
      <c r="T99" s="33"/>
      <c r="U99" s="32"/>
      <c r="V99" s="113">
        <f t="shared" si="22"/>
        <v>0</v>
      </c>
      <c r="W99" s="33"/>
      <c r="X99" s="32"/>
      <c r="Y99" s="113">
        <f t="shared" si="23"/>
        <v>0</v>
      </c>
      <c r="Z99" s="33"/>
      <c r="AA99" s="57"/>
      <c r="AB99" s="57"/>
      <c r="AC99" s="57"/>
      <c r="AD99" s="32"/>
      <c r="AE99" s="113">
        <f t="shared" si="15"/>
        <v>0</v>
      </c>
      <c r="AF99" s="33"/>
      <c r="AG99" s="32"/>
      <c r="AH99" s="26"/>
      <c r="AI99" s="33"/>
      <c r="AJ99" s="29">
        <f t="shared" si="16"/>
        <v>0</v>
      </c>
      <c r="AK99" s="57" t="s">
        <v>304</v>
      </c>
      <c r="AL99" s="58">
        <f t="shared" si="21"/>
        <v>0</v>
      </c>
      <c r="AM99" s="113">
        <f t="shared" si="17"/>
        <v>0</v>
      </c>
      <c r="AN99" s="33" t="s">
        <v>33</v>
      </c>
      <c r="AO99" s="59">
        <f t="shared" ref="AO99:AO111" si="24">IF(H99="RIMAC EPS EMPRESA PRESTADORA DE SALUD",O99*0.0225,O99*0)</f>
        <v>0</v>
      </c>
      <c r="AP99" s="26"/>
      <c r="AQ99" s="33"/>
      <c r="AR99" s="56"/>
      <c r="AS99" s="26"/>
      <c r="AT99" s="33"/>
      <c r="AU99" s="57"/>
      <c r="AV99" s="86">
        <f t="shared" si="19"/>
        <v>0</v>
      </c>
      <c r="AW99" s="89">
        <f t="shared" si="20"/>
        <v>0</v>
      </c>
      <c r="AX99" s="86"/>
    </row>
    <row r="100" spans="1:50" s="29" customFormat="1">
      <c r="A100" s="50" t="s">
        <v>129</v>
      </c>
      <c r="B100" s="51"/>
      <c r="C100" s="51"/>
      <c r="D100" s="52"/>
      <c r="E100" s="53"/>
      <c r="F100" s="62"/>
      <c r="G100" s="69"/>
      <c r="I100" s="69"/>
      <c r="L100" s="52"/>
      <c r="M100" s="132"/>
      <c r="N100" s="131"/>
      <c r="O100" s="55"/>
      <c r="P100" s="113">
        <f t="shared" si="14"/>
        <v>0</v>
      </c>
      <c r="Q100" s="33"/>
      <c r="R100" s="56"/>
      <c r="S100" s="26"/>
      <c r="T100" s="33"/>
      <c r="U100" s="32"/>
      <c r="V100" s="113">
        <f t="shared" si="22"/>
        <v>0</v>
      </c>
      <c r="W100" s="33"/>
      <c r="X100" s="32"/>
      <c r="Y100" s="113">
        <f t="shared" si="23"/>
        <v>0</v>
      </c>
      <c r="Z100" s="33"/>
      <c r="AA100" s="57"/>
      <c r="AB100" s="57"/>
      <c r="AC100" s="57"/>
      <c r="AD100" s="32"/>
      <c r="AE100" s="113">
        <f t="shared" si="15"/>
        <v>0</v>
      </c>
      <c r="AF100" s="33"/>
      <c r="AG100" s="32"/>
      <c r="AH100" s="26"/>
      <c r="AI100" s="33"/>
      <c r="AJ100" s="29">
        <f t="shared" si="16"/>
        <v>0</v>
      </c>
      <c r="AK100" s="57" t="s">
        <v>304</v>
      </c>
      <c r="AL100" s="58">
        <f t="shared" si="21"/>
        <v>0</v>
      </c>
      <c r="AM100" s="113">
        <f t="shared" si="17"/>
        <v>0</v>
      </c>
      <c r="AN100" s="33" t="s">
        <v>33</v>
      </c>
      <c r="AO100" s="59">
        <f t="shared" si="24"/>
        <v>0</v>
      </c>
      <c r="AP100" s="26"/>
      <c r="AQ100" s="33"/>
      <c r="AR100" s="56"/>
      <c r="AS100" s="26"/>
      <c r="AT100" s="33"/>
      <c r="AU100" s="57"/>
      <c r="AV100" s="86">
        <f t="shared" si="19"/>
        <v>0</v>
      </c>
      <c r="AW100" s="89">
        <f t="shared" si="20"/>
        <v>0</v>
      </c>
      <c r="AX100" s="86"/>
    </row>
    <row r="101" spans="1:50" s="29" customFormat="1">
      <c r="A101" s="50" t="s">
        <v>130</v>
      </c>
      <c r="B101" s="65"/>
      <c r="C101" s="65"/>
      <c r="D101" s="54"/>
      <c r="E101" s="53"/>
      <c r="F101" s="62"/>
      <c r="G101" s="125"/>
      <c r="I101" s="69"/>
      <c r="L101" s="61"/>
      <c r="M101" s="132"/>
      <c r="N101" s="131"/>
      <c r="O101" s="55"/>
      <c r="P101" s="113">
        <f t="shared" si="14"/>
        <v>0</v>
      </c>
      <c r="Q101" s="33"/>
      <c r="R101" s="56"/>
      <c r="S101" s="26"/>
      <c r="T101" s="33"/>
      <c r="U101" s="32"/>
      <c r="V101" s="113">
        <f t="shared" si="22"/>
        <v>0</v>
      </c>
      <c r="W101" s="33"/>
      <c r="X101" s="32"/>
      <c r="Y101" s="113">
        <f t="shared" si="23"/>
        <v>0</v>
      </c>
      <c r="Z101" s="33"/>
      <c r="AA101" s="57"/>
      <c r="AB101" s="26"/>
      <c r="AC101" s="33"/>
      <c r="AD101" s="32"/>
      <c r="AE101" s="113">
        <f t="shared" si="15"/>
        <v>0</v>
      </c>
      <c r="AF101" s="33"/>
      <c r="AG101" s="32"/>
      <c r="AH101" s="26"/>
      <c r="AI101" s="33"/>
      <c r="AJ101" s="29">
        <f t="shared" si="16"/>
        <v>0</v>
      </c>
      <c r="AK101" s="57" t="s">
        <v>304</v>
      </c>
      <c r="AL101" s="58">
        <f t="shared" si="21"/>
        <v>0</v>
      </c>
      <c r="AM101" s="113">
        <f t="shared" si="17"/>
        <v>0</v>
      </c>
      <c r="AN101" s="33" t="s">
        <v>33</v>
      </c>
      <c r="AO101" s="59">
        <f t="shared" si="24"/>
        <v>0</v>
      </c>
      <c r="AP101" s="113">
        <f>ROUND(AO101*$D$1,2)</f>
        <v>0</v>
      </c>
      <c r="AQ101" s="33"/>
      <c r="AR101" s="56"/>
      <c r="AS101" s="26"/>
      <c r="AT101" s="33"/>
      <c r="AU101" s="57"/>
      <c r="AV101" s="86">
        <f t="shared" si="19"/>
        <v>0</v>
      </c>
      <c r="AW101" s="89">
        <f t="shared" si="20"/>
        <v>0</v>
      </c>
      <c r="AX101" s="86"/>
    </row>
    <row r="102" spans="1:50" s="29" customFormat="1">
      <c r="A102" s="50" t="s">
        <v>131</v>
      </c>
      <c r="B102" s="51"/>
      <c r="C102" s="51"/>
      <c r="D102" s="52"/>
      <c r="E102" s="53"/>
      <c r="F102" s="62"/>
      <c r="G102" s="69"/>
      <c r="I102" s="69"/>
      <c r="L102" s="51"/>
      <c r="M102" s="130"/>
      <c r="N102" s="131"/>
      <c r="O102" s="55"/>
      <c r="P102" s="113">
        <f t="shared" si="14"/>
        <v>0</v>
      </c>
      <c r="Q102" s="33"/>
      <c r="R102" s="32"/>
      <c r="S102" s="113">
        <f>ROUND(R102*$D$1,2)</f>
        <v>0</v>
      </c>
      <c r="T102" s="33"/>
      <c r="U102" s="32"/>
      <c r="V102" s="26"/>
      <c r="W102" s="33"/>
      <c r="X102" s="56"/>
      <c r="Y102" s="26"/>
      <c r="Z102" s="33"/>
      <c r="AA102" s="57"/>
      <c r="AB102" s="57"/>
      <c r="AC102" s="57"/>
      <c r="AD102" s="32"/>
      <c r="AE102" s="113">
        <f t="shared" si="15"/>
        <v>0</v>
      </c>
      <c r="AF102" s="33"/>
      <c r="AG102" s="32"/>
      <c r="AH102" s="113">
        <f>ROUND(AG102*$D$1,2)</f>
        <v>0</v>
      </c>
      <c r="AI102" s="33"/>
      <c r="AJ102" s="29">
        <f t="shared" si="16"/>
        <v>0</v>
      </c>
      <c r="AK102" s="57" t="s">
        <v>304</v>
      </c>
      <c r="AL102" s="58">
        <f t="shared" si="21"/>
        <v>0</v>
      </c>
      <c r="AM102" s="113">
        <f t="shared" si="17"/>
        <v>0</v>
      </c>
      <c r="AN102" s="33" t="s">
        <v>33</v>
      </c>
      <c r="AO102" s="59">
        <f t="shared" si="24"/>
        <v>0</v>
      </c>
      <c r="AP102" s="26"/>
      <c r="AQ102" s="33"/>
      <c r="AR102" s="56"/>
      <c r="AS102" s="26"/>
      <c r="AT102" s="33"/>
      <c r="AU102" s="57"/>
      <c r="AV102" s="59">
        <f t="shared" si="19"/>
        <v>0</v>
      </c>
      <c r="AW102" s="89">
        <f t="shared" si="20"/>
        <v>0</v>
      </c>
      <c r="AX102" s="59"/>
    </row>
    <row r="103" spans="1:50" s="29" customFormat="1">
      <c r="A103" s="50" t="s">
        <v>132</v>
      </c>
      <c r="B103" s="51"/>
      <c r="C103" s="51"/>
      <c r="D103" s="52"/>
      <c r="E103" s="53"/>
      <c r="F103" s="62"/>
      <c r="G103" s="125"/>
      <c r="I103" s="69"/>
      <c r="L103" s="61"/>
      <c r="M103" s="132"/>
      <c r="N103" s="131"/>
      <c r="O103" s="55"/>
      <c r="P103" s="113">
        <f t="shared" si="14"/>
        <v>0</v>
      </c>
      <c r="Q103" s="33"/>
      <c r="R103" s="56"/>
      <c r="S103" s="26"/>
      <c r="T103" s="33"/>
      <c r="U103" s="32"/>
      <c r="V103" s="113">
        <f t="shared" ref="V103:V111" si="25">ROUND(U103*$D$1,2)</f>
        <v>0</v>
      </c>
      <c r="W103" s="33"/>
      <c r="X103" s="32"/>
      <c r="Y103" s="113">
        <f t="shared" ref="Y103:Y111" si="26">ROUND(X103*$D$1,2)</f>
        <v>0</v>
      </c>
      <c r="Z103" s="33"/>
      <c r="AA103" s="57"/>
      <c r="AB103" s="57"/>
      <c r="AC103" s="57"/>
      <c r="AD103" s="32"/>
      <c r="AE103" s="113">
        <f t="shared" si="15"/>
        <v>0</v>
      </c>
      <c r="AF103" s="33"/>
      <c r="AG103" s="32"/>
      <c r="AH103" s="26"/>
      <c r="AI103" s="33"/>
      <c r="AJ103" s="29">
        <f t="shared" si="16"/>
        <v>0</v>
      </c>
      <c r="AK103" s="57" t="s">
        <v>304</v>
      </c>
      <c r="AL103" s="58">
        <f t="shared" si="21"/>
        <v>0</v>
      </c>
      <c r="AM103" s="113">
        <f t="shared" si="17"/>
        <v>0</v>
      </c>
      <c r="AN103" s="33" t="s">
        <v>33</v>
      </c>
      <c r="AO103" s="59">
        <f t="shared" si="24"/>
        <v>0</v>
      </c>
      <c r="AP103" s="113">
        <f>ROUND(AO103*$D$1,2)</f>
        <v>0</v>
      </c>
      <c r="AQ103" s="33"/>
      <c r="AR103" s="56"/>
      <c r="AS103" s="26"/>
      <c r="AT103" s="33"/>
      <c r="AU103" s="57"/>
      <c r="AV103" s="86">
        <f t="shared" si="19"/>
        <v>0</v>
      </c>
      <c r="AW103" s="89">
        <f t="shared" si="20"/>
        <v>0</v>
      </c>
      <c r="AX103" s="86"/>
    </row>
    <row r="104" spans="1:50" s="29" customFormat="1">
      <c r="A104" s="50" t="s">
        <v>133</v>
      </c>
      <c r="B104" s="51"/>
      <c r="C104" s="51"/>
      <c r="D104" s="51"/>
      <c r="E104" s="53"/>
      <c r="F104" s="62"/>
      <c r="G104" s="125"/>
      <c r="I104" s="69"/>
      <c r="L104" s="52"/>
      <c r="M104" s="132"/>
      <c r="N104" s="131"/>
      <c r="O104" s="55"/>
      <c r="P104" s="113">
        <f t="shared" si="14"/>
        <v>0</v>
      </c>
      <c r="Q104" s="33"/>
      <c r="R104" s="56"/>
      <c r="S104" s="26"/>
      <c r="T104" s="33"/>
      <c r="U104" s="32"/>
      <c r="V104" s="113">
        <f t="shared" si="25"/>
        <v>0</v>
      </c>
      <c r="W104" s="33"/>
      <c r="X104" s="32"/>
      <c r="Y104" s="113">
        <f t="shared" si="26"/>
        <v>0</v>
      </c>
      <c r="Z104" s="33"/>
      <c r="AA104" s="57"/>
      <c r="AB104" s="57"/>
      <c r="AC104" s="57"/>
      <c r="AD104" s="32"/>
      <c r="AE104" s="113">
        <f t="shared" si="15"/>
        <v>0</v>
      </c>
      <c r="AF104" s="33"/>
      <c r="AG104" s="32"/>
      <c r="AH104" s="26"/>
      <c r="AI104" s="33"/>
      <c r="AJ104" s="29">
        <f t="shared" si="16"/>
        <v>0</v>
      </c>
      <c r="AK104" s="57" t="s">
        <v>304</v>
      </c>
      <c r="AL104" s="58">
        <f t="shared" si="21"/>
        <v>0</v>
      </c>
      <c r="AM104" s="113">
        <f t="shared" si="17"/>
        <v>0</v>
      </c>
      <c r="AN104" s="33" t="s">
        <v>33</v>
      </c>
      <c r="AO104" s="59">
        <f t="shared" si="24"/>
        <v>0</v>
      </c>
      <c r="AP104" s="26"/>
      <c r="AQ104" s="33"/>
      <c r="AR104" s="56"/>
      <c r="AS104" s="26"/>
      <c r="AT104" s="33"/>
      <c r="AU104" s="57"/>
      <c r="AV104" s="86">
        <f t="shared" si="19"/>
        <v>0</v>
      </c>
      <c r="AW104" s="89">
        <f t="shared" si="20"/>
        <v>0</v>
      </c>
      <c r="AX104" s="86"/>
    </row>
    <row r="105" spans="1:50" s="29" customFormat="1">
      <c r="A105" s="50" t="s">
        <v>134</v>
      </c>
      <c r="B105" s="51"/>
      <c r="C105" s="51"/>
      <c r="D105" s="52"/>
      <c r="E105" s="53"/>
      <c r="F105" s="62"/>
      <c r="G105" s="125"/>
      <c r="I105" s="69"/>
      <c r="L105" s="61"/>
      <c r="M105" s="132"/>
      <c r="N105" s="131"/>
      <c r="O105" s="55"/>
      <c r="P105" s="113">
        <f t="shared" si="14"/>
        <v>0</v>
      </c>
      <c r="Q105" s="33"/>
      <c r="R105" s="56"/>
      <c r="S105" s="26"/>
      <c r="T105" s="33"/>
      <c r="U105" s="32"/>
      <c r="V105" s="113">
        <f t="shared" si="25"/>
        <v>0</v>
      </c>
      <c r="W105" s="33"/>
      <c r="X105" s="32"/>
      <c r="Y105" s="113">
        <f t="shared" si="26"/>
        <v>0</v>
      </c>
      <c r="Z105" s="33"/>
      <c r="AA105" s="57"/>
      <c r="AB105" s="57"/>
      <c r="AC105" s="57"/>
      <c r="AD105" s="32"/>
      <c r="AE105" s="113">
        <f t="shared" si="15"/>
        <v>0</v>
      </c>
      <c r="AF105" s="33"/>
      <c r="AG105" s="32"/>
      <c r="AH105" s="26"/>
      <c r="AI105" s="33"/>
      <c r="AJ105" s="29">
        <f t="shared" si="16"/>
        <v>0</v>
      </c>
      <c r="AK105" s="57" t="s">
        <v>304</v>
      </c>
      <c r="AL105" s="58">
        <f t="shared" si="21"/>
        <v>0</v>
      </c>
      <c r="AM105" s="113">
        <f t="shared" si="17"/>
        <v>0</v>
      </c>
      <c r="AN105" s="33" t="s">
        <v>33</v>
      </c>
      <c r="AO105" s="59">
        <f t="shared" si="24"/>
        <v>0</v>
      </c>
      <c r="AP105" s="26"/>
      <c r="AQ105" s="33"/>
      <c r="AR105" s="56"/>
      <c r="AS105" s="26"/>
      <c r="AT105" s="33"/>
      <c r="AU105" s="57"/>
      <c r="AV105" s="86">
        <f t="shared" si="19"/>
        <v>0</v>
      </c>
      <c r="AW105" s="89">
        <f t="shared" si="20"/>
        <v>0</v>
      </c>
      <c r="AX105" s="86"/>
    </row>
    <row r="106" spans="1:50" s="29" customFormat="1">
      <c r="A106" s="50" t="s">
        <v>135</v>
      </c>
      <c r="B106" s="51"/>
      <c r="C106" s="51"/>
      <c r="D106" s="52"/>
      <c r="E106" s="53"/>
      <c r="F106" s="62"/>
      <c r="G106" s="125"/>
      <c r="I106" s="69"/>
      <c r="L106" s="61"/>
      <c r="M106" s="132"/>
      <c r="N106" s="131"/>
      <c r="O106" s="55"/>
      <c r="P106" s="113">
        <f t="shared" si="14"/>
        <v>0</v>
      </c>
      <c r="Q106" s="33"/>
      <c r="R106" s="56"/>
      <c r="S106" s="26"/>
      <c r="T106" s="33"/>
      <c r="U106" s="32"/>
      <c r="V106" s="113">
        <f t="shared" si="25"/>
        <v>0</v>
      </c>
      <c r="W106" s="33"/>
      <c r="X106" s="32"/>
      <c r="Y106" s="113">
        <f t="shared" si="26"/>
        <v>0</v>
      </c>
      <c r="Z106" s="33"/>
      <c r="AA106" s="57"/>
      <c r="AB106" s="57"/>
      <c r="AC106" s="57"/>
      <c r="AD106" s="32"/>
      <c r="AE106" s="113">
        <f t="shared" si="15"/>
        <v>0</v>
      </c>
      <c r="AF106" s="33"/>
      <c r="AG106" s="32"/>
      <c r="AH106" s="26"/>
      <c r="AI106" s="33"/>
      <c r="AJ106" s="29">
        <f t="shared" si="16"/>
        <v>0</v>
      </c>
      <c r="AK106" s="57" t="s">
        <v>304</v>
      </c>
      <c r="AL106" s="58">
        <f t="shared" si="21"/>
        <v>0</v>
      </c>
      <c r="AM106" s="113">
        <f t="shared" si="17"/>
        <v>0</v>
      </c>
      <c r="AN106" s="33" t="s">
        <v>33</v>
      </c>
      <c r="AO106" s="59">
        <f t="shared" si="24"/>
        <v>0</v>
      </c>
      <c r="AP106" s="26"/>
      <c r="AQ106" s="33"/>
      <c r="AR106" s="56"/>
      <c r="AS106" s="26"/>
      <c r="AT106" s="33"/>
      <c r="AU106" s="57"/>
      <c r="AV106" s="86">
        <f t="shared" si="19"/>
        <v>0</v>
      </c>
      <c r="AW106" s="89">
        <f t="shared" si="20"/>
        <v>0</v>
      </c>
      <c r="AX106" s="86"/>
    </row>
    <row r="107" spans="1:50" s="29" customFormat="1">
      <c r="A107" s="50" t="s">
        <v>136</v>
      </c>
      <c r="B107" s="51"/>
      <c r="C107" s="51"/>
      <c r="D107" s="52"/>
      <c r="E107" s="53"/>
      <c r="F107" s="62"/>
      <c r="G107" s="69"/>
      <c r="I107" s="69"/>
      <c r="L107" s="61"/>
      <c r="M107" s="132"/>
      <c r="N107" s="131"/>
      <c r="O107" s="55"/>
      <c r="P107" s="113">
        <f t="shared" si="14"/>
        <v>0</v>
      </c>
      <c r="Q107" s="33"/>
      <c r="R107" s="56"/>
      <c r="S107" s="26"/>
      <c r="T107" s="33"/>
      <c r="U107" s="32"/>
      <c r="V107" s="113">
        <f t="shared" si="25"/>
        <v>0</v>
      </c>
      <c r="W107" s="33"/>
      <c r="X107" s="32"/>
      <c r="Y107" s="113">
        <f t="shared" si="26"/>
        <v>0</v>
      </c>
      <c r="Z107" s="33"/>
      <c r="AA107" s="57"/>
      <c r="AB107" s="57"/>
      <c r="AC107" s="57"/>
      <c r="AD107" s="32"/>
      <c r="AE107" s="113">
        <f t="shared" si="15"/>
        <v>0</v>
      </c>
      <c r="AF107" s="33"/>
      <c r="AG107" s="32"/>
      <c r="AH107" s="26"/>
      <c r="AI107" s="33"/>
      <c r="AJ107" s="29">
        <f t="shared" si="16"/>
        <v>0</v>
      </c>
      <c r="AK107" s="57" t="s">
        <v>304</v>
      </c>
      <c r="AL107" s="58">
        <f t="shared" si="21"/>
        <v>0</v>
      </c>
      <c r="AM107" s="113">
        <f t="shared" si="17"/>
        <v>0</v>
      </c>
      <c r="AN107" s="33" t="s">
        <v>33</v>
      </c>
      <c r="AO107" s="59">
        <f t="shared" si="24"/>
        <v>0</v>
      </c>
      <c r="AP107" s="26"/>
      <c r="AQ107" s="33"/>
      <c r="AR107" s="56"/>
      <c r="AS107" s="26"/>
      <c r="AT107" s="33"/>
      <c r="AU107" s="57"/>
      <c r="AV107" s="86">
        <f t="shared" si="19"/>
        <v>0</v>
      </c>
      <c r="AW107" s="89">
        <f t="shared" si="20"/>
        <v>0</v>
      </c>
      <c r="AX107" s="86"/>
    </row>
    <row r="108" spans="1:50" s="29" customFormat="1">
      <c r="A108" s="50" t="s">
        <v>137</v>
      </c>
      <c r="B108" s="51"/>
      <c r="C108" s="51"/>
      <c r="D108" s="52"/>
      <c r="E108" s="53"/>
      <c r="F108" s="62"/>
      <c r="G108" s="125"/>
      <c r="I108" s="69"/>
      <c r="L108" s="61"/>
      <c r="M108" s="132"/>
      <c r="N108" s="131"/>
      <c r="O108" s="55"/>
      <c r="P108" s="113">
        <f t="shared" si="14"/>
        <v>0</v>
      </c>
      <c r="Q108" s="33"/>
      <c r="R108" s="56"/>
      <c r="S108" s="26"/>
      <c r="T108" s="33"/>
      <c r="U108" s="32"/>
      <c r="V108" s="113">
        <f t="shared" si="25"/>
        <v>0</v>
      </c>
      <c r="W108" s="33"/>
      <c r="X108" s="32"/>
      <c r="Y108" s="113">
        <f t="shared" si="26"/>
        <v>0</v>
      </c>
      <c r="Z108" s="33"/>
      <c r="AA108" s="57"/>
      <c r="AB108" s="57"/>
      <c r="AC108" s="57"/>
      <c r="AD108" s="32"/>
      <c r="AE108" s="113">
        <f t="shared" si="15"/>
        <v>0</v>
      </c>
      <c r="AF108" s="33"/>
      <c r="AG108" s="32"/>
      <c r="AH108" s="26"/>
      <c r="AI108" s="33"/>
      <c r="AJ108" s="29">
        <f t="shared" si="16"/>
        <v>0</v>
      </c>
      <c r="AK108" s="57" t="s">
        <v>304</v>
      </c>
      <c r="AL108" s="58">
        <f t="shared" si="21"/>
        <v>0</v>
      </c>
      <c r="AM108" s="113">
        <f t="shared" si="17"/>
        <v>0</v>
      </c>
      <c r="AN108" s="33" t="s">
        <v>33</v>
      </c>
      <c r="AO108" s="59">
        <f t="shared" si="24"/>
        <v>0</v>
      </c>
      <c r="AP108" s="26"/>
      <c r="AQ108" s="33"/>
      <c r="AR108" s="56"/>
      <c r="AS108" s="26"/>
      <c r="AT108" s="33"/>
      <c r="AU108" s="57"/>
      <c r="AV108" s="86">
        <f t="shared" si="19"/>
        <v>0</v>
      </c>
      <c r="AW108" s="89">
        <f t="shared" si="20"/>
        <v>0</v>
      </c>
      <c r="AX108" s="86"/>
    </row>
    <row r="109" spans="1:50" s="29" customFormat="1">
      <c r="A109" s="50" t="s">
        <v>138</v>
      </c>
      <c r="B109" s="51"/>
      <c r="C109" s="51"/>
      <c r="D109" s="52"/>
      <c r="E109" s="53"/>
      <c r="F109" s="62"/>
      <c r="G109" s="125"/>
      <c r="I109" s="69"/>
      <c r="L109" s="52"/>
      <c r="M109" s="132"/>
      <c r="N109" s="131"/>
      <c r="O109" s="55"/>
      <c r="P109" s="113">
        <f t="shared" si="14"/>
        <v>0</v>
      </c>
      <c r="Q109" s="33"/>
      <c r="R109" s="56"/>
      <c r="S109" s="26"/>
      <c r="T109" s="33"/>
      <c r="U109" s="32"/>
      <c r="V109" s="113">
        <f t="shared" si="25"/>
        <v>0</v>
      </c>
      <c r="W109" s="33"/>
      <c r="X109" s="32"/>
      <c r="Y109" s="113">
        <f t="shared" si="26"/>
        <v>0</v>
      </c>
      <c r="Z109" s="33"/>
      <c r="AA109" s="57"/>
      <c r="AB109" s="57"/>
      <c r="AC109" s="57"/>
      <c r="AD109" s="32"/>
      <c r="AE109" s="113">
        <f t="shared" si="15"/>
        <v>0</v>
      </c>
      <c r="AF109" s="33"/>
      <c r="AG109" s="32"/>
      <c r="AH109" s="26"/>
      <c r="AI109" s="33"/>
      <c r="AJ109" s="29">
        <f t="shared" si="16"/>
        <v>0</v>
      </c>
      <c r="AK109" s="57" t="s">
        <v>304</v>
      </c>
      <c r="AL109" s="58">
        <f t="shared" si="21"/>
        <v>0</v>
      </c>
      <c r="AM109" s="113">
        <f t="shared" si="17"/>
        <v>0</v>
      </c>
      <c r="AN109" s="33" t="s">
        <v>33</v>
      </c>
      <c r="AO109" s="59">
        <f t="shared" si="24"/>
        <v>0</v>
      </c>
      <c r="AP109" s="26"/>
      <c r="AQ109" s="33"/>
      <c r="AR109" s="56"/>
      <c r="AS109" s="26"/>
      <c r="AT109" s="33"/>
      <c r="AU109" s="57"/>
      <c r="AV109" s="86">
        <f t="shared" si="19"/>
        <v>0</v>
      </c>
      <c r="AW109" s="89">
        <f t="shared" si="20"/>
        <v>0</v>
      </c>
      <c r="AX109" s="86"/>
    </row>
    <row r="110" spans="1:50" s="29" customFormat="1">
      <c r="A110" s="50" t="s">
        <v>139</v>
      </c>
      <c r="B110" s="54"/>
      <c r="C110" s="54"/>
      <c r="D110" s="54"/>
      <c r="E110" s="53"/>
      <c r="F110" s="62"/>
      <c r="G110" s="69"/>
      <c r="I110" s="69"/>
      <c r="L110" s="52"/>
      <c r="M110" s="132"/>
      <c r="N110" s="131"/>
      <c r="O110" s="55"/>
      <c r="P110" s="113">
        <f t="shared" si="14"/>
        <v>0</v>
      </c>
      <c r="Q110" s="33"/>
      <c r="R110" s="56"/>
      <c r="S110" s="26"/>
      <c r="T110" s="33"/>
      <c r="U110" s="32"/>
      <c r="V110" s="113">
        <f t="shared" si="25"/>
        <v>0</v>
      </c>
      <c r="W110" s="33"/>
      <c r="X110" s="32"/>
      <c r="Y110" s="113">
        <f t="shared" si="26"/>
        <v>0</v>
      </c>
      <c r="Z110" s="33"/>
      <c r="AA110" s="57"/>
      <c r="AB110" s="57"/>
      <c r="AC110" s="57"/>
      <c r="AD110" s="32"/>
      <c r="AE110" s="113">
        <f t="shared" si="15"/>
        <v>0</v>
      </c>
      <c r="AF110" s="33"/>
      <c r="AG110" s="32"/>
      <c r="AH110" s="26"/>
      <c r="AI110" s="33"/>
      <c r="AJ110" s="29">
        <f t="shared" si="16"/>
        <v>0</v>
      </c>
      <c r="AK110" s="57" t="s">
        <v>304</v>
      </c>
      <c r="AL110" s="58">
        <f t="shared" si="21"/>
        <v>0</v>
      </c>
      <c r="AM110" s="113">
        <f t="shared" si="17"/>
        <v>0</v>
      </c>
      <c r="AN110" s="33" t="s">
        <v>33</v>
      </c>
      <c r="AO110" s="59">
        <f t="shared" si="24"/>
        <v>0</v>
      </c>
      <c r="AP110" s="26"/>
      <c r="AQ110" s="33"/>
      <c r="AR110" s="56"/>
      <c r="AS110" s="26"/>
      <c r="AT110" s="33"/>
      <c r="AU110" s="57"/>
      <c r="AV110" s="86">
        <f t="shared" si="19"/>
        <v>0</v>
      </c>
      <c r="AW110" s="89">
        <f t="shared" si="20"/>
        <v>0</v>
      </c>
      <c r="AX110" s="86"/>
    </row>
    <row r="111" spans="1:50" s="29" customFormat="1">
      <c r="A111" s="50" t="s">
        <v>140</v>
      </c>
      <c r="B111" s="51"/>
      <c r="C111" s="51"/>
      <c r="D111" s="52"/>
      <c r="E111" s="53"/>
      <c r="F111" s="62"/>
      <c r="G111" s="125"/>
      <c r="I111" s="69"/>
      <c r="L111" s="61"/>
      <c r="M111" s="132"/>
      <c r="N111" s="131"/>
      <c r="O111" s="55"/>
      <c r="P111" s="113">
        <f t="shared" si="14"/>
        <v>0</v>
      </c>
      <c r="Q111" s="33"/>
      <c r="R111" s="56"/>
      <c r="S111" s="26"/>
      <c r="T111" s="33"/>
      <c r="U111" s="32"/>
      <c r="V111" s="113">
        <f t="shared" si="25"/>
        <v>0</v>
      </c>
      <c r="W111" s="33"/>
      <c r="X111" s="32"/>
      <c r="Y111" s="113">
        <f t="shared" si="26"/>
        <v>0</v>
      </c>
      <c r="Z111" s="33"/>
      <c r="AA111" s="57"/>
      <c r="AB111" s="57"/>
      <c r="AC111" s="57"/>
      <c r="AD111" s="32"/>
      <c r="AE111" s="113">
        <f t="shared" si="15"/>
        <v>0</v>
      </c>
      <c r="AF111" s="33"/>
      <c r="AG111" s="32"/>
      <c r="AH111" s="26"/>
      <c r="AI111" s="33"/>
      <c r="AJ111" s="29">
        <f t="shared" si="16"/>
        <v>0</v>
      </c>
      <c r="AK111" s="57" t="s">
        <v>304</v>
      </c>
      <c r="AL111" s="58">
        <f t="shared" si="21"/>
        <v>0</v>
      </c>
      <c r="AM111" s="113">
        <f t="shared" si="17"/>
        <v>0</v>
      </c>
      <c r="AN111" s="33" t="s">
        <v>33</v>
      </c>
      <c r="AO111" s="59">
        <f t="shared" si="24"/>
        <v>0</v>
      </c>
      <c r="AP111" s="26"/>
      <c r="AQ111" s="33"/>
      <c r="AR111" s="56"/>
      <c r="AS111" s="26"/>
      <c r="AT111" s="33"/>
      <c r="AU111" s="57"/>
      <c r="AV111" s="86">
        <f t="shared" si="19"/>
        <v>0</v>
      </c>
      <c r="AW111" s="89">
        <f t="shared" si="20"/>
        <v>0</v>
      </c>
      <c r="AX111" s="86"/>
    </row>
    <row r="112" spans="1:50" s="29" customFormat="1">
      <c r="A112" s="50" t="s">
        <v>141</v>
      </c>
      <c r="B112" s="51"/>
      <c r="C112" s="51"/>
      <c r="D112" s="52"/>
      <c r="E112" s="53"/>
      <c r="F112" s="62"/>
      <c r="G112" s="125"/>
      <c r="I112" s="69"/>
      <c r="L112" s="52"/>
      <c r="M112" s="132"/>
      <c r="N112" s="131"/>
      <c r="O112" s="55"/>
      <c r="P112" s="113">
        <f t="shared" ref="P112:P143" si="27">ROUND(O112*$D$1,2)</f>
        <v>0</v>
      </c>
      <c r="Q112" s="33"/>
      <c r="R112" s="56"/>
      <c r="S112" s="26"/>
      <c r="T112" s="33"/>
      <c r="U112" s="32"/>
      <c r="V112" s="113">
        <f t="shared" ref="V112:V127" si="28">ROUND(U112*$D$1,2)</f>
        <v>0</v>
      </c>
      <c r="W112" s="33"/>
      <c r="X112" s="63"/>
      <c r="Y112" s="113">
        <f t="shared" ref="Y112:Y127" si="29">ROUND(X112*$D$1,2)</f>
        <v>0</v>
      </c>
      <c r="Z112" s="33"/>
      <c r="AA112" s="57"/>
      <c r="AB112" s="113">
        <f>ROUND(AA112*$D$1,2)</f>
        <v>0</v>
      </c>
      <c r="AC112" s="33"/>
      <c r="AD112" s="32"/>
      <c r="AE112" s="113">
        <f t="shared" ref="AE112:AE143" si="30">ROUND(AD112*$J$1,2)</f>
        <v>0</v>
      </c>
      <c r="AF112" s="33"/>
      <c r="AG112" s="32"/>
      <c r="AH112" s="26"/>
      <c r="AI112" s="33"/>
      <c r="AJ112" s="29">
        <f t="shared" ref="AJ112:AJ143" si="31">IF($O$1="SI",400,0)</f>
        <v>0</v>
      </c>
      <c r="AK112" s="57" t="s">
        <v>304</v>
      </c>
      <c r="AL112" s="58">
        <f t="shared" si="21"/>
        <v>0</v>
      </c>
      <c r="AM112" s="113">
        <f t="shared" ref="AM112:AM143" si="32">ROUND(AL112*$D$1,2)</f>
        <v>0</v>
      </c>
      <c r="AN112" s="33" t="s">
        <v>33</v>
      </c>
      <c r="AO112" s="59">
        <f t="shared" ref="AO112:AO127" si="33">IF(H112="RIMAC EPS EMPRESA PRESTADORA DE SALUD",O112*0.0225,O112*0)</f>
        <v>0</v>
      </c>
      <c r="AP112" s="26"/>
      <c r="AQ112" s="33"/>
      <c r="AR112" s="56">
        <f>O112*6%</f>
        <v>0</v>
      </c>
      <c r="AS112" s="113">
        <f>ROUND(AR112*$D$1,2)</f>
        <v>0</v>
      </c>
      <c r="AT112" s="33"/>
      <c r="AU112" s="57"/>
      <c r="AV112" s="86">
        <f t="shared" ref="AV112:AV143" si="34">P112+S112+V112+Y112+AB112+AE112+AH112+AJ112</f>
        <v>0</v>
      </c>
      <c r="AW112" s="89">
        <f t="shared" si="20"/>
        <v>0</v>
      </c>
      <c r="AX112" s="86"/>
    </row>
    <row r="113" spans="1:50" s="29" customFormat="1">
      <c r="A113" s="50" t="s">
        <v>142</v>
      </c>
      <c r="B113" s="51"/>
      <c r="C113" s="51"/>
      <c r="D113" s="54"/>
      <c r="E113" s="53"/>
      <c r="F113" s="62"/>
      <c r="G113" s="125"/>
      <c r="I113" s="69"/>
      <c r="L113" s="61"/>
      <c r="M113" s="132"/>
      <c r="N113" s="131"/>
      <c r="O113" s="55"/>
      <c r="P113" s="113">
        <f t="shared" si="27"/>
        <v>0</v>
      </c>
      <c r="Q113" s="33"/>
      <c r="R113" s="56"/>
      <c r="S113" s="26"/>
      <c r="T113" s="33"/>
      <c r="U113" s="32"/>
      <c r="V113" s="113">
        <f t="shared" si="28"/>
        <v>0</v>
      </c>
      <c r="W113" s="33"/>
      <c r="X113" s="32"/>
      <c r="Y113" s="113">
        <f t="shared" si="29"/>
        <v>0</v>
      </c>
      <c r="Z113" s="33"/>
      <c r="AA113" s="57"/>
      <c r="AB113" s="57"/>
      <c r="AC113" s="57"/>
      <c r="AD113" s="32"/>
      <c r="AE113" s="113">
        <f t="shared" si="30"/>
        <v>0</v>
      </c>
      <c r="AF113" s="33"/>
      <c r="AG113" s="32"/>
      <c r="AH113" s="26"/>
      <c r="AI113" s="33"/>
      <c r="AJ113" s="29">
        <f t="shared" si="31"/>
        <v>0</v>
      </c>
      <c r="AK113" s="57" t="s">
        <v>304</v>
      </c>
      <c r="AL113" s="58">
        <f t="shared" si="21"/>
        <v>0</v>
      </c>
      <c r="AM113" s="113">
        <f t="shared" si="32"/>
        <v>0</v>
      </c>
      <c r="AN113" s="33" t="s">
        <v>33</v>
      </c>
      <c r="AO113" s="59">
        <f t="shared" si="33"/>
        <v>0</v>
      </c>
      <c r="AP113" s="26"/>
      <c r="AQ113" s="33"/>
      <c r="AR113" s="56"/>
      <c r="AS113" s="26"/>
      <c r="AT113" s="33"/>
      <c r="AU113" s="57"/>
      <c r="AV113" s="86">
        <f t="shared" si="34"/>
        <v>0</v>
      </c>
      <c r="AW113" s="89">
        <f t="shared" si="20"/>
        <v>0</v>
      </c>
      <c r="AX113" s="86"/>
    </row>
    <row r="114" spans="1:50" s="29" customFormat="1">
      <c r="A114" s="50" t="s">
        <v>143</v>
      </c>
      <c r="B114" s="51"/>
      <c r="C114" s="51"/>
      <c r="D114" s="52"/>
      <c r="E114" s="53"/>
      <c r="F114" s="62"/>
      <c r="G114" s="125"/>
      <c r="I114" s="69"/>
      <c r="L114" s="61"/>
      <c r="M114" s="132"/>
      <c r="N114" s="131"/>
      <c r="O114" s="55"/>
      <c r="P114" s="113">
        <f t="shared" si="27"/>
        <v>0</v>
      </c>
      <c r="Q114" s="33"/>
      <c r="R114" s="56"/>
      <c r="S114" s="26"/>
      <c r="T114" s="33"/>
      <c r="U114" s="32"/>
      <c r="V114" s="113">
        <f t="shared" si="28"/>
        <v>0</v>
      </c>
      <c r="W114" s="33"/>
      <c r="X114" s="32"/>
      <c r="Y114" s="113">
        <f t="shared" si="29"/>
        <v>0</v>
      </c>
      <c r="Z114" s="33"/>
      <c r="AA114" s="57"/>
      <c r="AB114" s="57"/>
      <c r="AC114" s="57"/>
      <c r="AD114" s="32"/>
      <c r="AE114" s="113">
        <f t="shared" si="30"/>
        <v>0</v>
      </c>
      <c r="AF114" s="33"/>
      <c r="AG114" s="32"/>
      <c r="AH114" s="26"/>
      <c r="AI114" s="33"/>
      <c r="AJ114" s="29">
        <f t="shared" si="31"/>
        <v>0</v>
      </c>
      <c r="AK114" s="57" t="s">
        <v>304</v>
      </c>
      <c r="AL114" s="58">
        <f t="shared" si="21"/>
        <v>0</v>
      </c>
      <c r="AM114" s="113">
        <f t="shared" si="32"/>
        <v>0</v>
      </c>
      <c r="AN114" s="33" t="s">
        <v>33</v>
      </c>
      <c r="AO114" s="59">
        <f t="shared" si="33"/>
        <v>0</v>
      </c>
      <c r="AP114" s="26"/>
      <c r="AQ114" s="33"/>
      <c r="AR114" s="56"/>
      <c r="AS114" s="26"/>
      <c r="AT114" s="33"/>
      <c r="AU114" s="57"/>
      <c r="AV114" s="86">
        <f t="shared" si="34"/>
        <v>0</v>
      </c>
      <c r="AW114" s="89">
        <f t="shared" si="20"/>
        <v>0</v>
      </c>
      <c r="AX114" s="86"/>
    </row>
    <row r="115" spans="1:50" s="29" customFormat="1">
      <c r="A115" s="50" t="s">
        <v>144</v>
      </c>
      <c r="B115" s="51"/>
      <c r="C115" s="51"/>
      <c r="D115" s="52"/>
      <c r="E115" s="53"/>
      <c r="F115" s="62"/>
      <c r="G115" s="69"/>
      <c r="I115" s="69"/>
      <c r="L115" s="52"/>
      <c r="M115" s="132"/>
      <c r="N115" s="131"/>
      <c r="O115" s="55"/>
      <c r="P115" s="113">
        <f t="shared" si="27"/>
        <v>0</v>
      </c>
      <c r="Q115" s="33"/>
      <c r="R115" s="56"/>
      <c r="S115" s="26"/>
      <c r="T115" s="33"/>
      <c r="U115" s="32"/>
      <c r="V115" s="113">
        <f t="shared" si="28"/>
        <v>0</v>
      </c>
      <c r="W115" s="33"/>
      <c r="X115" s="32"/>
      <c r="Y115" s="113">
        <f t="shared" si="29"/>
        <v>0</v>
      </c>
      <c r="Z115" s="33"/>
      <c r="AA115" s="57"/>
      <c r="AB115" s="57"/>
      <c r="AC115" s="57"/>
      <c r="AD115" s="32"/>
      <c r="AE115" s="113">
        <f t="shared" si="30"/>
        <v>0</v>
      </c>
      <c r="AF115" s="33"/>
      <c r="AG115" s="32"/>
      <c r="AH115" s="26"/>
      <c r="AI115" s="33"/>
      <c r="AJ115" s="29">
        <f t="shared" si="31"/>
        <v>0</v>
      </c>
      <c r="AK115" s="57" t="s">
        <v>304</v>
      </c>
      <c r="AL115" s="58">
        <f t="shared" si="21"/>
        <v>0</v>
      </c>
      <c r="AM115" s="113">
        <f t="shared" si="32"/>
        <v>0</v>
      </c>
      <c r="AN115" s="33" t="s">
        <v>33</v>
      </c>
      <c r="AO115" s="59">
        <f t="shared" si="33"/>
        <v>0</v>
      </c>
      <c r="AP115" s="26"/>
      <c r="AQ115" s="33"/>
      <c r="AR115" s="56"/>
      <c r="AS115" s="26"/>
      <c r="AT115" s="33"/>
      <c r="AU115" s="57"/>
      <c r="AV115" s="86">
        <f t="shared" si="34"/>
        <v>0</v>
      </c>
      <c r="AW115" s="89">
        <f t="shared" si="20"/>
        <v>0</v>
      </c>
      <c r="AX115" s="86"/>
    </row>
    <row r="116" spans="1:50" s="29" customFormat="1">
      <c r="A116" s="50" t="s">
        <v>145</v>
      </c>
      <c r="B116" s="51"/>
      <c r="C116" s="51"/>
      <c r="D116" s="52"/>
      <c r="E116" s="53"/>
      <c r="F116" s="62"/>
      <c r="G116" s="125"/>
      <c r="I116" s="69"/>
      <c r="L116" s="52"/>
      <c r="M116" s="132"/>
      <c r="N116" s="131"/>
      <c r="O116" s="55"/>
      <c r="P116" s="113">
        <f t="shared" si="27"/>
        <v>0</v>
      </c>
      <c r="Q116" s="33"/>
      <c r="R116" s="56"/>
      <c r="S116" s="26"/>
      <c r="T116" s="33"/>
      <c r="U116" s="32"/>
      <c r="V116" s="113">
        <f t="shared" si="28"/>
        <v>0</v>
      </c>
      <c r="W116" s="33"/>
      <c r="X116" s="63"/>
      <c r="Y116" s="113">
        <f t="shared" si="29"/>
        <v>0</v>
      </c>
      <c r="Z116" s="33"/>
      <c r="AA116" s="57"/>
      <c r="AB116" s="113">
        <f>ROUND(AA116*$D$1,2)</f>
        <v>0</v>
      </c>
      <c r="AC116" s="33"/>
      <c r="AD116" s="32"/>
      <c r="AE116" s="113">
        <f t="shared" si="30"/>
        <v>0</v>
      </c>
      <c r="AF116" s="33"/>
      <c r="AG116" s="32"/>
      <c r="AH116" s="26"/>
      <c r="AI116" s="33"/>
      <c r="AJ116" s="29">
        <f t="shared" si="31"/>
        <v>0</v>
      </c>
      <c r="AK116" s="57" t="s">
        <v>304</v>
      </c>
      <c r="AL116" s="58">
        <f t="shared" si="21"/>
        <v>0</v>
      </c>
      <c r="AM116" s="113">
        <f t="shared" si="32"/>
        <v>0</v>
      </c>
      <c r="AN116" s="33" t="s">
        <v>33</v>
      </c>
      <c r="AO116" s="59">
        <f t="shared" si="33"/>
        <v>0</v>
      </c>
      <c r="AP116" s="26"/>
      <c r="AQ116" s="33"/>
      <c r="AR116" s="56"/>
      <c r="AS116" s="26"/>
      <c r="AT116" s="33"/>
      <c r="AU116" s="57"/>
      <c r="AV116" s="86">
        <f t="shared" si="34"/>
        <v>0</v>
      </c>
      <c r="AW116" s="89">
        <f t="shared" si="20"/>
        <v>0</v>
      </c>
      <c r="AX116" s="86"/>
    </row>
    <row r="117" spans="1:50" s="29" customFormat="1">
      <c r="A117" s="50" t="s">
        <v>146</v>
      </c>
      <c r="E117" s="53"/>
      <c r="G117" s="69"/>
      <c r="I117" s="69"/>
      <c r="L117" s="52"/>
      <c r="M117" s="132"/>
      <c r="N117" s="131"/>
      <c r="O117" s="55"/>
      <c r="P117" s="113">
        <f t="shared" si="27"/>
        <v>0</v>
      </c>
      <c r="Q117" s="33"/>
      <c r="R117" s="56"/>
      <c r="S117" s="26"/>
      <c r="T117" s="33"/>
      <c r="U117" s="32"/>
      <c r="V117" s="113">
        <f t="shared" si="28"/>
        <v>0</v>
      </c>
      <c r="W117" s="33"/>
      <c r="X117" s="32"/>
      <c r="Y117" s="113">
        <f t="shared" si="29"/>
        <v>0</v>
      </c>
      <c r="Z117" s="33"/>
      <c r="AA117" s="57"/>
      <c r="AB117" s="57"/>
      <c r="AC117" s="57"/>
      <c r="AD117" s="32"/>
      <c r="AE117" s="113">
        <f t="shared" si="30"/>
        <v>0</v>
      </c>
      <c r="AF117" s="33"/>
      <c r="AG117" s="32"/>
      <c r="AH117" s="26"/>
      <c r="AI117" s="33"/>
      <c r="AJ117" s="29">
        <f t="shared" si="31"/>
        <v>0</v>
      </c>
      <c r="AK117" s="57" t="s">
        <v>304</v>
      </c>
      <c r="AL117" s="58">
        <f t="shared" si="21"/>
        <v>0</v>
      </c>
      <c r="AM117" s="113">
        <f t="shared" si="32"/>
        <v>0</v>
      </c>
      <c r="AN117" s="33" t="s">
        <v>33</v>
      </c>
      <c r="AO117" s="59">
        <f t="shared" si="33"/>
        <v>0</v>
      </c>
      <c r="AP117" s="26"/>
      <c r="AQ117" s="33"/>
      <c r="AR117" s="56"/>
      <c r="AS117" s="26"/>
      <c r="AT117" s="33"/>
      <c r="AU117" s="57"/>
      <c r="AV117" s="86">
        <f t="shared" si="34"/>
        <v>0</v>
      </c>
      <c r="AW117" s="89">
        <f t="shared" si="20"/>
        <v>0</v>
      </c>
      <c r="AX117" s="86"/>
    </row>
    <row r="118" spans="1:50" s="29" customFormat="1">
      <c r="A118" s="50" t="s">
        <v>147</v>
      </c>
      <c r="B118" s="51"/>
      <c r="C118" s="51"/>
      <c r="D118" s="52"/>
      <c r="E118" s="53"/>
      <c r="F118" s="62"/>
      <c r="G118" s="69"/>
      <c r="I118" s="69"/>
      <c r="L118" s="52"/>
      <c r="M118" s="132"/>
      <c r="N118" s="131"/>
      <c r="O118" s="55"/>
      <c r="P118" s="113">
        <f t="shared" si="27"/>
        <v>0</v>
      </c>
      <c r="Q118" s="33"/>
      <c r="R118" s="56"/>
      <c r="S118" s="26"/>
      <c r="T118" s="33"/>
      <c r="U118" s="32"/>
      <c r="V118" s="113">
        <f t="shared" si="28"/>
        <v>0</v>
      </c>
      <c r="W118" s="33"/>
      <c r="X118" s="32"/>
      <c r="Y118" s="113">
        <f t="shared" si="29"/>
        <v>0</v>
      </c>
      <c r="Z118" s="33"/>
      <c r="AA118" s="57"/>
      <c r="AB118" s="57"/>
      <c r="AC118" s="57"/>
      <c r="AD118" s="32"/>
      <c r="AE118" s="113">
        <f t="shared" si="30"/>
        <v>0</v>
      </c>
      <c r="AF118" s="33"/>
      <c r="AG118" s="32"/>
      <c r="AH118" s="26"/>
      <c r="AI118" s="33"/>
      <c r="AJ118" s="29">
        <f t="shared" si="31"/>
        <v>0</v>
      </c>
      <c r="AK118" s="57" t="s">
        <v>304</v>
      </c>
      <c r="AL118" s="58">
        <f t="shared" si="21"/>
        <v>0</v>
      </c>
      <c r="AM118" s="113">
        <f t="shared" si="32"/>
        <v>0</v>
      </c>
      <c r="AN118" s="33" t="s">
        <v>33</v>
      </c>
      <c r="AO118" s="59">
        <f t="shared" si="33"/>
        <v>0</v>
      </c>
      <c r="AP118" s="26"/>
      <c r="AQ118" s="33"/>
      <c r="AR118" s="56"/>
      <c r="AS118" s="26"/>
      <c r="AT118" s="33"/>
      <c r="AU118" s="57"/>
      <c r="AV118" s="86">
        <f t="shared" si="34"/>
        <v>0</v>
      </c>
      <c r="AW118" s="89">
        <f t="shared" si="20"/>
        <v>0</v>
      </c>
      <c r="AX118" s="86"/>
    </row>
    <row r="119" spans="1:50" s="29" customFormat="1">
      <c r="A119" s="50" t="s">
        <v>148</v>
      </c>
      <c r="B119" s="51"/>
      <c r="C119" s="51"/>
      <c r="D119" s="52"/>
      <c r="E119" s="53"/>
      <c r="F119" s="62"/>
      <c r="G119" s="125"/>
      <c r="I119" s="69"/>
      <c r="L119" s="52"/>
      <c r="M119" s="132"/>
      <c r="N119" s="131"/>
      <c r="O119" s="55"/>
      <c r="P119" s="113">
        <f t="shared" si="27"/>
        <v>0</v>
      </c>
      <c r="Q119" s="33"/>
      <c r="R119" s="56"/>
      <c r="S119" s="26"/>
      <c r="T119" s="33"/>
      <c r="U119" s="32"/>
      <c r="V119" s="113">
        <f t="shared" si="28"/>
        <v>0</v>
      </c>
      <c r="W119" s="33"/>
      <c r="X119" s="32"/>
      <c r="Y119" s="113">
        <f t="shared" si="29"/>
        <v>0</v>
      </c>
      <c r="Z119" s="33"/>
      <c r="AA119" s="57"/>
      <c r="AB119" s="57"/>
      <c r="AC119" s="57"/>
      <c r="AD119" s="32"/>
      <c r="AE119" s="113">
        <f t="shared" si="30"/>
        <v>0</v>
      </c>
      <c r="AF119" s="33"/>
      <c r="AG119" s="32"/>
      <c r="AH119" s="26"/>
      <c r="AI119" s="33"/>
      <c r="AJ119" s="29">
        <f t="shared" si="31"/>
        <v>0</v>
      </c>
      <c r="AK119" s="57" t="s">
        <v>304</v>
      </c>
      <c r="AL119" s="58">
        <f t="shared" si="21"/>
        <v>0</v>
      </c>
      <c r="AM119" s="113">
        <f t="shared" si="32"/>
        <v>0</v>
      </c>
      <c r="AN119" s="33" t="s">
        <v>33</v>
      </c>
      <c r="AO119" s="59">
        <f t="shared" si="33"/>
        <v>0</v>
      </c>
      <c r="AP119" s="26"/>
      <c r="AQ119" s="33"/>
      <c r="AR119" s="56"/>
      <c r="AS119" s="26"/>
      <c r="AT119" s="33"/>
      <c r="AU119" s="57"/>
      <c r="AV119" s="86">
        <f t="shared" si="34"/>
        <v>0</v>
      </c>
      <c r="AW119" s="89">
        <f t="shared" si="20"/>
        <v>0</v>
      </c>
      <c r="AX119" s="86"/>
    </row>
    <row r="120" spans="1:50" s="29" customFormat="1">
      <c r="A120" s="50" t="s">
        <v>149</v>
      </c>
      <c r="B120" s="51"/>
      <c r="C120" s="51"/>
      <c r="D120" s="52"/>
      <c r="E120" s="53"/>
      <c r="F120" s="62"/>
      <c r="G120" s="125"/>
      <c r="I120" s="69"/>
      <c r="L120" s="52"/>
      <c r="M120" s="132"/>
      <c r="N120" s="131"/>
      <c r="O120" s="55"/>
      <c r="P120" s="113">
        <f t="shared" si="27"/>
        <v>0</v>
      </c>
      <c r="Q120" s="33"/>
      <c r="R120" s="56"/>
      <c r="S120" s="26"/>
      <c r="T120" s="33"/>
      <c r="U120" s="32"/>
      <c r="V120" s="113">
        <f t="shared" si="28"/>
        <v>0</v>
      </c>
      <c r="W120" s="33"/>
      <c r="X120" s="32"/>
      <c r="Y120" s="113">
        <f t="shared" si="29"/>
        <v>0</v>
      </c>
      <c r="Z120" s="33"/>
      <c r="AA120" s="57"/>
      <c r="AB120" s="57"/>
      <c r="AC120" s="57"/>
      <c r="AD120" s="32"/>
      <c r="AE120" s="113">
        <f t="shared" si="30"/>
        <v>0</v>
      </c>
      <c r="AF120" s="33"/>
      <c r="AG120" s="32"/>
      <c r="AH120" s="26"/>
      <c r="AI120" s="33"/>
      <c r="AJ120" s="29">
        <f t="shared" si="31"/>
        <v>0</v>
      </c>
      <c r="AK120" s="57" t="s">
        <v>304</v>
      </c>
      <c r="AL120" s="58">
        <f t="shared" si="21"/>
        <v>0</v>
      </c>
      <c r="AM120" s="113">
        <f t="shared" si="32"/>
        <v>0</v>
      </c>
      <c r="AN120" s="33" t="s">
        <v>33</v>
      </c>
      <c r="AO120" s="59">
        <f t="shared" si="33"/>
        <v>0</v>
      </c>
      <c r="AP120" s="113">
        <f>ROUND(AO120*$D$1,2)</f>
        <v>0</v>
      </c>
      <c r="AQ120" s="33"/>
      <c r="AR120" s="56"/>
      <c r="AS120" s="26"/>
      <c r="AT120" s="33"/>
      <c r="AU120" s="57"/>
      <c r="AV120" s="86">
        <f t="shared" si="34"/>
        <v>0</v>
      </c>
      <c r="AW120" s="89">
        <f t="shared" si="20"/>
        <v>0</v>
      </c>
      <c r="AX120" s="86"/>
    </row>
    <row r="121" spans="1:50" s="29" customFormat="1">
      <c r="A121" s="50" t="s">
        <v>150</v>
      </c>
      <c r="B121" s="51"/>
      <c r="C121" s="51"/>
      <c r="D121" s="52"/>
      <c r="E121" s="53"/>
      <c r="F121" s="62"/>
      <c r="G121" s="125"/>
      <c r="I121" s="69"/>
      <c r="L121" s="61"/>
      <c r="M121" s="132"/>
      <c r="N121" s="131"/>
      <c r="O121" s="55"/>
      <c r="P121" s="113">
        <f t="shared" si="27"/>
        <v>0</v>
      </c>
      <c r="Q121" s="33"/>
      <c r="R121" s="56"/>
      <c r="S121" s="26"/>
      <c r="T121" s="33"/>
      <c r="U121" s="32"/>
      <c r="V121" s="113">
        <f t="shared" si="28"/>
        <v>0</v>
      </c>
      <c r="W121" s="33"/>
      <c r="X121" s="32"/>
      <c r="Y121" s="113">
        <f t="shared" si="29"/>
        <v>0</v>
      </c>
      <c r="Z121" s="33"/>
      <c r="AA121" s="57"/>
      <c r="AB121" s="57"/>
      <c r="AC121" s="57"/>
      <c r="AD121" s="32"/>
      <c r="AE121" s="113">
        <f t="shared" si="30"/>
        <v>0</v>
      </c>
      <c r="AF121" s="33"/>
      <c r="AG121" s="32"/>
      <c r="AH121" s="26"/>
      <c r="AI121" s="33"/>
      <c r="AJ121" s="29">
        <f t="shared" si="31"/>
        <v>0</v>
      </c>
      <c r="AK121" s="57" t="s">
        <v>304</v>
      </c>
      <c r="AL121" s="58">
        <f t="shared" si="21"/>
        <v>0</v>
      </c>
      <c r="AM121" s="113">
        <f t="shared" si="32"/>
        <v>0</v>
      </c>
      <c r="AN121" s="33" t="s">
        <v>33</v>
      </c>
      <c r="AO121" s="59">
        <f t="shared" si="33"/>
        <v>0</v>
      </c>
      <c r="AP121" s="26"/>
      <c r="AQ121" s="33"/>
      <c r="AR121" s="56"/>
      <c r="AS121" s="26"/>
      <c r="AT121" s="33"/>
      <c r="AU121" s="57"/>
      <c r="AV121" s="86">
        <f t="shared" si="34"/>
        <v>0</v>
      </c>
      <c r="AW121" s="89">
        <f t="shared" si="20"/>
        <v>0</v>
      </c>
      <c r="AX121" s="86"/>
    </row>
    <row r="122" spans="1:50" s="29" customFormat="1">
      <c r="A122" s="50" t="s">
        <v>151</v>
      </c>
      <c r="B122" s="51"/>
      <c r="C122" s="51"/>
      <c r="D122" s="52"/>
      <c r="E122" s="53"/>
      <c r="F122" s="62"/>
      <c r="G122" s="125"/>
      <c r="I122" s="69"/>
      <c r="L122" s="61"/>
      <c r="M122" s="132"/>
      <c r="N122" s="131"/>
      <c r="O122" s="55"/>
      <c r="P122" s="113">
        <f t="shared" si="27"/>
        <v>0</v>
      </c>
      <c r="Q122" s="33"/>
      <c r="R122" s="56"/>
      <c r="S122" s="26"/>
      <c r="T122" s="33"/>
      <c r="U122" s="32"/>
      <c r="V122" s="113">
        <f t="shared" si="28"/>
        <v>0</v>
      </c>
      <c r="W122" s="33"/>
      <c r="X122" s="32"/>
      <c r="Y122" s="113">
        <f t="shared" si="29"/>
        <v>0</v>
      </c>
      <c r="Z122" s="33"/>
      <c r="AA122" s="57"/>
      <c r="AB122" s="57"/>
      <c r="AC122" s="57"/>
      <c r="AD122" s="32"/>
      <c r="AE122" s="113">
        <f t="shared" si="30"/>
        <v>0</v>
      </c>
      <c r="AF122" s="33"/>
      <c r="AG122" s="32"/>
      <c r="AH122" s="26"/>
      <c r="AI122" s="33"/>
      <c r="AJ122" s="29">
        <f t="shared" si="31"/>
        <v>0</v>
      </c>
      <c r="AK122" s="57" t="s">
        <v>304</v>
      </c>
      <c r="AL122" s="58">
        <f t="shared" si="21"/>
        <v>0</v>
      </c>
      <c r="AM122" s="113">
        <f t="shared" si="32"/>
        <v>0</v>
      </c>
      <c r="AN122" s="33" t="s">
        <v>33</v>
      </c>
      <c r="AO122" s="59">
        <f t="shared" si="33"/>
        <v>0</v>
      </c>
      <c r="AP122" s="113">
        <f>ROUND(AO122*$D$1,2)</f>
        <v>0</v>
      </c>
      <c r="AQ122" s="33"/>
      <c r="AR122" s="56">
        <f>O122*6%</f>
        <v>0</v>
      </c>
      <c r="AS122" s="113">
        <f>ROUND(AR122*$D$1,2)</f>
        <v>0</v>
      </c>
      <c r="AT122" s="33"/>
      <c r="AU122" s="57"/>
      <c r="AV122" s="86">
        <f t="shared" si="34"/>
        <v>0</v>
      </c>
      <c r="AW122" s="89">
        <f t="shared" si="20"/>
        <v>0</v>
      </c>
      <c r="AX122" s="86"/>
    </row>
    <row r="123" spans="1:50" s="29" customFormat="1">
      <c r="A123" s="50" t="s">
        <v>152</v>
      </c>
      <c r="B123" s="51"/>
      <c r="C123" s="51"/>
      <c r="D123" s="52"/>
      <c r="E123" s="53"/>
      <c r="F123" s="62"/>
      <c r="G123" s="69"/>
      <c r="I123" s="69"/>
      <c r="L123" s="52"/>
      <c r="M123" s="132"/>
      <c r="N123" s="131"/>
      <c r="O123" s="55"/>
      <c r="P123" s="113">
        <f t="shared" si="27"/>
        <v>0</v>
      </c>
      <c r="Q123" s="33"/>
      <c r="R123" s="56"/>
      <c r="S123" s="26"/>
      <c r="T123" s="33"/>
      <c r="U123" s="32"/>
      <c r="V123" s="113">
        <f t="shared" si="28"/>
        <v>0</v>
      </c>
      <c r="W123" s="33"/>
      <c r="X123" s="32"/>
      <c r="Y123" s="113">
        <f t="shared" si="29"/>
        <v>0</v>
      </c>
      <c r="Z123" s="33"/>
      <c r="AA123" s="57"/>
      <c r="AB123" s="57"/>
      <c r="AC123" s="57"/>
      <c r="AD123" s="32"/>
      <c r="AE123" s="113">
        <f t="shared" si="30"/>
        <v>0</v>
      </c>
      <c r="AF123" s="33"/>
      <c r="AG123" s="32"/>
      <c r="AH123" s="26"/>
      <c r="AI123" s="33"/>
      <c r="AJ123" s="29">
        <f t="shared" si="31"/>
        <v>0</v>
      </c>
      <c r="AK123" s="57" t="s">
        <v>304</v>
      </c>
      <c r="AL123" s="58">
        <f t="shared" si="21"/>
        <v>0</v>
      </c>
      <c r="AM123" s="113">
        <f t="shared" si="32"/>
        <v>0</v>
      </c>
      <c r="AN123" s="33" t="s">
        <v>33</v>
      </c>
      <c r="AO123" s="59">
        <f t="shared" si="33"/>
        <v>0</v>
      </c>
      <c r="AP123" s="26"/>
      <c r="AQ123" s="33"/>
      <c r="AR123" s="56"/>
      <c r="AS123" s="26"/>
      <c r="AT123" s="33"/>
      <c r="AU123" s="57"/>
      <c r="AV123" s="86">
        <f t="shared" si="34"/>
        <v>0</v>
      </c>
      <c r="AW123" s="89">
        <f t="shared" si="20"/>
        <v>0</v>
      </c>
      <c r="AX123" s="86"/>
    </row>
    <row r="124" spans="1:50" s="29" customFormat="1">
      <c r="A124" s="50" t="s">
        <v>153</v>
      </c>
      <c r="B124" s="51"/>
      <c r="C124" s="51"/>
      <c r="D124" s="52"/>
      <c r="E124" s="53"/>
      <c r="F124" s="62"/>
      <c r="G124" s="125"/>
      <c r="I124" s="69"/>
      <c r="L124" s="52"/>
      <c r="M124" s="132"/>
      <c r="N124" s="131"/>
      <c r="O124" s="55"/>
      <c r="P124" s="113">
        <f t="shared" si="27"/>
        <v>0</v>
      </c>
      <c r="Q124" s="33"/>
      <c r="R124" s="56"/>
      <c r="S124" s="26"/>
      <c r="T124" s="33"/>
      <c r="U124" s="32"/>
      <c r="V124" s="113">
        <f t="shared" si="28"/>
        <v>0</v>
      </c>
      <c r="W124" s="33"/>
      <c r="X124" s="32"/>
      <c r="Y124" s="113">
        <f t="shared" si="29"/>
        <v>0</v>
      </c>
      <c r="Z124" s="33"/>
      <c r="AA124" s="57"/>
      <c r="AB124" s="57"/>
      <c r="AC124" s="57"/>
      <c r="AD124" s="32"/>
      <c r="AE124" s="113">
        <f t="shared" si="30"/>
        <v>0</v>
      </c>
      <c r="AF124" s="33"/>
      <c r="AG124" s="32"/>
      <c r="AH124" s="26"/>
      <c r="AI124" s="33"/>
      <c r="AJ124" s="29">
        <f t="shared" si="31"/>
        <v>0</v>
      </c>
      <c r="AK124" s="57" t="s">
        <v>304</v>
      </c>
      <c r="AL124" s="58">
        <f t="shared" si="21"/>
        <v>0</v>
      </c>
      <c r="AM124" s="113">
        <f t="shared" si="32"/>
        <v>0</v>
      </c>
      <c r="AN124" s="33" t="s">
        <v>33</v>
      </c>
      <c r="AO124" s="59">
        <f t="shared" si="33"/>
        <v>0</v>
      </c>
      <c r="AP124" s="26"/>
      <c r="AQ124" s="33"/>
      <c r="AR124" s="56"/>
      <c r="AS124" s="26"/>
      <c r="AT124" s="33"/>
      <c r="AU124" s="57"/>
      <c r="AV124" s="86">
        <f t="shared" si="34"/>
        <v>0</v>
      </c>
      <c r="AW124" s="89">
        <f t="shared" si="20"/>
        <v>0</v>
      </c>
      <c r="AX124" s="86"/>
    </row>
    <row r="125" spans="1:50" s="29" customFormat="1">
      <c r="A125" s="50" t="s">
        <v>154</v>
      </c>
      <c r="B125" s="51"/>
      <c r="C125" s="51"/>
      <c r="D125" s="52"/>
      <c r="E125" s="53"/>
      <c r="F125" s="62"/>
      <c r="G125" s="125"/>
      <c r="I125" s="69"/>
      <c r="L125" s="52"/>
      <c r="M125" s="132"/>
      <c r="N125" s="131"/>
      <c r="O125" s="55"/>
      <c r="P125" s="113">
        <f t="shared" si="27"/>
        <v>0</v>
      </c>
      <c r="Q125" s="33"/>
      <c r="R125" s="56"/>
      <c r="S125" s="26"/>
      <c r="T125" s="33"/>
      <c r="U125" s="32"/>
      <c r="V125" s="113">
        <f t="shared" si="28"/>
        <v>0</v>
      </c>
      <c r="W125" s="33"/>
      <c r="X125" s="32"/>
      <c r="Y125" s="113">
        <f t="shared" si="29"/>
        <v>0</v>
      </c>
      <c r="Z125" s="33"/>
      <c r="AA125" s="57"/>
      <c r="AB125" s="57"/>
      <c r="AC125" s="57"/>
      <c r="AD125" s="32"/>
      <c r="AE125" s="113">
        <f t="shared" si="30"/>
        <v>0</v>
      </c>
      <c r="AF125" s="33"/>
      <c r="AG125" s="32"/>
      <c r="AH125" s="26"/>
      <c r="AI125" s="33"/>
      <c r="AJ125" s="29">
        <f t="shared" si="31"/>
        <v>0</v>
      </c>
      <c r="AK125" s="57" t="s">
        <v>304</v>
      </c>
      <c r="AL125" s="58">
        <f t="shared" si="21"/>
        <v>0</v>
      </c>
      <c r="AM125" s="113">
        <f t="shared" si="32"/>
        <v>0</v>
      </c>
      <c r="AN125" s="33" t="s">
        <v>33</v>
      </c>
      <c r="AO125" s="59">
        <f t="shared" si="33"/>
        <v>0</v>
      </c>
      <c r="AP125" s="26"/>
      <c r="AQ125" s="33"/>
      <c r="AR125" s="56"/>
      <c r="AS125" s="26"/>
      <c r="AT125" s="33"/>
      <c r="AU125" s="57"/>
      <c r="AV125" s="86">
        <f t="shared" si="34"/>
        <v>0</v>
      </c>
      <c r="AW125" s="89">
        <f t="shared" si="20"/>
        <v>0</v>
      </c>
      <c r="AX125" s="86"/>
    </row>
    <row r="126" spans="1:50" s="29" customFormat="1">
      <c r="A126" s="50" t="s">
        <v>155</v>
      </c>
      <c r="B126" s="51"/>
      <c r="C126" s="51"/>
      <c r="D126" s="52"/>
      <c r="E126" s="53"/>
      <c r="F126" s="62"/>
      <c r="G126" s="125"/>
      <c r="I126" s="69"/>
      <c r="L126" s="52"/>
      <c r="M126" s="132"/>
      <c r="N126" s="131"/>
      <c r="O126" s="55"/>
      <c r="P126" s="113">
        <f t="shared" si="27"/>
        <v>0</v>
      </c>
      <c r="Q126" s="33"/>
      <c r="R126" s="56"/>
      <c r="S126" s="26"/>
      <c r="T126" s="33"/>
      <c r="U126" s="32"/>
      <c r="V126" s="113">
        <f t="shared" si="28"/>
        <v>0</v>
      </c>
      <c r="W126" s="33"/>
      <c r="X126" s="32"/>
      <c r="Y126" s="113">
        <f t="shared" si="29"/>
        <v>0</v>
      </c>
      <c r="Z126" s="33"/>
      <c r="AA126" s="57"/>
      <c r="AB126" s="57"/>
      <c r="AC126" s="57"/>
      <c r="AD126" s="32"/>
      <c r="AE126" s="113">
        <f t="shared" si="30"/>
        <v>0</v>
      </c>
      <c r="AF126" s="33"/>
      <c r="AG126" s="32"/>
      <c r="AH126" s="26"/>
      <c r="AI126" s="33"/>
      <c r="AJ126" s="29">
        <f t="shared" si="31"/>
        <v>0</v>
      </c>
      <c r="AK126" s="57" t="s">
        <v>304</v>
      </c>
      <c r="AL126" s="58">
        <f t="shared" si="21"/>
        <v>0</v>
      </c>
      <c r="AM126" s="113">
        <f t="shared" si="32"/>
        <v>0</v>
      </c>
      <c r="AN126" s="33" t="s">
        <v>33</v>
      </c>
      <c r="AO126" s="59">
        <f t="shared" si="33"/>
        <v>0</v>
      </c>
      <c r="AP126" s="26"/>
      <c r="AQ126" s="33"/>
      <c r="AR126" s="56"/>
      <c r="AS126" s="26"/>
      <c r="AT126" s="33"/>
      <c r="AU126" s="57"/>
      <c r="AV126" s="86">
        <f t="shared" si="34"/>
        <v>0</v>
      </c>
      <c r="AW126" s="89">
        <f t="shared" si="20"/>
        <v>0</v>
      </c>
      <c r="AX126" s="86"/>
    </row>
    <row r="127" spans="1:50" s="29" customFormat="1">
      <c r="A127" s="50" t="s">
        <v>156</v>
      </c>
      <c r="B127" s="51"/>
      <c r="C127" s="51"/>
      <c r="D127" s="52"/>
      <c r="E127" s="53"/>
      <c r="F127" s="62"/>
      <c r="G127" s="125"/>
      <c r="I127" s="69"/>
      <c r="L127" s="52"/>
      <c r="M127" s="132"/>
      <c r="N127" s="131"/>
      <c r="O127" s="55"/>
      <c r="P127" s="113">
        <f t="shared" si="27"/>
        <v>0</v>
      </c>
      <c r="Q127" s="33"/>
      <c r="R127" s="56"/>
      <c r="S127" s="26"/>
      <c r="T127" s="33"/>
      <c r="U127" s="32"/>
      <c r="V127" s="113">
        <f t="shared" si="28"/>
        <v>0</v>
      </c>
      <c r="W127" s="33"/>
      <c r="X127" s="32"/>
      <c r="Y127" s="113">
        <f t="shared" si="29"/>
        <v>0</v>
      </c>
      <c r="Z127" s="33"/>
      <c r="AA127" s="57"/>
      <c r="AB127" s="57"/>
      <c r="AC127" s="57"/>
      <c r="AD127" s="32"/>
      <c r="AE127" s="113">
        <f t="shared" si="30"/>
        <v>0</v>
      </c>
      <c r="AF127" s="33"/>
      <c r="AG127" s="32"/>
      <c r="AH127" s="26"/>
      <c r="AI127" s="33"/>
      <c r="AJ127" s="29">
        <f t="shared" si="31"/>
        <v>0</v>
      </c>
      <c r="AK127" s="57" t="s">
        <v>304</v>
      </c>
      <c r="AL127" s="58">
        <f t="shared" si="21"/>
        <v>0</v>
      </c>
      <c r="AM127" s="113">
        <f t="shared" si="32"/>
        <v>0</v>
      </c>
      <c r="AN127" s="33" t="s">
        <v>33</v>
      </c>
      <c r="AO127" s="59">
        <f t="shared" si="33"/>
        <v>0</v>
      </c>
      <c r="AP127" s="26"/>
      <c r="AQ127" s="33"/>
      <c r="AR127" s="56"/>
      <c r="AS127" s="26"/>
      <c r="AT127" s="33"/>
      <c r="AU127" s="57"/>
      <c r="AV127" s="86">
        <f t="shared" si="34"/>
        <v>0</v>
      </c>
      <c r="AW127" s="89">
        <f t="shared" si="20"/>
        <v>0</v>
      </c>
      <c r="AX127" s="86"/>
    </row>
    <row r="128" spans="1:50" s="29" customFormat="1">
      <c r="A128" s="50" t="s">
        <v>157</v>
      </c>
      <c r="B128" s="51"/>
      <c r="C128" s="51"/>
      <c r="D128" s="52"/>
      <c r="E128" s="53"/>
      <c r="F128" s="62"/>
      <c r="G128" s="69"/>
      <c r="I128" s="69"/>
      <c r="L128" s="51"/>
      <c r="M128" s="130"/>
      <c r="N128" s="131"/>
      <c r="O128" s="55"/>
      <c r="P128" s="113">
        <f t="shared" si="27"/>
        <v>0</v>
      </c>
      <c r="Q128" s="33"/>
      <c r="R128" s="32"/>
      <c r="S128" s="113">
        <f>ROUND(R128*$D$1,2)</f>
        <v>0</v>
      </c>
      <c r="T128" s="33"/>
      <c r="U128" s="32"/>
      <c r="V128" s="26"/>
      <c r="W128" s="33"/>
      <c r="X128" s="56"/>
      <c r="Y128" s="26"/>
      <c r="Z128" s="33"/>
      <c r="AA128" s="57"/>
      <c r="AB128" s="57"/>
      <c r="AC128" s="57"/>
      <c r="AD128" s="32"/>
      <c r="AE128" s="113">
        <f t="shared" si="30"/>
        <v>0</v>
      </c>
      <c r="AF128" s="33"/>
      <c r="AG128" s="32"/>
      <c r="AH128" s="113">
        <f>ROUND(AG128*$D$1,2)</f>
        <v>0</v>
      </c>
      <c r="AI128" s="33"/>
      <c r="AJ128" s="29">
        <f t="shared" si="31"/>
        <v>0</v>
      </c>
      <c r="AK128" s="57" t="s">
        <v>304</v>
      </c>
      <c r="AL128" s="58">
        <f t="shared" si="21"/>
        <v>0</v>
      </c>
      <c r="AM128" s="113">
        <f t="shared" si="32"/>
        <v>0</v>
      </c>
      <c r="AN128" s="33" t="s">
        <v>33</v>
      </c>
      <c r="AO128" s="59">
        <v>20.93</v>
      </c>
      <c r="AP128" s="113">
        <f>ROUND(AO128*$D$1,2)</f>
        <v>20.93</v>
      </c>
      <c r="AQ128" s="33"/>
      <c r="AR128" s="56"/>
      <c r="AS128" s="26"/>
      <c r="AT128" s="33"/>
      <c r="AU128" s="57"/>
      <c r="AV128" s="59">
        <f t="shared" si="34"/>
        <v>0</v>
      </c>
      <c r="AW128" s="89">
        <f t="shared" si="20"/>
        <v>20.93</v>
      </c>
      <c r="AX128" s="59"/>
    </row>
    <row r="129" spans="1:50" s="29" customFormat="1">
      <c r="A129" s="50" t="s">
        <v>158</v>
      </c>
      <c r="B129" s="51"/>
      <c r="C129" s="51"/>
      <c r="D129" s="52"/>
      <c r="E129" s="53"/>
      <c r="F129" s="62"/>
      <c r="G129" s="125"/>
      <c r="I129" s="69"/>
      <c r="L129" s="52"/>
      <c r="M129" s="132"/>
      <c r="N129" s="131"/>
      <c r="O129" s="55"/>
      <c r="P129" s="113">
        <f t="shared" si="27"/>
        <v>0</v>
      </c>
      <c r="Q129" s="33"/>
      <c r="R129" s="56"/>
      <c r="S129" s="26"/>
      <c r="T129" s="33"/>
      <c r="U129" s="32"/>
      <c r="V129" s="113">
        <f t="shared" ref="V129:V160" si="35">ROUND(U129*$D$1,2)</f>
        <v>0</v>
      </c>
      <c r="W129" s="33"/>
      <c r="X129" s="32"/>
      <c r="Y129" s="113">
        <f t="shared" ref="Y129:Y160" si="36">ROUND(X129*$D$1,2)</f>
        <v>0</v>
      </c>
      <c r="Z129" s="33"/>
      <c r="AA129" s="57"/>
      <c r="AB129" s="57"/>
      <c r="AC129" s="57"/>
      <c r="AD129" s="32"/>
      <c r="AE129" s="113">
        <f t="shared" si="30"/>
        <v>0</v>
      </c>
      <c r="AF129" s="33"/>
      <c r="AG129" s="32"/>
      <c r="AH129" s="26"/>
      <c r="AI129" s="33"/>
      <c r="AJ129" s="29">
        <f t="shared" si="31"/>
        <v>0</v>
      </c>
      <c r="AK129" s="57" t="s">
        <v>304</v>
      </c>
      <c r="AL129" s="58">
        <f t="shared" si="21"/>
        <v>0</v>
      </c>
      <c r="AM129" s="113">
        <f t="shared" si="32"/>
        <v>0</v>
      </c>
      <c r="AN129" s="33" t="s">
        <v>33</v>
      </c>
      <c r="AO129" s="59">
        <f t="shared" ref="AO129:AO160" si="37">IF(H129="RIMAC EPS EMPRESA PRESTADORA DE SALUD",O129*0.0225,O129*0)</f>
        <v>0</v>
      </c>
      <c r="AP129" s="26"/>
      <c r="AQ129" s="33"/>
      <c r="AR129" s="56"/>
      <c r="AS129" s="26"/>
      <c r="AT129" s="33"/>
      <c r="AU129" s="57"/>
      <c r="AV129" s="86">
        <f t="shared" si="34"/>
        <v>0</v>
      </c>
      <c r="AW129" s="89">
        <f t="shared" si="20"/>
        <v>0</v>
      </c>
      <c r="AX129" s="86"/>
    </row>
    <row r="130" spans="1:50" s="29" customFormat="1">
      <c r="A130" s="50" t="s">
        <v>159</v>
      </c>
      <c r="B130" s="51"/>
      <c r="C130" s="51"/>
      <c r="D130" s="52"/>
      <c r="E130" s="53"/>
      <c r="F130" s="62"/>
      <c r="G130" s="125"/>
      <c r="I130" s="69"/>
      <c r="L130" s="52"/>
      <c r="M130" s="132"/>
      <c r="N130" s="131"/>
      <c r="O130" s="55"/>
      <c r="P130" s="113">
        <f t="shared" si="27"/>
        <v>0</v>
      </c>
      <c r="Q130" s="33"/>
      <c r="R130" s="56"/>
      <c r="S130" s="26"/>
      <c r="T130" s="33"/>
      <c r="U130" s="32"/>
      <c r="V130" s="113">
        <f t="shared" si="35"/>
        <v>0</v>
      </c>
      <c r="W130" s="33"/>
      <c r="X130" s="32"/>
      <c r="Y130" s="113">
        <f t="shared" si="36"/>
        <v>0</v>
      </c>
      <c r="Z130" s="33"/>
      <c r="AA130" s="57"/>
      <c r="AB130" s="57"/>
      <c r="AC130" s="57"/>
      <c r="AD130" s="32"/>
      <c r="AE130" s="113">
        <f t="shared" si="30"/>
        <v>0</v>
      </c>
      <c r="AF130" s="33"/>
      <c r="AG130" s="32"/>
      <c r="AH130" s="26"/>
      <c r="AI130" s="33"/>
      <c r="AJ130" s="29">
        <f t="shared" si="31"/>
        <v>0</v>
      </c>
      <c r="AK130" s="57" t="s">
        <v>304</v>
      </c>
      <c r="AL130" s="58">
        <f t="shared" si="21"/>
        <v>0</v>
      </c>
      <c r="AM130" s="113">
        <f t="shared" si="32"/>
        <v>0</v>
      </c>
      <c r="AN130" s="33" t="s">
        <v>33</v>
      </c>
      <c r="AO130" s="59">
        <f t="shared" si="37"/>
        <v>0</v>
      </c>
      <c r="AP130" s="113">
        <f>ROUND(AO130*$D$1,2)</f>
        <v>0</v>
      </c>
      <c r="AQ130" s="33"/>
      <c r="AR130" s="56">
        <f>O130*6%</f>
        <v>0</v>
      </c>
      <c r="AS130" s="113">
        <f>ROUND(AR130*$D$1,2)</f>
        <v>0</v>
      </c>
      <c r="AT130" s="33"/>
      <c r="AU130" s="57"/>
      <c r="AV130" s="86">
        <f t="shared" si="34"/>
        <v>0</v>
      </c>
      <c r="AW130" s="89">
        <f t="shared" si="20"/>
        <v>0</v>
      </c>
      <c r="AX130" s="86"/>
    </row>
    <row r="131" spans="1:50" s="29" customFormat="1">
      <c r="A131" s="50" t="s">
        <v>160</v>
      </c>
      <c r="B131" s="51"/>
      <c r="C131" s="51"/>
      <c r="D131" s="52"/>
      <c r="E131" s="53"/>
      <c r="F131" s="62"/>
      <c r="G131" s="125"/>
      <c r="I131" s="69"/>
      <c r="L131" s="52"/>
      <c r="M131" s="132"/>
      <c r="N131" s="131"/>
      <c r="O131" s="55"/>
      <c r="P131" s="113">
        <f t="shared" si="27"/>
        <v>0</v>
      </c>
      <c r="Q131" s="33"/>
      <c r="R131" s="56"/>
      <c r="S131" s="26"/>
      <c r="T131" s="33"/>
      <c r="U131" s="32"/>
      <c r="V131" s="113">
        <f t="shared" si="35"/>
        <v>0</v>
      </c>
      <c r="W131" s="33"/>
      <c r="X131" s="32"/>
      <c r="Y131" s="113">
        <f t="shared" si="36"/>
        <v>0</v>
      </c>
      <c r="Z131" s="33"/>
      <c r="AA131" s="57"/>
      <c r="AB131" s="57"/>
      <c r="AC131" s="57"/>
      <c r="AD131" s="32"/>
      <c r="AE131" s="113">
        <f t="shared" si="30"/>
        <v>0</v>
      </c>
      <c r="AF131" s="33"/>
      <c r="AG131" s="32"/>
      <c r="AH131" s="26"/>
      <c r="AI131" s="33"/>
      <c r="AJ131" s="29">
        <f t="shared" si="31"/>
        <v>0</v>
      </c>
      <c r="AK131" s="57" t="s">
        <v>304</v>
      </c>
      <c r="AL131" s="58">
        <f t="shared" si="21"/>
        <v>0</v>
      </c>
      <c r="AM131" s="113">
        <f t="shared" si="32"/>
        <v>0</v>
      </c>
      <c r="AN131" s="33" t="s">
        <v>33</v>
      </c>
      <c r="AO131" s="59">
        <f t="shared" si="37"/>
        <v>0</v>
      </c>
      <c r="AP131" s="113">
        <f>ROUND(AO131*$D$1,2)</f>
        <v>0</v>
      </c>
      <c r="AQ131" s="33"/>
      <c r="AR131" s="56"/>
      <c r="AS131" s="26"/>
      <c r="AT131" s="33"/>
      <c r="AU131" s="57"/>
      <c r="AV131" s="86">
        <f t="shared" si="34"/>
        <v>0</v>
      </c>
      <c r="AW131" s="89">
        <f t="shared" si="20"/>
        <v>0</v>
      </c>
      <c r="AX131" s="86"/>
    </row>
    <row r="132" spans="1:50" s="29" customFormat="1">
      <c r="A132" s="50" t="s">
        <v>161</v>
      </c>
      <c r="B132" s="54"/>
      <c r="C132" s="54"/>
      <c r="D132" s="54"/>
      <c r="E132" s="53"/>
      <c r="F132" s="62"/>
      <c r="G132" s="69"/>
      <c r="I132" s="69"/>
      <c r="L132" s="52"/>
      <c r="M132" s="132"/>
      <c r="N132" s="131"/>
      <c r="O132" s="55"/>
      <c r="P132" s="113">
        <f t="shared" si="27"/>
        <v>0</v>
      </c>
      <c r="Q132" s="33"/>
      <c r="R132" s="56"/>
      <c r="S132" s="26"/>
      <c r="T132" s="33"/>
      <c r="U132" s="32"/>
      <c r="V132" s="113">
        <f t="shared" si="35"/>
        <v>0</v>
      </c>
      <c r="W132" s="33"/>
      <c r="X132" s="32"/>
      <c r="Y132" s="113">
        <f t="shared" si="36"/>
        <v>0</v>
      </c>
      <c r="Z132" s="33"/>
      <c r="AA132" s="57"/>
      <c r="AB132" s="57"/>
      <c r="AC132" s="57"/>
      <c r="AD132" s="32"/>
      <c r="AE132" s="113">
        <f t="shared" si="30"/>
        <v>0</v>
      </c>
      <c r="AF132" s="33"/>
      <c r="AG132" s="32"/>
      <c r="AH132" s="26"/>
      <c r="AI132" s="33"/>
      <c r="AJ132" s="29">
        <f t="shared" si="31"/>
        <v>0</v>
      </c>
      <c r="AK132" s="57" t="s">
        <v>304</v>
      </c>
      <c r="AL132" s="58">
        <f t="shared" si="21"/>
        <v>0</v>
      </c>
      <c r="AM132" s="113">
        <f t="shared" si="32"/>
        <v>0</v>
      </c>
      <c r="AN132" s="33" t="s">
        <v>33</v>
      </c>
      <c r="AO132" s="59">
        <f t="shared" si="37"/>
        <v>0</v>
      </c>
      <c r="AP132" s="26"/>
      <c r="AQ132" s="33"/>
      <c r="AR132" s="56"/>
      <c r="AS132" s="26"/>
      <c r="AT132" s="33"/>
      <c r="AU132" s="57"/>
      <c r="AV132" s="86">
        <f t="shared" si="34"/>
        <v>0</v>
      </c>
      <c r="AW132" s="89">
        <f t="shared" ref="AW132:AW195" si="38">AV132+AM132+AP132+AS132</f>
        <v>0</v>
      </c>
      <c r="AX132" s="86"/>
    </row>
    <row r="133" spans="1:50" s="29" customFormat="1">
      <c r="A133" s="50" t="s">
        <v>162</v>
      </c>
      <c r="E133" s="53"/>
      <c r="F133" s="62"/>
      <c r="G133" s="69"/>
      <c r="H133" s="54"/>
      <c r="I133" s="69"/>
      <c r="L133" s="61"/>
      <c r="M133" s="132"/>
      <c r="N133" s="131"/>
      <c r="O133" s="55"/>
      <c r="P133" s="113">
        <f t="shared" si="27"/>
        <v>0</v>
      </c>
      <c r="Q133" s="33"/>
      <c r="R133" s="32"/>
      <c r="S133" s="26"/>
      <c r="T133" s="33"/>
      <c r="U133" s="32"/>
      <c r="V133" s="113">
        <f t="shared" si="35"/>
        <v>0</v>
      </c>
      <c r="W133" s="33"/>
      <c r="X133" s="32"/>
      <c r="Y133" s="113">
        <f t="shared" si="36"/>
        <v>0</v>
      </c>
      <c r="Z133" s="33"/>
      <c r="AA133" s="57"/>
      <c r="AB133" s="57"/>
      <c r="AC133" s="57"/>
      <c r="AD133" s="32"/>
      <c r="AE133" s="113">
        <f t="shared" si="30"/>
        <v>0</v>
      </c>
      <c r="AF133" s="33"/>
      <c r="AG133" s="32"/>
      <c r="AH133" s="26"/>
      <c r="AI133" s="64"/>
      <c r="AJ133" s="29">
        <f t="shared" si="31"/>
        <v>0</v>
      </c>
      <c r="AK133" s="57" t="s">
        <v>304</v>
      </c>
      <c r="AL133" s="58">
        <f t="shared" ref="AL133:AL196" si="39">IF(H133="RIMAC EPS EMPRESA PRESTADORA DE SALUD",O133*0.0675,O133*0.09)</f>
        <v>0</v>
      </c>
      <c r="AM133" s="113">
        <f t="shared" si="32"/>
        <v>0</v>
      </c>
      <c r="AN133" s="33" t="s">
        <v>33</v>
      </c>
      <c r="AO133" s="59">
        <f t="shared" si="37"/>
        <v>0</v>
      </c>
      <c r="AP133" s="26"/>
      <c r="AQ133" s="33"/>
      <c r="AR133" s="56"/>
      <c r="AS133" s="26"/>
      <c r="AT133" s="33"/>
      <c r="AU133" s="57"/>
      <c r="AV133" s="86">
        <f t="shared" si="34"/>
        <v>0</v>
      </c>
      <c r="AW133" s="89">
        <f t="shared" si="38"/>
        <v>0</v>
      </c>
      <c r="AX133" s="86"/>
    </row>
    <row r="134" spans="1:50" s="29" customFormat="1">
      <c r="A134" s="50" t="s">
        <v>163</v>
      </c>
      <c r="B134" s="51"/>
      <c r="C134" s="51"/>
      <c r="D134" s="52"/>
      <c r="E134" s="53"/>
      <c r="F134" s="62"/>
      <c r="G134" s="69"/>
      <c r="I134" s="69"/>
      <c r="L134" s="61"/>
      <c r="M134" s="132"/>
      <c r="N134" s="131"/>
      <c r="O134" s="55"/>
      <c r="P134" s="113">
        <f t="shared" si="27"/>
        <v>0</v>
      </c>
      <c r="Q134" s="33"/>
      <c r="R134" s="56"/>
      <c r="S134" s="26"/>
      <c r="T134" s="33"/>
      <c r="U134" s="32"/>
      <c r="V134" s="113">
        <f t="shared" si="35"/>
        <v>0</v>
      </c>
      <c r="W134" s="33"/>
      <c r="X134" s="32"/>
      <c r="Y134" s="113">
        <f t="shared" si="36"/>
        <v>0</v>
      </c>
      <c r="Z134" s="33"/>
      <c r="AA134" s="57"/>
      <c r="AB134" s="57"/>
      <c r="AC134" s="57"/>
      <c r="AD134" s="32"/>
      <c r="AE134" s="113">
        <f t="shared" si="30"/>
        <v>0</v>
      </c>
      <c r="AF134" s="33"/>
      <c r="AG134" s="32"/>
      <c r="AH134" s="26"/>
      <c r="AI134" s="33"/>
      <c r="AJ134" s="29">
        <f t="shared" si="31"/>
        <v>0</v>
      </c>
      <c r="AK134" s="57" t="s">
        <v>304</v>
      </c>
      <c r="AL134" s="58">
        <f t="shared" si="39"/>
        <v>0</v>
      </c>
      <c r="AM134" s="113">
        <f t="shared" si="32"/>
        <v>0</v>
      </c>
      <c r="AN134" s="33" t="s">
        <v>33</v>
      </c>
      <c r="AO134" s="59">
        <f t="shared" si="37"/>
        <v>0</v>
      </c>
      <c r="AP134" s="26"/>
      <c r="AQ134" s="33"/>
      <c r="AR134" s="56"/>
      <c r="AS134" s="26"/>
      <c r="AT134" s="33"/>
      <c r="AU134" s="57"/>
      <c r="AV134" s="86">
        <f t="shared" si="34"/>
        <v>0</v>
      </c>
      <c r="AW134" s="89">
        <f t="shared" si="38"/>
        <v>0</v>
      </c>
      <c r="AX134" s="86"/>
    </row>
    <row r="135" spans="1:50" s="29" customFormat="1">
      <c r="A135" s="50" t="s">
        <v>164</v>
      </c>
      <c r="B135" s="51"/>
      <c r="C135" s="51"/>
      <c r="D135" s="52"/>
      <c r="E135" s="53"/>
      <c r="F135" s="62"/>
      <c r="G135" s="69"/>
      <c r="I135" s="69"/>
      <c r="L135" s="52"/>
      <c r="M135" s="132"/>
      <c r="N135" s="131"/>
      <c r="O135" s="55"/>
      <c r="P135" s="113">
        <f t="shared" si="27"/>
        <v>0</v>
      </c>
      <c r="Q135" s="33"/>
      <c r="R135" s="56"/>
      <c r="S135" s="26"/>
      <c r="T135" s="33"/>
      <c r="U135" s="32"/>
      <c r="V135" s="113">
        <f t="shared" si="35"/>
        <v>0</v>
      </c>
      <c r="W135" s="33"/>
      <c r="X135" s="32"/>
      <c r="Y135" s="113">
        <f t="shared" si="36"/>
        <v>0</v>
      </c>
      <c r="Z135" s="33"/>
      <c r="AA135" s="57"/>
      <c r="AB135" s="57"/>
      <c r="AC135" s="57"/>
      <c r="AD135" s="32"/>
      <c r="AE135" s="113">
        <f t="shared" si="30"/>
        <v>0</v>
      </c>
      <c r="AF135" s="33"/>
      <c r="AG135" s="32"/>
      <c r="AH135" s="26"/>
      <c r="AI135" s="33"/>
      <c r="AJ135" s="29">
        <f t="shared" si="31"/>
        <v>0</v>
      </c>
      <c r="AK135" s="57" t="s">
        <v>304</v>
      </c>
      <c r="AL135" s="58">
        <f t="shared" si="39"/>
        <v>0</v>
      </c>
      <c r="AM135" s="113">
        <f t="shared" si="32"/>
        <v>0</v>
      </c>
      <c r="AN135" s="33" t="s">
        <v>33</v>
      </c>
      <c r="AO135" s="59">
        <f t="shared" si="37"/>
        <v>0</v>
      </c>
      <c r="AP135" s="26"/>
      <c r="AQ135" s="33"/>
      <c r="AR135" s="56"/>
      <c r="AS135" s="26"/>
      <c r="AT135" s="33"/>
      <c r="AU135" s="57"/>
      <c r="AV135" s="86">
        <f t="shared" si="34"/>
        <v>0</v>
      </c>
      <c r="AW135" s="89">
        <f t="shared" si="38"/>
        <v>0</v>
      </c>
      <c r="AX135" s="86"/>
    </row>
    <row r="136" spans="1:50" s="29" customFormat="1">
      <c r="A136" s="50" t="s">
        <v>165</v>
      </c>
      <c r="B136" s="51"/>
      <c r="C136" s="51"/>
      <c r="D136" s="52"/>
      <c r="E136" s="53"/>
      <c r="F136" s="62"/>
      <c r="G136" s="125"/>
      <c r="I136" s="69"/>
      <c r="L136" s="52"/>
      <c r="M136" s="132"/>
      <c r="N136" s="131"/>
      <c r="O136" s="55"/>
      <c r="P136" s="113">
        <f t="shared" si="27"/>
        <v>0</v>
      </c>
      <c r="Q136" s="33"/>
      <c r="R136" s="56"/>
      <c r="S136" s="26"/>
      <c r="T136" s="33"/>
      <c r="U136" s="32"/>
      <c r="V136" s="113">
        <f t="shared" si="35"/>
        <v>0</v>
      </c>
      <c r="W136" s="33"/>
      <c r="X136" s="32"/>
      <c r="Y136" s="113">
        <f t="shared" si="36"/>
        <v>0</v>
      </c>
      <c r="Z136" s="33"/>
      <c r="AA136" s="57"/>
      <c r="AB136" s="57"/>
      <c r="AC136" s="57"/>
      <c r="AD136" s="32"/>
      <c r="AE136" s="113">
        <f t="shared" si="30"/>
        <v>0</v>
      </c>
      <c r="AF136" s="33"/>
      <c r="AG136" s="32"/>
      <c r="AH136" s="26"/>
      <c r="AI136" s="33"/>
      <c r="AJ136" s="29">
        <f t="shared" si="31"/>
        <v>0</v>
      </c>
      <c r="AK136" s="57" t="s">
        <v>304</v>
      </c>
      <c r="AL136" s="58">
        <f t="shared" si="39"/>
        <v>0</v>
      </c>
      <c r="AM136" s="113">
        <f t="shared" si="32"/>
        <v>0</v>
      </c>
      <c r="AN136" s="33" t="s">
        <v>33</v>
      </c>
      <c r="AO136" s="59">
        <f t="shared" si="37"/>
        <v>0</v>
      </c>
      <c r="AP136" s="26"/>
      <c r="AQ136" s="33"/>
      <c r="AR136" s="56"/>
      <c r="AS136" s="26"/>
      <c r="AT136" s="33"/>
      <c r="AU136" s="57"/>
      <c r="AV136" s="86">
        <f t="shared" si="34"/>
        <v>0</v>
      </c>
      <c r="AW136" s="89">
        <f t="shared" si="38"/>
        <v>0</v>
      </c>
      <c r="AX136" s="86"/>
    </row>
    <row r="137" spans="1:50" s="29" customFormat="1">
      <c r="A137" s="50" t="s">
        <v>166</v>
      </c>
      <c r="B137" s="51"/>
      <c r="C137" s="51"/>
      <c r="D137" s="52"/>
      <c r="E137" s="53"/>
      <c r="F137" s="62"/>
      <c r="G137" s="125"/>
      <c r="I137" s="69"/>
      <c r="L137" s="61"/>
      <c r="M137" s="132"/>
      <c r="N137" s="131"/>
      <c r="O137" s="55"/>
      <c r="P137" s="113">
        <f t="shared" si="27"/>
        <v>0</v>
      </c>
      <c r="Q137" s="33"/>
      <c r="R137" s="56"/>
      <c r="S137" s="26"/>
      <c r="T137" s="33"/>
      <c r="U137" s="32"/>
      <c r="V137" s="113">
        <f t="shared" si="35"/>
        <v>0</v>
      </c>
      <c r="W137" s="33"/>
      <c r="X137" s="32"/>
      <c r="Y137" s="113">
        <f t="shared" si="36"/>
        <v>0</v>
      </c>
      <c r="Z137" s="33"/>
      <c r="AA137" s="57"/>
      <c r="AB137" s="113">
        <f>ROUND(AA137*$D$1,2)</f>
        <v>0</v>
      </c>
      <c r="AC137" s="33"/>
      <c r="AD137" s="32"/>
      <c r="AE137" s="113">
        <f t="shared" si="30"/>
        <v>0</v>
      </c>
      <c r="AF137" s="33"/>
      <c r="AG137" s="32"/>
      <c r="AH137" s="26"/>
      <c r="AI137" s="33"/>
      <c r="AJ137" s="29">
        <f t="shared" si="31"/>
        <v>0</v>
      </c>
      <c r="AK137" s="57" t="s">
        <v>304</v>
      </c>
      <c r="AL137" s="58">
        <f t="shared" si="39"/>
        <v>0</v>
      </c>
      <c r="AM137" s="113">
        <f t="shared" si="32"/>
        <v>0</v>
      </c>
      <c r="AN137" s="33" t="s">
        <v>33</v>
      </c>
      <c r="AO137" s="59">
        <f t="shared" si="37"/>
        <v>0</v>
      </c>
      <c r="AP137" s="26"/>
      <c r="AQ137" s="33"/>
      <c r="AR137" s="56"/>
      <c r="AS137" s="26"/>
      <c r="AT137" s="33"/>
      <c r="AU137" s="57"/>
      <c r="AV137" s="86">
        <f t="shared" si="34"/>
        <v>0</v>
      </c>
      <c r="AW137" s="89">
        <f t="shared" si="38"/>
        <v>0</v>
      </c>
      <c r="AX137" s="86"/>
    </row>
    <row r="138" spans="1:50" s="29" customFormat="1">
      <c r="A138" s="50" t="s">
        <v>167</v>
      </c>
      <c r="B138" s="51"/>
      <c r="C138" s="51"/>
      <c r="D138" s="52"/>
      <c r="E138" s="53"/>
      <c r="F138" s="62"/>
      <c r="G138" s="125"/>
      <c r="I138" s="69"/>
      <c r="L138" s="61"/>
      <c r="M138" s="132"/>
      <c r="N138" s="131"/>
      <c r="O138" s="55"/>
      <c r="P138" s="113">
        <f t="shared" si="27"/>
        <v>0</v>
      </c>
      <c r="Q138" s="33"/>
      <c r="R138" s="56"/>
      <c r="S138" s="26"/>
      <c r="T138" s="33"/>
      <c r="U138" s="32"/>
      <c r="V138" s="113">
        <f t="shared" si="35"/>
        <v>0</v>
      </c>
      <c r="W138" s="33"/>
      <c r="X138" s="32"/>
      <c r="Y138" s="113">
        <f t="shared" si="36"/>
        <v>0</v>
      </c>
      <c r="Z138" s="33"/>
      <c r="AA138" s="57"/>
      <c r="AB138" s="57"/>
      <c r="AC138" s="57"/>
      <c r="AD138" s="32"/>
      <c r="AE138" s="113">
        <f t="shared" si="30"/>
        <v>0</v>
      </c>
      <c r="AF138" s="33"/>
      <c r="AG138" s="32"/>
      <c r="AH138" s="26"/>
      <c r="AI138" s="33"/>
      <c r="AJ138" s="29">
        <f t="shared" si="31"/>
        <v>0</v>
      </c>
      <c r="AK138" s="57" t="s">
        <v>304</v>
      </c>
      <c r="AL138" s="58">
        <f t="shared" si="39"/>
        <v>0</v>
      </c>
      <c r="AM138" s="113">
        <f t="shared" si="32"/>
        <v>0</v>
      </c>
      <c r="AN138" s="33" t="s">
        <v>33</v>
      </c>
      <c r="AO138" s="59">
        <f t="shared" si="37"/>
        <v>0</v>
      </c>
      <c r="AP138" s="26"/>
      <c r="AQ138" s="33"/>
      <c r="AR138" s="56"/>
      <c r="AS138" s="26"/>
      <c r="AT138" s="33"/>
      <c r="AU138" s="57"/>
      <c r="AV138" s="86">
        <f t="shared" si="34"/>
        <v>0</v>
      </c>
      <c r="AW138" s="89">
        <f t="shared" si="38"/>
        <v>0</v>
      </c>
      <c r="AX138" s="86"/>
    </row>
    <row r="139" spans="1:50" s="29" customFormat="1">
      <c r="A139" s="50" t="s">
        <v>168</v>
      </c>
      <c r="B139" s="51"/>
      <c r="C139" s="51"/>
      <c r="D139" s="52"/>
      <c r="E139" s="53"/>
      <c r="F139" s="62"/>
      <c r="G139" s="125"/>
      <c r="I139" s="69"/>
      <c r="L139" s="61"/>
      <c r="M139" s="132"/>
      <c r="N139" s="131"/>
      <c r="O139" s="55"/>
      <c r="P139" s="113">
        <f t="shared" si="27"/>
        <v>0</v>
      </c>
      <c r="Q139" s="33"/>
      <c r="R139" s="56"/>
      <c r="S139" s="26"/>
      <c r="T139" s="33"/>
      <c r="U139" s="32"/>
      <c r="V139" s="113">
        <f t="shared" si="35"/>
        <v>0</v>
      </c>
      <c r="W139" s="33"/>
      <c r="X139" s="32"/>
      <c r="Y139" s="113">
        <f t="shared" si="36"/>
        <v>0</v>
      </c>
      <c r="Z139" s="33"/>
      <c r="AA139" s="57"/>
      <c r="AB139" s="113">
        <f>ROUND(AA139*$D$1,2)</f>
        <v>0</v>
      </c>
      <c r="AC139" s="33"/>
      <c r="AD139" s="32"/>
      <c r="AE139" s="113">
        <f t="shared" si="30"/>
        <v>0</v>
      </c>
      <c r="AF139" s="33"/>
      <c r="AG139" s="32"/>
      <c r="AH139" s="26"/>
      <c r="AI139" s="33"/>
      <c r="AJ139" s="29">
        <f t="shared" si="31"/>
        <v>0</v>
      </c>
      <c r="AK139" s="57" t="s">
        <v>304</v>
      </c>
      <c r="AL139" s="58">
        <f t="shared" si="39"/>
        <v>0</v>
      </c>
      <c r="AM139" s="113">
        <f t="shared" si="32"/>
        <v>0</v>
      </c>
      <c r="AN139" s="33" t="s">
        <v>33</v>
      </c>
      <c r="AO139" s="59">
        <f t="shared" si="37"/>
        <v>0</v>
      </c>
      <c r="AP139" s="26"/>
      <c r="AQ139" s="33"/>
      <c r="AR139" s="56"/>
      <c r="AS139" s="26"/>
      <c r="AT139" s="33"/>
      <c r="AU139" s="57"/>
      <c r="AV139" s="86">
        <f t="shared" si="34"/>
        <v>0</v>
      </c>
      <c r="AW139" s="89">
        <f t="shared" si="38"/>
        <v>0</v>
      </c>
      <c r="AX139" s="86"/>
    </row>
    <row r="140" spans="1:50" s="29" customFormat="1">
      <c r="A140" s="50" t="s">
        <v>169</v>
      </c>
      <c r="B140" s="51"/>
      <c r="C140" s="51"/>
      <c r="D140" s="52"/>
      <c r="E140" s="53"/>
      <c r="F140" s="62"/>
      <c r="G140" s="125"/>
      <c r="I140" s="69"/>
      <c r="L140" s="52"/>
      <c r="M140" s="132"/>
      <c r="N140" s="131"/>
      <c r="O140" s="55"/>
      <c r="P140" s="113">
        <f t="shared" si="27"/>
        <v>0</v>
      </c>
      <c r="Q140" s="33"/>
      <c r="R140" s="56"/>
      <c r="S140" s="26"/>
      <c r="T140" s="33"/>
      <c r="U140" s="32"/>
      <c r="V140" s="113">
        <f t="shared" si="35"/>
        <v>0</v>
      </c>
      <c r="W140" s="33"/>
      <c r="X140" s="32"/>
      <c r="Y140" s="113">
        <f t="shared" si="36"/>
        <v>0</v>
      </c>
      <c r="Z140" s="33"/>
      <c r="AA140" s="67"/>
      <c r="AB140" s="67"/>
      <c r="AC140" s="67"/>
      <c r="AD140" s="32"/>
      <c r="AE140" s="113">
        <f t="shared" si="30"/>
        <v>0</v>
      </c>
      <c r="AF140" s="33"/>
      <c r="AG140" s="32"/>
      <c r="AH140" s="26"/>
      <c r="AI140" s="33"/>
      <c r="AJ140" s="29">
        <f t="shared" si="31"/>
        <v>0</v>
      </c>
      <c r="AK140" s="57" t="s">
        <v>304</v>
      </c>
      <c r="AL140" s="58">
        <f t="shared" si="39"/>
        <v>0</v>
      </c>
      <c r="AM140" s="113">
        <f t="shared" si="32"/>
        <v>0</v>
      </c>
      <c r="AN140" s="33" t="s">
        <v>33</v>
      </c>
      <c r="AO140" s="59">
        <f t="shared" si="37"/>
        <v>0</v>
      </c>
      <c r="AP140" s="26"/>
      <c r="AQ140" s="33"/>
      <c r="AR140" s="56"/>
      <c r="AS140" s="26"/>
      <c r="AT140" s="33"/>
      <c r="AU140" s="57"/>
      <c r="AV140" s="86">
        <f t="shared" si="34"/>
        <v>0</v>
      </c>
      <c r="AW140" s="89">
        <f t="shared" si="38"/>
        <v>0</v>
      </c>
      <c r="AX140" s="86"/>
    </row>
    <row r="141" spans="1:50" s="29" customFormat="1">
      <c r="A141" s="50" t="s">
        <v>170</v>
      </c>
      <c r="B141" s="51"/>
      <c r="C141" s="51"/>
      <c r="D141" s="52"/>
      <c r="E141" s="53"/>
      <c r="F141" s="62"/>
      <c r="G141" s="125"/>
      <c r="I141" s="69"/>
      <c r="L141" s="52"/>
      <c r="M141" s="132"/>
      <c r="N141" s="131"/>
      <c r="O141" s="55"/>
      <c r="P141" s="113">
        <f t="shared" si="27"/>
        <v>0</v>
      </c>
      <c r="Q141" s="33"/>
      <c r="R141" s="56"/>
      <c r="S141" s="26"/>
      <c r="T141" s="33"/>
      <c r="U141" s="32"/>
      <c r="V141" s="113">
        <f t="shared" si="35"/>
        <v>0</v>
      </c>
      <c r="W141" s="33"/>
      <c r="X141" s="32"/>
      <c r="Y141" s="113">
        <f t="shared" si="36"/>
        <v>0</v>
      </c>
      <c r="Z141" s="33"/>
      <c r="AA141" s="57"/>
      <c r="AB141" s="57"/>
      <c r="AC141" s="57"/>
      <c r="AD141" s="32"/>
      <c r="AE141" s="113">
        <f t="shared" si="30"/>
        <v>0</v>
      </c>
      <c r="AF141" s="33"/>
      <c r="AG141" s="32"/>
      <c r="AH141" s="26"/>
      <c r="AI141" s="33"/>
      <c r="AJ141" s="29">
        <f t="shared" si="31"/>
        <v>0</v>
      </c>
      <c r="AK141" s="57" t="s">
        <v>304</v>
      </c>
      <c r="AL141" s="58">
        <f t="shared" si="39"/>
        <v>0</v>
      </c>
      <c r="AM141" s="113">
        <f t="shared" si="32"/>
        <v>0</v>
      </c>
      <c r="AN141" s="33" t="s">
        <v>33</v>
      </c>
      <c r="AO141" s="59">
        <f t="shared" si="37"/>
        <v>0</v>
      </c>
      <c r="AP141" s="26"/>
      <c r="AQ141" s="33"/>
      <c r="AR141" s="56"/>
      <c r="AS141" s="26"/>
      <c r="AT141" s="33"/>
      <c r="AU141" s="57"/>
      <c r="AV141" s="86">
        <f t="shared" si="34"/>
        <v>0</v>
      </c>
      <c r="AW141" s="89">
        <f t="shared" si="38"/>
        <v>0</v>
      </c>
      <c r="AX141" s="86"/>
    </row>
    <row r="142" spans="1:50" s="29" customFormat="1">
      <c r="A142" s="50" t="s">
        <v>171</v>
      </c>
      <c r="B142" s="51"/>
      <c r="C142" s="51"/>
      <c r="D142" s="52"/>
      <c r="E142" s="53"/>
      <c r="F142" s="62"/>
      <c r="G142" s="125"/>
      <c r="I142" s="69"/>
      <c r="L142" s="61"/>
      <c r="M142" s="132"/>
      <c r="N142" s="131"/>
      <c r="O142" s="55"/>
      <c r="P142" s="113">
        <f t="shared" si="27"/>
        <v>0</v>
      </c>
      <c r="Q142" s="33"/>
      <c r="R142" s="56"/>
      <c r="S142" s="26"/>
      <c r="T142" s="33"/>
      <c r="U142" s="32"/>
      <c r="V142" s="113">
        <f t="shared" si="35"/>
        <v>0</v>
      </c>
      <c r="W142" s="33"/>
      <c r="X142" s="32"/>
      <c r="Y142" s="113">
        <f t="shared" si="36"/>
        <v>0</v>
      </c>
      <c r="Z142" s="33"/>
      <c r="AA142" s="57"/>
      <c r="AB142" s="113">
        <f>ROUND(AA142*$D$1,2)</f>
        <v>0</v>
      </c>
      <c r="AC142" s="33"/>
      <c r="AD142" s="32"/>
      <c r="AE142" s="113">
        <f t="shared" si="30"/>
        <v>0</v>
      </c>
      <c r="AF142" s="33"/>
      <c r="AG142" s="32"/>
      <c r="AH142" s="26"/>
      <c r="AI142" s="33"/>
      <c r="AJ142" s="29">
        <f t="shared" si="31"/>
        <v>0</v>
      </c>
      <c r="AK142" s="57" t="s">
        <v>304</v>
      </c>
      <c r="AL142" s="58">
        <f t="shared" si="39"/>
        <v>0</v>
      </c>
      <c r="AM142" s="113">
        <f t="shared" si="32"/>
        <v>0</v>
      </c>
      <c r="AN142" s="33" t="s">
        <v>33</v>
      </c>
      <c r="AO142" s="59">
        <f t="shared" si="37"/>
        <v>0</v>
      </c>
      <c r="AP142" s="26"/>
      <c r="AQ142" s="33"/>
      <c r="AR142" s="56"/>
      <c r="AS142" s="26"/>
      <c r="AT142" s="33"/>
      <c r="AU142" s="57"/>
      <c r="AV142" s="86">
        <f t="shared" si="34"/>
        <v>0</v>
      </c>
      <c r="AW142" s="89">
        <f t="shared" si="38"/>
        <v>0</v>
      </c>
      <c r="AX142" s="86"/>
    </row>
    <row r="143" spans="1:50" s="29" customFormat="1">
      <c r="A143" s="50" t="s">
        <v>172</v>
      </c>
      <c r="E143" s="53"/>
      <c r="G143" s="125"/>
      <c r="I143" s="71"/>
      <c r="L143" s="61"/>
      <c r="M143" s="132"/>
      <c r="N143" s="131"/>
      <c r="O143" s="55"/>
      <c r="P143" s="113">
        <f t="shared" si="27"/>
        <v>0</v>
      </c>
      <c r="Q143" s="33"/>
      <c r="R143" s="56"/>
      <c r="S143" s="26"/>
      <c r="T143" s="33"/>
      <c r="U143" s="32"/>
      <c r="V143" s="113">
        <f t="shared" si="35"/>
        <v>0</v>
      </c>
      <c r="W143" s="33"/>
      <c r="X143" s="32"/>
      <c r="Y143" s="113">
        <f t="shared" si="36"/>
        <v>0</v>
      </c>
      <c r="Z143" s="33"/>
      <c r="AA143" s="57"/>
      <c r="AB143" s="57"/>
      <c r="AC143" s="57"/>
      <c r="AD143" s="32"/>
      <c r="AE143" s="113">
        <f t="shared" si="30"/>
        <v>0</v>
      </c>
      <c r="AF143" s="33"/>
      <c r="AG143" s="32"/>
      <c r="AH143" s="26"/>
      <c r="AI143" s="33"/>
      <c r="AJ143" s="29">
        <f t="shared" si="31"/>
        <v>0</v>
      </c>
      <c r="AK143" s="57" t="s">
        <v>304</v>
      </c>
      <c r="AL143" s="58">
        <f t="shared" si="39"/>
        <v>0</v>
      </c>
      <c r="AM143" s="113">
        <f t="shared" si="32"/>
        <v>0</v>
      </c>
      <c r="AN143" s="33" t="s">
        <v>33</v>
      </c>
      <c r="AO143" s="59">
        <f t="shared" si="37"/>
        <v>0</v>
      </c>
      <c r="AP143" s="113">
        <f>ROUND(AO143*$D$1,2)</f>
        <v>0</v>
      </c>
      <c r="AQ143" s="33"/>
      <c r="AR143" s="56"/>
      <c r="AS143" s="26"/>
      <c r="AT143" s="33"/>
      <c r="AU143" s="57"/>
      <c r="AV143" s="86">
        <f t="shared" si="34"/>
        <v>0</v>
      </c>
      <c r="AW143" s="89">
        <f t="shared" si="38"/>
        <v>0</v>
      </c>
      <c r="AX143" s="86"/>
    </row>
    <row r="144" spans="1:50" s="29" customFormat="1">
      <c r="A144" s="50" t="s">
        <v>173</v>
      </c>
      <c r="E144" s="53"/>
      <c r="G144" s="69"/>
      <c r="I144" s="69"/>
      <c r="L144" s="52"/>
      <c r="M144" s="132"/>
      <c r="N144" s="131"/>
      <c r="O144" s="55"/>
      <c r="P144" s="113">
        <f t="shared" ref="P144:P175" si="40">ROUND(O144*$D$1,2)</f>
        <v>0</v>
      </c>
      <c r="Q144" s="33"/>
      <c r="R144" s="56"/>
      <c r="S144" s="26"/>
      <c r="T144" s="33"/>
      <c r="U144" s="32"/>
      <c r="V144" s="113">
        <f t="shared" si="35"/>
        <v>0</v>
      </c>
      <c r="W144" s="33"/>
      <c r="X144" s="32"/>
      <c r="Y144" s="113">
        <f t="shared" si="36"/>
        <v>0</v>
      </c>
      <c r="Z144" s="33"/>
      <c r="AA144" s="57"/>
      <c r="AB144" s="57"/>
      <c r="AC144" s="57"/>
      <c r="AD144" s="32"/>
      <c r="AE144" s="113">
        <f t="shared" ref="AE144:AE175" si="41">ROUND(AD144*$J$1,2)</f>
        <v>0</v>
      </c>
      <c r="AF144" s="33"/>
      <c r="AG144" s="32"/>
      <c r="AH144" s="26"/>
      <c r="AI144" s="33"/>
      <c r="AJ144" s="29">
        <f t="shared" ref="AJ144:AJ175" si="42">IF($O$1="SI",400,0)</f>
        <v>0</v>
      </c>
      <c r="AK144" s="57" t="s">
        <v>304</v>
      </c>
      <c r="AL144" s="58">
        <f t="shared" si="39"/>
        <v>0</v>
      </c>
      <c r="AM144" s="113">
        <f t="shared" ref="AM144:AM175" si="43">ROUND(AL144*$D$1,2)</f>
        <v>0</v>
      </c>
      <c r="AN144" s="33" t="s">
        <v>33</v>
      </c>
      <c r="AO144" s="59">
        <f t="shared" si="37"/>
        <v>0</v>
      </c>
      <c r="AP144" s="26"/>
      <c r="AQ144" s="33"/>
      <c r="AR144" s="56"/>
      <c r="AS144" s="26"/>
      <c r="AT144" s="33"/>
      <c r="AU144" s="57"/>
      <c r="AV144" s="86">
        <f t="shared" ref="AV144:AV175" si="44">P144+S144+V144+Y144+AB144+AE144+AH144+AJ144</f>
        <v>0</v>
      </c>
      <c r="AW144" s="89">
        <f t="shared" si="38"/>
        <v>0</v>
      </c>
      <c r="AX144" s="86"/>
    </row>
    <row r="145" spans="1:50" s="29" customFormat="1">
      <c r="A145" s="50" t="s">
        <v>174</v>
      </c>
      <c r="B145" s="51"/>
      <c r="C145" s="51"/>
      <c r="D145" s="52"/>
      <c r="E145" s="53"/>
      <c r="F145" s="62"/>
      <c r="G145" s="125"/>
      <c r="I145" s="69"/>
      <c r="L145" s="52"/>
      <c r="M145" s="132"/>
      <c r="N145" s="131"/>
      <c r="O145" s="55"/>
      <c r="P145" s="113">
        <f t="shared" si="40"/>
        <v>0</v>
      </c>
      <c r="Q145" s="33"/>
      <c r="R145" s="56"/>
      <c r="S145" s="26"/>
      <c r="T145" s="33"/>
      <c r="U145" s="32"/>
      <c r="V145" s="113">
        <f t="shared" si="35"/>
        <v>0</v>
      </c>
      <c r="W145" s="33"/>
      <c r="X145" s="32"/>
      <c r="Y145" s="113">
        <f t="shared" si="36"/>
        <v>0</v>
      </c>
      <c r="Z145" s="33"/>
      <c r="AA145" s="57"/>
      <c r="AB145" s="57"/>
      <c r="AC145" s="57"/>
      <c r="AD145" s="32"/>
      <c r="AE145" s="113">
        <f t="shared" si="41"/>
        <v>0</v>
      </c>
      <c r="AF145" s="33"/>
      <c r="AG145" s="32"/>
      <c r="AH145" s="26"/>
      <c r="AI145" s="33"/>
      <c r="AJ145" s="29">
        <f t="shared" si="42"/>
        <v>0</v>
      </c>
      <c r="AK145" s="57" t="s">
        <v>304</v>
      </c>
      <c r="AL145" s="58">
        <f t="shared" si="39"/>
        <v>0</v>
      </c>
      <c r="AM145" s="113">
        <f t="shared" si="43"/>
        <v>0</v>
      </c>
      <c r="AN145" s="33" t="s">
        <v>33</v>
      </c>
      <c r="AO145" s="59">
        <f t="shared" si="37"/>
        <v>0</v>
      </c>
      <c r="AP145" s="26"/>
      <c r="AQ145" s="33"/>
      <c r="AR145" s="56"/>
      <c r="AS145" s="26"/>
      <c r="AT145" s="33"/>
      <c r="AU145" s="57"/>
      <c r="AV145" s="86">
        <f t="shared" si="44"/>
        <v>0</v>
      </c>
      <c r="AW145" s="89">
        <f t="shared" si="38"/>
        <v>0</v>
      </c>
      <c r="AX145" s="86"/>
    </row>
    <row r="146" spans="1:50" s="29" customFormat="1">
      <c r="A146" s="50" t="s">
        <v>175</v>
      </c>
      <c r="B146" s="51"/>
      <c r="C146" s="51"/>
      <c r="D146" s="52"/>
      <c r="E146" s="53"/>
      <c r="F146" s="62"/>
      <c r="G146" s="125"/>
      <c r="I146" s="69"/>
      <c r="L146" s="52"/>
      <c r="M146" s="132"/>
      <c r="N146" s="131"/>
      <c r="O146" s="55"/>
      <c r="P146" s="113">
        <f t="shared" si="40"/>
        <v>0</v>
      </c>
      <c r="Q146" s="33"/>
      <c r="R146" s="56"/>
      <c r="S146" s="26"/>
      <c r="T146" s="33"/>
      <c r="U146" s="32"/>
      <c r="V146" s="113">
        <f t="shared" si="35"/>
        <v>0</v>
      </c>
      <c r="W146" s="33"/>
      <c r="X146" s="32"/>
      <c r="Y146" s="113">
        <f t="shared" si="36"/>
        <v>0</v>
      </c>
      <c r="Z146" s="33"/>
      <c r="AA146" s="57"/>
      <c r="AB146" s="57"/>
      <c r="AC146" s="57"/>
      <c r="AD146" s="32"/>
      <c r="AE146" s="113">
        <f t="shared" si="41"/>
        <v>0</v>
      </c>
      <c r="AF146" s="33"/>
      <c r="AG146" s="32"/>
      <c r="AH146" s="26"/>
      <c r="AI146" s="33"/>
      <c r="AJ146" s="29">
        <f t="shared" si="42"/>
        <v>0</v>
      </c>
      <c r="AK146" s="57" t="s">
        <v>304</v>
      </c>
      <c r="AL146" s="58">
        <f t="shared" si="39"/>
        <v>0</v>
      </c>
      <c r="AM146" s="113">
        <f t="shared" si="43"/>
        <v>0</v>
      </c>
      <c r="AN146" s="33" t="s">
        <v>33</v>
      </c>
      <c r="AO146" s="59">
        <f t="shared" si="37"/>
        <v>0</v>
      </c>
      <c r="AP146" s="26"/>
      <c r="AQ146" s="33"/>
      <c r="AR146" s="56"/>
      <c r="AS146" s="26"/>
      <c r="AT146" s="33"/>
      <c r="AU146" s="57"/>
      <c r="AV146" s="86">
        <f t="shared" si="44"/>
        <v>0</v>
      </c>
      <c r="AW146" s="89">
        <f t="shared" si="38"/>
        <v>0</v>
      </c>
      <c r="AX146" s="86"/>
    </row>
    <row r="147" spans="1:50" s="29" customFormat="1">
      <c r="A147" s="50" t="s">
        <v>176</v>
      </c>
      <c r="B147" s="51"/>
      <c r="C147" s="51"/>
      <c r="D147" s="52"/>
      <c r="E147" s="53"/>
      <c r="F147" s="62"/>
      <c r="G147" s="125"/>
      <c r="I147" s="69"/>
      <c r="L147" s="61"/>
      <c r="M147" s="132"/>
      <c r="N147" s="131"/>
      <c r="O147" s="55"/>
      <c r="P147" s="113">
        <f t="shared" si="40"/>
        <v>0</v>
      </c>
      <c r="Q147" s="33"/>
      <c r="R147" s="56"/>
      <c r="S147" s="26"/>
      <c r="T147" s="33"/>
      <c r="U147" s="32"/>
      <c r="V147" s="113">
        <f t="shared" si="35"/>
        <v>0</v>
      </c>
      <c r="W147" s="33"/>
      <c r="X147" s="32"/>
      <c r="Y147" s="113">
        <f t="shared" si="36"/>
        <v>0</v>
      </c>
      <c r="Z147" s="33"/>
      <c r="AA147" s="57"/>
      <c r="AB147" s="57"/>
      <c r="AC147" s="57"/>
      <c r="AD147" s="32"/>
      <c r="AE147" s="113">
        <f t="shared" si="41"/>
        <v>0</v>
      </c>
      <c r="AF147" s="33"/>
      <c r="AG147" s="32"/>
      <c r="AH147" s="26"/>
      <c r="AI147" s="33"/>
      <c r="AJ147" s="29">
        <f t="shared" si="42"/>
        <v>0</v>
      </c>
      <c r="AK147" s="57" t="s">
        <v>304</v>
      </c>
      <c r="AL147" s="58">
        <f t="shared" si="39"/>
        <v>0</v>
      </c>
      <c r="AM147" s="113">
        <f t="shared" si="43"/>
        <v>0</v>
      </c>
      <c r="AN147" s="33" t="s">
        <v>33</v>
      </c>
      <c r="AO147" s="59">
        <f t="shared" si="37"/>
        <v>0</v>
      </c>
      <c r="AP147" s="113">
        <f>ROUND(AO147*$D$1,2)</f>
        <v>0</v>
      </c>
      <c r="AQ147" s="33"/>
      <c r="AR147" s="56"/>
      <c r="AS147" s="26"/>
      <c r="AT147" s="33"/>
      <c r="AU147" s="57"/>
      <c r="AV147" s="86">
        <f t="shared" si="44"/>
        <v>0</v>
      </c>
      <c r="AW147" s="89">
        <f t="shared" si="38"/>
        <v>0</v>
      </c>
      <c r="AX147" s="86"/>
    </row>
    <row r="148" spans="1:50" s="29" customFormat="1">
      <c r="A148" s="50" t="s">
        <v>177</v>
      </c>
      <c r="B148" s="51"/>
      <c r="C148" s="51"/>
      <c r="D148" s="52"/>
      <c r="E148" s="53"/>
      <c r="F148" s="62"/>
      <c r="G148" s="125"/>
      <c r="I148" s="69"/>
      <c r="L148" s="52"/>
      <c r="M148" s="132"/>
      <c r="N148" s="131"/>
      <c r="O148" s="55"/>
      <c r="P148" s="113">
        <f t="shared" si="40"/>
        <v>0</v>
      </c>
      <c r="Q148" s="33"/>
      <c r="R148" s="56"/>
      <c r="S148" s="26"/>
      <c r="T148" s="33"/>
      <c r="U148" s="32"/>
      <c r="V148" s="113">
        <f t="shared" si="35"/>
        <v>0</v>
      </c>
      <c r="W148" s="33"/>
      <c r="X148" s="32"/>
      <c r="Y148" s="113">
        <f t="shared" si="36"/>
        <v>0</v>
      </c>
      <c r="Z148" s="33"/>
      <c r="AA148" s="57"/>
      <c r="AB148" s="57"/>
      <c r="AC148" s="57"/>
      <c r="AD148" s="32"/>
      <c r="AE148" s="113">
        <f t="shared" si="41"/>
        <v>0</v>
      </c>
      <c r="AF148" s="33"/>
      <c r="AG148" s="32"/>
      <c r="AH148" s="26"/>
      <c r="AI148" s="33"/>
      <c r="AJ148" s="29">
        <f t="shared" si="42"/>
        <v>0</v>
      </c>
      <c r="AK148" s="57" t="s">
        <v>304</v>
      </c>
      <c r="AL148" s="58">
        <f t="shared" si="39"/>
        <v>0</v>
      </c>
      <c r="AM148" s="113">
        <f t="shared" si="43"/>
        <v>0</v>
      </c>
      <c r="AN148" s="33" t="s">
        <v>33</v>
      </c>
      <c r="AO148" s="59">
        <f t="shared" si="37"/>
        <v>0</v>
      </c>
      <c r="AP148" s="26"/>
      <c r="AQ148" s="33"/>
      <c r="AR148" s="56"/>
      <c r="AS148" s="26"/>
      <c r="AT148" s="33"/>
      <c r="AU148" s="57"/>
      <c r="AV148" s="86">
        <f t="shared" si="44"/>
        <v>0</v>
      </c>
      <c r="AW148" s="89">
        <f t="shared" si="38"/>
        <v>0</v>
      </c>
      <c r="AX148" s="86"/>
    </row>
    <row r="149" spans="1:50" s="29" customFormat="1">
      <c r="A149" s="50" t="s">
        <v>178</v>
      </c>
      <c r="B149" s="51"/>
      <c r="C149" s="51"/>
      <c r="D149" s="52"/>
      <c r="E149" s="53"/>
      <c r="F149" s="62"/>
      <c r="G149" s="69"/>
      <c r="I149" s="69"/>
      <c r="L149" s="52"/>
      <c r="M149" s="132"/>
      <c r="N149" s="131"/>
      <c r="O149" s="55"/>
      <c r="P149" s="113">
        <f t="shared" si="40"/>
        <v>0</v>
      </c>
      <c r="Q149" s="33"/>
      <c r="R149" s="56"/>
      <c r="S149" s="26"/>
      <c r="T149" s="33"/>
      <c r="U149" s="32"/>
      <c r="V149" s="113">
        <f t="shared" si="35"/>
        <v>0</v>
      </c>
      <c r="W149" s="33"/>
      <c r="X149" s="32"/>
      <c r="Y149" s="113">
        <f t="shared" si="36"/>
        <v>0</v>
      </c>
      <c r="Z149" s="33"/>
      <c r="AA149" s="57"/>
      <c r="AB149" s="57"/>
      <c r="AC149" s="57"/>
      <c r="AD149" s="32"/>
      <c r="AE149" s="113">
        <f t="shared" si="41"/>
        <v>0</v>
      </c>
      <c r="AF149" s="33"/>
      <c r="AG149" s="32"/>
      <c r="AH149" s="26"/>
      <c r="AI149" s="33"/>
      <c r="AJ149" s="29">
        <f t="shared" si="42"/>
        <v>0</v>
      </c>
      <c r="AK149" s="57" t="s">
        <v>304</v>
      </c>
      <c r="AL149" s="58">
        <f t="shared" si="39"/>
        <v>0</v>
      </c>
      <c r="AM149" s="113">
        <f t="shared" si="43"/>
        <v>0</v>
      </c>
      <c r="AN149" s="33" t="s">
        <v>33</v>
      </c>
      <c r="AO149" s="59">
        <f t="shared" si="37"/>
        <v>0</v>
      </c>
      <c r="AP149" s="26"/>
      <c r="AQ149" s="33"/>
      <c r="AR149" s="56"/>
      <c r="AS149" s="26"/>
      <c r="AT149" s="33"/>
      <c r="AU149" s="57"/>
      <c r="AV149" s="86">
        <f t="shared" si="44"/>
        <v>0</v>
      </c>
      <c r="AW149" s="89">
        <f t="shared" si="38"/>
        <v>0</v>
      </c>
      <c r="AX149" s="86"/>
    </row>
    <row r="150" spans="1:50" s="29" customFormat="1">
      <c r="A150" s="50" t="s">
        <v>179</v>
      </c>
      <c r="B150" s="51"/>
      <c r="C150" s="51"/>
      <c r="D150" s="52"/>
      <c r="E150" s="53"/>
      <c r="F150" s="62"/>
      <c r="G150" s="125"/>
      <c r="I150" s="69"/>
      <c r="L150" s="61"/>
      <c r="M150" s="132"/>
      <c r="N150" s="131"/>
      <c r="O150" s="55"/>
      <c r="P150" s="113">
        <f t="shared" si="40"/>
        <v>0</v>
      </c>
      <c r="Q150" s="33"/>
      <c r="R150" s="56"/>
      <c r="S150" s="26"/>
      <c r="T150" s="33"/>
      <c r="U150" s="32"/>
      <c r="V150" s="113">
        <f t="shared" si="35"/>
        <v>0</v>
      </c>
      <c r="W150" s="33"/>
      <c r="X150" s="32"/>
      <c r="Y150" s="113">
        <f t="shared" si="36"/>
        <v>0</v>
      </c>
      <c r="Z150" s="33"/>
      <c r="AA150" s="57"/>
      <c r="AB150" s="57"/>
      <c r="AC150" s="57"/>
      <c r="AD150" s="32"/>
      <c r="AE150" s="113">
        <f t="shared" si="41"/>
        <v>0</v>
      </c>
      <c r="AF150" s="33"/>
      <c r="AG150" s="32"/>
      <c r="AH150" s="26"/>
      <c r="AI150" s="33"/>
      <c r="AJ150" s="29">
        <f t="shared" si="42"/>
        <v>0</v>
      </c>
      <c r="AK150" s="57" t="s">
        <v>304</v>
      </c>
      <c r="AL150" s="58">
        <f t="shared" si="39"/>
        <v>0</v>
      </c>
      <c r="AM150" s="113">
        <f t="shared" si="43"/>
        <v>0</v>
      </c>
      <c r="AN150" s="33" t="s">
        <v>33</v>
      </c>
      <c r="AO150" s="59">
        <f t="shared" si="37"/>
        <v>0</v>
      </c>
      <c r="AP150" s="26"/>
      <c r="AQ150" s="33"/>
      <c r="AR150" s="56"/>
      <c r="AS150" s="26"/>
      <c r="AT150" s="33"/>
      <c r="AU150" s="57"/>
      <c r="AV150" s="86">
        <f t="shared" si="44"/>
        <v>0</v>
      </c>
      <c r="AW150" s="89">
        <f t="shared" si="38"/>
        <v>0</v>
      </c>
      <c r="AX150" s="86"/>
    </row>
    <row r="151" spans="1:50" s="29" customFormat="1">
      <c r="A151" s="50" t="s">
        <v>180</v>
      </c>
      <c r="B151" s="51"/>
      <c r="C151" s="51"/>
      <c r="D151" s="52"/>
      <c r="E151" s="53"/>
      <c r="F151" s="62"/>
      <c r="G151" s="125"/>
      <c r="I151" s="69"/>
      <c r="L151" s="61"/>
      <c r="M151" s="132"/>
      <c r="N151" s="131"/>
      <c r="O151" s="55"/>
      <c r="P151" s="113">
        <f t="shared" si="40"/>
        <v>0</v>
      </c>
      <c r="Q151" s="33"/>
      <c r="R151" s="56"/>
      <c r="S151" s="26"/>
      <c r="T151" s="33"/>
      <c r="U151" s="32"/>
      <c r="V151" s="113">
        <f t="shared" si="35"/>
        <v>0</v>
      </c>
      <c r="W151" s="33"/>
      <c r="X151" s="32"/>
      <c r="Y151" s="113">
        <f t="shared" si="36"/>
        <v>0</v>
      </c>
      <c r="Z151" s="33"/>
      <c r="AA151" s="57"/>
      <c r="AB151" s="113">
        <f>ROUND(AA151*$D$1,2)</f>
        <v>0</v>
      </c>
      <c r="AC151" s="33"/>
      <c r="AD151" s="32"/>
      <c r="AE151" s="113">
        <f t="shared" si="41"/>
        <v>0</v>
      </c>
      <c r="AF151" s="33"/>
      <c r="AG151" s="32"/>
      <c r="AH151" s="26"/>
      <c r="AI151" s="33"/>
      <c r="AJ151" s="29">
        <f t="shared" si="42"/>
        <v>0</v>
      </c>
      <c r="AK151" s="57" t="s">
        <v>304</v>
      </c>
      <c r="AL151" s="58">
        <f t="shared" si="39"/>
        <v>0</v>
      </c>
      <c r="AM151" s="113">
        <f t="shared" si="43"/>
        <v>0</v>
      </c>
      <c r="AN151" s="33" t="s">
        <v>33</v>
      </c>
      <c r="AO151" s="59">
        <f t="shared" si="37"/>
        <v>0</v>
      </c>
      <c r="AP151" s="26"/>
      <c r="AQ151" s="33"/>
      <c r="AR151" s="56"/>
      <c r="AS151" s="26"/>
      <c r="AT151" s="33"/>
      <c r="AU151" s="57"/>
      <c r="AV151" s="86">
        <f t="shared" si="44"/>
        <v>0</v>
      </c>
      <c r="AW151" s="89">
        <f t="shared" si="38"/>
        <v>0</v>
      </c>
      <c r="AX151" s="86"/>
    </row>
    <row r="152" spans="1:50" s="29" customFormat="1">
      <c r="A152" s="50" t="s">
        <v>181</v>
      </c>
      <c r="B152" s="51"/>
      <c r="C152" s="51"/>
      <c r="D152" s="52"/>
      <c r="E152" s="53"/>
      <c r="F152" s="62"/>
      <c r="G152" s="125"/>
      <c r="I152" s="71"/>
      <c r="L152" s="61"/>
      <c r="M152" s="132"/>
      <c r="N152" s="131"/>
      <c r="O152" s="55"/>
      <c r="P152" s="113">
        <f t="shared" si="40"/>
        <v>0</v>
      </c>
      <c r="Q152" s="33"/>
      <c r="R152" s="56"/>
      <c r="S152" s="26"/>
      <c r="T152" s="33"/>
      <c r="U152" s="32"/>
      <c r="V152" s="113">
        <f t="shared" si="35"/>
        <v>0</v>
      </c>
      <c r="W152" s="33"/>
      <c r="X152" s="32"/>
      <c r="Y152" s="113">
        <f t="shared" si="36"/>
        <v>0</v>
      </c>
      <c r="Z152" s="33"/>
      <c r="AA152" s="57"/>
      <c r="AB152" s="113">
        <f>ROUND(AA152*$D$1,2)</f>
        <v>0</v>
      </c>
      <c r="AC152" s="33"/>
      <c r="AD152" s="32"/>
      <c r="AE152" s="113">
        <f t="shared" si="41"/>
        <v>0</v>
      </c>
      <c r="AF152" s="33"/>
      <c r="AG152" s="32"/>
      <c r="AH152" s="26"/>
      <c r="AI152" s="33"/>
      <c r="AJ152" s="29">
        <f t="shared" si="42"/>
        <v>0</v>
      </c>
      <c r="AK152" s="57" t="s">
        <v>304</v>
      </c>
      <c r="AL152" s="58">
        <f t="shared" si="39"/>
        <v>0</v>
      </c>
      <c r="AM152" s="113">
        <f t="shared" si="43"/>
        <v>0</v>
      </c>
      <c r="AN152" s="33" t="s">
        <v>33</v>
      </c>
      <c r="AO152" s="59">
        <f t="shared" si="37"/>
        <v>0</v>
      </c>
      <c r="AP152" s="26"/>
      <c r="AQ152" s="33"/>
      <c r="AR152" s="56"/>
      <c r="AS152" s="26"/>
      <c r="AT152" s="33"/>
      <c r="AU152" s="57"/>
      <c r="AV152" s="86">
        <f t="shared" si="44"/>
        <v>0</v>
      </c>
      <c r="AW152" s="89">
        <f t="shared" si="38"/>
        <v>0</v>
      </c>
      <c r="AX152" s="86"/>
    </row>
    <row r="153" spans="1:50" s="29" customFormat="1">
      <c r="A153" s="50" t="s">
        <v>182</v>
      </c>
      <c r="B153" s="51"/>
      <c r="C153" s="51"/>
      <c r="D153" s="52"/>
      <c r="E153" s="53"/>
      <c r="F153" s="62"/>
      <c r="G153" s="125"/>
      <c r="I153" s="69"/>
      <c r="L153" s="52"/>
      <c r="M153" s="132"/>
      <c r="N153" s="131"/>
      <c r="O153" s="55"/>
      <c r="P153" s="113">
        <f t="shared" si="40"/>
        <v>0</v>
      </c>
      <c r="Q153" s="33"/>
      <c r="R153" s="56"/>
      <c r="S153" s="26"/>
      <c r="T153" s="33"/>
      <c r="U153" s="32"/>
      <c r="V153" s="113">
        <f t="shared" si="35"/>
        <v>0</v>
      </c>
      <c r="W153" s="33"/>
      <c r="X153" s="32"/>
      <c r="Y153" s="113">
        <f t="shared" si="36"/>
        <v>0</v>
      </c>
      <c r="Z153" s="33"/>
      <c r="AA153" s="57"/>
      <c r="AB153" s="57"/>
      <c r="AC153" s="57"/>
      <c r="AD153" s="32"/>
      <c r="AE153" s="113">
        <f t="shared" si="41"/>
        <v>0</v>
      </c>
      <c r="AF153" s="33"/>
      <c r="AG153" s="32"/>
      <c r="AH153" s="26"/>
      <c r="AI153" s="33"/>
      <c r="AJ153" s="29">
        <f t="shared" si="42"/>
        <v>0</v>
      </c>
      <c r="AK153" s="57" t="s">
        <v>304</v>
      </c>
      <c r="AL153" s="58">
        <f t="shared" si="39"/>
        <v>0</v>
      </c>
      <c r="AM153" s="113">
        <f t="shared" si="43"/>
        <v>0</v>
      </c>
      <c r="AN153" s="33" t="s">
        <v>33</v>
      </c>
      <c r="AO153" s="59">
        <f t="shared" si="37"/>
        <v>0</v>
      </c>
      <c r="AP153" s="26"/>
      <c r="AQ153" s="33"/>
      <c r="AR153" s="56"/>
      <c r="AS153" s="26"/>
      <c r="AT153" s="33"/>
      <c r="AU153" s="57"/>
      <c r="AV153" s="86">
        <f t="shared" si="44"/>
        <v>0</v>
      </c>
      <c r="AW153" s="89">
        <f t="shared" si="38"/>
        <v>0</v>
      </c>
      <c r="AX153" s="86"/>
    </row>
    <row r="154" spans="1:50" s="29" customFormat="1">
      <c r="A154" s="50" t="s">
        <v>183</v>
      </c>
      <c r="B154" s="51"/>
      <c r="C154" s="51"/>
      <c r="D154" s="52"/>
      <c r="E154" s="53"/>
      <c r="F154" s="62"/>
      <c r="G154" s="125"/>
      <c r="I154" s="69"/>
      <c r="L154" s="61"/>
      <c r="M154" s="132"/>
      <c r="N154" s="131"/>
      <c r="O154" s="55"/>
      <c r="P154" s="113">
        <f t="shared" si="40"/>
        <v>0</v>
      </c>
      <c r="Q154" s="33"/>
      <c r="R154" s="56"/>
      <c r="S154" s="26"/>
      <c r="T154" s="33"/>
      <c r="U154" s="32"/>
      <c r="V154" s="113">
        <f t="shared" si="35"/>
        <v>0</v>
      </c>
      <c r="W154" s="33"/>
      <c r="X154" s="32"/>
      <c r="Y154" s="113">
        <f t="shared" si="36"/>
        <v>0</v>
      </c>
      <c r="Z154" s="33"/>
      <c r="AA154" s="57"/>
      <c r="AB154" s="57"/>
      <c r="AC154" s="57"/>
      <c r="AD154" s="32"/>
      <c r="AE154" s="113">
        <f t="shared" si="41"/>
        <v>0</v>
      </c>
      <c r="AF154" s="33"/>
      <c r="AG154" s="32"/>
      <c r="AH154" s="26"/>
      <c r="AI154" s="33"/>
      <c r="AJ154" s="29">
        <f t="shared" si="42"/>
        <v>0</v>
      </c>
      <c r="AK154" s="57" t="s">
        <v>304</v>
      </c>
      <c r="AL154" s="58">
        <f t="shared" si="39"/>
        <v>0</v>
      </c>
      <c r="AM154" s="113">
        <f t="shared" si="43"/>
        <v>0</v>
      </c>
      <c r="AN154" s="33" t="s">
        <v>33</v>
      </c>
      <c r="AO154" s="59">
        <f t="shared" si="37"/>
        <v>0</v>
      </c>
      <c r="AP154" s="26"/>
      <c r="AQ154" s="33"/>
      <c r="AR154" s="56"/>
      <c r="AS154" s="26"/>
      <c r="AT154" s="33"/>
      <c r="AU154" s="57"/>
      <c r="AV154" s="86">
        <f t="shared" si="44"/>
        <v>0</v>
      </c>
      <c r="AW154" s="89">
        <f t="shared" si="38"/>
        <v>0</v>
      </c>
      <c r="AX154" s="86"/>
    </row>
    <row r="155" spans="1:50" s="29" customFormat="1">
      <c r="A155" s="50" t="s">
        <v>184</v>
      </c>
      <c r="B155" s="51"/>
      <c r="C155" s="51"/>
      <c r="D155" s="52"/>
      <c r="E155" s="53"/>
      <c r="F155" s="62"/>
      <c r="G155" s="69"/>
      <c r="I155" s="69"/>
      <c r="L155" s="52"/>
      <c r="M155" s="132"/>
      <c r="N155" s="131"/>
      <c r="O155" s="55"/>
      <c r="P155" s="113">
        <f t="shared" si="40"/>
        <v>0</v>
      </c>
      <c r="Q155" s="33"/>
      <c r="R155" s="56"/>
      <c r="S155" s="26"/>
      <c r="T155" s="33"/>
      <c r="U155" s="32"/>
      <c r="V155" s="113">
        <f t="shared" si="35"/>
        <v>0</v>
      </c>
      <c r="W155" s="33"/>
      <c r="X155" s="32"/>
      <c r="Y155" s="113">
        <f t="shared" si="36"/>
        <v>0</v>
      </c>
      <c r="Z155" s="33"/>
      <c r="AA155" s="57"/>
      <c r="AB155" s="57"/>
      <c r="AC155" s="57"/>
      <c r="AD155" s="32"/>
      <c r="AE155" s="113">
        <f t="shared" si="41"/>
        <v>0</v>
      </c>
      <c r="AF155" s="33"/>
      <c r="AG155" s="32"/>
      <c r="AH155" s="26"/>
      <c r="AI155" s="33"/>
      <c r="AJ155" s="29">
        <f t="shared" si="42"/>
        <v>0</v>
      </c>
      <c r="AK155" s="57" t="s">
        <v>304</v>
      </c>
      <c r="AL155" s="58">
        <f t="shared" si="39"/>
        <v>0</v>
      </c>
      <c r="AM155" s="113">
        <f t="shared" si="43"/>
        <v>0</v>
      </c>
      <c r="AN155" s="33" t="s">
        <v>33</v>
      </c>
      <c r="AO155" s="59">
        <f t="shared" si="37"/>
        <v>0</v>
      </c>
      <c r="AP155" s="26"/>
      <c r="AQ155" s="33"/>
      <c r="AR155" s="56"/>
      <c r="AS155" s="26"/>
      <c r="AT155" s="33"/>
      <c r="AU155" s="57"/>
      <c r="AV155" s="86">
        <f t="shared" si="44"/>
        <v>0</v>
      </c>
      <c r="AW155" s="89">
        <f t="shared" si="38"/>
        <v>0</v>
      </c>
      <c r="AX155" s="86"/>
    </row>
    <row r="156" spans="1:50" s="29" customFormat="1">
      <c r="A156" s="50" t="s">
        <v>185</v>
      </c>
      <c r="B156" s="51"/>
      <c r="C156" s="51"/>
      <c r="D156" s="52"/>
      <c r="E156" s="53"/>
      <c r="F156" s="62"/>
      <c r="G156" s="125"/>
      <c r="I156" s="69"/>
      <c r="L156" s="61"/>
      <c r="M156" s="132"/>
      <c r="N156" s="131"/>
      <c r="O156" s="55"/>
      <c r="P156" s="113">
        <f t="shared" si="40"/>
        <v>0</v>
      </c>
      <c r="Q156" s="33"/>
      <c r="R156" s="56"/>
      <c r="S156" s="26"/>
      <c r="T156" s="33"/>
      <c r="U156" s="32"/>
      <c r="V156" s="113">
        <f t="shared" si="35"/>
        <v>0</v>
      </c>
      <c r="W156" s="33"/>
      <c r="X156" s="32"/>
      <c r="Y156" s="113">
        <f t="shared" si="36"/>
        <v>0</v>
      </c>
      <c r="Z156" s="33"/>
      <c r="AA156" s="57"/>
      <c r="AB156" s="57"/>
      <c r="AC156" s="57"/>
      <c r="AD156" s="32"/>
      <c r="AE156" s="113">
        <f t="shared" si="41"/>
        <v>0</v>
      </c>
      <c r="AF156" s="33"/>
      <c r="AG156" s="32"/>
      <c r="AH156" s="26"/>
      <c r="AI156" s="33"/>
      <c r="AJ156" s="29">
        <f t="shared" si="42"/>
        <v>0</v>
      </c>
      <c r="AK156" s="57" t="s">
        <v>304</v>
      </c>
      <c r="AL156" s="58">
        <f t="shared" si="39"/>
        <v>0</v>
      </c>
      <c r="AM156" s="113">
        <f t="shared" si="43"/>
        <v>0</v>
      </c>
      <c r="AN156" s="33" t="s">
        <v>33</v>
      </c>
      <c r="AO156" s="59">
        <f t="shared" si="37"/>
        <v>0</v>
      </c>
      <c r="AP156" s="26"/>
      <c r="AQ156" s="33"/>
      <c r="AR156" s="56"/>
      <c r="AS156" s="26"/>
      <c r="AT156" s="33"/>
      <c r="AU156" s="57"/>
      <c r="AV156" s="86">
        <f t="shared" si="44"/>
        <v>0</v>
      </c>
      <c r="AW156" s="89">
        <f t="shared" si="38"/>
        <v>0</v>
      </c>
      <c r="AX156" s="86"/>
    </row>
    <row r="157" spans="1:50" s="29" customFormat="1">
      <c r="A157" s="50" t="s">
        <v>186</v>
      </c>
      <c r="B157" s="51"/>
      <c r="C157" s="51"/>
      <c r="D157" s="52"/>
      <c r="E157" s="53"/>
      <c r="F157" s="62"/>
      <c r="G157" s="125"/>
      <c r="I157" s="69"/>
      <c r="L157" s="61"/>
      <c r="M157" s="132"/>
      <c r="N157" s="131"/>
      <c r="O157" s="55"/>
      <c r="P157" s="113">
        <f t="shared" si="40"/>
        <v>0</v>
      </c>
      <c r="Q157" s="33"/>
      <c r="R157" s="56"/>
      <c r="S157" s="26"/>
      <c r="T157" s="33"/>
      <c r="U157" s="32"/>
      <c r="V157" s="113">
        <f t="shared" si="35"/>
        <v>0</v>
      </c>
      <c r="W157" s="33"/>
      <c r="X157" s="32"/>
      <c r="Y157" s="113">
        <f t="shared" si="36"/>
        <v>0</v>
      </c>
      <c r="Z157" s="33"/>
      <c r="AA157" s="57"/>
      <c r="AB157" s="113">
        <f>ROUND(AA157*$D$1,2)</f>
        <v>0</v>
      </c>
      <c r="AC157" s="33"/>
      <c r="AD157" s="32"/>
      <c r="AE157" s="113">
        <f t="shared" si="41"/>
        <v>0</v>
      </c>
      <c r="AF157" s="33"/>
      <c r="AG157" s="32"/>
      <c r="AH157" s="26"/>
      <c r="AI157" s="33"/>
      <c r="AJ157" s="29">
        <f t="shared" si="42"/>
        <v>0</v>
      </c>
      <c r="AK157" s="57" t="s">
        <v>304</v>
      </c>
      <c r="AL157" s="58">
        <f t="shared" si="39"/>
        <v>0</v>
      </c>
      <c r="AM157" s="113">
        <f t="shared" si="43"/>
        <v>0</v>
      </c>
      <c r="AN157" s="33" t="s">
        <v>33</v>
      </c>
      <c r="AO157" s="59">
        <f t="shared" si="37"/>
        <v>0</v>
      </c>
      <c r="AP157" s="113">
        <f>ROUND(AO157*$D$1,2)</f>
        <v>0</v>
      </c>
      <c r="AQ157" s="33"/>
      <c r="AR157" s="56"/>
      <c r="AS157" s="26"/>
      <c r="AT157" s="33"/>
      <c r="AU157" s="57"/>
      <c r="AV157" s="86">
        <f t="shared" si="44"/>
        <v>0</v>
      </c>
      <c r="AW157" s="89">
        <f t="shared" si="38"/>
        <v>0</v>
      </c>
      <c r="AX157" s="86"/>
    </row>
    <row r="158" spans="1:50" s="29" customFormat="1">
      <c r="A158" s="50" t="s">
        <v>187</v>
      </c>
      <c r="B158" s="51"/>
      <c r="C158" s="51"/>
      <c r="D158" s="52"/>
      <c r="E158" s="53"/>
      <c r="F158" s="62"/>
      <c r="G158" s="125"/>
      <c r="I158" s="71"/>
      <c r="L158" s="61"/>
      <c r="M158" s="132"/>
      <c r="N158" s="131"/>
      <c r="O158" s="55"/>
      <c r="P158" s="113">
        <f t="shared" si="40"/>
        <v>0</v>
      </c>
      <c r="Q158" s="33"/>
      <c r="R158" s="56"/>
      <c r="S158" s="26"/>
      <c r="T158" s="33"/>
      <c r="U158" s="32"/>
      <c r="V158" s="113">
        <f t="shared" si="35"/>
        <v>0</v>
      </c>
      <c r="W158" s="33"/>
      <c r="X158" s="32"/>
      <c r="Y158" s="113">
        <f t="shared" si="36"/>
        <v>0</v>
      </c>
      <c r="Z158" s="33"/>
      <c r="AA158" s="57"/>
      <c r="AB158" s="113">
        <f>ROUND(AA158*$D$1,2)</f>
        <v>0</v>
      </c>
      <c r="AC158" s="33"/>
      <c r="AD158" s="32"/>
      <c r="AE158" s="113">
        <f t="shared" si="41"/>
        <v>0</v>
      </c>
      <c r="AF158" s="33"/>
      <c r="AG158" s="32"/>
      <c r="AH158" s="26"/>
      <c r="AI158" s="33"/>
      <c r="AJ158" s="29">
        <f t="shared" si="42"/>
        <v>0</v>
      </c>
      <c r="AK158" s="57" t="s">
        <v>304</v>
      </c>
      <c r="AL158" s="58">
        <f t="shared" si="39"/>
        <v>0</v>
      </c>
      <c r="AM158" s="113">
        <f t="shared" si="43"/>
        <v>0</v>
      </c>
      <c r="AN158" s="33" t="s">
        <v>33</v>
      </c>
      <c r="AO158" s="59">
        <f t="shared" si="37"/>
        <v>0</v>
      </c>
      <c r="AP158" s="113">
        <f>ROUND(AO158*$D$1,2)</f>
        <v>0</v>
      </c>
      <c r="AQ158" s="33"/>
      <c r="AR158" s="56"/>
      <c r="AS158" s="26"/>
      <c r="AT158" s="33"/>
      <c r="AU158" s="57"/>
      <c r="AV158" s="86">
        <f t="shared" si="44"/>
        <v>0</v>
      </c>
      <c r="AW158" s="89">
        <f t="shared" si="38"/>
        <v>0</v>
      </c>
      <c r="AX158" s="86"/>
    </row>
    <row r="159" spans="1:50" s="29" customFormat="1">
      <c r="A159" s="50" t="s">
        <v>291</v>
      </c>
      <c r="B159" s="54"/>
      <c r="C159" s="54"/>
      <c r="D159" s="54"/>
      <c r="E159" s="53"/>
      <c r="F159" s="62"/>
      <c r="G159" s="69"/>
      <c r="I159" s="69"/>
      <c r="L159" s="52"/>
      <c r="M159" s="132"/>
      <c r="N159" s="131"/>
      <c r="O159" s="55"/>
      <c r="P159" s="113">
        <f t="shared" si="40"/>
        <v>0</v>
      </c>
      <c r="Q159" s="33"/>
      <c r="R159" s="56"/>
      <c r="S159" s="26"/>
      <c r="T159" s="33"/>
      <c r="U159" s="32"/>
      <c r="V159" s="113">
        <f t="shared" si="35"/>
        <v>0</v>
      </c>
      <c r="W159" s="33"/>
      <c r="X159" s="32"/>
      <c r="Y159" s="113">
        <f t="shared" si="36"/>
        <v>0</v>
      </c>
      <c r="Z159" s="33"/>
      <c r="AA159" s="57"/>
      <c r="AB159" s="57"/>
      <c r="AC159" s="57"/>
      <c r="AD159" s="32"/>
      <c r="AE159" s="113">
        <f t="shared" si="41"/>
        <v>0</v>
      </c>
      <c r="AF159" s="33"/>
      <c r="AG159" s="32"/>
      <c r="AH159" s="26"/>
      <c r="AI159" s="33"/>
      <c r="AJ159" s="29">
        <f t="shared" si="42"/>
        <v>0</v>
      </c>
      <c r="AK159" s="57" t="s">
        <v>304</v>
      </c>
      <c r="AL159" s="58">
        <f t="shared" si="39"/>
        <v>0</v>
      </c>
      <c r="AM159" s="113">
        <f t="shared" si="43"/>
        <v>0</v>
      </c>
      <c r="AN159" s="33" t="s">
        <v>33</v>
      </c>
      <c r="AO159" s="59">
        <f t="shared" si="37"/>
        <v>0</v>
      </c>
      <c r="AP159" s="26"/>
      <c r="AQ159" s="33"/>
      <c r="AR159" s="56"/>
      <c r="AS159" s="26"/>
      <c r="AT159" s="33"/>
      <c r="AU159" s="57"/>
      <c r="AV159" s="86">
        <f t="shared" si="44"/>
        <v>0</v>
      </c>
      <c r="AW159" s="89">
        <f t="shared" si="38"/>
        <v>0</v>
      </c>
      <c r="AX159" s="86"/>
    </row>
    <row r="160" spans="1:50" s="29" customFormat="1">
      <c r="A160" s="50" t="s">
        <v>188</v>
      </c>
      <c r="B160" s="65"/>
      <c r="C160" s="65"/>
      <c r="D160" s="65"/>
      <c r="E160" s="53"/>
      <c r="F160" s="62"/>
      <c r="G160" s="125"/>
      <c r="I160" s="69"/>
      <c r="L160" s="61"/>
      <c r="M160" s="132"/>
      <c r="N160" s="131"/>
      <c r="O160" s="55"/>
      <c r="P160" s="113">
        <f t="shared" si="40"/>
        <v>0</v>
      </c>
      <c r="Q160" s="33"/>
      <c r="R160" s="56"/>
      <c r="S160" s="26"/>
      <c r="T160" s="33"/>
      <c r="U160" s="32"/>
      <c r="V160" s="113">
        <f t="shared" si="35"/>
        <v>0</v>
      </c>
      <c r="W160" s="33"/>
      <c r="X160" s="32"/>
      <c r="Y160" s="113">
        <f t="shared" si="36"/>
        <v>0</v>
      </c>
      <c r="Z160" s="33"/>
      <c r="AA160" s="57"/>
      <c r="AB160" s="57"/>
      <c r="AC160" s="57"/>
      <c r="AD160" s="32"/>
      <c r="AE160" s="113">
        <f t="shared" si="41"/>
        <v>0</v>
      </c>
      <c r="AF160" s="33"/>
      <c r="AG160" s="32"/>
      <c r="AH160" s="26"/>
      <c r="AI160" s="33"/>
      <c r="AJ160" s="29">
        <f t="shared" si="42"/>
        <v>0</v>
      </c>
      <c r="AK160" s="57" t="s">
        <v>304</v>
      </c>
      <c r="AL160" s="58">
        <f t="shared" si="39"/>
        <v>0</v>
      </c>
      <c r="AM160" s="113">
        <f t="shared" si="43"/>
        <v>0</v>
      </c>
      <c r="AN160" s="33" t="s">
        <v>33</v>
      </c>
      <c r="AO160" s="59">
        <f t="shared" si="37"/>
        <v>0</v>
      </c>
      <c r="AP160" s="26"/>
      <c r="AQ160" s="33"/>
      <c r="AR160" s="56"/>
      <c r="AS160" s="26"/>
      <c r="AT160" s="33"/>
      <c r="AU160" s="57"/>
      <c r="AV160" s="86">
        <f t="shared" si="44"/>
        <v>0</v>
      </c>
      <c r="AW160" s="89">
        <f t="shared" si="38"/>
        <v>0</v>
      </c>
      <c r="AX160" s="86"/>
    </row>
    <row r="161" spans="1:50" s="29" customFormat="1">
      <c r="A161" s="50" t="s">
        <v>189</v>
      </c>
      <c r="B161" s="51"/>
      <c r="C161" s="51"/>
      <c r="D161" s="52"/>
      <c r="E161" s="53"/>
      <c r="F161" s="62"/>
      <c r="G161" s="125"/>
      <c r="I161" s="69"/>
      <c r="L161" s="61"/>
      <c r="M161" s="132"/>
      <c r="N161" s="131"/>
      <c r="O161" s="55"/>
      <c r="P161" s="113">
        <f t="shared" si="40"/>
        <v>0</v>
      </c>
      <c r="Q161" s="33"/>
      <c r="R161" s="56"/>
      <c r="S161" s="26"/>
      <c r="T161" s="33"/>
      <c r="U161" s="32"/>
      <c r="V161" s="113">
        <f t="shared" ref="V161:V184" si="45">ROUND(U161*$D$1,2)</f>
        <v>0</v>
      </c>
      <c r="W161" s="33"/>
      <c r="X161" s="32"/>
      <c r="Y161" s="113">
        <f t="shared" ref="Y161:Y184" si="46">ROUND(X161*$D$1,2)</f>
        <v>0</v>
      </c>
      <c r="Z161" s="33"/>
      <c r="AA161" s="57"/>
      <c r="AB161" s="57"/>
      <c r="AC161" s="57"/>
      <c r="AD161" s="32"/>
      <c r="AE161" s="113">
        <f t="shared" si="41"/>
        <v>0</v>
      </c>
      <c r="AF161" s="33"/>
      <c r="AG161" s="32"/>
      <c r="AH161" s="26"/>
      <c r="AI161" s="33"/>
      <c r="AJ161" s="29">
        <f t="shared" si="42"/>
        <v>0</v>
      </c>
      <c r="AK161" s="57" t="s">
        <v>304</v>
      </c>
      <c r="AL161" s="58">
        <f t="shared" si="39"/>
        <v>0</v>
      </c>
      <c r="AM161" s="113">
        <f t="shared" si="43"/>
        <v>0</v>
      </c>
      <c r="AN161" s="33" t="s">
        <v>33</v>
      </c>
      <c r="AO161" s="59">
        <f t="shared" ref="AO161:AO192" si="47">IF(H161="RIMAC EPS EMPRESA PRESTADORA DE SALUD",O161*0.0225,O161*0)</f>
        <v>0</v>
      </c>
      <c r="AP161" s="113">
        <f>ROUND(AO161*$D$1,2)</f>
        <v>0</v>
      </c>
      <c r="AQ161" s="33"/>
      <c r="AR161" s="56"/>
      <c r="AS161" s="26"/>
      <c r="AT161" s="33"/>
      <c r="AU161" s="57"/>
      <c r="AV161" s="86">
        <f t="shared" si="44"/>
        <v>0</v>
      </c>
      <c r="AW161" s="89">
        <f t="shared" si="38"/>
        <v>0</v>
      </c>
      <c r="AX161" s="86"/>
    </row>
    <row r="162" spans="1:50" s="29" customFormat="1">
      <c r="A162" s="50" t="s">
        <v>190</v>
      </c>
      <c r="B162" s="51"/>
      <c r="C162" s="51"/>
      <c r="D162" s="51"/>
      <c r="E162" s="53"/>
      <c r="F162" s="62"/>
      <c r="G162" s="69"/>
      <c r="I162" s="69"/>
      <c r="L162" s="51"/>
      <c r="M162" s="132"/>
      <c r="N162" s="131"/>
      <c r="O162" s="55"/>
      <c r="P162" s="113">
        <f t="shared" si="40"/>
        <v>0</v>
      </c>
      <c r="Q162" s="33"/>
      <c r="R162" s="56"/>
      <c r="S162" s="26"/>
      <c r="T162" s="33"/>
      <c r="U162" s="32"/>
      <c r="V162" s="113">
        <f t="shared" si="45"/>
        <v>0</v>
      </c>
      <c r="W162" s="33"/>
      <c r="X162" s="32"/>
      <c r="Y162" s="113">
        <f t="shared" si="46"/>
        <v>0</v>
      </c>
      <c r="Z162" s="33"/>
      <c r="AA162" s="57"/>
      <c r="AB162" s="57"/>
      <c r="AC162" s="57"/>
      <c r="AD162" s="32"/>
      <c r="AE162" s="113">
        <f t="shared" si="41"/>
        <v>0</v>
      </c>
      <c r="AF162" s="33"/>
      <c r="AG162" s="32"/>
      <c r="AH162" s="26"/>
      <c r="AI162" s="33"/>
      <c r="AJ162" s="29">
        <f t="shared" si="42"/>
        <v>0</v>
      </c>
      <c r="AK162" s="57" t="s">
        <v>304</v>
      </c>
      <c r="AL162" s="58">
        <f t="shared" si="39"/>
        <v>0</v>
      </c>
      <c r="AM162" s="113">
        <f t="shared" si="43"/>
        <v>0</v>
      </c>
      <c r="AN162" s="33" t="s">
        <v>33</v>
      </c>
      <c r="AO162" s="59">
        <f t="shared" si="47"/>
        <v>0</v>
      </c>
      <c r="AP162" s="26"/>
      <c r="AQ162" s="33"/>
      <c r="AR162" s="56"/>
      <c r="AS162" s="26"/>
      <c r="AT162" s="33"/>
      <c r="AU162" s="57"/>
      <c r="AV162" s="86">
        <f t="shared" si="44"/>
        <v>0</v>
      </c>
      <c r="AW162" s="89">
        <f t="shared" si="38"/>
        <v>0</v>
      </c>
      <c r="AX162" s="86"/>
    </row>
    <row r="163" spans="1:50" s="29" customFormat="1">
      <c r="A163" s="50" t="s">
        <v>191</v>
      </c>
      <c r="B163" s="65"/>
      <c r="C163" s="65"/>
      <c r="D163" s="65"/>
      <c r="E163" s="53"/>
      <c r="F163" s="62"/>
      <c r="G163" s="69"/>
      <c r="I163" s="69"/>
      <c r="L163" s="65"/>
      <c r="M163" s="133"/>
      <c r="N163" s="131"/>
      <c r="O163" s="55"/>
      <c r="P163" s="113">
        <f t="shared" si="40"/>
        <v>0</v>
      </c>
      <c r="Q163" s="33"/>
      <c r="R163" s="56"/>
      <c r="S163" s="26"/>
      <c r="T163" s="33"/>
      <c r="U163" s="32"/>
      <c r="V163" s="113">
        <f t="shared" si="45"/>
        <v>0</v>
      </c>
      <c r="W163" s="33"/>
      <c r="X163" s="32"/>
      <c r="Y163" s="113">
        <f t="shared" si="46"/>
        <v>0</v>
      </c>
      <c r="Z163" s="33"/>
      <c r="AA163" s="57"/>
      <c r="AB163" s="57"/>
      <c r="AC163" s="57"/>
      <c r="AD163" s="32"/>
      <c r="AE163" s="113">
        <f t="shared" si="41"/>
        <v>0</v>
      </c>
      <c r="AF163" s="33"/>
      <c r="AG163" s="32"/>
      <c r="AH163" s="26"/>
      <c r="AI163" s="33"/>
      <c r="AJ163" s="29">
        <f t="shared" si="42"/>
        <v>0</v>
      </c>
      <c r="AK163" s="57" t="s">
        <v>304</v>
      </c>
      <c r="AL163" s="58">
        <f t="shared" si="39"/>
        <v>0</v>
      </c>
      <c r="AM163" s="113">
        <f t="shared" si="43"/>
        <v>0</v>
      </c>
      <c r="AN163" s="33" t="s">
        <v>33</v>
      </c>
      <c r="AO163" s="59">
        <f t="shared" si="47"/>
        <v>0</v>
      </c>
      <c r="AP163" s="26"/>
      <c r="AQ163" s="33"/>
      <c r="AR163" s="56"/>
      <c r="AS163" s="26"/>
      <c r="AT163" s="33"/>
      <c r="AU163" s="57"/>
      <c r="AV163" s="86">
        <f t="shared" si="44"/>
        <v>0</v>
      </c>
      <c r="AW163" s="89">
        <f t="shared" si="38"/>
        <v>0</v>
      </c>
      <c r="AX163" s="86"/>
    </row>
    <row r="164" spans="1:50" s="29" customFormat="1">
      <c r="A164" s="50" t="s">
        <v>192</v>
      </c>
      <c r="B164" s="51"/>
      <c r="C164" s="51"/>
      <c r="D164" s="51"/>
      <c r="E164" s="53"/>
      <c r="F164" s="62"/>
      <c r="G164" s="125"/>
      <c r="I164" s="69"/>
      <c r="L164" s="51"/>
      <c r="M164" s="132"/>
      <c r="N164" s="131"/>
      <c r="O164" s="55"/>
      <c r="P164" s="113">
        <f t="shared" si="40"/>
        <v>0</v>
      </c>
      <c r="Q164" s="33"/>
      <c r="R164" s="56"/>
      <c r="S164" s="26"/>
      <c r="T164" s="33"/>
      <c r="U164" s="32"/>
      <c r="V164" s="113">
        <f t="shared" si="45"/>
        <v>0</v>
      </c>
      <c r="W164" s="33"/>
      <c r="X164" s="32"/>
      <c r="Y164" s="113">
        <f t="shared" si="46"/>
        <v>0</v>
      </c>
      <c r="Z164" s="33"/>
      <c r="AA164" s="57"/>
      <c r="AB164" s="57"/>
      <c r="AC164" s="57"/>
      <c r="AD164" s="32"/>
      <c r="AE164" s="113">
        <f t="shared" si="41"/>
        <v>0</v>
      </c>
      <c r="AF164" s="33"/>
      <c r="AG164" s="32"/>
      <c r="AH164" s="26"/>
      <c r="AI164" s="33"/>
      <c r="AJ164" s="29">
        <f t="shared" si="42"/>
        <v>0</v>
      </c>
      <c r="AK164" s="57" t="s">
        <v>304</v>
      </c>
      <c r="AL164" s="58">
        <f t="shared" si="39"/>
        <v>0</v>
      </c>
      <c r="AM164" s="113">
        <f t="shared" si="43"/>
        <v>0</v>
      </c>
      <c r="AN164" s="33" t="s">
        <v>33</v>
      </c>
      <c r="AO164" s="59">
        <f t="shared" si="47"/>
        <v>0</v>
      </c>
      <c r="AP164" s="26"/>
      <c r="AQ164" s="33"/>
      <c r="AR164" s="56"/>
      <c r="AS164" s="26"/>
      <c r="AT164" s="33"/>
      <c r="AU164" s="57"/>
      <c r="AV164" s="86">
        <f t="shared" si="44"/>
        <v>0</v>
      </c>
      <c r="AW164" s="89">
        <f t="shared" si="38"/>
        <v>0</v>
      </c>
      <c r="AX164" s="86"/>
    </row>
    <row r="165" spans="1:50" s="29" customFormat="1">
      <c r="A165" s="50" t="s">
        <v>193</v>
      </c>
      <c r="B165" s="51"/>
      <c r="C165" s="51"/>
      <c r="D165" s="52"/>
      <c r="E165" s="53"/>
      <c r="F165" s="62"/>
      <c r="G165" s="125"/>
      <c r="I165" s="69"/>
      <c r="L165" s="61"/>
      <c r="M165" s="132"/>
      <c r="N165" s="131"/>
      <c r="O165" s="55"/>
      <c r="P165" s="113">
        <f t="shared" si="40"/>
        <v>0</v>
      </c>
      <c r="Q165" s="33"/>
      <c r="R165" s="56"/>
      <c r="S165" s="26"/>
      <c r="T165" s="33"/>
      <c r="U165" s="32"/>
      <c r="V165" s="113">
        <f t="shared" si="45"/>
        <v>0</v>
      </c>
      <c r="W165" s="33"/>
      <c r="X165" s="32"/>
      <c r="Y165" s="113">
        <f t="shared" si="46"/>
        <v>0</v>
      </c>
      <c r="Z165" s="33"/>
      <c r="AA165" s="57"/>
      <c r="AB165" s="113">
        <f>ROUND(AA165*$D$1,2)</f>
        <v>0</v>
      </c>
      <c r="AC165" s="33"/>
      <c r="AD165" s="32"/>
      <c r="AE165" s="113">
        <f t="shared" si="41"/>
        <v>0</v>
      </c>
      <c r="AF165" s="33"/>
      <c r="AG165" s="32"/>
      <c r="AH165" s="26"/>
      <c r="AI165" s="33"/>
      <c r="AJ165" s="29">
        <f t="shared" si="42"/>
        <v>0</v>
      </c>
      <c r="AK165" s="57" t="s">
        <v>304</v>
      </c>
      <c r="AL165" s="58">
        <f t="shared" si="39"/>
        <v>0</v>
      </c>
      <c r="AM165" s="113">
        <f t="shared" si="43"/>
        <v>0</v>
      </c>
      <c r="AN165" s="33" t="s">
        <v>33</v>
      </c>
      <c r="AO165" s="59">
        <f t="shared" si="47"/>
        <v>0</v>
      </c>
      <c r="AP165" s="26"/>
      <c r="AQ165" s="33"/>
      <c r="AR165" s="56"/>
      <c r="AS165" s="26"/>
      <c r="AT165" s="33"/>
      <c r="AU165" s="57"/>
      <c r="AV165" s="86">
        <f t="shared" si="44"/>
        <v>0</v>
      </c>
      <c r="AW165" s="89">
        <f t="shared" si="38"/>
        <v>0</v>
      </c>
      <c r="AX165" s="86"/>
    </row>
    <row r="166" spans="1:50" s="29" customFormat="1">
      <c r="A166" s="50" t="s">
        <v>194</v>
      </c>
      <c r="B166" s="51"/>
      <c r="C166" s="51"/>
      <c r="D166" s="54"/>
      <c r="E166" s="53"/>
      <c r="F166" s="62"/>
      <c r="G166" s="125"/>
      <c r="I166" s="69"/>
      <c r="L166" s="52"/>
      <c r="M166" s="132"/>
      <c r="N166" s="131"/>
      <c r="O166" s="55"/>
      <c r="P166" s="113">
        <f t="shared" si="40"/>
        <v>0</v>
      </c>
      <c r="Q166" s="33"/>
      <c r="R166" s="56"/>
      <c r="S166" s="26"/>
      <c r="T166" s="33"/>
      <c r="U166" s="32"/>
      <c r="V166" s="113">
        <f t="shared" si="45"/>
        <v>0</v>
      </c>
      <c r="W166" s="33"/>
      <c r="X166" s="32"/>
      <c r="Y166" s="113">
        <f t="shared" si="46"/>
        <v>0</v>
      </c>
      <c r="Z166" s="33"/>
      <c r="AA166" s="57"/>
      <c r="AB166" s="57"/>
      <c r="AC166" s="57"/>
      <c r="AD166" s="32"/>
      <c r="AE166" s="113">
        <f t="shared" si="41"/>
        <v>0</v>
      </c>
      <c r="AF166" s="33"/>
      <c r="AG166" s="32"/>
      <c r="AH166" s="26"/>
      <c r="AI166" s="33"/>
      <c r="AJ166" s="29">
        <f t="shared" si="42"/>
        <v>0</v>
      </c>
      <c r="AK166" s="57" t="s">
        <v>304</v>
      </c>
      <c r="AL166" s="58">
        <f t="shared" si="39"/>
        <v>0</v>
      </c>
      <c r="AM166" s="113">
        <f t="shared" si="43"/>
        <v>0</v>
      </c>
      <c r="AN166" s="33" t="s">
        <v>33</v>
      </c>
      <c r="AO166" s="59">
        <f t="shared" si="47"/>
        <v>0</v>
      </c>
      <c r="AP166" s="26"/>
      <c r="AQ166" s="33"/>
      <c r="AR166" s="56"/>
      <c r="AS166" s="26"/>
      <c r="AT166" s="33"/>
      <c r="AU166" s="57"/>
      <c r="AV166" s="86">
        <f>P166+S166+V166+Y166+AB166+AE166+AH166+AJ166</f>
        <v>0</v>
      </c>
      <c r="AW166" s="89">
        <f t="shared" si="38"/>
        <v>0</v>
      </c>
      <c r="AX166" s="86"/>
    </row>
    <row r="167" spans="1:50" s="29" customFormat="1">
      <c r="A167" s="50" t="s">
        <v>195</v>
      </c>
      <c r="B167" s="51"/>
      <c r="C167" s="51"/>
      <c r="D167" s="52"/>
      <c r="E167" s="53"/>
      <c r="F167" s="62"/>
      <c r="G167" s="125"/>
      <c r="I167" s="69"/>
      <c r="L167" s="61"/>
      <c r="M167" s="132"/>
      <c r="N167" s="131"/>
      <c r="O167" s="55"/>
      <c r="P167" s="113">
        <f t="shared" si="40"/>
        <v>0</v>
      </c>
      <c r="Q167" s="33"/>
      <c r="R167" s="56"/>
      <c r="S167" s="26"/>
      <c r="T167" s="33"/>
      <c r="U167" s="32"/>
      <c r="V167" s="113">
        <f t="shared" si="45"/>
        <v>0</v>
      </c>
      <c r="W167" s="33"/>
      <c r="X167" s="32"/>
      <c r="Y167" s="113">
        <f t="shared" si="46"/>
        <v>0</v>
      </c>
      <c r="Z167" s="33"/>
      <c r="AA167" s="57"/>
      <c r="AB167" s="57"/>
      <c r="AC167" s="57"/>
      <c r="AD167" s="32"/>
      <c r="AE167" s="113">
        <f t="shared" si="41"/>
        <v>0</v>
      </c>
      <c r="AF167" s="33"/>
      <c r="AG167" s="32"/>
      <c r="AH167" s="26"/>
      <c r="AI167" s="33"/>
      <c r="AJ167" s="29">
        <f t="shared" si="42"/>
        <v>0</v>
      </c>
      <c r="AK167" s="57" t="s">
        <v>304</v>
      </c>
      <c r="AL167" s="58">
        <f t="shared" si="39"/>
        <v>0</v>
      </c>
      <c r="AM167" s="113">
        <f t="shared" si="43"/>
        <v>0</v>
      </c>
      <c r="AN167" s="33" t="s">
        <v>33</v>
      </c>
      <c r="AO167" s="59">
        <f t="shared" si="47"/>
        <v>0</v>
      </c>
      <c r="AP167" s="26"/>
      <c r="AQ167" s="33"/>
      <c r="AR167" s="56"/>
      <c r="AS167" s="26"/>
      <c r="AT167" s="33"/>
      <c r="AU167" s="57"/>
      <c r="AV167" s="86">
        <f t="shared" si="44"/>
        <v>0</v>
      </c>
      <c r="AW167" s="89">
        <f t="shared" si="38"/>
        <v>0</v>
      </c>
      <c r="AX167" s="86"/>
    </row>
    <row r="168" spans="1:50" s="29" customFormat="1">
      <c r="A168" s="50" t="s">
        <v>196</v>
      </c>
      <c r="B168" s="51"/>
      <c r="C168" s="51"/>
      <c r="D168" s="52"/>
      <c r="E168" s="53"/>
      <c r="F168" s="62"/>
      <c r="G168" s="125"/>
      <c r="I168" s="69"/>
      <c r="L168" s="52"/>
      <c r="M168" s="132"/>
      <c r="N168" s="131"/>
      <c r="O168" s="55"/>
      <c r="P168" s="113">
        <f t="shared" si="40"/>
        <v>0</v>
      </c>
      <c r="Q168" s="33"/>
      <c r="R168" s="56"/>
      <c r="S168" s="26"/>
      <c r="T168" s="33"/>
      <c r="U168" s="32"/>
      <c r="V168" s="113">
        <f t="shared" si="45"/>
        <v>0</v>
      </c>
      <c r="W168" s="33"/>
      <c r="X168" s="32"/>
      <c r="Y168" s="113">
        <f t="shared" si="46"/>
        <v>0</v>
      </c>
      <c r="Z168" s="33"/>
      <c r="AA168" s="57"/>
      <c r="AB168" s="57"/>
      <c r="AC168" s="57"/>
      <c r="AD168" s="32"/>
      <c r="AE168" s="113">
        <f t="shared" si="41"/>
        <v>0</v>
      </c>
      <c r="AF168" s="33"/>
      <c r="AG168" s="32"/>
      <c r="AH168" s="26"/>
      <c r="AI168" s="33"/>
      <c r="AJ168" s="29">
        <f t="shared" si="42"/>
        <v>0</v>
      </c>
      <c r="AK168" s="57" t="s">
        <v>304</v>
      </c>
      <c r="AL168" s="58">
        <f t="shared" si="39"/>
        <v>0</v>
      </c>
      <c r="AM168" s="113">
        <f t="shared" si="43"/>
        <v>0</v>
      </c>
      <c r="AN168" s="33" t="s">
        <v>33</v>
      </c>
      <c r="AO168" s="59">
        <f t="shared" si="47"/>
        <v>0</v>
      </c>
      <c r="AP168" s="26"/>
      <c r="AQ168" s="33"/>
      <c r="AR168" s="56"/>
      <c r="AS168" s="26"/>
      <c r="AT168" s="33"/>
      <c r="AU168" s="57"/>
      <c r="AV168" s="86">
        <f t="shared" si="44"/>
        <v>0</v>
      </c>
      <c r="AW168" s="89">
        <f t="shared" si="38"/>
        <v>0</v>
      </c>
      <c r="AX168" s="86"/>
    </row>
    <row r="169" spans="1:50" s="29" customFormat="1">
      <c r="A169" s="50" t="s">
        <v>197</v>
      </c>
      <c r="B169" s="51"/>
      <c r="C169" s="51"/>
      <c r="D169" s="52"/>
      <c r="E169" s="53"/>
      <c r="F169" s="62"/>
      <c r="G169" s="125"/>
      <c r="I169" s="69"/>
      <c r="L169" s="52"/>
      <c r="M169" s="132"/>
      <c r="N169" s="131"/>
      <c r="O169" s="55"/>
      <c r="P169" s="113">
        <f t="shared" si="40"/>
        <v>0</v>
      </c>
      <c r="Q169" s="33"/>
      <c r="R169" s="56"/>
      <c r="S169" s="26"/>
      <c r="T169" s="33"/>
      <c r="U169" s="32"/>
      <c r="V169" s="113">
        <f t="shared" si="45"/>
        <v>0</v>
      </c>
      <c r="W169" s="33"/>
      <c r="X169" s="32"/>
      <c r="Y169" s="113">
        <f t="shared" si="46"/>
        <v>0</v>
      </c>
      <c r="Z169" s="33"/>
      <c r="AA169" s="57"/>
      <c r="AB169" s="57"/>
      <c r="AC169" s="57"/>
      <c r="AD169" s="32"/>
      <c r="AE169" s="113">
        <f t="shared" si="41"/>
        <v>0</v>
      </c>
      <c r="AF169" s="33"/>
      <c r="AG169" s="32"/>
      <c r="AH169" s="26"/>
      <c r="AI169" s="33"/>
      <c r="AJ169" s="29">
        <f t="shared" si="42"/>
        <v>0</v>
      </c>
      <c r="AK169" s="57" t="s">
        <v>304</v>
      </c>
      <c r="AL169" s="58">
        <f t="shared" si="39"/>
        <v>0</v>
      </c>
      <c r="AM169" s="113">
        <f t="shared" si="43"/>
        <v>0</v>
      </c>
      <c r="AN169" s="33" t="s">
        <v>33</v>
      </c>
      <c r="AO169" s="59">
        <f t="shared" si="47"/>
        <v>0</v>
      </c>
      <c r="AP169" s="113">
        <f>ROUND(AO169*$D$1,2)</f>
        <v>0</v>
      </c>
      <c r="AQ169" s="33"/>
      <c r="AR169" s="56"/>
      <c r="AS169" s="26"/>
      <c r="AT169" s="33"/>
      <c r="AU169" s="57"/>
      <c r="AV169" s="86">
        <f t="shared" si="44"/>
        <v>0</v>
      </c>
      <c r="AW169" s="89">
        <f t="shared" si="38"/>
        <v>0</v>
      </c>
      <c r="AX169" s="86"/>
    </row>
    <row r="170" spans="1:50" s="29" customFormat="1">
      <c r="A170" s="50" t="s">
        <v>198</v>
      </c>
      <c r="B170" s="51"/>
      <c r="C170" s="51"/>
      <c r="D170" s="51"/>
      <c r="E170" s="53"/>
      <c r="F170" s="62"/>
      <c r="G170" s="69"/>
      <c r="I170" s="69"/>
      <c r="L170" s="52"/>
      <c r="M170" s="132"/>
      <c r="N170" s="131"/>
      <c r="O170" s="55"/>
      <c r="P170" s="113">
        <f t="shared" si="40"/>
        <v>0</v>
      </c>
      <c r="Q170" s="33"/>
      <c r="R170" s="56"/>
      <c r="S170" s="26"/>
      <c r="T170" s="33"/>
      <c r="U170" s="32"/>
      <c r="V170" s="113">
        <f t="shared" si="45"/>
        <v>0</v>
      </c>
      <c r="W170" s="33"/>
      <c r="X170" s="32"/>
      <c r="Y170" s="113">
        <f t="shared" si="46"/>
        <v>0</v>
      </c>
      <c r="Z170" s="33"/>
      <c r="AA170" s="57"/>
      <c r="AB170" s="57"/>
      <c r="AC170" s="57"/>
      <c r="AD170" s="32"/>
      <c r="AE170" s="113">
        <f t="shared" si="41"/>
        <v>0</v>
      </c>
      <c r="AF170" s="33"/>
      <c r="AG170" s="32"/>
      <c r="AH170" s="26"/>
      <c r="AI170" s="33"/>
      <c r="AJ170" s="29">
        <f t="shared" si="42"/>
        <v>0</v>
      </c>
      <c r="AK170" s="57" t="s">
        <v>304</v>
      </c>
      <c r="AL170" s="58">
        <f t="shared" si="39"/>
        <v>0</v>
      </c>
      <c r="AM170" s="113">
        <f t="shared" si="43"/>
        <v>0</v>
      </c>
      <c r="AN170" s="33" t="s">
        <v>33</v>
      </c>
      <c r="AO170" s="59">
        <f t="shared" si="47"/>
        <v>0</v>
      </c>
      <c r="AP170" s="26"/>
      <c r="AQ170" s="33"/>
      <c r="AR170" s="56"/>
      <c r="AS170" s="26"/>
      <c r="AT170" s="33"/>
      <c r="AU170" s="57"/>
      <c r="AV170" s="86">
        <f t="shared" si="44"/>
        <v>0</v>
      </c>
      <c r="AW170" s="89">
        <f t="shared" si="38"/>
        <v>0</v>
      </c>
      <c r="AX170" s="86"/>
    </row>
    <row r="171" spans="1:50" s="29" customFormat="1">
      <c r="A171" s="50" t="s">
        <v>199</v>
      </c>
      <c r="B171" s="51"/>
      <c r="C171" s="51"/>
      <c r="D171" s="52"/>
      <c r="E171" s="53"/>
      <c r="F171" s="62"/>
      <c r="G171" s="125"/>
      <c r="I171" s="69"/>
      <c r="L171" s="52"/>
      <c r="M171" s="132"/>
      <c r="N171" s="131"/>
      <c r="O171" s="55"/>
      <c r="P171" s="113">
        <f t="shared" si="40"/>
        <v>0</v>
      </c>
      <c r="Q171" s="33"/>
      <c r="R171" s="56"/>
      <c r="S171" s="26"/>
      <c r="T171" s="33"/>
      <c r="U171" s="32"/>
      <c r="V171" s="113">
        <f t="shared" si="45"/>
        <v>0</v>
      </c>
      <c r="W171" s="33"/>
      <c r="X171" s="32"/>
      <c r="Y171" s="113">
        <f t="shared" si="46"/>
        <v>0</v>
      </c>
      <c r="Z171" s="33"/>
      <c r="AA171" s="57"/>
      <c r="AB171" s="57"/>
      <c r="AC171" s="57"/>
      <c r="AD171" s="32"/>
      <c r="AE171" s="113">
        <f t="shared" si="41"/>
        <v>0</v>
      </c>
      <c r="AF171" s="33"/>
      <c r="AG171" s="32"/>
      <c r="AH171" s="26"/>
      <c r="AI171" s="33"/>
      <c r="AJ171" s="29">
        <f t="shared" si="42"/>
        <v>0</v>
      </c>
      <c r="AK171" s="57" t="s">
        <v>304</v>
      </c>
      <c r="AL171" s="58">
        <f t="shared" si="39"/>
        <v>0</v>
      </c>
      <c r="AM171" s="113">
        <f t="shared" si="43"/>
        <v>0</v>
      </c>
      <c r="AN171" s="33" t="s">
        <v>33</v>
      </c>
      <c r="AO171" s="59">
        <f t="shared" si="47"/>
        <v>0</v>
      </c>
      <c r="AP171" s="26"/>
      <c r="AQ171" s="33"/>
      <c r="AR171" s="56"/>
      <c r="AS171" s="26"/>
      <c r="AT171" s="33"/>
      <c r="AU171" s="57"/>
      <c r="AV171" s="86">
        <f t="shared" si="44"/>
        <v>0</v>
      </c>
      <c r="AW171" s="89">
        <f t="shared" si="38"/>
        <v>0</v>
      </c>
      <c r="AX171" s="86"/>
    </row>
    <row r="172" spans="1:50" s="29" customFormat="1">
      <c r="A172" s="50" t="s">
        <v>200</v>
      </c>
      <c r="B172" s="51"/>
      <c r="C172" s="51"/>
      <c r="D172" s="52"/>
      <c r="E172" s="53"/>
      <c r="F172" s="62"/>
      <c r="G172" s="69"/>
      <c r="I172" s="69"/>
      <c r="L172" s="52"/>
      <c r="M172" s="132"/>
      <c r="N172" s="131"/>
      <c r="O172" s="55"/>
      <c r="P172" s="113">
        <f t="shared" si="40"/>
        <v>0</v>
      </c>
      <c r="Q172" s="33"/>
      <c r="R172" s="56"/>
      <c r="S172" s="26"/>
      <c r="T172" s="33"/>
      <c r="U172" s="32"/>
      <c r="V172" s="113">
        <f t="shared" si="45"/>
        <v>0</v>
      </c>
      <c r="W172" s="33"/>
      <c r="X172" s="32"/>
      <c r="Y172" s="113">
        <f t="shared" si="46"/>
        <v>0</v>
      </c>
      <c r="Z172" s="33"/>
      <c r="AA172" s="57"/>
      <c r="AB172" s="57"/>
      <c r="AC172" s="57"/>
      <c r="AD172" s="32"/>
      <c r="AE172" s="113">
        <f t="shared" si="41"/>
        <v>0</v>
      </c>
      <c r="AF172" s="33"/>
      <c r="AG172" s="32"/>
      <c r="AH172" s="26"/>
      <c r="AI172" s="33"/>
      <c r="AJ172" s="29">
        <f t="shared" si="42"/>
        <v>0</v>
      </c>
      <c r="AK172" s="57" t="s">
        <v>304</v>
      </c>
      <c r="AL172" s="58">
        <f t="shared" si="39"/>
        <v>0</v>
      </c>
      <c r="AM172" s="113">
        <f t="shared" si="43"/>
        <v>0</v>
      </c>
      <c r="AN172" s="33" t="s">
        <v>33</v>
      </c>
      <c r="AO172" s="59">
        <f t="shared" si="47"/>
        <v>0</v>
      </c>
      <c r="AP172" s="26"/>
      <c r="AQ172" s="33"/>
      <c r="AR172" s="56"/>
      <c r="AS172" s="26"/>
      <c r="AT172" s="33"/>
      <c r="AU172" s="57"/>
      <c r="AV172" s="86">
        <f t="shared" si="44"/>
        <v>0</v>
      </c>
      <c r="AW172" s="89">
        <f t="shared" si="38"/>
        <v>0</v>
      </c>
      <c r="AX172" s="86"/>
    </row>
    <row r="173" spans="1:50" s="29" customFormat="1">
      <c r="A173" s="50" t="s">
        <v>201</v>
      </c>
      <c r="B173" s="51"/>
      <c r="C173" s="51"/>
      <c r="D173" s="51"/>
      <c r="E173" s="53"/>
      <c r="F173" s="62"/>
      <c r="G173" s="125"/>
      <c r="I173" s="69"/>
      <c r="L173" s="52"/>
      <c r="M173" s="132"/>
      <c r="N173" s="131"/>
      <c r="O173" s="55"/>
      <c r="P173" s="113">
        <f t="shared" si="40"/>
        <v>0</v>
      </c>
      <c r="Q173" s="33"/>
      <c r="R173" s="56"/>
      <c r="S173" s="26"/>
      <c r="T173" s="33"/>
      <c r="U173" s="32"/>
      <c r="V173" s="113">
        <f t="shared" si="45"/>
        <v>0</v>
      </c>
      <c r="W173" s="33"/>
      <c r="X173" s="32"/>
      <c r="Y173" s="113">
        <f t="shared" si="46"/>
        <v>0</v>
      </c>
      <c r="Z173" s="33"/>
      <c r="AA173" s="57"/>
      <c r="AB173" s="57"/>
      <c r="AC173" s="57"/>
      <c r="AD173" s="32"/>
      <c r="AE173" s="113">
        <f t="shared" si="41"/>
        <v>0</v>
      </c>
      <c r="AF173" s="33"/>
      <c r="AG173" s="32"/>
      <c r="AH173" s="26"/>
      <c r="AI173" s="33"/>
      <c r="AJ173" s="29">
        <f t="shared" si="42"/>
        <v>0</v>
      </c>
      <c r="AK173" s="57" t="s">
        <v>304</v>
      </c>
      <c r="AL173" s="58">
        <f t="shared" si="39"/>
        <v>0</v>
      </c>
      <c r="AM173" s="113">
        <f t="shared" si="43"/>
        <v>0</v>
      </c>
      <c r="AN173" s="33" t="s">
        <v>33</v>
      </c>
      <c r="AO173" s="59">
        <f t="shared" si="47"/>
        <v>0</v>
      </c>
      <c r="AP173" s="26"/>
      <c r="AQ173" s="33"/>
      <c r="AR173" s="56"/>
      <c r="AS173" s="26"/>
      <c r="AT173" s="33"/>
      <c r="AU173" s="57"/>
      <c r="AV173" s="86">
        <f t="shared" si="44"/>
        <v>0</v>
      </c>
      <c r="AW173" s="89">
        <f t="shared" si="38"/>
        <v>0</v>
      </c>
      <c r="AX173" s="86"/>
    </row>
    <row r="174" spans="1:50" s="29" customFormat="1">
      <c r="A174" s="50" t="s">
        <v>202</v>
      </c>
      <c r="B174" s="51"/>
      <c r="C174" s="51"/>
      <c r="D174" s="52"/>
      <c r="E174" s="53"/>
      <c r="F174" s="62"/>
      <c r="G174" s="125"/>
      <c r="I174" s="69"/>
      <c r="L174" s="52"/>
      <c r="M174" s="132"/>
      <c r="N174" s="131"/>
      <c r="O174" s="55"/>
      <c r="P174" s="113">
        <f t="shared" si="40"/>
        <v>0</v>
      </c>
      <c r="Q174" s="33"/>
      <c r="R174" s="56"/>
      <c r="S174" s="26"/>
      <c r="T174" s="33"/>
      <c r="U174" s="32"/>
      <c r="V174" s="113">
        <f t="shared" si="45"/>
        <v>0</v>
      </c>
      <c r="W174" s="33"/>
      <c r="X174" s="32"/>
      <c r="Y174" s="113">
        <f t="shared" si="46"/>
        <v>0</v>
      </c>
      <c r="Z174" s="33"/>
      <c r="AA174" s="57"/>
      <c r="AB174" s="57"/>
      <c r="AC174" s="57"/>
      <c r="AD174" s="32"/>
      <c r="AE174" s="113">
        <f t="shared" si="41"/>
        <v>0</v>
      </c>
      <c r="AF174" s="33"/>
      <c r="AG174" s="32"/>
      <c r="AH174" s="26"/>
      <c r="AI174" s="33"/>
      <c r="AJ174" s="29">
        <f t="shared" si="42"/>
        <v>0</v>
      </c>
      <c r="AK174" s="57" t="s">
        <v>304</v>
      </c>
      <c r="AL174" s="58">
        <f t="shared" si="39"/>
        <v>0</v>
      </c>
      <c r="AM174" s="113">
        <f t="shared" si="43"/>
        <v>0</v>
      </c>
      <c r="AN174" s="33" t="s">
        <v>33</v>
      </c>
      <c r="AO174" s="59">
        <f t="shared" si="47"/>
        <v>0</v>
      </c>
      <c r="AP174" s="26"/>
      <c r="AQ174" s="33"/>
      <c r="AR174" s="56"/>
      <c r="AS174" s="26"/>
      <c r="AT174" s="33"/>
      <c r="AU174" s="57"/>
      <c r="AV174" s="86">
        <f t="shared" si="44"/>
        <v>0</v>
      </c>
      <c r="AW174" s="89">
        <f t="shared" si="38"/>
        <v>0</v>
      </c>
      <c r="AX174" s="86"/>
    </row>
    <row r="175" spans="1:50" s="29" customFormat="1">
      <c r="A175" s="50" t="s">
        <v>310</v>
      </c>
      <c r="B175" s="51"/>
      <c r="C175" s="51"/>
      <c r="D175" s="52"/>
      <c r="E175" s="53"/>
      <c r="F175" s="62"/>
      <c r="G175" s="125"/>
      <c r="I175" s="69"/>
      <c r="L175" s="61"/>
      <c r="M175" s="132"/>
      <c r="N175" s="131"/>
      <c r="O175" s="55"/>
      <c r="P175" s="113">
        <f t="shared" si="40"/>
        <v>0</v>
      </c>
      <c r="Q175" s="33"/>
      <c r="R175" s="56"/>
      <c r="S175" s="26"/>
      <c r="T175" s="33"/>
      <c r="U175" s="32"/>
      <c r="V175" s="113">
        <f t="shared" si="45"/>
        <v>0</v>
      </c>
      <c r="W175" s="33"/>
      <c r="X175" s="32"/>
      <c r="Y175" s="113">
        <f t="shared" si="46"/>
        <v>0</v>
      </c>
      <c r="Z175" s="33"/>
      <c r="AA175" s="57"/>
      <c r="AB175" s="57"/>
      <c r="AC175" s="57"/>
      <c r="AD175" s="32"/>
      <c r="AE175" s="113">
        <f t="shared" si="41"/>
        <v>0</v>
      </c>
      <c r="AF175" s="33"/>
      <c r="AG175" s="32"/>
      <c r="AH175" s="26"/>
      <c r="AI175" s="33"/>
      <c r="AJ175" s="29">
        <f t="shared" si="42"/>
        <v>0</v>
      </c>
      <c r="AK175" s="57" t="s">
        <v>304</v>
      </c>
      <c r="AL175" s="58">
        <f t="shared" si="39"/>
        <v>0</v>
      </c>
      <c r="AM175" s="113">
        <f t="shared" si="43"/>
        <v>0</v>
      </c>
      <c r="AN175" s="33" t="s">
        <v>33</v>
      </c>
      <c r="AO175" s="59">
        <f t="shared" si="47"/>
        <v>0</v>
      </c>
      <c r="AP175" s="113">
        <f>ROUND(AO175*$D$1,2)</f>
        <v>0</v>
      </c>
      <c r="AQ175" s="33"/>
      <c r="AR175" s="56"/>
      <c r="AS175" s="26"/>
      <c r="AT175" s="33"/>
      <c r="AU175" s="57"/>
      <c r="AV175" s="86">
        <f t="shared" si="44"/>
        <v>0</v>
      </c>
      <c r="AW175" s="89">
        <f t="shared" si="38"/>
        <v>0</v>
      </c>
      <c r="AX175" s="86"/>
    </row>
    <row r="176" spans="1:50" s="29" customFormat="1">
      <c r="A176" s="50" t="s">
        <v>203</v>
      </c>
      <c r="B176" s="54"/>
      <c r="C176" s="54"/>
      <c r="D176" s="54"/>
      <c r="E176" s="53"/>
      <c r="F176" s="62"/>
      <c r="G176" s="69"/>
      <c r="I176" s="69"/>
      <c r="L176" s="52"/>
      <c r="M176" s="132"/>
      <c r="N176" s="131"/>
      <c r="O176" s="55"/>
      <c r="P176" s="113">
        <f t="shared" ref="P176:P207" si="48">ROUND(O176*$D$1,2)</f>
        <v>0</v>
      </c>
      <c r="Q176" s="33"/>
      <c r="R176" s="56"/>
      <c r="S176" s="26"/>
      <c r="T176" s="33"/>
      <c r="U176" s="32"/>
      <c r="V176" s="113">
        <f t="shared" si="45"/>
        <v>0</v>
      </c>
      <c r="W176" s="33"/>
      <c r="X176" s="32"/>
      <c r="Y176" s="113">
        <f t="shared" si="46"/>
        <v>0</v>
      </c>
      <c r="Z176" s="33"/>
      <c r="AA176" s="57"/>
      <c r="AB176" s="57"/>
      <c r="AC176" s="57"/>
      <c r="AD176" s="32"/>
      <c r="AE176" s="113">
        <f t="shared" ref="AE176:AE207" si="49">ROUND(AD176*$J$1,2)</f>
        <v>0</v>
      </c>
      <c r="AF176" s="33"/>
      <c r="AG176" s="32"/>
      <c r="AH176" s="26"/>
      <c r="AI176" s="33"/>
      <c r="AJ176" s="29">
        <f t="shared" ref="AJ176:AJ207" si="50">IF($O$1="SI",400,0)</f>
        <v>0</v>
      </c>
      <c r="AK176" s="57" t="s">
        <v>304</v>
      </c>
      <c r="AL176" s="58">
        <f t="shared" si="39"/>
        <v>0</v>
      </c>
      <c r="AM176" s="113">
        <f t="shared" ref="AM176:AM207" si="51">ROUND(AL176*$D$1,2)</f>
        <v>0</v>
      </c>
      <c r="AN176" s="33" t="s">
        <v>33</v>
      </c>
      <c r="AO176" s="59">
        <f t="shared" si="47"/>
        <v>0</v>
      </c>
      <c r="AP176" s="26"/>
      <c r="AQ176" s="33"/>
      <c r="AR176" s="56"/>
      <c r="AS176" s="26"/>
      <c r="AT176" s="33"/>
      <c r="AU176" s="57"/>
      <c r="AV176" s="86">
        <f t="shared" ref="AV176:AV207" si="52">P176+S176+V176+Y176+AB176+AE176+AH176+AJ176</f>
        <v>0</v>
      </c>
      <c r="AW176" s="89">
        <f t="shared" si="38"/>
        <v>0</v>
      </c>
      <c r="AX176" s="86"/>
    </row>
    <row r="177" spans="1:50" s="29" customFormat="1">
      <c r="A177" s="50" t="s">
        <v>204</v>
      </c>
      <c r="B177" s="51"/>
      <c r="C177" s="51"/>
      <c r="D177" s="52"/>
      <c r="E177" s="53"/>
      <c r="F177" s="62"/>
      <c r="G177" s="125"/>
      <c r="I177" s="69"/>
      <c r="L177" s="52"/>
      <c r="M177" s="132"/>
      <c r="N177" s="131"/>
      <c r="O177" s="55"/>
      <c r="P177" s="113">
        <f t="shared" si="48"/>
        <v>0</v>
      </c>
      <c r="Q177" s="33"/>
      <c r="R177" s="56"/>
      <c r="S177" s="26"/>
      <c r="T177" s="33"/>
      <c r="U177" s="32"/>
      <c r="V177" s="113">
        <f t="shared" si="45"/>
        <v>0</v>
      </c>
      <c r="W177" s="33"/>
      <c r="X177" s="32"/>
      <c r="Y177" s="113">
        <f t="shared" si="46"/>
        <v>0</v>
      </c>
      <c r="Z177" s="33"/>
      <c r="AA177" s="57"/>
      <c r="AB177" s="57"/>
      <c r="AC177" s="57"/>
      <c r="AD177" s="32"/>
      <c r="AE177" s="113">
        <f t="shared" si="49"/>
        <v>0</v>
      </c>
      <c r="AF177" s="33"/>
      <c r="AG177" s="32"/>
      <c r="AH177" s="26"/>
      <c r="AI177" s="33"/>
      <c r="AJ177" s="29">
        <f t="shared" si="50"/>
        <v>0</v>
      </c>
      <c r="AK177" s="57" t="s">
        <v>304</v>
      </c>
      <c r="AL177" s="58">
        <f t="shared" si="39"/>
        <v>0</v>
      </c>
      <c r="AM177" s="113">
        <f t="shared" si="51"/>
        <v>0</v>
      </c>
      <c r="AN177" s="33" t="s">
        <v>33</v>
      </c>
      <c r="AO177" s="59">
        <f t="shared" si="47"/>
        <v>0</v>
      </c>
      <c r="AP177" s="26"/>
      <c r="AQ177" s="33"/>
      <c r="AR177" s="56"/>
      <c r="AS177" s="26"/>
      <c r="AT177" s="33"/>
      <c r="AU177" s="57"/>
      <c r="AV177" s="86">
        <f t="shared" si="52"/>
        <v>0</v>
      </c>
      <c r="AW177" s="89">
        <f t="shared" si="38"/>
        <v>0</v>
      </c>
      <c r="AX177" s="86"/>
    </row>
    <row r="178" spans="1:50" s="29" customFormat="1">
      <c r="A178" s="50" t="s">
        <v>205</v>
      </c>
      <c r="B178" s="51"/>
      <c r="C178" s="51"/>
      <c r="D178" s="52"/>
      <c r="E178" s="53"/>
      <c r="F178" s="62"/>
      <c r="G178" s="69"/>
      <c r="I178" s="69"/>
      <c r="L178" s="52"/>
      <c r="M178" s="132"/>
      <c r="N178" s="131"/>
      <c r="O178" s="55"/>
      <c r="P178" s="113">
        <f t="shared" si="48"/>
        <v>0</v>
      </c>
      <c r="Q178" s="33"/>
      <c r="R178" s="56"/>
      <c r="S178" s="26"/>
      <c r="T178" s="33"/>
      <c r="U178" s="32"/>
      <c r="V178" s="113">
        <f t="shared" si="45"/>
        <v>0</v>
      </c>
      <c r="W178" s="33"/>
      <c r="X178" s="32"/>
      <c r="Y178" s="113">
        <f t="shared" si="46"/>
        <v>0</v>
      </c>
      <c r="Z178" s="33"/>
      <c r="AA178" s="57"/>
      <c r="AB178" s="57"/>
      <c r="AC178" s="57"/>
      <c r="AD178" s="32"/>
      <c r="AE178" s="113">
        <f t="shared" si="49"/>
        <v>0</v>
      </c>
      <c r="AF178" s="33"/>
      <c r="AG178" s="32"/>
      <c r="AH178" s="26"/>
      <c r="AI178" s="33"/>
      <c r="AJ178" s="29">
        <f t="shared" si="50"/>
        <v>0</v>
      </c>
      <c r="AK178" s="57" t="s">
        <v>304</v>
      </c>
      <c r="AL178" s="58">
        <f t="shared" si="39"/>
        <v>0</v>
      </c>
      <c r="AM178" s="113">
        <f t="shared" si="51"/>
        <v>0</v>
      </c>
      <c r="AN178" s="33" t="s">
        <v>33</v>
      </c>
      <c r="AO178" s="59">
        <f t="shared" si="47"/>
        <v>0</v>
      </c>
      <c r="AP178" s="26"/>
      <c r="AQ178" s="33"/>
      <c r="AR178" s="56"/>
      <c r="AS178" s="26"/>
      <c r="AT178" s="33"/>
      <c r="AU178" s="57"/>
      <c r="AV178" s="86">
        <f t="shared" si="52"/>
        <v>0</v>
      </c>
      <c r="AW178" s="89">
        <f t="shared" si="38"/>
        <v>0</v>
      </c>
      <c r="AX178" s="86"/>
    </row>
    <row r="179" spans="1:50" s="29" customFormat="1">
      <c r="A179" s="50" t="s">
        <v>206</v>
      </c>
      <c r="B179" s="51"/>
      <c r="C179" s="51"/>
      <c r="D179" s="52"/>
      <c r="E179" s="53"/>
      <c r="F179" s="62"/>
      <c r="G179" s="125"/>
      <c r="I179" s="69"/>
      <c r="L179" s="52"/>
      <c r="M179" s="132"/>
      <c r="N179" s="131"/>
      <c r="O179" s="55"/>
      <c r="P179" s="113">
        <f t="shared" si="48"/>
        <v>0</v>
      </c>
      <c r="Q179" s="33"/>
      <c r="R179" s="56"/>
      <c r="S179" s="26"/>
      <c r="T179" s="33"/>
      <c r="U179" s="32"/>
      <c r="V179" s="113">
        <f t="shared" si="45"/>
        <v>0</v>
      </c>
      <c r="W179" s="33"/>
      <c r="X179" s="32"/>
      <c r="Y179" s="113">
        <f t="shared" si="46"/>
        <v>0</v>
      </c>
      <c r="Z179" s="33"/>
      <c r="AA179" s="57"/>
      <c r="AB179" s="57"/>
      <c r="AC179" s="57"/>
      <c r="AD179" s="32"/>
      <c r="AE179" s="113">
        <f t="shared" si="49"/>
        <v>0</v>
      </c>
      <c r="AF179" s="33"/>
      <c r="AG179" s="32"/>
      <c r="AH179" s="26"/>
      <c r="AI179" s="33"/>
      <c r="AJ179" s="29">
        <f t="shared" si="50"/>
        <v>0</v>
      </c>
      <c r="AK179" s="57" t="s">
        <v>304</v>
      </c>
      <c r="AL179" s="58">
        <f t="shared" si="39"/>
        <v>0</v>
      </c>
      <c r="AM179" s="113">
        <f t="shared" si="51"/>
        <v>0</v>
      </c>
      <c r="AN179" s="33" t="s">
        <v>33</v>
      </c>
      <c r="AO179" s="59">
        <f t="shared" si="47"/>
        <v>0</v>
      </c>
      <c r="AP179" s="26"/>
      <c r="AQ179" s="33"/>
      <c r="AR179" s="56"/>
      <c r="AS179" s="26"/>
      <c r="AT179" s="33"/>
      <c r="AU179" s="57"/>
      <c r="AV179" s="86">
        <f t="shared" si="52"/>
        <v>0</v>
      </c>
      <c r="AW179" s="89">
        <f t="shared" si="38"/>
        <v>0</v>
      </c>
      <c r="AX179" s="86"/>
    </row>
    <row r="180" spans="1:50" s="29" customFormat="1">
      <c r="A180" s="50" t="s">
        <v>207</v>
      </c>
      <c r="B180" s="51"/>
      <c r="C180" s="51"/>
      <c r="D180" s="51"/>
      <c r="E180" s="53"/>
      <c r="F180" s="62"/>
      <c r="G180" s="69"/>
      <c r="I180" s="69"/>
      <c r="L180" s="52"/>
      <c r="M180" s="132"/>
      <c r="N180" s="131"/>
      <c r="O180" s="55"/>
      <c r="P180" s="113">
        <f t="shared" si="48"/>
        <v>0</v>
      </c>
      <c r="Q180" s="33"/>
      <c r="R180" s="56"/>
      <c r="S180" s="26"/>
      <c r="T180" s="33"/>
      <c r="U180" s="32"/>
      <c r="V180" s="113">
        <f t="shared" si="45"/>
        <v>0</v>
      </c>
      <c r="W180" s="33"/>
      <c r="X180" s="32"/>
      <c r="Y180" s="113">
        <f t="shared" si="46"/>
        <v>0</v>
      </c>
      <c r="Z180" s="33"/>
      <c r="AA180" s="57"/>
      <c r="AB180" s="57"/>
      <c r="AC180" s="57"/>
      <c r="AD180" s="32"/>
      <c r="AE180" s="113">
        <f t="shared" si="49"/>
        <v>0</v>
      </c>
      <c r="AF180" s="33"/>
      <c r="AG180" s="32"/>
      <c r="AH180" s="26"/>
      <c r="AI180" s="33"/>
      <c r="AJ180" s="29">
        <f t="shared" si="50"/>
        <v>0</v>
      </c>
      <c r="AK180" s="57" t="s">
        <v>304</v>
      </c>
      <c r="AL180" s="58">
        <f t="shared" si="39"/>
        <v>0</v>
      </c>
      <c r="AM180" s="113">
        <f t="shared" si="51"/>
        <v>0</v>
      </c>
      <c r="AN180" s="33" t="s">
        <v>33</v>
      </c>
      <c r="AO180" s="59">
        <f t="shared" si="47"/>
        <v>0</v>
      </c>
      <c r="AP180" s="26"/>
      <c r="AQ180" s="33"/>
      <c r="AR180" s="56"/>
      <c r="AS180" s="26"/>
      <c r="AT180" s="33"/>
      <c r="AU180" s="57"/>
      <c r="AV180" s="86">
        <f t="shared" si="52"/>
        <v>0</v>
      </c>
      <c r="AW180" s="89">
        <f t="shared" si="38"/>
        <v>0</v>
      </c>
      <c r="AX180" s="86"/>
    </row>
    <row r="181" spans="1:50" s="29" customFormat="1">
      <c r="A181" s="50" t="s">
        <v>208</v>
      </c>
      <c r="B181" s="51"/>
      <c r="C181" s="51"/>
      <c r="D181" s="52"/>
      <c r="E181" s="53"/>
      <c r="F181" s="62"/>
      <c r="G181" s="69"/>
      <c r="I181" s="69"/>
      <c r="L181" s="52"/>
      <c r="M181" s="132"/>
      <c r="N181" s="131"/>
      <c r="O181" s="55"/>
      <c r="P181" s="113">
        <f t="shared" si="48"/>
        <v>0</v>
      </c>
      <c r="Q181" s="33"/>
      <c r="R181" s="56"/>
      <c r="S181" s="26"/>
      <c r="T181" s="33"/>
      <c r="U181" s="32"/>
      <c r="V181" s="113">
        <f t="shared" si="45"/>
        <v>0</v>
      </c>
      <c r="W181" s="33"/>
      <c r="X181" s="32"/>
      <c r="Y181" s="113">
        <f t="shared" si="46"/>
        <v>0</v>
      </c>
      <c r="Z181" s="33"/>
      <c r="AA181" s="57"/>
      <c r="AB181" s="57"/>
      <c r="AC181" s="57"/>
      <c r="AD181" s="32"/>
      <c r="AE181" s="113">
        <f t="shared" si="49"/>
        <v>0</v>
      </c>
      <c r="AF181" s="33"/>
      <c r="AG181" s="32"/>
      <c r="AH181" s="26"/>
      <c r="AI181" s="33"/>
      <c r="AJ181" s="29">
        <f t="shared" si="50"/>
        <v>0</v>
      </c>
      <c r="AK181" s="57" t="s">
        <v>304</v>
      </c>
      <c r="AL181" s="58">
        <f t="shared" si="39"/>
        <v>0</v>
      </c>
      <c r="AM181" s="113">
        <f t="shared" si="51"/>
        <v>0</v>
      </c>
      <c r="AN181" s="33" t="s">
        <v>33</v>
      </c>
      <c r="AO181" s="59">
        <f t="shared" si="47"/>
        <v>0</v>
      </c>
      <c r="AP181" s="26"/>
      <c r="AQ181" s="33"/>
      <c r="AR181" s="56"/>
      <c r="AS181" s="26"/>
      <c r="AT181" s="33"/>
      <c r="AU181" s="57"/>
      <c r="AV181" s="86">
        <f t="shared" si="52"/>
        <v>0</v>
      </c>
      <c r="AW181" s="89">
        <f t="shared" si="38"/>
        <v>0</v>
      </c>
      <c r="AX181" s="86"/>
    </row>
    <row r="182" spans="1:50" s="29" customFormat="1">
      <c r="A182" s="50" t="s">
        <v>209</v>
      </c>
      <c r="B182" s="51"/>
      <c r="C182" s="51"/>
      <c r="D182" s="52"/>
      <c r="E182" s="53"/>
      <c r="F182" s="62"/>
      <c r="G182" s="125"/>
      <c r="I182" s="69"/>
      <c r="L182" s="52"/>
      <c r="M182" s="132"/>
      <c r="N182" s="131"/>
      <c r="O182" s="55"/>
      <c r="P182" s="113">
        <f t="shared" si="48"/>
        <v>0</v>
      </c>
      <c r="Q182" s="33"/>
      <c r="R182" s="56"/>
      <c r="S182" s="26"/>
      <c r="T182" s="33"/>
      <c r="U182" s="32"/>
      <c r="V182" s="113">
        <f t="shared" si="45"/>
        <v>0</v>
      </c>
      <c r="W182" s="33"/>
      <c r="X182" s="32"/>
      <c r="Y182" s="113">
        <f t="shared" si="46"/>
        <v>0</v>
      </c>
      <c r="Z182" s="33"/>
      <c r="AA182" s="57"/>
      <c r="AB182" s="57"/>
      <c r="AC182" s="57"/>
      <c r="AD182" s="32"/>
      <c r="AE182" s="113">
        <f t="shared" si="49"/>
        <v>0</v>
      </c>
      <c r="AF182" s="33"/>
      <c r="AG182" s="32"/>
      <c r="AH182" s="26"/>
      <c r="AI182" s="33"/>
      <c r="AJ182" s="29">
        <f t="shared" si="50"/>
        <v>0</v>
      </c>
      <c r="AK182" s="57" t="s">
        <v>304</v>
      </c>
      <c r="AL182" s="58">
        <f t="shared" si="39"/>
        <v>0</v>
      </c>
      <c r="AM182" s="113">
        <f t="shared" si="51"/>
        <v>0</v>
      </c>
      <c r="AN182" s="33" t="s">
        <v>33</v>
      </c>
      <c r="AO182" s="59">
        <f t="shared" si="47"/>
        <v>0</v>
      </c>
      <c r="AP182" s="26"/>
      <c r="AQ182" s="33"/>
      <c r="AR182" s="56"/>
      <c r="AS182" s="26"/>
      <c r="AT182" s="33"/>
      <c r="AU182" s="57"/>
      <c r="AV182" s="86">
        <f t="shared" si="52"/>
        <v>0</v>
      </c>
      <c r="AW182" s="89">
        <f t="shared" si="38"/>
        <v>0</v>
      </c>
      <c r="AX182" s="86"/>
    </row>
    <row r="183" spans="1:50" s="29" customFormat="1">
      <c r="A183" s="50" t="s">
        <v>210</v>
      </c>
      <c r="B183" s="54"/>
      <c r="C183" s="54"/>
      <c r="D183" s="54"/>
      <c r="E183" s="53"/>
      <c r="F183" s="62"/>
      <c r="G183" s="69"/>
      <c r="I183" s="69"/>
      <c r="L183" s="52"/>
      <c r="M183" s="132"/>
      <c r="N183" s="131"/>
      <c r="O183" s="55"/>
      <c r="P183" s="113">
        <f t="shared" si="48"/>
        <v>0</v>
      </c>
      <c r="Q183" s="33"/>
      <c r="R183" s="56"/>
      <c r="S183" s="26"/>
      <c r="T183" s="33"/>
      <c r="U183" s="32"/>
      <c r="V183" s="113">
        <f t="shared" si="45"/>
        <v>0</v>
      </c>
      <c r="W183" s="33"/>
      <c r="X183" s="32"/>
      <c r="Y183" s="113">
        <f t="shared" si="46"/>
        <v>0</v>
      </c>
      <c r="Z183" s="33"/>
      <c r="AA183" s="57"/>
      <c r="AB183" s="57"/>
      <c r="AC183" s="57"/>
      <c r="AD183" s="32"/>
      <c r="AE183" s="113">
        <f t="shared" si="49"/>
        <v>0</v>
      </c>
      <c r="AF183" s="33"/>
      <c r="AG183" s="32"/>
      <c r="AH183" s="26"/>
      <c r="AI183" s="33"/>
      <c r="AJ183" s="29">
        <f t="shared" si="50"/>
        <v>0</v>
      </c>
      <c r="AK183" s="57" t="s">
        <v>304</v>
      </c>
      <c r="AL183" s="58">
        <f t="shared" si="39"/>
        <v>0</v>
      </c>
      <c r="AM183" s="113">
        <f t="shared" si="51"/>
        <v>0</v>
      </c>
      <c r="AN183" s="33" t="s">
        <v>33</v>
      </c>
      <c r="AO183" s="59">
        <f t="shared" si="47"/>
        <v>0</v>
      </c>
      <c r="AP183" s="26"/>
      <c r="AQ183" s="33"/>
      <c r="AR183" s="56"/>
      <c r="AS183" s="26"/>
      <c r="AT183" s="33"/>
      <c r="AU183" s="57"/>
      <c r="AV183" s="86">
        <f t="shared" si="52"/>
        <v>0</v>
      </c>
      <c r="AW183" s="89">
        <f t="shared" si="38"/>
        <v>0</v>
      </c>
      <c r="AX183" s="86"/>
    </row>
    <row r="184" spans="1:50" s="29" customFormat="1">
      <c r="A184" s="50" t="s">
        <v>211</v>
      </c>
      <c r="B184" s="51"/>
      <c r="C184" s="51"/>
      <c r="D184" s="52"/>
      <c r="E184" s="53"/>
      <c r="F184" s="62"/>
      <c r="G184" s="69"/>
      <c r="I184" s="69"/>
      <c r="L184" s="52"/>
      <c r="M184" s="132"/>
      <c r="N184" s="131"/>
      <c r="O184" s="55"/>
      <c r="P184" s="113">
        <f t="shared" si="48"/>
        <v>0</v>
      </c>
      <c r="Q184" s="33"/>
      <c r="R184" s="56"/>
      <c r="S184" s="26"/>
      <c r="T184" s="33"/>
      <c r="U184" s="32"/>
      <c r="V184" s="113">
        <f t="shared" si="45"/>
        <v>0</v>
      </c>
      <c r="W184" s="33"/>
      <c r="X184" s="32"/>
      <c r="Y184" s="113">
        <f t="shared" si="46"/>
        <v>0</v>
      </c>
      <c r="Z184" s="33"/>
      <c r="AA184" s="57"/>
      <c r="AB184" s="57"/>
      <c r="AC184" s="57"/>
      <c r="AD184" s="32"/>
      <c r="AE184" s="113">
        <f t="shared" si="49"/>
        <v>0</v>
      </c>
      <c r="AF184" s="33"/>
      <c r="AG184" s="32"/>
      <c r="AH184" s="26"/>
      <c r="AI184" s="33"/>
      <c r="AJ184" s="29">
        <f t="shared" si="50"/>
        <v>0</v>
      </c>
      <c r="AK184" s="57" t="s">
        <v>304</v>
      </c>
      <c r="AL184" s="58">
        <f t="shared" si="39"/>
        <v>0</v>
      </c>
      <c r="AM184" s="113">
        <f t="shared" si="51"/>
        <v>0</v>
      </c>
      <c r="AN184" s="33" t="s">
        <v>33</v>
      </c>
      <c r="AO184" s="59">
        <f t="shared" si="47"/>
        <v>0</v>
      </c>
      <c r="AP184" s="113">
        <f>ROUND(AO184*$D$1,2)</f>
        <v>0</v>
      </c>
      <c r="AQ184" s="33"/>
      <c r="AR184" s="56"/>
      <c r="AS184" s="26"/>
      <c r="AT184" s="33"/>
      <c r="AU184" s="57"/>
      <c r="AV184" s="86">
        <f t="shared" si="52"/>
        <v>0</v>
      </c>
      <c r="AW184" s="89">
        <f t="shared" si="38"/>
        <v>0</v>
      </c>
      <c r="AX184" s="86"/>
    </row>
    <row r="185" spans="1:50" s="29" customFormat="1">
      <c r="A185" s="50" t="s">
        <v>212</v>
      </c>
      <c r="B185" s="51"/>
      <c r="C185" s="51"/>
      <c r="D185" s="52"/>
      <c r="E185" s="53"/>
      <c r="F185" s="62"/>
      <c r="G185" s="69"/>
      <c r="I185" s="69"/>
      <c r="L185" s="51"/>
      <c r="M185" s="130"/>
      <c r="N185" s="131"/>
      <c r="O185" s="55"/>
      <c r="P185" s="113">
        <f t="shared" si="48"/>
        <v>0</v>
      </c>
      <c r="Q185" s="33"/>
      <c r="R185" s="32"/>
      <c r="S185" s="113">
        <f>ROUND(R185*$D$1,2)</f>
        <v>0</v>
      </c>
      <c r="T185" s="33"/>
      <c r="U185" s="32"/>
      <c r="V185" s="26"/>
      <c r="W185" s="33"/>
      <c r="X185" s="56"/>
      <c r="Y185" s="26"/>
      <c r="Z185" s="33"/>
      <c r="AA185" s="57"/>
      <c r="AB185" s="57"/>
      <c r="AC185" s="57"/>
      <c r="AD185" s="32"/>
      <c r="AE185" s="113">
        <f t="shared" si="49"/>
        <v>0</v>
      </c>
      <c r="AF185" s="33"/>
      <c r="AG185" s="32"/>
      <c r="AH185" s="113">
        <f>ROUND(AG185*$D$1,2)</f>
        <v>0</v>
      </c>
      <c r="AI185" s="33"/>
      <c r="AJ185" s="29">
        <f t="shared" si="50"/>
        <v>0</v>
      </c>
      <c r="AK185" s="57" t="s">
        <v>304</v>
      </c>
      <c r="AL185" s="58">
        <f t="shared" si="39"/>
        <v>0</v>
      </c>
      <c r="AM185" s="113">
        <f t="shared" si="51"/>
        <v>0</v>
      </c>
      <c r="AN185" s="33" t="s">
        <v>33</v>
      </c>
      <c r="AO185" s="59">
        <f t="shared" si="47"/>
        <v>0</v>
      </c>
      <c r="AP185" s="26"/>
      <c r="AQ185" s="33"/>
      <c r="AR185" s="56"/>
      <c r="AS185" s="26"/>
      <c r="AT185" s="33"/>
      <c r="AU185" s="57"/>
      <c r="AV185" s="59">
        <f t="shared" si="52"/>
        <v>0</v>
      </c>
      <c r="AW185" s="89">
        <f t="shared" si="38"/>
        <v>0</v>
      </c>
      <c r="AX185" s="59"/>
    </row>
    <row r="186" spans="1:50" s="29" customFormat="1">
      <c r="A186" s="50" t="s">
        <v>213</v>
      </c>
      <c r="B186" s="51"/>
      <c r="C186" s="51"/>
      <c r="D186" s="52"/>
      <c r="E186" s="53"/>
      <c r="F186" s="62"/>
      <c r="G186" s="125"/>
      <c r="I186" s="69"/>
      <c r="L186" s="52"/>
      <c r="M186" s="132"/>
      <c r="N186" s="131"/>
      <c r="O186" s="55"/>
      <c r="P186" s="113">
        <f t="shared" si="48"/>
        <v>0</v>
      </c>
      <c r="Q186" s="33"/>
      <c r="R186" s="56"/>
      <c r="S186" s="26"/>
      <c r="T186" s="33"/>
      <c r="U186" s="32"/>
      <c r="V186" s="113">
        <f t="shared" ref="V186:V213" si="53">ROUND(U186*$D$1,2)</f>
        <v>0</v>
      </c>
      <c r="W186" s="33"/>
      <c r="X186" s="63"/>
      <c r="Y186" s="113">
        <f t="shared" ref="Y186:Y213" si="54">ROUND(X186*$D$1,2)</f>
        <v>0</v>
      </c>
      <c r="Z186" s="33"/>
      <c r="AA186" s="57"/>
      <c r="AB186" s="113">
        <f>ROUND(AA186*$D$1,2)</f>
        <v>0</v>
      </c>
      <c r="AC186" s="33"/>
      <c r="AD186" s="32"/>
      <c r="AE186" s="113">
        <f t="shared" si="49"/>
        <v>0</v>
      </c>
      <c r="AF186" s="33"/>
      <c r="AG186" s="32"/>
      <c r="AH186" s="26"/>
      <c r="AI186" s="33"/>
      <c r="AJ186" s="29">
        <f t="shared" si="50"/>
        <v>0</v>
      </c>
      <c r="AK186" s="57" t="s">
        <v>304</v>
      </c>
      <c r="AL186" s="58">
        <f t="shared" si="39"/>
        <v>0</v>
      </c>
      <c r="AM186" s="113">
        <f t="shared" si="51"/>
        <v>0</v>
      </c>
      <c r="AN186" s="33" t="s">
        <v>33</v>
      </c>
      <c r="AO186" s="59">
        <f t="shared" si="47"/>
        <v>0</v>
      </c>
      <c r="AP186" s="113">
        <f>ROUND(AO186*$D$1,2)</f>
        <v>0</v>
      </c>
      <c r="AQ186" s="33"/>
      <c r="AR186" s="56"/>
      <c r="AS186" s="26"/>
      <c r="AT186" s="33"/>
      <c r="AU186" s="57"/>
      <c r="AV186" s="86">
        <f t="shared" si="52"/>
        <v>0</v>
      </c>
      <c r="AW186" s="89">
        <f t="shared" si="38"/>
        <v>0</v>
      </c>
      <c r="AX186" s="86"/>
    </row>
    <row r="187" spans="1:50" s="29" customFormat="1">
      <c r="A187" s="50" t="s">
        <v>214</v>
      </c>
      <c r="B187" s="51"/>
      <c r="C187" s="51"/>
      <c r="D187" s="52"/>
      <c r="E187" s="53"/>
      <c r="F187" s="62"/>
      <c r="G187" s="125"/>
      <c r="I187" s="69"/>
      <c r="L187" s="61"/>
      <c r="M187" s="132"/>
      <c r="N187" s="131"/>
      <c r="O187" s="55"/>
      <c r="P187" s="113">
        <f t="shared" si="48"/>
        <v>0</v>
      </c>
      <c r="Q187" s="33"/>
      <c r="R187" s="56"/>
      <c r="S187" s="26"/>
      <c r="T187" s="33"/>
      <c r="U187" s="32"/>
      <c r="V187" s="113">
        <f t="shared" si="53"/>
        <v>0</v>
      </c>
      <c r="W187" s="33"/>
      <c r="X187" s="32"/>
      <c r="Y187" s="113">
        <f t="shared" si="54"/>
        <v>0</v>
      </c>
      <c r="Z187" s="33"/>
      <c r="AA187" s="57"/>
      <c r="AB187" s="57"/>
      <c r="AC187" s="57"/>
      <c r="AD187" s="32"/>
      <c r="AE187" s="113">
        <f t="shared" si="49"/>
        <v>0</v>
      </c>
      <c r="AF187" s="33"/>
      <c r="AG187" s="32"/>
      <c r="AH187" s="26"/>
      <c r="AI187" s="33"/>
      <c r="AJ187" s="29">
        <f t="shared" si="50"/>
        <v>0</v>
      </c>
      <c r="AK187" s="57" t="s">
        <v>304</v>
      </c>
      <c r="AL187" s="58">
        <f t="shared" si="39"/>
        <v>0</v>
      </c>
      <c r="AM187" s="113">
        <f t="shared" si="51"/>
        <v>0</v>
      </c>
      <c r="AN187" s="33" t="s">
        <v>33</v>
      </c>
      <c r="AO187" s="59">
        <f t="shared" si="47"/>
        <v>0</v>
      </c>
      <c r="AP187" s="26"/>
      <c r="AQ187" s="33"/>
      <c r="AR187" s="56"/>
      <c r="AS187" s="26"/>
      <c r="AT187" s="33"/>
      <c r="AU187" s="57"/>
      <c r="AV187" s="86">
        <f t="shared" si="52"/>
        <v>0</v>
      </c>
      <c r="AW187" s="89">
        <f t="shared" si="38"/>
        <v>0</v>
      </c>
      <c r="AX187" s="86"/>
    </row>
    <row r="188" spans="1:50" s="29" customFormat="1">
      <c r="A188" s="50" t="s">
        <v>215</v>
      </c>
      <c r="B188" s="51"/>
      <c r="C188" s="51"/>
      <c r="D188" s="52"/>
      <c r="E188" s="53"/>
      <c r="F188" s="62"/>
      <c r="G188" s="125"/>
      <c r="I188" s="69"/>
      <c r="L188" s="61"/>
      <c r="M188" s="132"/>
      <c r="N188" s="131"/>
      <c r="O188" s="55"/>
      <c r="P188" s="113">
        <f t="shared" si="48"/>
        <v>0</v>
      </c>
      <c r="Q188" s="33"/>
      <c r="R188" s="56"/>
      <c r="S188" s="26"/>
      <c r="T188" s="33"/>
      <c r="U188" s="32"/>
      <c r="V188" s="113">
        <f t="shared" si="53"/>
        <v>0</v>
      </c>
      <c r="W188" s="33"/>
      <c r="X188" s="32"/>
      <c r="Y188" s="113">
        <f t="shared" si="54"/>
        <v>0</v>
      </c>
      <c r="Z188" s="33"/>
      <c r="AA188" s="57"/>
      <c r="AB188" s="57"/>
      <c r="AC188" s="57"/>
      <c r="AD188" s="32"/>
      <c r="AE188" s="113">
        <f t="shared" si="49"/>
        <v>0</v>
      </c>
      <c r="AF188" s="33"/>
      <c r="AG188" s="32"/>
      <c r="AH188" s="26"/>
      <c r="AI188" s="33"/>
      <c r="AJ188" s="29">
        <f t="shared" si="50"/>
        <v>0</v>
      </c>
      <c r="AK188" s="57" t="s">
        <v>304</v>
      </c>
      <c r="AL188" s="58">
        <f t="shared" si="39"/>
        <v>0</v>
      </c>
      <c r="AM188" s="113">
        <f t="shared" si="51"/>
        <v>0</v>
      </c>
      <c r="AN188" s="33" t="s">
        <v>33</v>
      </c>
      <c r="AO188" s="59">
        <f t="shared" si="47"/>
        <v>0</v>
      </c>
      <c r="AP188" s="26"/>
      <c r="AQ188" s="33"/>
      <c r="AR188" s="56"/>
      <c r="AS188" s="26"/>
      <c r="AT188" s="33"/>
      <c r="AU188" s="57"/>
      <c r="AV188" s="86">
        <f t="shared" si="52"/>
        <v>0</v>
      </c>
      <c r="AW188" s="89">
        <f t="shared" si="38"/>
        <v>0</v>
      </c>
      <c r="AX188" s="86"/>
    </row>
    <row r="189" spans="1:50" s="29" customFormat="1">
      <c r="A189" s="50" t="s">
        <v>216</v>
      </c>
      <c r="B189" s="51"/>
      <c r="C189" s="51"/>
      <c r="D189" s="52"/>
      <c r="E189" s="53"/>
      <c r="F189" s="62"/>
      <c r="G189" s="125"/>
      <c r="I189" s="69"/>
      <c r="L189" s="61"/>
      <c r="M189" s="132"/>
      <c r="N189" s="131"/>
      <c r="O189" s="55"/>
      <c r="P189" s="113">
        <f t="shared" si="48"/>
        <v>0</v>
      </c>
      <c r="Q189" s="33"/>
      <c r="R189" s="56"/>
      <c r="S189" s="26"/>
      <c r="T189" s="33"/>
      <c r="U189" s="32"/>
      <c r="V189" s="113">
        <f t="shared" si="53"/>
        <v>0</v>
      </c>
      <c r="W189" s="33"/>
      <c r="X189" s="32"/>
      <c r="Y189" s="113">
        <f t="shared" si="54"/>
        <v>0</v>
      </c>
      <c r="Z189" s="33"/>
      <c r="AA189" s="57"/>
      <c r="AB189" s="57"/>
      <c r="AC189" s="57"/>
      <c r="AD189" s="32"/>
      <c r="AE189" s="113">
        <f t="shared" si="49"/>
        <v>0</v>
      </c>
      <c r="AF189" s="33"/>
      <c r="AG189" s="32"/>
      <c r="AH189" s="26"/>
      <c r="AI189" s="33"/>
      <c r="AJ189" s="29">
        <f t="shared" si="50"/>
        <v>0</v>
      </c>
      <c r="AK189" s="57" t="s">
        <v>304</v>
      </c>
      <c r="AL189" s="58">
        <f t="shared" si="39"/>
        <v>0</v>
      </c>
      <c r="AM189" s="113">
        <f t="shared" si="51"/>
        <v>0</v>
      </c>
      <c r="AN189" s="33" t="s">
        <v>33</v>
      </c>
      <c r="AO189" s="59">
        <f t="shared" si="47"/>
        <v>0</v>
      </c>
      <c r="AP189" s="113">
        <f>ROUND(AO189*$D$1,2)</f>
        <v>0</v>
      </c>
      <c r="AQ189" s="33"/>
      <c r="AR189" s="56"/>
      <c r="AS189" s="26"/>
      <c r="AT189" s="33"/>
      <c r="AU189" s="57"/>
      <c r="AV189" s="86">
        <f t="shared" si="52"/>
        <v>0</v>
      </c>
      <c r="AW189" s="89">
        <f t="shared" si="38"/>
        <v>0</v>
      </c>
      <c r="AX189" s="86"/>
    </row>
    <row r="190" spans="1:50" s="29" customFormat="1">
      <c r="A190" s="50" t="s">
        <v>217</v>
      </c>
      <c r="B190" s="51"/>
      <c r="C190" s="51"/>
      <c r="D190" s="52"/>
      <c r="E190" s="53"/>
      <c r="F190" s="62"/>
      <c r="G190" s="125"/>
      <c r="I190" s="69"/>
      <c r="L190" s="61"/>
      <c r="M190" s="132"/>
      <c r="N190" s="131"/>
      <c r="O190" s="55"/>
      <c r="P190" s="113">
        <f t="shared" si="48"/>
        <v>0</v>
      </c>
      <c r="Q190" s="33"/>
      <c r="R190" s="56"/>
      <c r="S190" s="26"/>
      <c r="T190" s="33"/>
      <c r="U190" s="32"/>
      <c r="V190" s="113">
        <f t="shared" si="53"/>
        <v>0</v>
      </c>
      <c r="W190" s="33"/>
      <c r="X190" s="32"/>
      <c r="Y190" s="113">
        <f t="shared" si="54"/>
        <v>0</v>
      </c>
      <c r="Z190" s="33"/>
      <c r="AA190" s="57"/>
      <c r="AB190" s="57"/>
      <c r="AC190" s="57"/>
      <c r="AD190" s="32"/>
      <c r="AE190" s="113">
        <f t="shared" si="49"/>
        <v>0</v>
      </c>
      <c r="AF190" s="33"/>
      <c r="AG190" s="32"/>
      <c r="AH190" s="26"/>
      <c r="AI190" s="33"/>
      <c r="AJ190" s="29">
        <f t="shared" si="50"/>
        <v>0</v>
      </c>
      <c r="AK190" s="57" t="s">
        <v>304</v>
      </c>
      <c r="AL190" s="58">
        <f t="shared" si="39"/>
        <v>0</v>
      </c>
      <c r="AM190" s="113">
        <f t="shared" si="51"/>
        <v>0</v>
      </c>
      <c r="AN190" s="33" t="s">
        <v>33</v>
      </c>
      <c r="AO190" s="59">
        <f t="shared" si="47"/>
        <v>0</v>
      </c>
      <c r="AP190" s="113">
        <f>ROUND(AO190*$D$1,2)</f>
        <v>0</v>
      </c>
      <c r="AQ190" s="33"/>
      <c r="AR190" s="56"/>
      <c r="AS190" s="26"/>
      <c r="AT190" s="33"/>
      <c r="AU190" s="57"/>
      <c r="AV190" s="86">
        <f t="shared" si="52"/>
        <v>0</v>
      </c>
      <c r="AW190" s="89">
        <f t="shared" si="38"/>
        <v>0</v>
      </c>
      <c r="AX190" s="86"/>
    </row>
    <row r="191" spans="1:50" s="29" customFormat="1">
      <c r="A191" s="50" t="s">
        <v>218</v>
      </c>
      <c r="B191" s="51"/>
      <c r="C191" s="51"/>
      <c r="D191" s="52"/>
      <c r="E191" s="53"/>
      <c r="F191" s="62"/>
      <c r="G191" s="125"/>
      <c r="I191" s="69"/>
      <c r="L191" s="52"/>
      <c r="M191" s="132"/>
      <c r="N191" s="131"/>
      <c r="O191" s="55"/>
      <c r="P191" s="113">
        <f t="shared" si="48"/>
        <v>0</v>
      </c>
      <c r="Q191" s="33"/>
      <c r="R191" s="56"/>
      <c r="S191" s="26"/>
      <c r="T191" s="33"/>
      <c r="U191" s="32"/>
      <c r="V191" s="113">
        <f t="shared" si="53"/>
        <v>0</v>
      </c>
      <c r="W191" s="33"/>
      <c r="X191" s="32"/>
      <c r="Y191" s="113">
        <f t="shared" si="54"/>
        <v>0</v>
      </c>
      <c r="Z191" s="33"/>
      <c r="AA191" s="57"/>
      <c r="AB191" s="57"/>
      <c r="AC191" s="57"/>
      <c r="AD191" s="32"/>
      <c r="AE191" s="113">
        <f t="shared" si="49"/>
        <v>0</v>
      </c>
      <c r="AF191" s="33"/>
      <c r="AG191" s="32"/>
      <c r="AH191" s="26"/>
      <c r="AI191" s="33"/>
      <c r="AJ191" s="29">
        <f t="shared" si="50"/>
        <v>0</v>
      </c>
      <c r="AK191" s="57" t="s">
        <v>304</v>
      </c>
      <c r="AL191" s="58">
        <f t="shared" si="39"/>
        <v>0</v>
      </c>
      <c r="AM191" s="113">
        <f t="shared" si="51"/>
        <v>0</v>
      </c>
      <c r="AN191" s="33" t="s">
        <v>33</v>
      </c>
      <c r="AO191" s="59">
        <f t="shared" si="47"/>
        <v>0</v>
      </c>
      <c r="AP191" s="26"/>
      <c r="AQ191" s="33"/>
      <c r="AR191" s="56"/>
      <c r="AS191" s="26"/>
      <c r="AT191" s="33"/>
      <c r="AU191" s="57"/>
      <c r="AV191" s="86">
        <f t="shared" si="52"/>
        <v>0</v>
      </c>
      <c r="AW191" s="89">
        <f t="shared" si="38"/>
        <v>0</v>
      </c>
      <c r="AX191" s="86"/>
    </row>
    <row r="192" spans="1:50" s="29" customFormat="1">
      <c r="A192" s="50" t="s">
        <v>219</v>
      </c>
      <c r="B192" s="51"/>
      <c r="C192" s="51"/>
      <c r="D192" s="52"/>
      <c r="E192" s="53"/>
      <c r="F192" s="62"/>
      <c r="G192" s="69"/>
      <c r="I192" s="69"/>
      <c r="L192" s="52"/>
      <c r="M192" s="132"/>
      <c r="N192" s="131"/>
      <c r="O192" s="55"/>
      <c r="P192" s="113">
        <f t="shared" si="48"/>
        <v>0</v>
      </c>
      <c r="Q192" s="33"/>
      <c r="R192" s="56"/>
      <c r="S192" s="26"/>
      <c r="T192" s="33"/>
      <c r="U192" s="32"/>
      <c r="V192" s="113">
        <f t="shared" si="53"/>
        <v>0</v>
      </c>
      <c r="W192" s="33"/>
      <c r="X192" s="32"/>
      <c r="Y192" s="113">
        <f t="shared" si="54"/>
        <v>0</v>
      </c>
      <c r="Z192" s="33"/>
      <c r="AA192" s="57"/>
      <c r="AB192" s="57"/>
      <c r="AC192" s="57"/>
      <c r="AD192" s="32"/>
      <c r="AE192" s="113">
        <f t="shared" si="49"/>
        <v>0</v>
      </c>
      <c r="AF192" s="33"/>
      <c r="AG192" s="32"/>
      <c r="AH192" s="26"/>
      <c r="AI192" s="33"/>
      <c r="AJ192" s="29">
        <f t="shared" si="50"/>
        <v>0</v>
      </c>
      <c r="AK192" s="57" t="s">
        <v>304</v>
      </c>
      <c r="AL192" s="58">
        <f t="shared" si="39"/>
        <v>0</v>
      </c>
      <c r="AM192" s="113">
        <f t="shared" si="51"/>
        <v>0</v>
      </c>
      <c r="AN192" s="33" t="s">
        <v>33</v>
      </c>
      <c r="AO192" s="59">
        <f t="shared" si="47"/>
        <v>0</v>
      </c>
      <c r="AP192" s="26"/>
      <c r="AQ192" s="33"/>
      <c r="AR192" s="56"/>
      <c r="AS192" s="26"/>
      <c r="AT192" s="33"/>
      <c r="AU192" s="57"/>
      <c r="AV192" s="86">
        <f t="shared" si="52"/>
        <v>0</v>
      </c>
      <c r="AW192" s="89">
        <f t="shared" si="38"/>
        <v>0</v>
      </c>
      <c r="AX192" s="86"/>
    </row>
    <row r="193" spans="1:50" s="29" customFormat="1">
      <c r="A193" s="50" t="s">
        <v>220</v>
      </c>
      <c r="B193" s="51"/>
      <c r="C193" s="51"/>
      <c r="D193" s="51"/>
      <c r="E193" s="53"/>
      <c r="F193" s="62"/>
      <c r="G193" s="125"/>
      <c r="I193" s="69"/>
      <c r="L193" s="52"/>
      <c r="M193" s="132"/>
      <c r="N193" s="131"/>
      <c r="O193" s="55"/>
      <c r="P193" s="113">
        <f t="shared" si="48"/>
        <v>0</v>
      </c>
      <c r="Q193" s="33"/>
      <c r="R193" s="56"/>
      <c r="S193" s="26"/>
      <c r="T193" s="33"/>
      <c r="U193" s="32"/>
      <c r="V193" s="113">
        <f t="shared" si="53"/>
        <v>0</v>
      </c>
      <c r="W193" s="33"/>
      <c r="X193" s="32"/>
      <c r="Y193" s="113">
        <f t="shared" si="54"/>
        <v>0</v>
      </c>
      <c r="Z193" s="33"/>
      <c r="AA193" s="57"/>
      <c r="AB193" s="57"/>
      <c r="AC193" s="57"/>
      <c r="AD193" s="32"/>
      <c r="AE193" s="113">
        <f t="shared" si="49"/>
        <v>0</v>
      </c>
      <c r="AF193" s="33"/>
      <c r="AG193" s="32"/>
      <c r="AH193" s="26"/>
      <c r="AI193" s="33"/>
      <c r="AJ193" s="29">
        <f t="shared" si="50"/>
        <v>0</v>
      </c>
      <c r="AK193" s="57" t="s">
        <v>304</v>
      </c>
      <c r="AL193" s="58">
        <f t="shared" si="39"/>
        <v>0</v>
      </c>
      <c r="AM193" s="113">
        <f t="shared" si="51"/>
        <v>0</v>
      </c>
      <c r="AN193" s="33" t="s">
        <v>33</v>
      </c>
      <c r="AO193" s="59">
        <f t="shared" ref="AO193:AO224" si="55">IF(H193="RIMAC EPS EMPRESA PRESTADORA DE SALUD",O193*0.0225,O193*0)</f>
        <v>0</v>
      </c>
      <c r="AP193" s="26"/>
      <c r="AQ193" s="33"/>
      <c r="AR193" s="56"/>
      <c r="AS193" s="26"/>
      <c r="AT193" s="33"/>
      <c r="AU193" s="57"/>
      <c r="AV193" s="86">
        <f t="shared" si="52"/>
        <v>0</v>
      </c>
      <c r="AW193" s="89">
        <f t="shared" si="38"/>
        <v>0</v>
      </c>
      <c r="AX193" s="86"/>
    </row>
    <row r="194" spans="1:50" s="29" customFormat="1">
      <c r="A194" s="50" t="s">
        <v>221</v>
      </c>
      <c r="B194" s="51"/>
      <c r="C194" s="51"/>
      <c r="D194" s="51"/>
      <c r="E194" s="53"/>
      <c r="F194" s="62"/>
      <c r="G194" s="125"/>
      <c r="I194" s="69"/>
      <c r="L194" s="52"/>
      <c r="M194" s="132"/>
      <c r="N194" s="131"/>
      <c r="O194" s="55"/>
      <c r="P194" s="113">
        <f t="shared" si="48"/>
        <v>0</v>
      </c>
      <c r="Q194" s="33"/>
      <c r="R194" s="56"/>
      <c r="S194" s="26"/>
      <c r="T194" s="33"/>
      <c r="U194" s="32"/>
      <c r="V194" s="113">
        <f t="shared" si="53"/>
        <v>0</v>
      </c>
      <c r="W194" s="33"/>
      <c r="X194" s="32"/>
      <c r="Y194" s="113">
        <f t="shared" si="54"/>
        <v>0</v>
      </c>
      <c r="Z194" s="33"/>
      <c r="AA194" s="57"/>
      <c r="AB194" s="57"/>
      <c r="AC194" s="57"/>
      <c r="AD194" s="32"/>
      <c r="AE194" s="113">
        <f t="shared" si="49"/>
        <v>0</v>
      </c>
      <c r="AF194" s="33"/>
      <c r="AG194" s="32"/>
      <c r="AH194" s="26"/>
      <c r="AI194" s="33"/>
      <c r="AJ194" s="29">
        <f t="shared" si="50"/>
        <v>0</v>
      </c>
      <c r="AK194" s="57" t="s">
        <v>304</v>
      </c>
      <c r="AL194" s="58">
        <f t="shared" si="39"/>
        <v>0</v>
      </c>
      <c r="AM194" s="113">
        <f t="shared" si="51"/>
        <v>0</v>
      </c>
      <c r="AN194" s="33" t="s">
        <v>33</v>
      </c>
      <c r="AO194" s="59">
        <f t="shared" si="55"/>
        <v>0</v>
      </c>
      <c r="AP194" s="113">
        <f>ROUND(AO194*$D$1,2)</f>
        <v>0</v>
      </c>
      <c r="AQ194" s="33"/>
      <c r="AR194" s="56"/>
      <c r="AS194" s="26"/>
      <c r="AT194" s="33"/>
      <c r="AU194" s="57"/>
      <c r="AV194" s="86">
        <f t="shared" si="52"/>
        <v>0</v>
      </c>
      <c r="AW194" s="89">
        <f t="shared" si="38"/>
        <v>0</v>
      </c>
      <c r="AX194" s="86"/>
    </row>
    <row r="195" spans="1:50" s="29" customFormat="1">
      <c r="A195" s="50" t="s">
        <v>222</v>
      </c>
      <c r="B195" s="51"/>
      <c r="C195" s="51"/>
      <c r="D195" s="52"/>
      <c r="E195" s="53"/>
      <c r="F195" s="62"/>
      <c r="G195" s="125"/>
      <c r="I195" s="69"/>
      <c r="L195" s="52"/>
      <c r="M195" s="132"/>
      <c r="N195" s="131"/>
      <c r="O195" s="55"/>
      <c r="P195" s="113">
        <f t="shared" si="48"/>
        <v>0</v>
      </c>
      <c r="Q195" s="33"/>
      <c r="R195" s="56"/>
      <c r="S195" s="26"/>
      <c r="T195" s="33"/>
      <c r="U195" s="32"/>
      <c r="V195" s="113">
        <f t="shared" si="53"/>
        <v>0</v>
      </c>
      <c r="W195" s="33"/>
      <c r="X195" s="32"/>
      <c r="Y195" s="113">
        <f t="shared" si="54"/>
        <v>0</v>
      </c>
      <c r="Z195" s="33"/>
      <c r="AA195" s="57"/>
      <c r="AB195" s="57"/>
      <c r="AC195" s="57"/>
      <c r="AD195" s="32"/>
      <c r="AE195" s="113">
        <f t="shared" si="49"/>
        <v>0</v>
      </c>
      <c r="AF195" s="33"/>
      <c r="AG195" s="32"/>
      <c r="AH195" s="26"/>
      <c r="AI195" s="33"/>
      <c r="AJ195" s="29">
        <f t="shared" si="50"/>
        <v>0</v>
      </c>
      <c r="AK195" s="57" t="s">
        <v>304</v>
      </c>
      <c r="AL195" s="58">
        <f t="shared" si="39"/>
        <v>0</v>
      </c>
      <c r="AM195" s="113">
        <f t="shared" si="51"/>
        <v>0</v>
      </c>
      <c r="AN195" s="33" t="s">
        <v>33</v>
      </c>
      <c r="AO195" s="59">
        <f t="shared" si="55"/>
        <v>0</v>
      </c>
      <c r="AP195" s="113">
        <f>ROUND(AO195*$D$1,2)</f>
        <v>0</v>
      </c>
      <c r="AQ195" s="33"/>
      <c r="AR195" s="56"/>
      <c r="AS195" s="26"/>
      <c r="AT195" s="33"/>
      <c r="AU195" s="57"/>
      <c r="AV195" s="86">
        <f t="shared" si="52"/>
        <v>0</v>
      </c>
      <c r="AW195" s="89">
        <f t="shared" si="38"/>
        <v>0</v>
      </c>
      <c r="AX195" s="86"/>
    </row>
    <row r="196" spans="1:50" s="29" customFormat="1">
      <c r="A196" s="50" t="s">
        <v>223</v>
      </c>
      <c r="E196" s="53"/>
      <c r="G196" s="125"/>
      <c r="I196" s="69"/>
      <c r="L196" s="52"/>
      <c r="M196" s="132"/>
      <c r="N196" s="131"/>
      <c r="O196" s="55"/>
      <c r="P196" s="113">
        <f t="shared" si="48"/>
        <v>0</v>
      </c>
      <c r="Q196" s="33"/>
      <c r="R196" s="56"/>
      <c r="S196" s="26"/>
      <c r="T196" s="33"/>
      <c r="U196" s="32"/>
      <c r="V196" s="113">
        <f t="shared" si="53"/>
        <v>0</v>
      </c>
      <c r="W196" s="33"/>
      <c r="X196" s="32"/>
      <c r="Y196" s="113">
        <f t="shared" si="54"/>
        <v>0</v>
      </c>
      <c r="Z196" s="33"/>
      <c r="AA196" s="57"/>
      <c r="AB196" s="57"/>
      <c r="AC196" s="57"/>
      <c r="AD196" s="32"/>
      <c r="AE196" s="113">
        <f t="shared" si="49"/>
        <v>0</v>
      </c>
      <c r="AF196" s="33"/>
      <c r="AG196" s="32"/>
      <c r="AH196" s="26"/>
      <c r="AI196" s="33"/>
      <c r="AJ196" s="29">
        <f t="shared" si="50"/>
        <v>0</v>
      </c>
      <c r="AK196" s="57" t="s">
        <v>304</v>
      </c>
      <c r="AL196" s="58">
        <f t="shared" si="39"/>
        <v>0</v>
      </c>
      <c r="AM196" s="113">
        <f t="shared" si="51"/>
        <v>0</v>
      </c>
      <c r="AN196" s="33" t="s">
        <v>33</v>
      </c>
      <c r="AO196" s="59">
        <f t="shared" si="55"/>
        <v>0</v>
      </c>
      <c r="AP196" s="113">
        <f>ROUND(AO196*$D$1,2)</f>
        <v>0</v>
      </c>
      <c r="AQ196" s="33"/>
      <c r="AR196" s="56"/>
      <c r="AS196" s="26"/>
      <c r="AT196" s="33"/>
      <c r="AU196" s="57"/>
      <c r="AV196" s="86">
        <f t="shared" si="52"/>
        <v>0</v>
      </c>
      <c r="AW196" s="89">
        <f t="shared" ref="AW196:AW259" si="56">AV196+AM196+AP196+AS196</f>
        <v>0</v>
      </c>
      <c r="AX196" s="86"/>
    </row>
    <row r="197" spans="1:50" s="29" customFormat="1">
      <c r="A197" s="50" t="s">
        <v>224</v>
      </c>
      <c r="B197" s="51"/>
      <c r="C197" s="51"/>
      <c r="D197" s="52"/>
      <c r="E197" s="53"/>
      <c r="F197" s="62"/>
      <c r="G197" s="125"/>
      <c r="I197" s="69"/>
      <c r="L197" s="61"/>
      <c r="M197" s="132"/>
      <c r="N197" s="131"/>
      <c r="O197" s="55"/>
      <c r="P197" s="113">
        <f t="shared" si="48"/>
        <v>0</v>
      </c>
      <c r="Q197" s="33"/>
      <c r="R197" s="56"/>
      <c r="S197" s="26"/>
      <c r="T197" s="33"/>
      <c r="U197" s="32"/>
      <c r="V197" s="113">
        <f t="shared" si="53"/>
        <v>0</v>
      </c>
      <c r="W197" s="33"/>
      <c r="X197" s="32"/>
      <c r="Y197" s="113">
        <f t="shared" si="54"/>
        <v>0</v>
      </c>
      <c r="Z197" s="33"/>
      <c r="AA197" s="57"/>
      <c r="AB197" s="57"/>
      <c r="AC197" s="57"/>
      <c r="AD197" s="32"/>
      <c r="AE197" s="113">
        <f t="shared" si="49"/>
        <v>0</v>
      </c>
      <c r="AF197" s="33"/>
      <c r="AG197" s="32"/>
      <c r="AH197" s="26"/>
      <c r="AI197" s="33"/>
      <c r="AJ197" s="29">
        <f t="shared" si="50"/>
        <v>0</v>
      </c>
      <c r="AK197" s="57" t="s">
        <v>304</v>
      </c>
      <c r="AL197" s="58">
        <f t="shared" ref="AL197:AL260" si="57">IF(H197="RIMAC EPS EMPRESA PRESTADORA DE SALUD",O197*0.0675,O197*0.09)</f>
        <v>0</v>
      </c>
      <c r="AM197" s="113">
        <f t="shared" si="51"/>
        <v>0</v>
      </c>
      <c r="AN197" s="33" t="s">
        <v>33</v>
      </c>
      <c r="AO197" s="59">
        <f t="shared" si="55"/>
        <v>0</v>
      </c>
      <c r="AP197" s="26"/>
      <c r="AQ197" s="33"/>
      <c r="AR197" s="56"/>
      <c r="AS197" s="26"/>
      <c r="AT197" s="33"/>
      <c r="AU197" s="57"/>
      <c r="AV197" s="86">
        <f t="shared" si="52"/>
        <v>0</v>
      </c>
      <c r="AW197" s="89">
        <f t="shared" si="56"/>
        <v>0</v>
      </c>
      <c r="AX197" s="86"/>
    </row>
    <row r="198" spans="1:50" s="29" customFormat="1">
      <c r="A198" s="50" t="s">
        <v>225</v>
      </c>
      <c r="B198" s="51"/>
      <c r="C198" s="51"/>
      <c r="D198" s="52"/>
      <c r="E198" s="53"/>
      <c r="F198" s="62"/>
      <c r="G198" s="69"/>
      <c r="I198" s="69"/>
      <c r="L198" s="52"/>
      <c r="M198" s="132"/>
      <c r="N198" s="131"/>
      <c r="O198" s="55"/>
      <c r="P198" s="113">
        <f t="shared" si="48"/>
        <v>0</v>
      </c>
      <c r="Q198" s="33"/>
      <c r="R198" s="56"/>
      <c r="S198" s="26"/>
      <c r="T198" s="33"/>
      <c r="U198" s="32"/>
      <c r="V198" s="113">
        <f t="shared" si="53"/>
        <v>0</v>
      </c>
      <c r="W198" s="33"/>
      <c r="X198" s="32"/>
      <c r="Y198" s="113">
        <f t="shared" si="54"/>
        <v>0</v>
      </c>
      <c r="Z198" s="33"/>
      <c r="AA198" s="57"/>
      <c r="AB198" s="57"/>
      <c r="AC198" s="57"/>
      <c r="AD198" s="32"/>
      <c r="AE198" s="113">
        <f t="shared" si="49"/>
        <v>0</v>
      </c>
      <c r="AF198" s="33"/>
      <c r="AG198" s="32"/>
      <c r="AH198" s="26"/>
      <c r="AI198" s="33"/>
      <c r="AJ198" s="29">
        <f t="shared" si="50"/>
        <v>0</v>
      </c>
      <c r="AK198" s="57" t="s">
        <v>304</v>
      </c>
      <c r="AL198" s="58">
        <f t="shared" si="57"/>
        <v>0</v>
      </c>
      <c r="AM198" s="113">
        <f t="shared" si="51"/>
        <v>0</v>
      </c>
      <c r="AN198" s="33" t="s">
        <v>33</v>
      </c>
      <c r="AO198" s="59">
        <f t="shared" si="55"/>
        <v>0</v>
      </c>
      <c r="AP198" s="113">
        <f>ROUND(AO198*$D$1,2)</f>
        <v>0</v>
      </c>
      <c r="AQ198" s="33"/>
      <c r="AR198" s="56"/>
      <c r="AS198" s="26"/>
      <c r="AT198" s="33"/>
      <c r="AU198" s="57"/>
      <c r="AV198" s="86">
        <f t="shared" si="52"/>
        <v>0</v>
      </c>
      <c r="AW198" s="89">
        <f t="shared" si="56"/>
        <v>0</v>
      </c>
      <c r="AX198" s="86"/>
    </row>
    <row r="199" spans="1:50" s="29" customFormat="1">
      <c r="A199" s="50" t="s">
        <v>226</v>
      </c>
      <c r="B199" s="51"/>
      <c r="C199" s="51"/>
      <c r="D199" s="52"/>
      <c r="E199" s="53"/>
      <c r="F199" s="62"/>
      <c r="G199" s="125"/>
      <c r="I199" s="69"/>
      <c r="L199" s="61"/>
      <c r="M199" s="132"/>
      <c r="N199" s="131"/>
      <c r="O199" s="55"/>
      <c r="P199" s="113">
        <f t="shared" si="48"/>
        <v>0</v>
      </c>
      <c r="Q199" s="33"/>
      <c r="R199" s="56"/>
      <c r="S199" s="26"/>
      <c r="T199" s="33"/>
      <c r="U199" s="32"/>
      <c r="V199" s="113">
        <f t="shared" si="53"/>
        <v>0</v>
      </c>
      <c r="W199" s="33"/>
      <c r="X199" s="32"/>
      <c r="Y199" s="113">
        <f t="shared" si="54"/>
        <v>0</v>
      </c>
      <c r="Z199" s="33"/>
      <c r="AA199" s="57"/>
      <c r="AB199" s="57"/>
      <c r="AC199" s="57"/>
      <c r="AD199" s="32"/>
      <c r="AE199" s="113">
        <f t="shared" si="49"/>
        <v>0</v>
      </c>
      <c r="AF199" s="33"/>
      <c r="AG199" s="32"/>
      <c r="AH199" s="26"/>
      <c r="AI199" s="33"/>
      <c r="AJ199" s="29">
        <f t="shared" si="50"/>
        <v>0</v>
      </c>
      <c r="AK199" s="57" t="s">
        <v>304</v>
      </c>
      <c r="AL199" s="58">
        <f t="shared" si="57"/>
        <v>0</v>
      </c>
      <c r="AM199" s="113">
        <f t="shared" si="51"/>
        <v>0</v>
      </c>
      <c r="AN199" s="33" t="s">
        <v>33</v>
      </c>
      <c r="AO199" s="59">
        <f t="shared" si="55"/>
        <v>0</v>
      </c>
      <c r="AP199" s="26"/>
      <c r="AQ199" s="33"/>
      <c r="AR199" s="56"/>
      <c r="AS199" s="26"/>
      <c r="AT199" s="33"/>
      <c r="AU199" s="57"/>
      <c r="AV199" s="86">
        <f t="shared" si="52"/>
        <v>0</v>
      </c>
      <c r="AW199" s="89">
        <f t="shared" si="56"/>
        <v>0</v>
      </c>
      <c r="AX199" s="86"/>
    </row>
    <row r="200" spans="1:50" s="29" customFormat="1">
      <c r="A200" s="50" t="s">
        <v>227</v>
      </c>
      <c r="B200" s="51"/>
      <c r="C200" s="51"/>
      <c r="D200" s="52"/>
      <c r="E200" s="53"/>
      <c r="F200" s="62"/>
      <c r="G200" s="125"/>
      <c r="I200" s="69"/>
      <c r="L200" s="52"/>
      <c r="M200" s="132"/>
      <c r="N200" s="131"/>
      <c r="O200" s="55"/>
      <c r="P200" s="113">
        <f t="shared" si="48"/>
        <v>0</v>
      </c>
      <c r="Q200" s="33"/>
      <c r="R200" s="56"/>
      <c r="S200" s="26"/>
      <c r="T200" s="33"/>
      <c r="U200" s="32"/>
      <c r="V200" s="113">
        <f t="shared" si="53"/>
        <v>0</v>
      </c>
      <c r="W200" s="33"/>
      <c r="X200" s="32"/>
      <c r="Y200" s="113">
        <f t="shared" si="54"/>
        <v>0</v>
      </c>
      <c r="Z200" s="33"/>
      <c r="AA200" s="57"/>
      <c r="AB200" s="57"/>
      <c r="AC200" s="57"/>
      <c r="AD200" s="32"/>
      <c r="AE200" s="113">
        <f t="shared" si="49"/>
        <v>0</v>
      </c>
      <c r="AF200" s="33"/>
      <c r="AG200" s="32"/>
      <c r="AH200" s="26"/>
      <c r="AI200" s="33"/>
      <c r="AJ200" s="29">
        <f t="shared" si="50"/>
        <v>0</v>
      </c>
      <c r="AK200" s="57" t="s">
        <v>304</v>
      </c>
      <c r="AL200" s="58">
        <f t="shared" si="57"/>
        <v>0</v>
      </c>
      <c r="AM200" s="113">
        <f t="shared" si="51"/>
        <v>0</v>
      </c>
      <c r="AN200" s="33" t="s">
        <v>33</v>
      </c>
      <c r="AO200" s="59">
        <f t="shared" si="55"/>
        <v>0</v>
      </c>
      <c r="AP200" s="26"/>
      <c r="AQ200" s="33"/>
      <c r="AR200" s="56"/>
      <c r="AS200" s="26"/>
      <c r="AT200" s="33"/>
      <c r="AU200" s="57"/>
      <c r="AV200" s="86">
        <f t="shared" si="52"/>
        <v>0</v>
      </c>
      <c r="AW200" s="89">
        <f t="shared" si="56"/>
        <v>0</v>
      </c>
      <c r="AX200" s="86"/>
    </row>
    <row r="201" spans="1:50" s="38" customFormat="1">
      <c r="A201" s="50" t="s">
        <v>228</v>
      </c>
      <c r="B201" s="35"/>
      <c r="C201" s="35"/>
      <c r="D201" s="39"/>
      <c r="E201" s="48"/>
      <c r="F201" s="37"/>
      <c r="G201" s="125"/>
      <c r="I201" s="74"/>
      <c r="L201" s="39"/>
      <c r="M201" s="134"/>
      <c r="N201" s="135"/>
      <c r="O201" s="40"/>
      <c r="P201" s="41">
        <f t="shared" si="48"/>
        <v>0</v>
      </c>
      <c r="Q201" s="42"/>
      <c r="R201" s="43"/>
      <c r="S201" s="41"/>
      <c r="T201" s="42"/>
      <c r="U201" s="44"/>
      <c r="V201" s="41">
        <f t="shared" si="53"/>
        <v>0</v>
      </c>
      <c r="W201" s="42"/>
      <c r="X201" s="44"/>
      <c r="Y201" s="41">
        <f t="shared" si="54"/>
        <v>0</v>
      </c>
      <c r="Z201" s="42"/>
      <c r="AA201" s="45"/>
      <c r="AB201" s="45"/>
      <c r="AC201" s="45"/>
      <c r="AD201" s="44"/>
      <c r="AE201" s="41">
        <f t="shared" si="49"/>
        <v>0</v>
      </c>
      <c r="AF201" s="42"/>
      <c r="AG201" s="44"/>
      <c r="AH201" s="41"/>
      <c r="AI201" s="42"/>
      <c r="AJ201" s="38">
        <f t="shared" si="50"/>
        <v>0</v>
      </c>
      <c r="AK201" s="45" t="s">
        <v>304</v>
      </c>
      <c r="AL201" s="58">
        <f t="shared" si="57"/>
        <v>0</v>
      </c>
      <c r="AM201" s="114">
        <f t="shared" si="51"/>
        <v>0</v>
      </c>
      <c r="AN201" s="42" t="s">
        <v>33</v>
      </c>
      <c r="AO201" s="46">
        <f t="shared" si="55"/>
        <v>0</v>
      </c>
      <c r="AP201" s="41"/>
      <c r="AQ201" s="42"/>
      <c r="AR201" s="43"/>
      <c r="AS201" s="41"/>
      <c r="AT201" s="42"/>
      <c r="AU201" s="45"/>
      <c r="AV201" s="91">
        <f t="shared" si="52"/>
        <v>0</v>
      </c>
      <c r="AW201" s="92">
        <f t="shared" si="56"/>
        <v>0</v>
      </c>
      <c r="AX201" s="91"/>
    </row>
    <row r="202" spans="1:50" s="29" customFormat="1">
      <c r="A202" s="50" t="s">
        <v>229</v>
      </c>
      <c r="B202" s="51"/>
      <c r="C202" s="51"/>
      <c r="D202" s="52"/>
      <c r="E202" s="53"/>
      <c r="F202" s="62"/>
      <c r="G202" s="125"/>
      <c r="I202" s="69"/>
      <c r="L202" s="61"/>
      <c r="M202" s="132"/>
      <c r="N202" s="131"/>
      <c r="O202" s="55"/>
      <c r="P202" s="113">
        <f t="shared" si="48"/>
        <v>0</v>
      </c>
      <c r="Q202" s="33"/>
      <c r="R202" s="56"/>
      <c r="S202" s="26"/>
      <c r="T202" s="33"/>
      <c r="U202" s="32"/>
      <c r="V202" s="113">
        <f t="shared" si="53"/>
        <v>0</v>
      </c>
      <c r="W202" s="33"/>
      <c r="X202" s="32"/>
      <c r="Y202" s="113">
        <f t="shared" si="54"/>
        <v>0</v>
      </c>
      <c r="Z202" s="33"/>
      <c r="AA202" s="57"/>
      <c r="AB202" s="57"/>
      <c r="AC202" s="57"/>
      <c r="AD202" s="32"/>
      <c r="AE202" s="113">
        <f t="shared" si="49"/>
        <v>0</v>
      </c>
      <c r="AF202" s="33"/>
      <c r="AG202" s="32"/>
      <c r="AH202" s="26"/>
      <c r="AI202" s="33"/>
      <c r="AJ202" s="29">
        <f t="shared" si="50"/>
        <v>0</v>
      </c>
      <c r="AK202" s="57" t="s">
        <v>304</v>
      </c>
      <c r="AL202" s="58">
        <f t="shared" si="57"/>
        <v>0</v>
      </c>
      <c r="AM202" s="113">
        <f t="shared" si="51"/>
        <v>0</v>
      </c>
      <c r="AN202" s="33" t="s">
        <v>33</v>
      </c>
      <c r="AO202" s="59">
        <f t="shared" si="55"/>
        <v>0</v>
      </c>
      <c r="AP202" s="26"/>
      <c r="AQ202" s="33"/>
      <c r="AR202" s="56"/>
      <c r="AS202" s="26"/>
      <c r="AT202" s="33"/>
      <c r="AU202" s="57"/>
      <c r="AV202" s="86">
        <f t="shared" si="52"/>
        <v>0</v>
      </c>
      <c r="AW202" s="89">
        <f t="shared" si="56"/>
        <v>0</v>
      </c>
      <c r="AX202" s="86"/>
    </row>
    <row r="203" spans="1:50" s="29" customFormat="1">
      <c r="A203" s="50" t="s">
        <v>230</v>
      </c>
      <c r="E203" s="53"/>
      <c r="G203" s="69"/>
      <c r="I203" s="69"/>
      <c r="L203" s="52"/>
      <c r="M203" s="132"/>
      <c r="N203" s="131"/>
      <c r="O203" s="55"/>
      <c r="P203" s="113">
        <f t="shared" si="48"/>
        <v>0</v>
      </c>
      <c r="Q203" s="33"/>
      <c r="R203" s="56"/>
      <c r="S203" s="26"/>
      <c r="T203" s="33"/>
      <c r="U203" s="32"/>
      <c r="V203" s="113">
        <f t="shared" si="53"/>
        <v>0</v>
      </c>
      <c r="W203" s="33"/>
      <c r="X203" s="32"/>
      <c r="Y203" s="113">
        <f t="shared" si="54"/>
        <v>0</v>
      </c>
      <c r="Z203" s="33"/>
      <c r="AA203" s="57"/>
      <c r="AB203" s="57"/>
      <c r="AC203" s="57"/>
      <c r="AD203" s="32"/>
      <c r="AE203" s="113">
        <f t="shared" si="49"/>
        <v>0</v>
      </c>
      <c r="AF203" s="33"/>
      <c r="AG203" s="32"/>
      <c r="AH203" s="26"/>
      <c r="AI203" s="33"/>
      <c r="AJ203" s="29">
        <f t="shared" si="50"/>
        <v>0</v>
      </c>
      <c r="AK203" s="57" t="s">
        <v>304</v>
      </c>
      <c r="AL203" s="58">
        <f t="shared" si="57"/>
        <v>0</v>
      </c>
      <c r="AM203" s="113">
        <f t="shared" si="51"/>
        <v>0</v>
      </c>
      <c r="AN203" s="33" t="s">
        <v>33</v>
      </c>
      <c r="AO203" s="59">
        <f t="shared" si="55"/>
        <v>0</v>
      </c>
      <c r="AP203" s="26"/>
      <c r="AQ203" s="33"/>
      <c r="AR203" s="56"/>
      <c r="AS203" s="26"/>
      <c r="AT203" s="33"/>
      <c r="AU203" s="57"/>
      <c r="AV203" s="86">
        <f t="shared" si="52"/>
        <v>0</v>
      </c>
      <c r="AW203" s="89">
        <f t="shared" si="56"/>
        <v>0</v>
      </c>
      <c r="AX203" s="86"/>
    </row>
    <row r="204" spans="1:50" s="29" customFormat="1">
      <c r="A204" s="50" t="s">
        <v>231</v>
      </c>
      <c r="B204" s="51"/>
      <c r="C204" s="51"/>
      <c r="D204" s="52"/>
      <c r="E204" s="53"/>
      <c r="F204" s="62"/>
      <c r="G204" s="125"/>
      <c r="I204" s="69"/>
      <c r="L204" s="52"/>
      <c r="M204" s="132"/>
      <c r="N204" s="131"/>
      <c r="O204" s="55"/>
      <c r="P204" s="113">
        <f t="shared" si="48"/>
        <v>0</v>
      </c>
      <c r="Q204" s="33"/>
      <c r="R204" s="56"/>
      <c r="S204" s="26"/>
      <c r="T204" s="33"/>
      <c r="U204" s="32"/>
      <c r="V204" s="113">
        <f t="shared" si="53"/>
        <v>0</v>
      </c>
      <c r="W204" s="33"/>
      <c r="X204" s="32"/>
      <c r="Y204" s="113">
        <f t="shared" si="54"/>
        <v>0</v>
      </c>
      <c r="Z204" s="33"/>
      <c r="AA204" s="57"/>
      <c r="AB204" s="57"/>
      <c r="AC204" s="57"/>
      <c r="AD204" s="32"/>
      <c r="AE204" s="113">
        <f t="shared" si="49"/>
        <v>0</v>
      </c>
      <c r="AF204" s="33"/>
      <c r="AG204" s="32"/>
      <c r="AH204" s="26"/>
      <c r="AI204" s="33"/>
      <c r="AJ204" s="29">
        <f t="shared" si="50"/>
        <v>0</v>
      </c>
      <c r="AK204" s="57" t="s">
        <v>304</v>
      </c>
      <c r="AL204" s="58">
        <f t="shared" si="57"/>
        <v>0</v>
      </c>
      <c r="AM204" s="113">
        <f t="shared" si="51"/>
        <v>0</v>
      </c>
      <c r="AN204" s="33" t="s">
        <v>33</v>
      </c>
      <c r="AO204" s="59">
        <f t="shared" si="55"/>
        <v>0</v>
      </c>
      <c r="AP204" s="26"/>
      <c r="AQ204" s="33"/>
      <c r="AR204" s="56"/>
      <c r="AS204" s="26"/>
      <c r="AT204" s="33"/>
      <c r="AU204" s="57"/>
      <c r="AV204" s="86">
        <f t="shared" si="52"/>
        <v>0</v>
      </c>
      <c r="AW204" s="89">
        <f t="shared" si="56"/>
        <v>0</v>
      </c>
      <c r="AX204" s="86"/>
    </row>
    <row r="205" spans="1:50" s="29" customFormat="1">
      <c r="A205" s="50" t="s">
        <v>232</v>
      </c>
      <c r="B205" s="51"/>
      <c r="C205" s="51"/>
      <c r="D205" s="52"/>
      <c r="E205" s="53"/>
      <c r="F205" s="62"/>
      <c r="G205" s="125"/>
      <c r="I205" s="69"/>
      <c r="L205" s="61"/>
      <c r="M205" s="132"/>
      <c r="N205" s="131"/>
      <c r="O205" s="55"/>
      <c r="P205" s="113">
        <f t="shared" si="48"/>
        <v>0</v>
      </c>
      <c r="Q205" s="33"/>
      <c r="R205" s="56"/>
      <c r="S205" s="26"/>
      <c r="T205" s="33"/>
      <c r="U205" s="32"/>
      <c r="V205" s="113">
        <f t="shared" si="53"/>
        <v>0</v>
      </c>
      <c r="W205" s="33"/>
      <c r="X205" s="32"/>
      <c r="Y205" s="113">
        <f t="shared" si="54"/>
        <v>0</v>
      </c>
      <c r="Z205" s="33"/>
      <c r="AA205" s="57"/>
      <c r="AB205" s="113">
        <f>ROUND(AA205*$D$1,2)</f>
        <v>0</v>
      </c>
      <c r="AC205" s="33"/>
      <c r="AD205" s="32"/>
      <c r="AE205" s="113">
        <f t="shared" si="49"/>
        <v>0</v>
      </c>
      <c r="AF205" s="33"/>
      <c r="AG205" s="32"/>
      <c r="AH205" s="26"/>
      <c r="AI205" s="33"/>
      <c r="AJ205" s="29">
        <f t="shared" si="50"/>
        <v>0</v>
      </c>
      <c r="AK205" s="57" t="s">
        <v>304</v>
      </c>
      <c r="AL205" s="58">
        <f t="shared" si="57"/>
        <v>0</v>
      </c>
      <c r="AM205" s="113">
        <f t="shared" si="51"/>
        <v>0</v>
      </c>
      <c r="AN205" s="33" t="s">
        <v>33</v>
      </c>
      <c r="AO205" s="59">
        <f t="shared" si="55"/>
        <v>0</v>
      </c>
      <c r="AP205" s="26"/>
      <c r="AQ205" s="33"/>
      <c r="AR205" s="56">
        <f>O205*6%</f>
        <v>0</v>
      </c>
      <c r="AS205" s="113">
        <f>ROUND(AR205*$D$1,2)</f>
        <v>0</v>
      </c>
      <c r="AT205" s="33"/>
      <c r="AU205" s="57"/>
      <c r="AV205" s="86">
        <f t="shared" si="52"/>
        <v>0</v>
      </c>
      <c r="AW205" s="89">
        <f t="shared" si="56"/>
        <v>0</v>
      </c>
      <c r="AX205" s="86"/>
    </row>
    <row r="206" spans="1:50" s="29" customFormat="1">
      <c r="A206" s="50" t="s">
        <v>233</v>
      </c>
      <c r="B206" s="51"/>
      <c r="C206" s="51"/>
      <c r="D206" s="52"/>
      <c r="E206" s="53"/>
      <c r="F206" s="62"/>
      <c r="G206" s="125"/>
      <c r="I206" s="69"/>
      <c r="L206" s="61"/>
      <c r="M206" s="132"/>
      <c r="N206" s="131"/>
      <c r="O206" s="55"/>
      <c r="P206" s="113">
        <f t="shared" si="48"/>
        <v>0</v>
      </c>
      <c r="Q206" s="33"/>
      <c r="R206" s="56"/>
      <c r="S206" s="26"/>
      <c r="T206" s="33"/>
      <c r="U206" s="32"/>
      <c r="V206" s="113">
        <f t="shared" si="53"/>
        <v>0</v>
      </c>
      <c r="W206" s="33"/>
      <c r="X206" s="32"/>
      <c r="Y206" s="113">
        <f t="shared" si="54"/>
        <v>0</v>
      </c>
      <c r="Z206" s="33"/>
      <c r="AA206" s="57"/>
      <c r="AB206" s="57"/>
      <c r="AC206" s="57"/>
      <c r="AD206" s="32"/>
      <c r="AE206" s="113">
        <f t="shared" si="49"/>
        <v>0</v>
      </c>
      <c r="AF206" s="33"/>
      <c r="AG206" s="32"/>
      <c r="AH206" s="26"/>
      <c r="AI206" s="33"/>
      <c r="AJ206" s="29">
        <f t="shared" si="50"/>
        <v>0</v>
      </c>
      <c r="AK206" s="57" t="s">
        <v>304</v>
      </c>
      <c r="AL206" s="58">
        <f t="shared" si="57"/>
        <v>0</v>
      </c>
      <c r="AM206" s="113">
        <f t="shared" si="51"/>
        <v>0</v>
      </c>
      <c r="AN206" s="33" t="s">
        <v>33</v>
      </c>
      <c r="AO206" s="59">
        <f t="shared" si="55"/>
        <v>0</v>
      </c>
      <c r="AP206" s="26"/>
      <c r="AQ206" s="33"/>
      <c r="AR206" s="56"/>
      <c r="AS206" s="26"/>
      <c r="AT206" s="33"/>
      <c r="AU206" s="57"/>
      <c r="AV206" s="86">
        <f t="shared" si="52"/>
        <v>0</v>
      </c>
      <c r="AW206" s="89">
        <f t="shared" si="56"/>
        <v>0</v>
      </c>
      <c r="AX206" s="86"/>
    </row>
    <row r="207" spans="1:50" s="29" customFormat="1">
      <c r="A207" s="50" t="s">
        <v>234</v>
      </c>
      <c r="E207" s="53"/>
      <c r="G207" s="69"/>
      <c r="I207" s="69"/>
      <c r="L207" s="52"/>
      <c r="M207" s="132"/>
      <c r="N207" s="131"/>
      <c r="O207" s="55"/>
      <c r="P207" s="113">
        <f t="shared" si="48"/>
        <v>0</v>
      </c>
      <c r="Q207" s="33"/>
      <c r="R207" s="56"/>
      <c r="S207" s="26"/>
      <c r="T207" s="33"/>
      <c r="U207" s="32"/>
      <c r="V207" s="113">
        <f t="shared" si="53"/>
        <v>0</v>
      </c>
      <c r="W207" s="33"/>
      <c r="X207" s="32"/>
      <c r="Y207" s="113">
        <f t="shared" si="54"/>
        <v>0</v>
      </c>
      <c r="Z207" s="33"/>
      <c r="AA207" s="57"/>
      <c r="AB207" s="57"/>
      <c r="AC207" s="57"/>
      <c r="AD207" s="32"/>
      <c r="AE207" s="113">
        <f t="shared" si="49"/>
        <v>0</v>
      </c>
      <c r="AF207" s="33"/>
      <c r="AG207" s="32"/>
      <c r="AH207" s="26"/>
      <c r="AI207" s="33"/>
      <c r="AJ207" s="29">
        <f t="shared" si="50"/>
        <v>0</v>
      </c>
      <c r="AK207" s="57" t="s">
        <v>304</v>
      </c>
      <c r="AL207" s="58">
        <f t="shared" si="57"/>
        <v>0</v>
      </c>
      <c r="AM207" s="113">
        <f t="shared" si="51"/>
        <v>0</v>
      </c>
      <c r="AN207" s="33" t="s">
        <v>33</v>
      </c>
      <c r="AO207" s="59">
        <f t="shared" si="55"/>
        <v>0</v>
      </c>
      <c r="AP207" s="26"/>
      <c r="AQ207" s="33"/>
      <c r="AR207" s="56"/>
      <c r="AS207" s="26"/>
      <c r="AT207" s="33"/>
      <c r="AU207" s="57"/>
      <c r="AV207" s="86">
        <f t="shared" si="52"/>
        <v>0</v>
      </c>
      <c r="AW207" s="89">
        <f t="shared" si="56"/>
        <v>0</v>
      </c>
      <c r="AX207" s="86"/>
    </row>
    <row r="208" spans="1:50" s="29" customFormat="1">
      <c r="A208" s="50" t="s">
        <v>235</v>
      </c>
      <c r="B208" s="51"/>
      <c r="C208" s="51"/>
      <c r="D208" s="52"/>
      <c r="E208" s="53"/>
      <c r="F208" s="62"/>
      <c r="G208" s="125"/>
      <c r="I208" s="69"/>
      <c r="L208" s="61"/>
      <c r="M208" s="132"/>
      <c r="N208" s="131"/>
      <c r="O208" s="55"/>
      <c r="P208" s="113">
        <f t="shared" ref="P208:P224" si="58">ROUND(O208*$D$1,2)</f>
        <v>0</v>
      </c>
      <c r="Q208" s="33"/>
      <c r="R208" s="56"/>
      <c r="S208" s="26"/>
      <c r="T208" s="33"/>
      <c r="U208" s="32"/>
      <c r="V208" s="113">
        <f t="shared" si="53"/>
        <v>0</v>
      </c>
      <c r="W208" s="33"/>
      <c r="X208" s="32"/>
      <c r="Y208" s="113">
        <f t="shared" si="54"/>
        <v>0</v>
      </c>
      <c r="Z208" s="33"/>
      <c r="AA208" s="57"/>
      <c r="AB208" s="57"/>
      <c r="AC208" s="57"/>
      <c r="AD208" s="32"/>
      <c r="AE208" s="113">
        <f t="shared" ref="AE208:AE224" si="59">ROUND(AD208*$J$1,2)</f>
        <v>0</v>
      </c>
      <c r="AF208" s="33"/>
      <c r="AG208" s="32"/>
      <c r="AH208" s="26"/>
      <c r="AI208" s="33"/>
      <c r="AJ208" s="29">
        <f t="shared" ref="AJ208:AJ224" si="60">IF($O$1="SI",400,0)</f>
        <v>0</v>
      </c>
      <c r="AK208" s="57" t="s">
        <v>304</v>
      </c>
      <c r="AL208" s="58">
        <f t="shared" si="57"/>
        <v>0</v>
      </c>
      <c r="AM208" s="113">
        <f t="shared" ref="AM208:AM224" si="61">ROUND(AL208*$D$1,2)</f>
        <v>0</v>
      </c>
      <c r="AN208" s="33" t="s">
        <v>33</v>
      </c>
      <c r="AO208" s="59">
        <f t="shared" si="55"/>
        <v>0</v>
      </c>
      <c r="AP208" s="26"/>
      <c r="AQ208" s="33"/>
      <c r="AR208" s="56"/>
      <c r="AS208" s="26"/>
      <c r="AT208" s="33"/>
      <c r="AU208" s="57"/>
      <c r="AV208" s="86">
        <f t="shared" ref="AV208:AV224" si="62">P208+S208+V208+Y208+AB208+AE208+AH208+AJ208</f>
        <v>0</v>
      </c>
      <c r="AW208" s="89">
        <f t="shared" si="56"/>
        <v>0</v>
      </c>
      <c r="AX208" s="86"/>
    </row>
    <row r="209" spans="1:53" s="29" customFormat="1">
      <c r="A209" s="50" t="s">
        <v>236</v>
      </c>
      <c r="B209" s="65"/>
      <c r="C209" s="65"/>
      <c r="D209" s="65"/>
      <c r="E209" s="53"/>
      <c r="F209" s="62"/>
      <c r="G209" s="125"/>
      <c r="I209" s="69"/>
      <c r="L209" s="61"/>
      <c r="M209" s="132"/>
      <c r="N209" s="131"/>
      <c r="O209" s="55"/>
      <c r="P209" s="113">
        <f t="shared" si="58"/>
        <v>0</v>
      </c>
      <c r="Q209" s="33"/>
      <c r="R209" s="56"/>
      <c r="S209" s="26"/>
      <c r="T209" s="33"/>
      <c r="U209" s="32"/>
      <c r="V209" s="113">
        <f t="shared" si="53"/>
        <v>0</v>
      </c>
      <c r="W209" s="33"/>
      <c r="X209" s="32"/>
      <c r="Y209" s="113">
        <f t="shared" si="54"/>
        <v>0</v>
      </c>
      <c r="Z209" s="33"/>
      <c r="AA209" s="57"/>
      <c r="AB209" s="57"/>
      <c r="AC209" s="57"/>
      <c r="AD209" s="32"/>
      <c r="AE209" s="113">
        <f t="shared" si="59"/>
        <v>0</v>
      </c>
      <c r="AF209" s="33"/>
      <c r="AG209" s="32"/>
      <c r="AH209" s="26"/>
      <c r="AI209" s="33"/>
      <c r="AJ209" s="29">
        <f t="shared" si="60"/>
        <v>0</v>
      </c>
      <c r="AK209" s="57" t="s">
        <v>304</v>
      </c>
      <c r="AL209" s="58">
        <f t="shared" si="57"/>
        <v>0</v>
      </c>
      <c r="AM209" s="113">
        <f t="shared" si="61"/>
        <v>0</v>
      </c>
      <c r="AN209" s="33" t="s">
        <v>33</v>
      </c>
      <c r="AO209" s="59">
        <f t="shared" si="55"/>
        <v>0</v>
      </c>
      <c r="AP209" s="26"/>
      <c r="AQ209" s="33"/>
      <c r="AR209" s="56"/>
      <c r="AS209" s="26"/>
      <c r="AT209" s="33"/>
      <c r="AU209" s="57"/>
      <c r="AV209" s="86">
        <f t="shared" si="62"/>
        <v>0</v>
      </c>
      <c r="AW209" s="89">
        <f t="shared" si="56"/>
        <v>0</v>
      </c>
      <c r="AX209" s="86"/>
    </row>
    <row r="210" spans="1:53" s="29" customFormat="1">
      <c r="A210" s="50" t="s">
        <v>237</v>
      </c>
      <c r="B210" s="51"/>
      <c r="C210" s="51"/>
      <c r="D210" s="52"/>
      <c r="E210" s="53"/>
      <c r="F210" s="62"/>
      <c r="G210" s="69"/>
      <c r="I210" s="69"/>
      <c r="L210" s="52"/>
      <c r="M210" s="132"/>
      <c r="N210" s="131"/>
      <c r="O210" s="55"/>
      <c r="P210" s="113">
        <f t="shared" si="58"/>
        <v>0</v>
      </c>
      <c r="Q210" s="33"/>
      <c r="R210" s="56"/>
      <c r="S210" s="26"/>
      <c r="T210" s="33"/>
      <c r="U210" s="32"/>
      <c r="V210" s="113">
        <f t="shared" si="53"/>
        <v>0</v>
      </c>
      <c r="W210" s="33"/>
      <c r="X210" s="32"/>
      <c r="Y210" s="113">
        <f t="shared" si="54"/>
        <v>0</v>
      </c>
      <c r="Z210" s="33"/>
      <c r="AA210" s="57"/>
      <c r="AB210" s="57"/>
      <c r="AC210" s="57"/>
      <c r="AD210" s="32"/>
      <c r="AE210" s="113">
        <f t="shared" si="59"/>
        <v>0</v>
      </c>
      <c r="AF210" s="33"/>
      <c r="AG210" s="32"/>
      <c r="AH210" s="26"/>
      <c r="AI210" s="33"/>
      <c r="AJ210" s="29">
        <f t="shared" si="60"/>
        <v>0</v>
      </c>
      <c r="AK210" s="57" t="s">
        <v>304</v>
      </c>
      <c r="AL210" s="58">
        <f t="shared" si="57"/>
        <v>0</v>
      </c>
      <c r="AM210" s="113">
        <f t="shared" si="61"/>
        <v>0</v>
      </c>
      <c r="AN210" s="33" t="s">
        <v>33</v>
      </c>
      <c r="AO210" s="59">
        <f t="shared" si="55"/>
        <v>0</v>
      </c>
      <c r="AP210" s="26"/>
      <c r="AQ210" s="33"/>
      <c r="AR210" s="56"/>
      <c r="AS210" s="26"/>
      <c r="AT210" s="33"/>
      <c r="AU210" s="57"/>
      <c r="AV210" s="86">
        <f t="shared" si="62"/>
        <v>0</v>
      </c>
      <c r="AW210" s="89">
        <f t="shared" si="56"/>
        <v>0</v>
      </c>
      <c r="AX210" s="86"/>
    </row>
    <row r="211" spans="1:53" s="29" customFormat="1">
      <c r="A211" s="50" t="s">
        <v>238</v>
      </c>
      <c r="B211" s="51"/>
      <c r="C211" s="51"/>
      <c r="D211" s="52"/>
      <c r="E211" s="53"/>
      <c r="F211" s="62"/>
      <c r="G211" s="125"/>
      <c r="I211" s="69"/>
      <c r="L211" s="61"/>
      <c r="M211" s="132"/>
      <c r="N211" s="131"/>
      <c r="O211" s="55"/>
      <c r="P211" s="113">
        <f t="shared" si="58"/>
        <v>0</v>
      </c>
      <c r="Q211" s="33"/>
      <c r="R211" s="56"/>
      <c r="S211" s="26"/>
      <c r="T211" s="33"/>
      <c r="U211" s="32"/>
      <c r="V211" s="113">
        <f t="shared" si="53"/>
        <v>0</v>
      </c>
      <c r="W211" s="33"/>
      <c r="X211" s="32"/>
      <c r="Y211" s="113">
        <f t="shared" si="54"/>
        <v>0</v>
      </c>
      <c r="Z211" s="33"/>
      <c r="AA211" s="57"/>
      <c r="AB211" s="57"/>
      <c r="AC211" s="57"/>
      <c r="AD211" s="32"/>
      <c r="AE211" s="113">
        <f t="shared" si="59"/>
        <v>0</v>
      </c>
      <c r="AF211" s="33"/>
      <c r="AG211" s="32"/>
      <c r="AH211" s="26"/>
      <c r="AI211" s="33"/>
      <c r="AJ211" s="29">
        <f t="shared" si="60"/>
        <v>0</v>
      </c>
      <c r="AK211" s="57" t="s">
        <v>304</v>
      </c>
      <c r="AL211" s="58">
        <f t="shared" si="57"/>
        <v>0</v>
      </c>
      <c r="AM211" s="113">
        <f t="shared" si="61"/>
        <v>0</v>
      </c>
      <c r="AN211" s="33" t="s">
        <v>33</v>
      </c>
      <c r="AO211" s="59">
        <f t="shared" si="55"/>
        <v>0</v>
      </c>
      <c r="AP211" s="26"/>
      <c r="AQ211" s="33"/>
      <c r="AR211" s="56"/>
      <c r="AS211" s="26"/>
      <c r="AT211" s="33"/>
      <c r="AU211" s="57"/>
      <c r="AV211" s="86">
        <f t="shared" si="62"/>
        <v>0</v>
      </c>
      <c r="AW211" s="89">
        <f t="shared" si="56"/>
        <v>0</v>
      </c>
      <c r="AX211" s="86"/>
    </row>
    <row r="212" spans="1:53" s="29" customFormat="1">
      <c r="A212" s="50" t="s">
        <v>239</v>
      </c>
      <c r="B212" s="51"/>
      <c r="C212" s="51"/>
      <c r="D212" s="51"/>
      <c r="E212" s="53"/>
      <c r="F212" s="62"/>
      <c r="G212" s="69"/>
      <c r="I212" s="69"/>
      <c r="L212" s="52"/>
      <c r="M212" s="132"/>
      <c r="N212" s="131"/>
      <c r="O212" s="55"/>
      <c r="P212" s="113">
        <f t="shared" si="58"/>
        <v>0</v>
      </c>
      <c r="Q212" s="33"/>
      <c r="R212" s="56"/>
      <c r="S212" s="26"/>
      <c r="T212" s="33"/>
      <c r="U212" s="32"/>
      <c r="V212" s="113">
        <f t="shared" si="53"/>
        <v>0</v>
      </c>
      <c r="W212" s="33"/>
      <c r="X212" s="32"/>
      <c r="Y212" s="113">
        <f t="shared" si="54"/>
        <v>0</v>
      </c>
      <c r="Z212" s="33"/>
      <c r="AA212" s="57"/>
      <c r="AB212" s="57"/>
      <c r="AC212" s="57"/>
      <c r="AD212" s="32"/>
      <c r="AE212" s="113">
        <f t="shared" si="59"/>
        <v>0</v>
      </c>
      <c r="AF212" s="33"/>
      <c r="AG212" s="32"/>
      <c r="AH212" s="26"/>
      <c r="AI212" s="33"/>
      <c r="AJ212" s="29">
        <f t="shared" si="60"/>
        <v>0</v>
      </c>
      <c r="AK212" s="57" t="s">
        <v>304</v>
      </c>
      <c r="AL212" s="58">
        <f t="shared" si="57"/>
        <v>0</v>
      </c>
      <c r="AM212" s="113">
        <f t="shared" si="61"/>
        <v>0</v>
      </c>
      <c r="AN212" s="33" t="s">
        <v>33</v>
      </c>
      <c r="AO212" s="59">
        <f t="shared" si="55"/>
        <v>0</v>
      </c>
      <c r="AP212" s="26"/>
      <c r="AQ212" s="33"/>
      <c r="AR212" s="56"/>
      <c r="AS212" s="26"/>
      <c r="AT212" s="33"/>
      <c r="AU212" s="57"/>
      <c r="AV212" s="86">
        <f t="shared" si="62"/>
        <v>0</v>
      </c>
      <c r="AW212" s="89">
        <f t="shared" si="56"/>
        <v>0</v>
      </c>
      <c r="AX212" s="86"/>
    </row>
    <row r="213" spans="1:53" s="29" customFormat="1">
      <c r="A213" s="50" t="s">
        <v>240</v>
      </c>
      <c r="B213" s="51"/>
      <c r="C213" s="51"/>
      <c r="D213" s="52"/>
      <c r="E213" s="53"/>
      <c r="F213" s="62"/>
      <c r="G213" s="125"/>
      <c r="I213" s="69"/>
      <c r="L213" s="61"/>
      <c r="M213" s="132"/>
      <c r="N213" s="131"/>
      <c r="O213" s="55"/>
      <c r="P213" s="113">
        <f t="shared" si="58"/>
        <v>0</v>
      </c>
      <c r="Q213" s="33"/>
      <c r="R213" s="56"/>
      <c r="S213" s="26"/>
      <c r="T213" s="33"/>
      <c r="U213" s="32"/>
      <c r="V213" s="113">
        <f t="shared" si="53"/>
        <v>0</v>
      </c>
      <c r="W213" s="33"/>
      <c r="X213" s="32"/>
      <c r="Y213" s="113">
        <f t="shared" si="54"/>
        <v>0</v>
      </c>
      <c r="Z213" s="33"/>
      <c r="AA213" s="57"/>
      <c r="AB213" s="57"/>
      <c r="AC213" s="57"/>
      <c r="AD213" s="32"/>
      <c r="AE213" s="113">
        <f t="shared" si="59"/>
        <v>0</v>
      </c>
      <c r="AF213" s="33"/>
      <c r="AG213" s="32"/>
      <c r="AH213" s="26"/>
      <c r="AI213" s="33"/>
      <c r="AJ213" s="29">
        <f t="shared" si="60"/>
        <v>0</v>
      </c>
      <c r="AK213" s="57" t="s">
        <v>304</v>
      </c>
      <c r="AL213" s="58">
        <f t="shared" si="57"/>
        <v>0</v>
      </c>
      <c r="AM213" s="113">
        <f t="shared" si="61"/>
        <v>0</v>
      </c>
      <c r="AN213" s="33" t="s">
        <v>33</v>
      </c>
      <c r="AO213" s="59">
        <f t="shared" si="55"/>
        <v>0</v>
      </c>
      <c r="AP213" s="113">
        <f>ROUND(AO213*$D$1,2)</f>
        <v>0</v>
      </c>
      <c r="AQ213" s="33"/>
      <c r="AR213" s="56"/>
      <c r="AS213" s="26"/>
      <c r="AT213" s="33"/>
      <c r="AU213" s="57"/>
      <c r="AV213" s="86">
        <f t="shared" si="62"/>
        <v>0</v>
      </c>
      <c r="AW213" s="89">
        <f t="shared" si="56"/>
        <v>0</v>
      </c>
      <c r="AX213" s="86"/>
    </row>
    <row r="214" spans="1:53" s="29" customFormat="1">
      <c r="A214" s="50" t="s">
        <v>241</v>
      </c>
      <c r="B214" s="51"/>
      <c r="C214" s="51"/>
      <c r="D214" s="52"/>
      <c r="E214" s="53"/>
      <c r="F214" s="62"/>
      <c r="G214" s="69"/>
      <c r="I214" s="69"/>
      <c r="L214" s="51"/>
      <c r="M214" s="130"/>
      <c r="N214" s="131"/>
      <c r="O214" s="55"/>
      <c r="P214" s="113">
        <f t="shared" si="58"/>
        <v>0</v>
      </c>
      <c r="Q214" s="33"/>
      <c r="R214" s="32"/>
      <c r="S214" s="113">
        <f>ROUND(R214*$D$1,2)</f>
        <v>0</v>
      </c>
      <c r="T214" s="33"/>
      <c r="U214" s="32"/>
      <c r="V214" s="26"/>
      <c r="W214" s="33"/>
      <c r="X214" s="56"/>
      <c r="Y214" s="26"/>
      <c r="Z214" s="33"/>
      <c r="AA214" s="57"/>
      <c r="AB214" s="57"/>
      <c r="AC214" s="57"/>
      <c r="AD214" s="32"/>
      <c r="AE214" s="113">
        <f t="shared" si="59"/>
        <v>0</v>
      </c>
      <c r="AF214" s="33"/>
      <c r="AG214" s="32"/>
      <c r="AH214" s="113">
        <f>ROUND(AG214*$D$1,2)</f>
        <v>0</v>
      </c>
      <c r="AI214" s="33"/>
      <c r="AJ214" s="29">
        <f t="shared" si="60"/>
        <v>0</v>
      </c>
      <c r="AK214" s="57" t="s">
        <v>304</v>
      </c>
      <c r="AL214" s="58">
        <f t="shared" si="57"/>
        <v>0</v>
      </c>
      <c r="AM214" s="113">
        <f t="shared" si="61"/>
        <v>0</v>
      </c>
      <c r="AN214" s="33" t="s">
        <v>33</v>
      </c>
      <c r="AO214" s="59">
        <f t="shared" si="55"/>
        <v>0</v>
      </c>
      <c r="AP214" s="26"/>
      <c r="AQ214" s="33"/>
      <c r="AR214" s="56"/>
      <c r="AS214" s="26"/>
      <c r="AT214" s="33"/>
      <c r="AU214" s="57"/>
      <c r="AV214" s="59">
        <f t="shared" si="62"/>
        <v>0</v>
      </c>
      <c r="AW214" s="89">
        <f t="shared" si="56"/>
        <v>0</v>
      </c>
      <c r="AX214" s="59"/>
    </row>
    <row r="215" spans="1:53" s="67" customFormat="1">
      <c r="A215" s="50" t="s">
        <v>242</v>
      </c>
      <c r="B215" s="51"/>
      <c r="C215" s="51"/>
      <c r="D215" s="52"/>
      <c r="E215" s="53"/>
      <c r="F215" s="62"/>
      <c r="G215" s="125"/>
      <c r="H215" s="29"/>
      <c r="I215" s="69"/>
      <c r="J215" s="29"/>
      <c r="K215" s="29"/>
      <c r="L215" s="52"/>
      <c r="M215" s="132"/>
      <c r="N215" s="131"/>
      <c r="O215" s="55"/>
      <c r="P215" s="113">
        <f t="shared" si="58"/>
        <v>0</v>
      </c>
      <c r="Q215" s="33"/>
      <c r="R215" s="56"/>
      <c r="S215" s="26"/>
      <c r="T215" s="33"/>
      <c r="U215" s="32"/>
      <c r="V215" s="113">
        <f t="shared" ref="V215:V224" si="63">ROUND(U215*$D$1,2)</f>
        <v>0</v>
      </c>
      <c r="W215" s="33"/>
      <c r="X215" s="32"/>
      <c r="Y215" s="113">
        <f t="shared" ref="Y215:Y224" si="64">ROUND(X215*$D$1,2)</f>
        <v>0</v>
      </c>
      <c r="Z215" s="33"/>
      <c r="AA215" s="57"/>
      <c r="AB215" s="57"/>
      <c r="AC215" s="57"/>
      <c r="AD215" s="32"/>
      <c r="AE215" s="113">
        <f t="shared" si="59"/>
        <v>0</v>
      </c>
      <c r="AF215" s="33"/>
      <c r="AG215" s="32"/>
      <c r="AH215" s="26"/>
      <c r="AI215" s="33"/>
      <c r="AJ215" s="29">
        <f t="shared" si="60"/>
        <v>0</v>
      </c>
      <c r="AK215" s="57" t="s">
        <v>304</v>
      </c>
      <c r="AL215" s="58">
        <f t="shared" si="57"/>
        <v>0</v>
      </c>
      <c r="AM215" s="113">
        <f t="shared" si="61"/>
        <v>0</v>
      </c>
      <c r="AN215" s="33" t="s">
        <v>33</v>
      </c>
      <c r="AO215" s="59">
        <f t="shared" si="55"/>
        <v>0</v>
      </c>
      <c r="AP215" s="26"/>
      <c r="AQ215" s="33"/>
      <c r="AR215" s="56"/>
      <c r="AS215" s="26"/>
      <c r="AT215" s="33"/>
      <c r="AU215" s="57"/>
      <c r="AV215" s="86">
        <f t="shared" si="62"/>
        <v>0</v>
      </c>
      <c r="AW215" s="89">
        <f t="shared" si="56"/>
        <v>0</v>
      </c>
      <c r="AX215" s="86"/>
      <c r="AY215" s="29"/>
      <c r="AZ215" s="29"/>
      <c r="BA215" s="29"/>
    </row>
    <row r="216" spans="1:53" s="67" customFormat="1">
      <c r="A216" s="50" t="s">
        <v>243</v>
      </c>
      <c r="B216" s="51"/>
      <c r="C216" s="51"/>
      <c r="D216" s="52"/>
      <c r="E216" s="53"/>
      <c r="F216" s="62"/>
      <c r="G216" s="125"/>
      <c r="H216" s="29"/>
      <c r="I216" s="69"/>
      <c r="J216" s="29"/>
      <c r="K216" s="29"/>
      <c r="L216" s="52"/>
      <c r="M216" s="132"/>
      <c r="N216" s="131"/>
      <c r="O216" s="55"/>
      <c r="P216" s="113">
        <f t="shared" si="58"/>
        <v>0</v>
      </c>
      <c r="Q216" s="33"/>
      <c r="R216" s="56"/>
      <c r="S216" s="26"/>
      <c r="T216" s="33"/>
      <c r="U216" s="32"/>
      <c r="V216" s="113">
        <f t="shared" si="63"/>
        <v>0</v>
      </c>
      <c r="W216" s="33"/>
      <c r="X216" s="32"/>
      <c r="Y216" s="113">
        <f t="shared" si="64"/>
        <v>0</v>
      </c>
      <c r="Z216" s="33"/>
      <c r="AA216" s="57"/>
      <c r="AB216" s="57"/>
      <c r="AC216" s="57"/>
      <c r="AD216" s="32"/>
      <c r="AE216" s="113">
        <f t="shared" si="59"/>
        <v>0</v>
      </c>
      <c r="AF216" s="33"/>
      <c r="AG216" s="32"/>
      <c r="AH216" s="26"/>
      <c r="AI216" s="33"/>
      <c r="AJ216" s="29">
        <f t="shared" si="60"/>
        <v>0</v>
      </c>
      <c r="AK216" s="57" t="s">
        <v>304</v>
      </c>
      <c r="AL216" s="58">
        <f t="shared" si="57"/>
        <v>0</v>
      </c>
      <c r="AM216" s="113">
        <f t="shared" si="61"/>
        <v>0</v>
      </c>
      <c r="AN216" s="33" t="s">
        <v>33</v>
      </c>
      <c r="AO216" s="59">
        <f t="shared" si="55"/>
        <v>0</v>
      </c>
      <c r="AP216" s="26"/>
      <c r="AQ216" s="33"/>
      <c r="AR216" s="56"/>
      <c r="AS216" s="26"/>
      <c r="AT216" s="33"/>
      <c r="AU216" s="57"/>
      <c r="AV216" s="86">
        <f t="shared" si="62"/>
        <v>0</v>
      </c>
      <c r="AW216" s="89">
        <f t="shared" si="56"/>
        <v>0</v>
      </c>
      <c r="AX216" s="86"/>
    </row>
    <row r="217" spans="1:53" s="67" customFormat="1">
      <c r="A217" s="50" t="s">
        <v>244</v>
      </c>
      <c r="B217" s="51"/>
      <c r="C217" s="51"/>
      <c r="D217" s="52"/>
      <c r="E217" s="53"/>
      <c r="F217" s="62"/>
      <c r="G217" s="125"/>
      <c r="H217" s="29"/>
      <c r="I217" s="69"/>
      <c r="J217" s="29"/>
      <c r="K217" s="29"/>
      <c r="L217" s="61"/>
      <c r="M217" s="132"/>
      <c r="N217" s="131"/>
      <c r="O217" s="55"/>
      <c r="P217" s="113">
        <f t="shared" si="58"/>
        <v>0</v>
      </c>
      <c r="Q217" s="33"/>
      <c r="R217" s="56"/>
      <c r="S217" s="26"/>
      <c r="T217" s="33"/>
      <c r="U217" s="32"/>
      <c r="V217" s="113">
        <f t="shared" si="63"/>
        <v>0</v>
      </c>
      <c r="W217" s="33"/>
      <c r="X217" s="32"/>
      <c r="Y217" s="113">
        <f t="shared" si="64"/>
        <v>0</v>
      </c>
      <c r="Z217" s="33"/>
      <c r="AA217" s="57"/>
      <c r="AB217" s="57"/>
      <c r="AC217" s="57"/>
      <c r="AD217" s="32"/>
      <c r="AE217" s="113">
        <f t="shared" si="59"/>
        <v>0</v>
      </c>
      <c r="AF217" s="33"/>
      <c r="AG217" s="32"/>
      <c r="AH217" s="26"/>
      <c r="AI217" s="33"/>
      <c r="AJ217" s="29">
        <f t="shared" si="60"/>
        <v>0</v>
      </c>
      <c r="AK217" s="57" t="s">
        <v>304</v>
      </c>
      <c r="AL217" s="58">
        <f t="shared" si="57"/>
        <v>0</v>
      </c>
      <c r="AM217" s="113">
        <f t="shared" si="61"/>
        <v>0</v>
      </c>
      <c r="AN217" s="33" t="s">
        <v>33</v>
      </c>
      <c r="AO217" s="59">
        <f t="shared" si="55"/>
        <v>0</v>
      </c>
      <c r="AP217" s="26"/>
      <c r="AQ217" s="33"/>
      <c r="AR217" s="56"/>
      <c r="AS217" s="26"/>
      <c r="AT217" s="33"/>
      <c r="AU217" s="57"/>
      <c r="AV217" s="86">
        <f t="shared" si="62"/>
        <v>0</v>
      </c>
      <c r="AW217" s="89">
        <f t="shared" si="56"/>
        <v>0</v>
      </c>
      <c r="AX217" s="86"/>
    </row>
    <row r="218" spans="1:53" s="67" customFormat="1">
      <c r="A218" s="50" t="s">
        <v>245</v>
      </c>
      <c r="B218" s="51"/>
      <c r="C218" s="51"/>
      <c r="D218" s="52"/>
      <c r="E218" s="53"/>
      <c r="F218" s="62"/>
      <c r="G218" s="125"/>
      <c r="H218" s="29"/>
      <c r="I218" s="69"/>
      <c r="J218" s="29"/>
      <c r="K218" s="29"/>
      <c r="L218" s="52"/>
      <c r="M218" s="132"/>
      <c r="N218" s="131"/>
      <c r="O218" s="55"/>
      <c r="P218" s="113">
        <f t="shared" si="58"/>
        <v>0</v>
      </c>
      <c r="Q218" s="33"/>
      <c r="R218" s="56"/>
      <c r="S218" s="26"/>
      <c r="T218" s="33"/>
      <c r="U218" s="32"/>
      <c r="V218" s="113">
        <f t="shared" si="63"/>
        <v>0</v>
      </c>
      <c r="W218" s="33"/>
      <c r="X218" s="32"/>
      <c r="Y218" s="113">
        <f t="shared" si="64"/>
        <v>0</v>
      </c>
      <c r="Z218" s="33"/>
      <c r="AA218" s="57"/>
      <c r="AB218" s="57"/>
      <c r="AC218" s="57"/>
      <c r="AD218" s="32"/>
      <c r="AE218" s="113">
        <f t="shared" si="59"/>
        <v>0</v>
      </c>
      <c r="AF218" s="33"/>
      <c r="AG218" s="32"/>
      <c r="AH218" s="26"/>
      <c r="AI218" s="33"/>
      <c r="AJ218" s="29">
        <f t="shared" si="60"/>
        <v>0</v>
      </c>
      <c r="AK218" s="57" t="s">
        <v>304</v>
      </c>
      <c r="AL218" s="58">
        <f t="shared" si="57"/>
        <v>0</v>
      </c>
      <c r="AM218" s="113">
        <f t="shared" si="61"/>
        <v>0</v>
      </c>
      <c r="AN218" s="33" t="s">
        <v>33</v>
      </c>
      <c r="AO218" s="59">
        <f t="shared" si="55"/>
        <v>0</v>
      </c>
      <c r="AP218" s="26"/>
      <c r="AQ218" s="33"/>
      <c r="AR218" s="56"/>
      <c r="AS218" s="26"/>
      <c r="AT218" s="33"/>
      <c r="AU218" s="57"/>
      <c r="AV218" s="86">
        <f t="shared" si="62"/>
        <v>0</v>
      </c>
      <c r="AW218" s="89">
        <f t="shared" si="56"/>
        <v>0</v>
      </c>
      <c r="AX218" s="86"/>
    </row>
    <row r="219" spans="1:53" s="67" customFormat="1">
      <c r="A219" s="50" t="s">
        <v>246</v>
      </c>
      <c r="B219" s="51"/>
      <c r="C219" s="51"/>
      <c r="D219" s="52"/>
      <c r="E219" s="53"/>
      <c r="F219" s="62"/>
      <c r="G219" s="125"/>
      <c r="H219" s="29"/>
      <c r="I219" s="69"/>
      <c r="J219" s="29"/>
      <c r="K219" s="29"/>
      <c r="L219" s="52"/>
      <c r="M219" s="132"/>
      <c r="N219" s="131"/>
      <c r="O219" s="55"/>
      <c r="P219" s="113">
        <f t="shared" si="58"/>
        <v>0</v>
      </c>
      <c r="Q219" s="33"/>
      <c r="R219" s="56"/>
      <c r="S219" s="26"/>
      <c r="T219" s="33"/>
      <c r="U219" s="32"/>
      <c r="V219" s="113">
        <f t="shared" si="63"/>
        <v>0</v>
      </c>
      <c r="W219" s="33"/>
      <c r="X219" s="32"/>
      <c r="Y219" s="113">
        <f t="shared" si="64"/>
        <v>0</v>
      </c>
      <c r="Z219" s="33"/>
      <c r="AA219" s="57"/>
      <c r="AB219" s="57"/>
      <c r="AC219" s="57"/>
      <c r="AD219" s="32"/>
      <c r="AE219" s="113">
        <f t="shared" si="59"/>
        <v>0</v>
      </c>
      <c r="AF219" s="33"/>
      <c r="AG219" s="32"/>
      <c r="AH219" s="26"/>
      <c r="AI219" s="33"/>
      <c r="AJ219" s="29">
        <f t="shared" si="60"/>
        <v>0</v>
      </c>
      <c r="AK219" s="57" t="s">
        <v>304</v>
      </c>
      <c r="AL219" s="58">
        <f t="shared" si="57"/>
        <v>0</v>
      </c>
      <c r="AM219" s="113">
        <f t="shared" si="61"/>
        <v>0</v>
      </c>
      <c r="AN219" s="33" t="s">
        <v>33</v>
      </c>
      <c r="AO219" s="59">
        <f t="shared" si="55"/>
        <v>0</v>
      </c>
      <c r="AP219" s="26"/>
      <c r="AQ219" s="33"/>
      <c r="AR219" s="56"/>
      <c r="AS219" s="26"/>
      <c r="AT219" s="33"/>
      <c r="AU219" s="57"/>
      <c r="AV219" s="86">
        <f t="shared" si="62"/>
        <v>0</v>
      </c>
      <c r="AW219" s="89">
        <f t="shared" si="56"/>
        <v>0</v>
      </c>
      <c r="AX219" s="86"/>
    </row>
    <row r="220" spans="1:53" s="67" customFormat="1">
      <c r="A220" s="50" t="s">
        <v>247</v>
      </c>
      <c r="B220" s="51"/>
      <c r="C220" s="51"/>
      <c r="D220" s="52"/>
      <c r="E220" s="53"/>
      <c r="F220" s="62"/>
      <c r="G220" s="125"/>
      <c r="H220" s="29"/>
      <c r="I220" s="69"/>
      <c r="J220" s="29"/>
      <c r="K220" s="29"/>
      <c r="L220" s="52"/>
      <c r="M220" s="132"/>
      <c r="N220" s="131"/>
      <c r="O220" s="55"/>
      <c r="P220" s="113">
        <f t="shared" si="58"/>
        <v>0</v>
      </c>
      <c r="Q220" s="33"/>
      <c r="R220" s="56"/>
      <c r="S220" s="26"/>
      <c r="T220" s="33"/>
      <c r="U220" s="32"/>
      <c r="V220" s="113">
        <f t="shared" si="63"/>
        <v>0</v>
      </c>
      <c r="W220" s="33"/>
      <c r="X220" s="63"/>
      <c r="Y220" s="113">
        <f t="shared" si="64"/>
        <v>0</v>
      </c>
      <c r="Z220" s="33"/>
      <c r="AA220" s="57"/>
      <c r="AB220" s="113">
        <f>ROUND(AA220*$D$1,2)</f>
        <v>0</v>
      </c>
      <c r="AC220" s="33"/>
      <c r="AD220" s="32"/>
      <c r="AE220" s="113">
        <f t="shared" si="59"/>
        <v>0</v>
      </c>
      <c r="AF220" s="33"/>
      <c r="AG220" s="32"/>
      <c r="AH220" s="26"/>
      <c r="AI220" s="33"/>
      <c r="AJ220" s="29">
        <f t="shared" si="60"/>
        <v>0</v>
      </c>
      <c r="AK220" s="57" t="s">
        <v>304</v>
      </c>
      <c r="AL220" s="58">
        <f t="shared" si="57"/>
        <v>0</v>
      </c>
      <c r="AM220" s="113">
        <f t="shared" si="61"/>
        <v>0</v>
      </c>
      <c r="AN220" s="33" t="s">
        <v>33</v>
      </c>
      <c r="AO220" s="59">
        <f t="shared" si="55"/>
        <v>0</v>
      </c>
      <c r="AP220" s="26"/>
      <c r="AQ220" s="33"/>
      <c r="AR220" s="56"/>
      <c r="AS220" s="26"/>
      <c r="AT220" s="33"/>
      <c r="AU220" s="57"/>
      <c r="AV220" s="86">
        <f t="shared" si="62"/>
        <v>0</v>
      </c>
      <c r="AW220" s="89">
        <f t="shared" si="56"/>
        <v>0</v>
      </c>
      <c r="AX220" s="86"/>
    </row>
    <row r="221" spans="1:53" s="67" customFormat="1">
      <c r="A221" s="50" t="s">
        <v>248</v>
      </c>
      <c r="B221" s="51"/>
      <c r="C221" s="51"/>
      <c r="D221" s="52"/>
      <c r="E221" s="53"/>
      <c r="F221" s="62"/>
      <c r="G221" s="125"/>
      <c r="H221" s="29"/>
      <c r="I221" s="69"/>
      <c r="J221" s="29"/>
      <c r="K221" s="29"/>
      <c r="L221" s="61"/>
      <c r="M221" s="132"/>
      <c r="N221" s="131"/>
      <c r="O221" s="55"/>
      <c r="P221" s="113">
        <f t="shared" si="58"/>
        <v>0</v>
      </c>
      <c r="Q221" s="33"/>
      <c r="R221" s="56"/>
      <c r="S221" s="26"/>
      <c r="T221" s="33"/>
      <c r="U221" s="32"/>
      <c r="V221" s="113">
        <f t="shared" si="63"/>
        <v>0</v>
      </c>
      <c r="W221" s="33"/>
      <c r="X221" s="32"/>
      <c r="Y221" s="113">
        <f t="shared" si="64"/>
        <v>0</v>
      </c>
      <c r="Z221" s="33"/>
      <c r="AA221" s="57"/>
      <c r="AB221" s="57"/>
      <c r="AC221" s="57"/>
      <c r="AD221" s="32"/>
      <c r="AE221" s="113">
        <f t="shared" si="59"/>
        <v>0</v>
      </c>
      <c r="AF221" s="33"/>
      <c r="AG221" s="32"/>
      <c r="AH221" s="26"/>
      <c r="AI221" s="33"/>
      <c r="AJ221" s="29">
        <f t="shared" si="60"/>
        <v>0</v>
      </c>
      <c r="AK221" s="57" t="s">
        <v>304</v>
      </c>
      <c r="AL221" s="58">
        <f t="shared" si="57"/>
        <v>0</v>
      </c>
      <c r="AM221" s="113">
        <f t="shared" si="61"/>
        <v>0</v>
      </c>
      <c r="AN221" s="33" t="s">
        <v>33</v>
      </c>
      <c r="AO221" s="59">
        <f t="shared" si="55"/>
        <v>0</v>
      </c>
      <c r="AP221" s="113">
        <f>ROUND(AO221*$D$1,2)</f>
        <v>0</v>
      </c>
      <c r="AQ221" s="33"/>
      <c r="AR221" s="56"/>
      <c r="AS221" s="26"/>
      <c r="AT221" s="33"/>
      <c r="AU221" s="57"/>
      <c r="AV221" s="86">
        <f t="shared" si="62"/>
        <v>0</v>
      </c>
      <c r="AW221" s="89">
        <f t="shared" si="56"/>
        <v>0</v>
      </c>
      <c r="AX221" s="86"/>
    </row>
    <row r="222" spans="1:53" s="67" customFormat="1">
      <c r="A222" s="50" t="s">
        <v>249</v>
      </c>
      <c r="B222" s="51"/>
      <c r="C222" s="51"/>
      <c r="D222" s="52"/>
      <c r="E222" s="53"/>
      <c r="F222" s="62"/>
      <c r="G222" s="125"/>
      <c r="H222" s="29"/>
      <c r="I222" s="69"/>
      <c r="J222" s="29"/>
      <c r="K222" s="29"/>
      <c r="L222" s="61"/>
      <c r="M222" s="132"/>
      <c r="N222" s="131"/>
      <c r="O222" s="55"/>
      <c r="P222" s="113">
        <f t="shared" si="58"/>
        <v>0</v>
      </c>
      <c r="Q222" s="33"/>
      <c r="R222" s="56"/>
      <c r="S222" s="26"/>
      <c r="T222" s="33"/>
      <c r="U222" s="32"/>
      <c r="V222" s="113">
        <f t="shared" si="63"/>
        <v>0</v>
      </c>
      <c r="W222" s="33"/>
      <c r="X222" s="32"/>
      <c r="Y222" s="113">
        <f t="shared" si="64"/>
        <v>0</v>
      </c>
      <c r="Z222" s="33"/>
      <c r="AA222" s="57"/>
      <c r="AB222" s="113">
        <f>ROUND(AA222*$D$1,2)</f>
        <v>0</v>
      </c>
      <c r="AC222" s="33"/>
      <c r="AD222" s="32"/>
      <c r="AE222" s="113">
        <f t="shared" si="59"/>
        <v>0</v>
      </c>
      <c r="AF222" s="33"/>
      <c r="AG222" s="32"/>
      <c r="AH222" s="26"/>
      <c r="AI222" s="33"/>
      <c r="AJ222" s="29">
        <f t="shared" si="60"/>
        <v>0</v>
      </c>
      <c r="AK222" s="57" t="s">
        <v>304</v>
      </c>
      <c r="AL222" s="58">
        <f t="shared" si="57"/>
        <v>0</v>
      </c>
      <c r="AM222" s="113">
        <f t="shared" si="61"/>
        <v>0</v>
      </c>
      <c r="AN222" s="33" t="s">
        <v>33</v>
      </c>
      <c r="AO222" s="59">
        <f t="shared" si="55"/>
        <v>0</v>
      </c>
      <c r="AP222" s="113">
        <f>ROUND(AO222*$D$1,2)</f>
        <v>0</v>
      </c>
      <c r="AQ222" s="33"/>
      <c r="AR222" s="56"/>
      <c r="AS222" s="26"/>
      <c r="AT222" s="33"/>
      <c r="AU222" s="57"/>
      <c r="AV222" s="86">
        <f t="shared" si="62"/>
        <v>0</v>
      </c>
      <c r="AW222" s="89">
        <f t="shared" si="56"/>
        <v>0</v>
      </c>
      <c r="AX222" s="86"/>
    </row>
    <row r="223" spans="1:53" s="29" customFormat="1">
      <c r="A223" s="50" t="s">
        <v>250</v>
      </c>
      <c r="B223" s="51"/>
      <c r="C223" s="51"/>
      <c r="D223" s="52"/>
      <c r="E223" s="53"/>
      <c r="F223" s="62"/>
      <c r="G223" s="125"/>
      <c r="I223" s="69"/>
      <c r="L223" s="61"/>
      <c r="M223" s="132"/>
      <c r="N223" s="131"/>
      <c r="O223" s="55"/>
      <c r="P223" s="113">
        <f t="shared" si="58"/>
        <v>0</v>
      </c>
      <c r="Q223" s="33"/>
      <c r="R223" s="56"/>
      <c r="S223" s="26"/>
      <c r="T223" s="33"/>
      <c r="U223" s="32"/>
      <c r="V223" s="113">
        <f t="shared" si="63"/>
        <v>0</v>
      </c>
      <c r="W223" s="33"/>
      <c r="X223" s="32"/>
      <c r="Y223" s="113">
        <f t="shared" si="64"/>
        <v>0</v>
      </c>
      <c r="Z223" s="33"/>
      <c r="AA223" s="57"/>
      <c r="AB223" s="57"/>
      <c r="AC223" s="57"/>
      <c r="AD223" s="32"/>
      <c r="AE223" s="113">
        <f t="shared" si="59"/>
        <v>0</v>
      </c>
      <c r="AF223" s="33"/>
      <c r="AG223" s="32"/>
      <c r="AH223" s="26"/>
      <c r="AI223" s="33"/>
      <c r="AJ223" s="29">
        <f t="shared" si="60"/>
        <v>0</v>
      </c>
      <c r="AK223" s="57" t="s">
        <v>304</v>
      </c>
      <c r="AL223" s="58">
        <f t="shared" si="57"/>
        <v>0</v>
      </c>
      <c r="AM223" s="113">
        <f t="shared" si="61"/>
        <v>0</v>
      </c>
      <c r="AN223" s="33" t="s">
        <v>33</v>
      </c>
      <c r="AO223" s="59">
        <f t="shared" si="55"/>
        <v>0</v>
      </c>
      <c r="AP223" s="26"/>
      <c r="AQ223" s="33"/>
      <c r="AR223" s="56"/>
      <c r="AS223" s="26"/>
      <c r="AT223" s="33"/>
      <c r="AU223" s="57"/>
      <c r="AV223" s="86">
        <f t="shared" si="62"/>
        <v>0</v>
      </c>
      <c r="AW223" s="89">
        <f t="shared" si="56"/>
        <v>0</v>
      </c>
      <c r="AX223" s="86"/>
      <c r="AY223" s="67"/>
      <c r="AZ223" s="67"/>
      <c r="BA223" s="67"/>
    </row>
    <row r="224" spans="1:53" s="29" customFormat="1">
      <c r="A224" s="50" t="s">
        <v>251</v>
      </c>
      <c r="B224" s="51"/>
      <c r="C224" s="51"/>
      <c r="D224" s="52"/>
      <c r="E224" s="53"/>
      <c r="F224" s="62"/>
      <c r="G224" s="125"/>
      <c r="I224" s="69"/>
      <c r="L224" s="52"/>
      <c r="M224" s="132"/>
      <c r="N224" s="131"/>
      <c r="O224" s="55"/>
      <c r="P224" s="113">
        <f t="shared" si="58"/>
        <v>0</v>
      </c>
      <c r="Q224" s="33"/>
      <c r="R224" s="56"/>
      <c r="S224" s="26"/>
      <c r="T224" s="33"/>
      <c r="U224" s="32"/>
      <c r="V224" s="113">
        <f t="shared" si="63"/>
        <v>0</v>
      </c>
      <c r="W224" s="33"/>
      <c r="X224" s="63"/>
      <c r="Y224" s="113">
        <f t="shared" si="64"/>
        <v>0</v>
      </c>
      <c r="Z224" s="33"/>
      <c r="AA224" s="57"/>
      <c r="AB224" s="113">
        <f>ROUND(AA224*$D$1,2)</f>
        <v>0</v>
      </c>
      <c r="AC224" s="33"/>
      <c r="AD224" s="32"/>
      <c r="AE224" s="113">
        <f t="shared" si="59"/>
        <v>0</v>
      </c>
      <c r="AF224" s="33"/>
      <c r="AG224" s="32"/>
      <c r="AH224" s="26"/>
      <c r="AI224" s="33"/>
      <c r="AJ224" s="29">
        <f t="shared" si="60"/>
        <v>0</v>
      </c>
      <c r="AK224" s="57" t="s">
        <v>304</v>
      </c>
      <c r="AL224" s="58">
        <f t="shared" si="57"/>
        <v>0</v>
      </c>
      <c r="AM224" s="113">
        <f t="shared" si="61"/>
        <v>0</v>
      </c>
      <c r="AN224" s="33" t="s">
        <v>33</v>
      </c>
      <c r="AO224" s="59">
        <f t="shared" si="55"/>
        <v>0</v>
      </c>
      <c r="AP224" s="26"/>
      <c r="AQ224" s="33"/>
      <c r="AR224" s="56"/>
      <c r="AS224" s="26"/>
      <c r="AT224" s="33"/>
      <c r="AU224" s="57"/>
      <c r="AV224" s="86">
        <f t="shared" si="62"/>
        <v>0</v>
      </c>
      <c r="AW224" s="89">
        <f t="shared" si="56"/>
        <v>0</v>
      </c>
      <c r="AX224" s="86"/>
    </row>
    <row r="225" spans="1:50" s="29" customFormat="1">
      <c r="A225" s="50" t="s">
        <v>252</v>
      </c>
      <c r="B225" s="51"/>
      <c r="C225" s="51"/>
      <c r="D225" s="52"/>
      <c r="E225" s="53"/>
      <c r="F225" s="62"/>
      <c r="G225" s="125"/>
      <c r="I225" s="69"/>
      <c r="L225" s="61"/>
      <c r="M225" s="132"/>
      <c r="N225" s="131"/>
      <c r="O225" s="55"/>
      <c r="P225" s="113">
        <f t="shared" ref="P225:P255" si="65">ROUND(O225*$D$1,2)</f>
        <v>0</v>
      </c>
      <c r="Q225" s="33"/>
      <c r="R225" s="56"/>
      <c r="S225" s="26"/>
      <c r="T225" s="33"/>
      <c r="U225" s="32"/>
      <c r="V225" s="113">
        <f t="shared" ref="V225:V259" si="66">ROUND(U225*$D$1,2)</f>
        <v>0</v>
      </c>
      <c r="W225" s="33"/>
      <c r="X225" s="32"/>
      <c r="Y225" s="113">
        <f t="shared" ref="Y225:Y259" si="67">ROUND(X225*$D$1,2)</f>
        <v>0</v>
      </c>
      <c r="Z225" s="33"/>
      <c r="AA225" s="57"/>
      <c r="AB225" s="57"/>
      <c r="AC225" s="57"/>
      <c r="AD225" s="32"/>
      <c r="AE225" s="113">
        <f t="shared" ref="AE225:AE255" si="68">ROUND(AD225*$J$1,2)</f>
        <v>0</v>
      </c>
      <c r="AF225" s="33"/>
      <c r="AG225" s="32"/>
      <c r="AH225" s="26"/>
      <c r="AI225" s="33"/>
      <c r="AJ225" s="29">
        <f t="shared" ref="AJ225:AJ255" si="69">IF($O$1="SI",400,0)</f>
        <v>0</v>
      </c>
      <c r="AK225" s="57" t="s">
        <v>304</v>
      </c>
      <c r="AL225" s="58">
        <f t="shared" si="57"/>
        <v>0</v>
      </c>
      <c r="AM225" s="113">
        <f t="shared" ref="AM225:AM255" si="70">ROUND(AL225*$D$1,2)</f>
        <v>0</v>
      </c>
      <c r="AN225" s="33" t="s">
        <v>33</v>
      </c>
      <c r="AO225" s="59">
        <f t="shared" ref="AO225:AO255" si="71">IF(H225="RIMAC EPS EMPRESA PRESTADORA DE SALUD",O225*0.0225,O225*0)</f>
        <v>0</v>
      </c>
      <c r="AP225" s="26"/>
      <c r="AQ225" s="33"/>
      <c r="AR225" s="56"/>
      <c r="AS225" s="26"/>
      <c r="AT225" s="33"/>
      <c r="AU225" s="57"/>
      <c r="AV225" s="86">
        <f t="shared" ref="AV225:AV259" si="72">P225+S225+V225+Y225+AB225+AE225+AH225+AJ225</f>
        <v>0</v>
      </c>
      <c r="AW225" s="89">
        <f t="shared" si="56"/>
        <v>0</v>
      </c>
      <c r="AX225" s="86"/>
    </row>
    <row r="226" spans="1:50" s="29" customFormat="1">
      <c r="A226" s="50" t="s">
        <v>253</v>
      </c>
      <c r="B226" s="51"/>
      <c r="C226" s="51"/>
      <c r="D226" s="52"/>
      <c r="E226" s="53"/>
      <c r="F226" s="62"/>
      <c r="G226" s="125"/>
      <c r="I226" s="69"/>
      <c r="L226" s="61"/>
      <c r="M226" s="132"/>
      <c r="N226" s="131"/>
      <c r="O226" s="55"/>
      <c r="P226" s="113">
        <f t="shared" si="65"/>
        <v>0</v>
      </c>
      <c r="Q226" s="33"/>
      <c r="R226" s="56"/>
      <c r="S226" s="26"/>
      <c r="T226" s="33"/>
      <c r="U226" s="32"/>
      <c r="V226" s="113">
        <f t="shared" si="66"/>
        <v>0</v>
      </c>
      <c r="W226" s="33"/>
      <c r="X226" s="32"/>
      <c r="Y226" s="113">
        <f t="shared" si="67"/>
        <v>0</v>
      </c>
      <c r="Z226" s="33"/>
      <c r="AA226" s="57"/>
      <c r="AB226" s="57"/>
      <c r="AC226" s="57"/>
      <c r="AD226" s="32"/>
      <c r="AE226" s="113">
        <f t="shared" si="68"/>
        <v>0</v>
      </c>
      <c r="AF226" s="33"/>
      <c r="AG226" s="32"/>
      <c r="AH226" s="26"/>
      <c r="AI226" s="33"/>
      <c r="AJ226" s="29">
        <f t="shared" si="69"/>
        <v>0</v>
      </c>
      <c r="AK226" s="57" t="s">
        <v>304</v>
      </c>
      <c r="AL226" s="58">
        <f t="shared" si="57"/>
        <v>0</v>
      </c>
      <c r="AM226" s="113">
        <f t="shared" si="70"/>
        <v>0</v>
      </c>
      <c r="AN226" s="33" t="s">
        <v>33</v>
      </c>
      <c r="AO226" s="59">
        <f t="shared" si="71"/>
        <v>0</v>
      </c>
      <c r="AP226" s="26"/>
      <c r="AQ226" s="33"/>
      <c r="AR226" s="56"/>
      <c r="AS226" s="26"/>
      <c r="AT226" s="33"/>
      <c r="AU226" s="57"/>
      <c r="AV226" s="86">
        <f t="shared" si="72"/>
        <v>0</v>
      </c>
      <c r="AW226" s="89">
        <f t="shared" si="56"/>
        <v>0</v>
      </c>
      <c r="AX226" s="86"/>
    </row>
    <row r="227" spans="1:50" s="29" customFormat="1">
      <c r="A227" s="50" t="s">
        <v>254</v>
      </c>
      <c r="B227" s="54"/>
      <c r="C227" s="54"/>
      <c r="D227" s="54"/>
      <c r="E227" s="53"/>
      <c r="F227" s="62"/>
      <c r="G227" s="69"/>
      <c r="I227" s="69"/>
      <c r="L227" s="54"/>
      <c r="M227" s="132"/>
      <c r="N227" s="131"/>
      <c r="O227" s="55"/>
      <c r="P227" s="113">
        <f t="shared" si="65"/>
        <v>0</v>
      </c>
      <c r="Q227" s="33"/>
      <c r="R227" s="56"/>
      <c r="S227" s="26"/>
      <c r="T227" s="33"/>
      <c r="U227" s="32"/>
      <c r="V227" s="113">
        <f t="shared" si="66"/>
        <v>0</v>
      </c>
      <c r="W227" s="33"/>
      <c r="X227" s="32"/>
      <c r="Y227" s="113">
        <f t="shared" si="67"/>
        <v>0</v>
      </c>
      <c r="Z227" s="33"/>
      <c r="AA227" s="57"/>
      <c r="AB227" s="57"/>
      <c r="AC227" s="57"/>
      <c r="AD227" s="32"/>
      <c r="AE227" s="113">
        <f t="shared" si="68"/>
        <v>0</v>
      </c>
      <c r="AF227" s="33"/>
      <c r="AG227" s="32"/>
      <c r="AH227" s="26"/>
      <c r="AI227" s="33"/>
      <c r="AJ227" s="29">
        <f t="shared" si="69"/>
        <v>0</v>
      </c>
      <c r="AK227" s="57" t="s">
        <v>304</v>
      </c>
      <c r="AL227" s="58">
        <f t="shared" si="57"/>
        <v>0</v>
      </c>
      <c r="AM227" s="113">
        <f t="shared" si="70"/>
        <v>0</v>
      </c>
      <c r="AN227" s="33" t="s">
        <v>33</v>
      </c>
      <c r="AO227" s="59">
        <f t="shared" si="71"/>
        <v>0</v>
      </c>
      <c r="AP227" s="26"/>
      <c r="AQ227" s="33"/>
      <c r="AR227" s="56"/>
      <c r="AS227" s="26"/>
      <c r="AT227" s="33"/>
      <c r="AU227" s="57"/>
      <c r="AV227" s="86">
        <f t="shared" si="72"/>
        <v>0</v>
      </c>
      <c r="AW227" s="89">
        <f t="shared" si="56"/>
        <v>0</v>
      </c>
      <c r="AX227" s="86"/>
    </row>
    <row r="228" spans="1:50" s="29" customFormat="1">
      <c r="A228" s="50" t="s">
        <v>255</v>
      </c>
      <c r="E228" s="53"/>
      <c r="G228" s="69"/>
      <c r="I228" s="69"/>
      <c r="L228" s="52"/>
      <c r="M228" s="132"/>
      <c r="N228" s="131"/>
      <c r="O228" s="55"/>
      <c r="P228" s="113">
        <f t="shared" si="65"/>
        <v>0</v>
      </c>
      <c r="Q228" s="33"/>
      <c r="R228" s="56"/>
      <c r="S228" s="26"/>
      <c r="T228" s="33"/>
      <c r="U228" s="32"/>
      <c r="V228" s="113">
        <f t="shared" si="66"/>
        <v>0</v>
      </c>
      <c r="W228" s="33"/>
      <c r="X228" s="32"/>
      <c r="Y228" s="113">
        <f t="shared" si="67"/>
        <v>0</v>
      </c>
      <c r="Z228" s="33"/>
      <c r="AA228" s="57"/>
      <c r="AB228" s="57"/>
      <c r="AC228" s="57"/>
      <c r="AD228" s="32"/>
      <c r="AE228" s="113">
        <f t="shared" si="68"/>
        <v>0</v>
      </c>
      <c r="AF228" s="33"/>
      <c r="AG228" s="32"/>
      <c r="AH228" s="26"/>
      <c r="AI228" s="33"/>
      <c r="AJ228" s="29">
        <f t="shared" si="69"/>
        <v>0</v>
      </c>
      <c r="AK228" s="57" t="s">
        <v>304</v>
      </c>
      <c r="AL228" s="58">
        <f t="shared" si="57"/>
        <v>0</v>
      </c>
      <c r="AM228" s="113">
        <f t="shared" si="70"/>
        <v>0</v>
      </c>
      <c r="AN228" s="33" t="s">
        <v>33</v>
      </c>
      <c r="AO228" s="59">
        <f t="shared" si="71"/>
        <v>0</v>
      </c>
      <c r="AP228" s="26"/>
      <c r="AQ228" s="33"/>
      <c r="AR228" s="56"/>
      <c r="AS228" s="26"/>
      <c r="AT228" s="33"/>
      <c r="AU228" s="57"/>
      <c r="AV228" s="86">
        <f t="shared" si="72"/>
        <v>0</v>
      </c>
      <c r="AW228" s="89">
        <f t="shared" si="56"/>
        <v>0</v>
      </c>
      <c r="AX228" s="86"/>
    </row>
    <row r="229" spans="1:50" s="29" customFormat="1">
      <c r="A229" s="50" t="s">
        <v>256</v>
      </c>
      <c r="B229" s="54"/>
      <c r="C229" s="54"/>
      <c r="D229" s="54"/>
      <c r="E229" s="53"/>
      <c r="F229" s="62"/>
      <c r="G229" s="69"/>
      <c r="I229" s="69"/>
      <c r="L229" s="54"/>
      <c r="M229" s="132"/>
      <c r="N229" s="131"/>
      <c r="O229" s="55"/>
      <c r="P229" s="113">
        <f t="shared" si="65"/>
        <v>0</v>
      </c>
      <c r="Q229" s="33"/>
      <c r="R229" s="56"/>
      <c r="S229" s="26"/>
      <c r="T229" s="33"/>
      <c r="U229" s="32"/>
      <c r="V229" s="113">
        <f t="shared" si="66"/>
        <v>0</v>
      </c>
      <c r="W229" s="33"/>
      <c r="X229" s="32"/>
      <c r="Y229" s="113">
        <f t="shared" si="67"/>
        <v>0</v>
      </c>
      <c r="Z229" s="33"/>
      <c r="AA229" s="57"/>
      <c r="AB229" s="57"/>
      <c r="AC229" s="57"/>
      <c r="AD229" s="32"/>
      <c r="AE229" s="113">
        <f t="shared" si="68"/>
        <v>0</v>
      </c>
      <c r="AF229" s="33"/>
      <c r="AG229" s="32"/>
      <c r="AH229" s="26"/>
      <c r="AI229" s="33"/>
      <c r="AJ229" s="29">
        <f t="shared" si="69"/>
        <v>0</v>
      </c>
      <c r="AK229" s="57" t="s">
        <v>304</v>
      </c>
      <c r="AL229" s="58">
        <f t="shared" si="57"/>
        <v>0</v>
      </c>
      <c r="AM229" s="113">
        <f t="shared" si="70"/>
        <v>0</v>
      </c>
      <c r="AN229" s="33" t="s">
        <v>33</v>
      </c>
      <c r="AO229" s="59">
        <f t="shared" si="71"/>
        <v>0</v>
      </c>
      <c r="AP229" s="26"/>
      <c r="AQ229" s="33"/>
      <c r="AR229" s="56"/>
      <c r="AS229" s="26"/>
      <c r="AT229" s="33"/>
      <c r="AU229" s="57"/>
      <c r="AV229" s="86">
        <f t="shared" si="72"/>
        <v>0</v>
      </c>
      <c r="AW229" s="89">
        <f t="shared" si="56"/>
        <v>0</v>
      </c>
      <c r="AX229" s="86"/>
    </row>
    <row r="230" spans="1:50" s="29" customFormat="1">
      <c r="A230" s="50" t="s">
        <v>257</v>
      </c>
      <c r="B230" s="51"/>
      <c r="C230" s="51"/>
      <c r="D230" s="52"/>
      <c r="E230" s="53"/>
      <c r="F230" s="62"/>
      <c r="G230" s="69"/>
      <c r="I230" s="69"/>
      <c r="L230" s="52"/>
      <c r="M230" s="132"/>
      <c r="N230" s="131"/>
      <c r="O230" s="55"/>
      <c r="P230" s="113">
        <f t="shared" si="65"/>
        <v>0</v>
      </c>
      <c r="Q230" s="33"/>
      <c r="R230" s="56"/>
      <c r="S230" s="26"/>
      <c r="T230" s="33"/>
      <c r="U230" s="32"/>
      <c r="V230" s="113">
        <f t="shared" si="66"/>
        <v>0</v>
      </c>
      <c r="W230" s="33"/>
      <c r="X230" s="32"/>
      <c r="Y230" s="113">
        <f t="shared" si="67"/>
        <v>0</v>
      </c>
      <c r="Z230" s="33"/>
      <c r="AA230" s="57"/>
      <c r="AB230" s="57"/>
      <c r="AC230" s="57"/>
      <c r="AD230" s="32"/>
      <c r="AE230" s="113">
        <f t="shared" si="68"/>
        <v>0</v>
      </c>
      <c r="AF230" s="33"/>
      <c r="AG230" s="32"/>
      <c r="AH230" s="26"/>
      <c r="AI230" s="33"/>
      <c r="AJ230" s="29">
        <f t="shared" si="69"/>
        <v>0</v>
      </c>
      <c r="AK230" s="57" t="s">
        <v>304</v>
      </c>
      <c r="AL230" s="58">
        <f t="shared" si="57"/>
        <v>0</v>
      </c>
      <c r="AM230" s="113">
        <f t="shared" si="70"/>
        <v>0</v>
      </c>
      <c r="AN230" s="33" t="s">
        <v>33</v>
      </c>
      <c r="AO230" s="59">
        <f t="shared" si="71"/>
        <v>0</v>
      </c>
      <c r="AP230" s="26"/>
      <c r="AQ230" s="33"/>
      <c r="AR230" s="56"/>
      <c r="AS230" s="26"/>
      <c r="AT230" s="33"/>
      <c r="AU230" s="57"/>
      <c r="AV230" s="86">
        <f t="shared" si="72"/>
        <v>0</v>
      </c>
      <c r="AW230" s="89">
        <f t="shared" si="56"/>
        <v>0</v>
      </c>
      <c r="AX230" s="86"/>
    </row>
    <row r="231" spans="1:50" s="29" customFormat="1">
      <c r="A231" s="50" t="s">
        <v>258</v>
      </c>
      <c r="B231" s="51"/>
      <c r="C231" s="51"/>
      <c r="D231" s="52"/>
      <c r="E231" s="53"/>
      <c r="F231" s="62"/>
      <c r="G231" s="125"/>
      <c r="I231" s="69"/>
      <c r="L231" s="52"/>
      <c r="M231" s="132"/>
      <c r="N231" s="131"/>
      <c r="O231" s="55"/>
      <c r="P231" s="113">
        <f t="shared" si="65"/>
        <v>0</v>
      </c>
      <c r="Q231" s="33"/>
      <c r="R231" s="56"/>
      <c r="S231" s="26"/>
      <c r="T231" s="33"/>
      <c r="U231" s="32"/>
      <c r="V231" s="113">
        <f t="shared" si="66"/>
        <v>0</v>
      </c>
      <c r="W231" s="33"/>
      <c r="X231" s="32"/>
      <c r="Y231" s="113">
        <f t="shared" si="67"/>
        <v>0</v>
      </c>
      <c r="Z231" s="33"/>
      <c r="AA231" s="57"/>
      <c r="AB231" s="57"/>
      <c r="AC231" s="57"/>
      <c r="AD231" s="32"/>
      <c r="AE231" s="113">
        <f t="shared" si="68"/>
        <v>0</v>
      </c>
      <c r="AF231" s="33"/>
      <c r="AG231" s="32"/>
      <c r="AH231" s="26"/>
      <c r="AI231" s="33"/>
      <c r="AJ231" s="29">
        <f t="shared" si="69"/>
        <v>0</v>
      </c>
      <c r="AK231" s="57" t="s">
        <v>304</v>
      </c>
      <c r="AL231" s="58">
        <f t="shared" si="57"/>
        <v>0</v>
      </c>
      <c r="AM231" s="113">
        <f t="shared" si="70"/>
        <v>0</v>
      </c>
      <c r="AN231" s="33" t="s">
        <v>33</v>
      </c>
      <c r="AO231" s="59">
        <f t="shared" si="71"/>
        <v>0</v>
      </c>
      <c r="AP231" s="26"/>
      <c r="AQ231" s="33"/>
      <c r="AR231" s="56"/>
      <c r="AS231" s="26"/>
      <c r="AT231" s="33"/>
      <c r="AU231" s="57"/>
      <c r="AV231" s="86">
        <f t="shared" si="72"/>
        <v>0</v>
      </c>
      <c r="AW231" s="89">
        <f t="shared" si="56"/>
        <v>0</v>
      </c>
      <c r="AX231" s="86"/>
    </row>
    <row r="232" spans="1:50" s="29" customFormat="1">
      <c r="A232" s="50" t="s">
        <v>259</v>
      </c>
      <c r="B232" s="51"/>
      <c r="C232" s="51"/>
      <c r="D232" s="52"/>
      <c r="E232" s="53"/>
      <c r="F232" s="62"/>
      <c r="G232" s="125"/>
      <c r="I232" s="69"/>
      <c r="L232" s="52"/>
      <c r="M232" s="132"/>
      <c r="N232" s="131"/>
      <c r="O232" s="55"/>
      <c r="P232" s="113">
        <f t="shared" si="65"/>
        <v>0</v>
      </c>
      <c r="Q232" s="33"/>
      <c r="R232" s="56"/>
      <c r="S232" s="26"/>
      <c r="T232" s="33"/>
      <c r="U232" s="32"/>
      <c r="V232" s="113">
        <f t="shared" si="66"/>
        <v>0</v>
      </c>
      <c r="W232" s="33"/>
      <c r="X232" s="32"/>
      <c r="Y232" s="113">
        <f t="shared" si="67"/>
        <v>0</v>
      </c>
      <c r="Z232" s="33"/>
      <c r="AA232" s="57"/>
      <c r="AB232" s="57"/>
      <c r="AC232" s="57"/>
      <c r="AD232" s="32"/>
      <c r="AE232" s="113">
        <f t="shared" si="68"/>
        <v>0</v>
      </c>
      <c r="AF232" s="33"/>
      <c r="AG232" s="32"/>
      <c r="AH232" s="26"/>
      <c r="AI232" s="33"/>
      <c r="AJ232" s="29">
        <f t="shared" si="69"/>
        <v>0</v>
      </c>
      <c r="AK232" s="57" t="s">
        <v>304</v>
      </c>
      <c r="AL232" s="58">
        <f t="shared" si="57"/>
        <v>0</v>
      </c>
      <c r="AM232" s="113">
        <f t="shared" si="70"/>
        <v>0</v>
      </c>
      <c r="AN232" s="33" t="s">
        <v>33</v>
      </c>
      <c r="AO232" s="59">
        <f t="shared" si="71"/>
        <v>0</v>
      </c>
      <c r="AP232" s="26"/>
      <c r="AQ232" s="33"/>
      <c r="AR232" s="56"/>
      <c r="AS232" s="26"/>
      <c r="AT232" s="33"/>
      <c r="AU232" s="57"/>
      <c r="AV232" s="86">
        <f t="shared" si="72"/>
        <v>0</v>
      </c>
      <c r="AW232" s="89">
        <f t="shared" si="56"/>
        <v>0</v>
      </c>
      <c r="AX232" s="86"/>
    </row>
    <row r="233" spans="1:50" s="29" customFormat="1">
      <c r="A233" s="50" t="s">
        <v>260</v>
      </c>
      <c r="B233" s="51"/>
      <c r="C233" s="51"/>
      <c r="D233" s="52"/>
      <c r="E233" s="53"/>
      <c r="F233" s="62"/>
      <c r="G233" s="125"/>
      <c r="I233" s="69"/>
      <c r="L233" s="52"/>
      <c r="M233" s="132"/>
      <c r="N233" s="131"/>
      <c r="O233" s="55"/>
      <c r="P233" s="113">
        <f t="shared" si="65"/>
        <v>0</v>
      </c>
      <c r="Q233" s="33"/>
      <c r="R233" s="56"/>
      <c r="S233" s="26"/>
      <c r="T233" s="33"/>
      <c r="U233" s="32"/>
      <c r="V233" s="113">
        <f t="shared" si="66"/>
        <v>0</v>
      </c>
      <c r="W233" s="33"/>
      <c r="X233" s="32"/>
      <c r="Y233" s="113">
        <f t="shared" si="67"/>
        <v>0</v>
      </c>
      <c r="Z233" s="33"/>
      <c r="AA233" s="57"/>
      <c r="AB233" s="57"/>
      <c r="AC233" s="57"/>
      <c r="AD233" s="32"/>
      <c r="AE233" s="113">
        <f t="shared" si="68"/>
        <v>0</v>
      </c>
      <c r="AF233" s="33"/>
      <c r="AG233" s="32"/>
      <c r="AH233" s="26"/>
      <c r="AI233" s="33"/>
      <c r="AJ233" s="29">
        <f t="shared" si="69"/>
        <v>0</v>
      </c>
      <c r="AK233" s="57" t="s">
        <v>304</v>
      </c>
      <c r="AL233" s="58">
        <f t="shared" si="57"/>
        <v>0</v>
      </c>
      <c r="AM233" s="113">
        <f t="shared" si="70"/>
        <v>0</v>
      </c>
      <c r="AN233" s="33" t="s">
        <v>33</v>
      </c>
      <c r="AO233" s="59">
        <f t="shared" si="71"/>
        <v>0</v>
      </c>
      <c r="AP233" s="26"/>
      <c r="AQ233" s="33"/>
      <c r="AR233" s="56"/>
      <c r="AS233" s="26"/>
      <c r="AT233" s="33"/>
      <c r="AU233" s="57"/>
      <c r="AV233" s="86">
        <f t="shared" si="72"/>
        <v>0</v>
      </c>
      <c r="AW233" s="89">
        <f t="shared" si="56"/>
        <v>0</v>
      </c>
      <c r="AX233" s="86"/>
    </row>
    <row r="234" spans="1:50" s="29" customFormat="1">
      <c r="A234" s="50" t="s">
        <v>261</v>
      </c>
      <c r="B234" s="51"/>
      <c r="C234" s="51"/>
      <c r="D234" s="52"/>
      <c r="E234" s="53"/>
      <c r="F234" s="62"/>
      <c r="G234" s="125"/>
      <c r="I234" s="69"/>
      <c r="L234" s="61"/>
      <c r="M234" s="132"/>
      <c r="N234" s="131"/>
      <c r="O234" s="55"/>
      <c r="P234" s="113">
        <f t="shared" si="65"/>
        <v>0</v>
      </c>
      <c r="Q234" s="33"/>
      <c r="R234" s="56"/>
      <c r="S234" s="26"/>
      <c r="T234" s="33"/>
      <c r="U234" s="32"/>
      <c r="V234" s="113">
        <f t="shared" si="66"/>
        <v>0</v>
      </c>
      <c r="W234" s="33"/>
      <c r="X234" s="32"/>
      <c r="Y234" s="113">
        <f t="shared" si="67"/>
        <v>0</v>
      </c>
      <c r="Z234" s="33"/>
      <c r="AA234" s="57"/>
      <c r="AB234" s="57"/>
      <c r="AC234" s="57"/>
      <c r="AD234" s="32"/>
      <c r="AE234" s="113">
        <f t="shared" si="68"/>
        <v>0</v>
      </c>
      <c r="AF234" s="33"/>
      <c r="AG234" s="32"/>
      <c r="AH234" s="26"/>
      <c r="AI234" s="33"/>
      <c r="AJ234" s="29">
        <f t="shared" si="69"/>
        <v>0</v>
      </c>
      <c r="AK234" s="57" t="s">
        <v>304</v>
      </c>
      <c r="AL234" s="58">
        <f t="shared" si="57"/>
        <v>0</v>
      </c>
      <c r="AM234" s="113">
        <f t="shared" si="70"/>
        <v>0</v>
      </c>
      <c r="AN234" s="33" t="s">
        <v>33</v>
      </c>
      <c r="AO234" s="59">
        <f t="shared" si="71"/>
        <v>0</v>
      </c>
      <c r="AP234" s="113">
        <f>ROUND(AO234*$D$1,2)</f>
        <v>0</v>
      </c>
      <c r="AQ234" s="33"/>
      <c r="AR234" s="56"/>
      <c r="AS234" s="26"/>
      <c r="AT234" s="33"/>
      <c r="AU234" s="57"/>
      <c r="AV234" s="86">
        <f t="shared" si="72"/>
        <v>0</v>
      </c>
      <c r="AW234" s="89">
        <f t="shared" si="56"/>
        <v>0</v>
      </c>
      <c r="AX234" s="86"/>
    </row>
    <row r="235" spans="1:50" s="29" customFormat="1">
      <c r="A235" s="50" t="s">
        <v>262</v>
      </c>
      <c r="B235" s="51"/>
      <c r="C235" s="51"/>
      <c r="D235" s="52"/>
      <c r="E235" s="53"/>
      <c r="F235" s="62"/>
      <c r="G235" s="125"/>
      <c r="I235" s="69"/>
      <c r="L235" s="61"/>
      <c r="M235" s="132"/>
      <c r="N235" s="131"/>
      <c r="O235" s="55"/>
      <c r="P235" s="113">
        <f t="shared" si="65"/>
        <v>0</v>
      </c>
      <c r="Q235" s="33"/>
      <c r="R235" s="56"/>
      <c r="S235" s="26"/>
      <c r="T235" s="33"/>
      <c r="U235" s="32"/>
      <c r="V235" s="113">
        <f t="shared" si="66"/>
        <v>0</v>
      </c>
      <c r="W235" s="33"/>
      <c r="X235" s="32"/>
      <c r="Y235" s="113">
        <f t="shared" si="67"/>
        <v>0</v>
      </c>
      <c r="Z235" s="33"/>
      <c r="AA235" s="57"/>
      <c r="AB235" s="57"/>
      <c r="AC235" s="57"/>
      <c r="AD235" s="32"/>
      <c r="AE235" s="113">
        <f t="shared" si="68"/>
        <v>0</v>
      </c>
      <c r="AF235" s="33"/>
      <c r="AG235" s="32"/>
      <c r="AH235" s="26"/>
      <c r="AI235" s="33"/>
      <c r="AJ235" s="29">
        <f t="shared" si="69"/>
        <v>0</v>
      </c>
      <c r="AK235" s="57" t="s">
        <v>304</v>
      </c>
      <c r="AL235" s="58">
        <f t="shared" si="57"/>
        <v>0</v>
      </c>
      <c r="AM235" s="113">
        <f t="shared" si="70"/>
        <v>0</v>
      </c>
      <c r="AN235" s="33" t="s">
        <v>33</v>
      </c>
      <c r="AO235" s="59">
        <f t="shared" si="71"/>
        <v>0</v>
      </c>
      <c r="AP235" s="26"/>
      <c r="AQ235" s="33"/>
      <c r="AR235" s="56"/>
      <c r="AS235" s="26"/>
      <c r="AT235" s="33"/>
      <c r="AU235" s="57"/>
      <c r="AV235" s="86">
        <f t="shared" si="72"/>
        <v>0</v>
      </c>
      <c r="AW235" s="89">
        <f t="shared" si="56"/>
        <v>0</v>
      </c>
      <c r="AX235" s="86"/>
    </row>
    <row r="236" spans="1:50" s="29" customFormat="1">
      <c r="A236" s="50" t="s">
        <v>263</v>
      </c>
      <c r="B236" s="51"/>
      <c r="C236" s="51"/>
      <c r="D236" s="52"/>
      <c r="E236" s="53"/>
      <c r="F236" s="62"/>
      <c r="G236" s="125"/>
      <c r="I236" s="69"/>
      <c r="L236" s="61"/>
      <c r="M236" s="132"/>
      <c r="N236" s="131"/>
      <c r="O236" s="55"/>
      <c r="P236" s="113">
        <f t="shared" si="65"/>
        <v>0</v>
      </c>
      <c r="Q236" s="33"/>
      <c r="R236" s="56"/>
      <c r="S236" s="26"/>
      <c r="T236" s="33"/>
      <c r="U236" s="32"/>
      <c r="V236" s="113">
        <f t="shared" si="66"/>
        <v>0</v>
      </c>
      <c r="W236" s="33"/>
      <c r="X236" s="32"/>
      <c r="Y236" s="113">
        <f t="shared" si="67"/>
        <v>0</v>
      </c>
      <c r="Z236" s="33"/>
      <c r="AA236" s="57"/>
      <c r="AB236" s="57"/>
      <c r="AC236" s="57"/>
      <c r="AD236" s="32"/>
      <c r="AE236" s="113">
        <f t="shared" si="68"/>
        <v>0</v>
      </c>
      <c r="AF236" s="33"/>
      <c r="AG236" s="32"/>
      <c r="AH236" s="26"/>
      <c r="AI236" s="33"/>
      <c r="AJ236" s="29">
        <f t="shared" si="69"/>
        <v>0</v>
      </c>
      <c r="AK236" s="57" t="s">
        <v>304</v>
      </c>
      <c r="AL236" s="58">
        <f t="shared" si="57"/>
        <v>0</v>
      </c>
      <c r="AM236" s="113">
        <f t="shared" si="70"/>
        <v>0</v>
      </c>
      <c r="AN236" s="33" t="s">
        <v>33</v>
      </c>
      <c r="AO236" s="59">
        <f t="shared" si="71"/>
        <v>0</v>
      </c>
      <c r="AP236" s="26"/>
      <c r="AQ236" s="33"/>
      <c r="AR236" s="56"/>
      <c r="AS236" s="26"/>
      <c r="AT236" s="33"/>
      <c r="AU236" s="57"/>
      <c r="AV236" s="86">
        <f t="shared" si="72"/>
        <v>0</v>
      </c>
      <c r="AW236" s="89">
        <f t="shared" si="56"/>
        <v>0</v>
      </c>
      <c r="AX236" s="86"/>
    </row>
    <row r="237" spans="1:50" s="29" customFormat="1">
      <c r="A237" s="50" t="s">
        <v>264</v>
      </c>
      <c r="B237" s="54"/>
      <c r="C237" s="54"/>
      <c r="D237" s="54"/>
      <c r="E237" s="53"/>
      <c r="F237" s="62"/>
      <c r="G237" s="69"/>
      <c r="I237" s="69"/>
      <c r="L237" s="52"/>
      <c r="M237" s="132"/>
      <c r="N237" s="131"/>
      <c r="O237" s="55"/>
      <c r="P237" s="113">
        <f t="shared" si="65"/>
        <v>0</v>
      </c>
      <c r="Q237" s="33"/>
      <c r="R237" s="56"/>
      <c r="S237" s="26"/>
      <c r="T237" s="33"/>
      <c r="U237" s="32"/>
      <c r="V237" s="113">
        <f t="shared" si="66"/>
        <v>0</v>
      </c>
      <c r="W237" s="33"/>
      <c r="X237" s="32"/>
      <c r="Y237" s="113">
        <f t="shared" si="67"/>
        <v>0</v>
      </c>
      <c r="Z237" s="33"/>
      <c r="AA237" s="57"/>
      <c r="AB237" s="57"/>
      <c r="AC237" s="57"/>
      <c r="AD237" s="32"/>
      <c r="AE237" s="113">
        <f t="shared" si="68"/>
        <v>0</v>
      </c>
      <c r="AF237" s="33"/>
      <c r="AG237" s="32"/>
      <c r="AH237" s="26"/>
      <c r="AI237" s="33"/>
      <c r="AJ237" s="29">
        <f t="shared" si="69"/>
        <v>0</v>
      </c>
      <c r="AK237" s="57" t="s">
        <v>304</v>
      </c>
      <c r="AL237" s="58">
        <f t="shared" si="57"/>
        <v>0</v>
      </c>
      <c r="AM237" s="113">
        <f t="shared" si="70"/>
        <v>0</v>
      </c>
      <c r="AN237" s="33" t="s">
        <v>33</v>
      </c>
      <c r="AO237" s="59">
        <f t="shared" si="71"/>
        <v>0</v>
      </c>
      <c r="AP237" s="113">
        <f>ROUND(AO237*$D$1,2)</f>
        <v>0</v>
      </c>
      <c r="AQ237" s="33"/>
      <c r="AR237" s="56"/>
      <c r="AS237" s="26"/>
      <c r="AT237" s="33"/>
      <c r="AU237" s="57"/>
      <c r="AV237" s="86">
        <f t="shared" si="72"/>
        <v>0</v>
      </c>
      <c r="AW237" s="89">
        <f t="shared" si="56"/>
        <v>0</v>
      </c>
      <c r="AX237" s="86"/>
    </row>
    <row r="238" spans="1:50" s="29" customFormat="1">
      <c r="A238" s="50" t="s">
        <v>265</v>
      </c>
      <c r="B238" s="51"/>
      <c r="C238" s="51"/>
      <c r="E238" s="53"/>
      <c r="F238" s="62"/>
      <c r="G238" s="125"/>
      <c r="I238" s="69"/>
      <c r="L238" s="61"/>
      <c r="M238" s="132"/>
      <c r="N238" s="131"/>
      <c r="O238" s="55"/>
      <c r="P238" s="113">
        <f t="shared" si="65"/>
        <v>0</v>
      </c>
      <c r="Q238" s="33"/>
      <c r="R238" s="56"/>
      <c r="S238" s="26"/>
      <c r="T238" s="33"/>
      <c r="U238" s="32"/>
      <c r="V238" s="113">
        <f t="shared" si="66"/>
        <v>0</v>
      </c>
      <c r="W238" s="33"/>
      <c r="X238" s="32"/>
      <c r="Y238" s="113">
        <f t="shared" si="67"/>
        <v>0</v>
      </c>
      <c r="Z238" s="33"/>
      <c r="AA238" s="57"/>
      <c r="AB238" s="113">
        <f>ROUND(AA238*$D$1,2)</f>
        <v>0</v>
      </c>
      <c r="AC238" s="33"/>
      <c r="AD238" s="32"/>
      <c r="AE238" s="113">
        <f t="shared" si="68"/>
        <v>0</v>
      </c>
      <c r="AF238" s="33"/>
      <c r="AG238" s="32"/>
      <c r="AH238" s="26"/>
      <c r="AI238" s="33"/>
      <c r="AJ238" s="29">
        <f t="shared" si="69"/>
        <v>0</v>
      </c>
      <c r="AK238" s="57" t="s">
        <v>304</v>
      </c>
      <c r="AL238" s="58">
        <f t="shared" si="57"/>
        <v>0</v>
      </c>
      <c r="AM238" s="113">
        <f t="shared" si="70"/>
        <v>0</v>
      </c>
      <c r="AN238" s="33" t="s">
        <v>33</v>
      </c>
      <c r="AO238" s="59">
        <f t="shared" si="71"/>
        <v>0</v>
      </c>
      <c r="AP238" s="26"/>
      <c r="AQ238" s="33"/>
      <c r="AR238" s="56"/>
      <c r="AS238" s="26"/>
      <c r="AT238" s="33"/>
      <c r="AU238" s="57"/>
      <c r="AV238" s="86">
        <f t="shared" si="72"/>
        <v>0</v>
      </c>
      <c r="AW238" s="89">
        <f t="shared" si="56"/>
        <v>0</v>
      </c>
      <c r="AX238" s="86"/>
    </row>
    <row r="239" spans="1:50" s="29" customFormat="1">
      <c r="A239" s="50" t="s">
        <v>266</v>
      </c>
      <c r="D239" s="54"/>
      <c r="E239" s="53"/>
      <c r="F239" s="62"/>
      <c r="G239" s="125"/>
      <c r="I239" s="69"/>
      <c r="L239" s="52"/>
      <c r="M239" s="132"/>
      <c r="N239" s="131"/>
      <c r="O239" s="55"/>
      <c r="P239" s="113">
        <f t="shared" si="65"/>
        <v>0</v>
      </c>
      <c r="Q239" s="33"/>
      <c r="R239" s="56"/>
      <c r="S239" s="26"/>
      <c r="T239" s="33"/>
      <c r="U239" s="32"/>
      <c r="V239" s="113">
        <f t="shared" si="66"/>
        <v>0</v>
      </c>
      <c r="W239" s="33"/>
      <c r="X239" s="32"/>
      <c r="Y239" s="113">
        <f t="shared" si="67"/>
        <v>0</v>
      </c>
      <c r="Z239" s="33"/>
      <c r="AA239" s="57"/>
      <c r="AB239" s="57"/>
      <c r="AC239" s="57"/>
      <c r="AD239" s="32"/>
      <c r="AE239" s="113">
        <f t="shared" si="68"/>
        <v>0</v>
      </c>
      <c r="AF239" s="33"/>
      <c r="AG239" s="32"/>
      <c r="AH239" s="26"/>
      <c r="AI239" s="33"/>
      <c r="AJ239" s="29">
        <f t="shared" si="69"/>
        <v>0</v>
      </c>
      <c r="AK239" s="57" t="s">
        <v>304</v>
      </c>
      <c r="AL239" s="58">
        <f t="shared" si="57"/>
        <v>0</v>
      </c>
      <c r="AM239" s="113">
        <f t="shared" si="70"/>
        <v>0</v>
      </c>
      <c r="AN239" s="33" t="s">
        <v>33</v>
      </c>
      <c r="AO239" s="59">
        <f t="shared" si="71"/>
        <v>0</v>
      </c>
      <c r="AP239" s="26"/>
      <c r="AQ239" s="33"/>
      <c r="AR239" s="56"/>
      <c r="AS239" s="26"/>
      <c r="AT239" s="33"/>
      <c r="AU239" s="57"/>
      <c r="AV239" s="86">
        <f t="shared" si="72"/>
        <v>0</v>
      </c>
      <c r="AW239" s="89">
        <f t="shared" si="56"/>
        <v>0</v>
      </c>
      <c r="AX239" s="86"/>
    </row>
    <row r="240" spans="1:50" s="29" customFormat="1">
      <c r="A240" s="50" t="s">
        <v>267</v>
      </c>
      <c r="B240" s="51"/>
      <c r="C240" s="51"/>
      <c r="D240" s="52"/>
      <c r="E240" s="53"/>
      <c r="F240" s="62"/>
      <c r="G240" s="125"/>
      <c r="I240" s="69"/>
      <c r="L240" s="52"/>
      <c r="M240" s="132"/>
      <c r="N240" s="131"/>
      <c r="O240" s="55"/>
      <c r="P240" s="113">
        <f t="shared" si="65"/>
        <v>0</v>
      </c>
      <c r="Q240" s="33"/>
      <c r="R240" s="56"/>
      <c r="S240" s="26"/>
      <c r="T240" s="33"/>
      <c r="U240" s="32"/>
      <c r="V240" s="113">
        <f t="shared" si="66"/>
        <v>0</v>
      </c>
      <c r="W240" s="33"/>
      <c r="X240" s="32"/>
      <c r="Y240" s="113">
        <f t="shared" si="67"/>
        <v>0</v>
      </c>
      <c r="Z240" s="33"/>
      <c r="AA240" s="57"/>
      <c r="AB240" s="57"/>
      <c r="AC240" s="57"/>
      <c r="AD240" s="32"/>
      <c r="AE240" s="113">
        <f t="shared" si="68"/>
        <v>0</v>
      </c>
      <c r="AF240" s="33"/>
      <c r="AG240" s="32"/>
      <c r="AH240" s="26"/>
      <c r="AI240" s="33"/>
      <c r="AJ240" s="29">
        <f t="shared" si="69"/>
        <v>0</v>
      </c>
      <c r="AK240" s="57" t="s">
        <v>304</v>
      </c>
      <c r="AL240" s="58">
        <f t="shared" si="57"/>
        <v>0</v>
      </c>
      <c r="AM240" s="113">
        <f t="shared" si="70"/>
        <v>0</v>
      </c>
      <c r="AN240" s="33" t="s">
        <v>33</v>
      </c>
      <c r="AO240" s="59">
        <f t="shared" si="71"/>
        <v>0</v>
      </c>
      <c r="AP240" s="26"/>
      <c r="AQ240" s="33"/>
      <c r="AR240" s="56"/>
      <c r="AS240" s="26"/>
      <c r="AT240" s="33"/>
      <c r="AU240" s="57"/>
      <c r="AV240" s="86">
        <f t="shared" si="72"/>
        <v>0</v>
      </c>
      <c r="AW240" s="89">
        <f t="shared" si="56"/>
        <v>0</v>
      </c>
      <c r="AX240" s="86"/>
    </row>
    <row r="241" spans="1:53" s="29" customFormat="1">
      <c r="A241" s="50" t="s">
        <v>268</v>
      </c>
      <c r="B241" s="51"/>
      <c r="C241" s="51"/>
      <c r="D241" s="52"/>
      <c r="E241" s="53"/>
      <c r="F241" s="62"/>
      <c r="G241" s="69"/>
      <c r="I241" s="69"/>
      <c r="L241" s="52"/>
      <c r="M241" s="132"/>
      <c r="N241" s="131"/>
      <c r="O241" s="55"/>
      <c r="P241" s="113">
        <f t="shared" si="65"/>
        <v>0</v>
      </c>
      <c r="Q241" s="33"/>
      <c r="R241" s="56"/>
      <c r="S241" s="26"/>
      <c r="T241" s="33"/>
      <c r="U241" s="32"/>
      <c r="V241" s="113">
        <f t="shared" si="66"/>
        <v>0</v>
      </c>
      <c r="W241" s="33"/>
      <c r="X241" s="32"/>
      <c r="Y241" s="113">
        <f t="shared" si="67"/>
        <v>0</v>
      </c>
      <c r="Z241" s="33"/>
      <c r="AA241" s="57"/>
      <c r="AB241" s="57"/>
      <c r="AC241" s="57"/>
      <c r="AD241" s="32"/>
      <c r="AE241" s="113">
        <f t="shared" si="68"/>
        <v>0</v>
      </c>
      <c r="AF241" s="33"/>
      <c r="AG241" s="32"/>
      <c r="AH241" s="26"/>
      <c r="AI241" s="33"/>
      <c r="AJ241" s="29">
        <f t="shared" si="69"/>
        <v>0</v>
      </c>
      <c r="AK241" s="57" t="s">
        <v>304</v>
      </c>
      <c r="AL241" s="58">
        <f t="shared" si="57"/>
        <v>0</v>
      </c>
      <c r="AM241" s="113">
        <f t="shared" si="70"/>
        <v>0</v>
      </c>
      <c r="AN241" s="33" t="s">
        <v>33</v>
      </c>
      <c r="AO241" s="59">
        <f t="shared" si="71"/>
        <v>0</v>
      </c>
      <c r="AP241" s="113">
        <f>ROUND(AO241*$D$1,2)</f>
        <v>0</v>
      </c>
      <c r="AQ241" s="33"/>
      <c r="AR241" s="56"/>
      <c r="AS241" s="26"/>
      <c r="AT241" s="33"/>
      <c r="AU241" s="57"/>
      <c r="AV241" s="86">
        <f t="shared" si="72"/>
        <v>0</v>
      </c>
      <c r="AW241" s="89">
        <f t="shared" si="56"/>
        <v>0</v>
      </c>
      <c r="AX241" s="86"/>
    </row>
    <row r="242" spans="1:53" s="29" customFormat="1">
      <c r="A242" s="50" t="s">
        <v>269</v>
      </c>
      <c r="B242" s="51"/>
      <c r="C242" s="51"/>
      <c r="D242" s="52"/>
      <c r="E242" s="53"/>
      <c r="F242" s="62"/>
      <c r="G242" s="125"/>
      <c r="I242" s="69"/>
      <c r="L242" s="52"/>
      <c r="M242" s="132"/>
      <c r="N242" s="131"/>
      <c r="O242" s="55"/>
      <c r="P242" s="113">
        <f t="shared" si="65"/>
        <v>0</v>
      </c>
      <c r="Q242" s="33"/>
      <c r="R242" s="56"/>
      <c r="S242" s="26"/>
      <c r="T242" s="33"/>
      <c r="U242" s="32"/>
      <c r="V242" s="113">
        <f t="shared" si="66"/>
        <v>0</v>
      </c>
      <c r="W242" s="33"/>
      <c r="X242" s="32"/>
      <c r="Y242" s="113">
        <f t="shared" si="67"/>
        <v>0</v>
      </c>
      <c r="Z242" s="33"/>
      <c r="AA242" s="57"/>
      <c r="AB242" s="57"/>
      <c r="AC242" s="57"/>
      <c r="AD242" s="32"/>
      <c r="AE242" s="113">
        <f t="shared" si="68"/>
        <v>0</v>
      </c>
      <c r="AF242" s="33"/>
      <c r="AG242" s="32"/>
      <c r="AH242" s="26"/>
      <c r="AI242" s="33"/>
      <c r="AJ242" s="29">
        <f t="shared" si="69"/>
        <v>0</v>
      </c>
      <c r="AK242" s="57" t="s">
        <v>304</v>
      </c>
      <c r="AL242" s="58">
        <f t="shared" si="57"/>
        <v>0</v>
      </c>
      <c r="AM242" s="113">
        <f t="shared" si="70"/>
        <v>0</v>
      </c>
      <c r="AN242" s="33" t="s">
        <v>33</v>
      </c>
      <c r="AO242" s="59">
        <f t="shared" si="71"/>
        <v>0</v>
      </c>
      <c r="AP242" s="26"/>
      <c r="AQ242" s="33"/>
      <c r="AR242" s="56"/>
      <c r="AS242" s="26"/>
      <c r="AT242" s="33"/>
      <c r="AU242" s="57"/>
      <c r="AV242" s="86">
        <f t="shared" si="72"/>
        <v>0</v>
      </c>
      <c r="AW242" s="89">
        <f t="shared" si="56"/>
        <v>0</v>
      </c>
      <c r="AX242" s="86"/>
    </row>
    <row r="243" spans="1:53" s="29" customFormat="1">
      <c r="A243" s="50" t="s">
        <v>270</v>
      </c>
      <c r="B243" s="51"/>
      <c r="C243" s="51"/>
      <c r="D243" s="52"/>
      <c r="E243" s="53"/>
      <c r="F243" s="62"/>
      <c r="G243" s="125"/>
      <c r="I243" s="69"/>
      <c r="L243" s="61"/>
      <c r="M243" s="132"/>
      <c r="N243" s="131"/>
      <c r="O243" s="55"/>
      <c r="P243" s="113">
        <f t="shared" si="65"/>
        <v>0</v>
      </c>
      <c r="Q243" s="33"/>
      <c r="R243" s="56"/>
      <c r="S243" s="26"/>
      <c r="T243" s="33"/>
      <c r="U243" s="32"/>
      <c r="V243" s="113">
        <f t="shared" si="66"/>
        <v>0</v>
      </c>
      <c r="W243" s="33"/>
      <c r="X243" s="32"/>
      <c r="Y243" s="113">
        <f t="shared" si="67"/>
        <v>0</v>
      </c>
      <c r="Z243" s="33"/>
      <c r="AA243" s="57"/>
      <c r="AB243" s="57"/>
      <c r="AC243" s="57"/>
      <c r="AD243" s="32"/>
      <c r="AE243" s="113">
        <f t="shared" si="68"/>
        <v>0</v>
      </c>
      <c r="AF243" s="33"/>
      <c r="AG243" s="32"/>
      <c r="AH243" s="26"/>
      <c r="AI243" s="33"/>
      <c r="AJ243" s="29">
        <f t="shared" si="69"/>
        <v>0</v>
      </c>
      <c r="AK243" s="57" t="s">
        <v>304</v>
      </c>
      <c r="AL243" s="58">
        <f t="shared" si="57"/>
        <v>0</v>
      </c>
      <c r="AM243" s="113">
        <f t="shared" si="70"/>
        <v>0</v>
      </c>
      <c r="AN243" s="33" t="s">
        <v>33</v>
      </c>
      <c r="AO243" s="59">
        <f t="shared" si="71"/>
        <v>0</v>
      </c>
      <c r="AP243" s="113">
        <f>ROUND(AO243*$D$1,2)</f>
        <v>0</v>
      </c>
      <c r="AQ243" s="33"/>
      <c r="AR243" s="56"/>
      <c r="AS243" s="26"/>
      <c r="AT243" s="33"/>
      <c r="AU243" s="57"/>
      <c r="AV243" s="86">
        <f t="shared" si="72"/>
        <v>0</v>
      </c>
      <c r="AW243" s="89">
        <f t="shared" si="56"/>
        <v>0</v>
      </c>
      <c r="AX243" s="86"/>
    </row>
    <row r="244" spans="1:53" s="29" customFormat="1">
      <c r="A244" s="50" t="s">
        <v>271</v>
      </c>
      <c r="B244" s="65"/>
      <c r="C244" s="65"/>
      <c r="D244" s="61"/>
      <c r="E244" s="53"/>
      <c r="F244" s="62"/>
      <c r="G244" s="125"/>
      <c r="I244" s="69"/>
      <c r="L244" s="61"/>
      <c r="M244" s="132"/>
      <c r="N244" s="131"/>
      <c r="O244" s="55"/>
      <c r="P244" s="113">
        <f t="shared" si="65"/>
        <v>0</v>
      </c>
      <c r="Q244" s="33"/>
      <c r="R244" s="56"/>
      <c r="S244" s="26"/>
      <c r="T244" s="33"/>
      <c r="U244" s="32"/>
      <c r="V244" s="113">
        <f t="shared" si="66"/>
        <v>0</v>
      </c>
      <c r="W244" s="33"/>
      <c r="X244" s="32"/>
      <c r="Y244" s="113">
        <f t="shared" si="67"/>
        <v>0</v>
      </c>
      <c r="Z244" s="33"/>
      <c r="AA244" s="57"/>
      <c r="AB244" s="57"/>
      <c r="AC244" s="57"/>
      <c r="AD244" s="32"/>
      <c r="AE244" s="113">
        <f t="shared" si="68"/>
        <v>0</v>
      </c>
      <c r="AF244" s="33"/>
      <c r="AG244" s="32"/>
      <c r="AH244" s="26"/>
      <c r="AI244" s="33"/>
      <c r="AJ244" s="29">
        <f t="shared" si="69"/>
        <v>0</v>
      </c>
      <c r="AK244" s="57" t="s">
        <v>304</v>
      </c>
      <c r="AL244" s="58">
        <f t="shared" si="57"/>
        <v>0</v>
      </c>
      <c r="AM244" s="113">
        <f t="shared" si="70"/>
        <v>0</v>
      </c>
      <c r="AN244" s="33" t="s">
        <v>33</v>
      </c>
      <c r="AO244" s="59">
        <f t="shared" si="71"/>
        <v>0</v>
      </c>
      <c r="AP244" s="26"/>
      <c r="AQ244" s="33"/>
      <c r="AR244" s="56"/>
      <c r="AS244" s="26"/>
      <c r="AT244" s="33"/>
      <c r="AU244" s="57"/>
      <c r="AV244" s="86">
        <f t="shared" si="72"/>
        <v>0</v>
      </c>
      <c r="AW244" s="89">
        <f t="shared" si="56"/>
        <v>0</v>
      </c>
      <c r="AX244" s="86"/>
    </row>
    <row r="245" spans="1:53" s="29" customFormat="1">
      <c r="A245" s="50" t="s">
        <v>272</v>
      </c>
      <c r="B245" s="51"/>
      <c r="C245" s="51"/>
      <c r="D245" s="52"/>
      <c r="E245" s="53"/>
      <c r="F245" s="62"/>
      <c r="G245" s="125"/>
      <c r="I245" s="69"/>
      <c r="L245" s="61"/>
      <c r="M245" s="132"/>
      <c r="N245" s="131"/>
      <c r="O245" s="55"/>
      <c r="P245" s="113">
        <f t="shared" si="65"/>
        <v>0</v>
      </c>
      <c r="Q245" s="33"/>
      <c r="R245" s="56"/>
      <c r="S245" s="26"/>
      <c r="T245" s="33"/>
      <c r="U245" s="32"/>
      <c r="V245" s="113">
        <f t="shared" si="66"/>
        <v>0</v>
      </c>
      <c r="W245" s="33"/>
      <c r="X245" s="32"/>
      <c r="Y245" s="113">
        <f t="shared" si="67"/>
        <v>0</v>
      </c>
      <c r="Z245" s="33"/>
      <c r="AA245" s="57"/>
      <c r="AB245" s="113">
        <f>ROUND(AA245*$D$1,2)</f>
        <v>0</v>
      </c>
      <c r="AC245" s="33"/>
      <c r="AD245" s="32"/>
      <c r="AE245" s="113">
        <f t="shared" si="68"/>
        <v>0</v>
      </c>
      <c r="AF245" s="33"/>
      <c r="AG245" s="32"/>
      <c r="AH245" s="26"/>
      <c r="AI245" s="33"/>
      <c r="AJ245" s="29">
        <f t="shared" si="69"/>
        <v>0</v>
      </c>
      <c r="AK245" s="57" t="s">
        <v>304</v>
      </c>
      <c r="AL245" s="58">
        <f t="shared" si="57"/>
        <v>0</v>
      </c>
      <c r="AM245" s="113">
        <f t="shared" si="70"/>
        <v>0</v>
      </c>
      <c r="AN245" s="33" t="s">
        <v>33</v>
      </c>
      <c r="AO245" s="59">
        <f t="shared" si="71"/>
        <v>0</v>
      </c>
      <c r="AP245" s="26"/>
      <c r="AQ245" s="33"/>
      <c r="AR245" s="56"/>
      <c r="AS245" s="26"/>
      <c r="AT245" s="33"/>
      <c r="AU245" s="57"/>
      <c r="AV245" s="86">
        <f t="shared" si="72"/>
        <v>0</v>
      </c>
      <c r="AW245" s="89">
        <f t="shared" si="56"/>
        <v>0</v>
      </c>
      <c r="AX245" s="86"/>
    </row>
    <row r="246" spans="1:53" s="29" customFormat="1">
      <c r="A246" s="50" t="s">
        <v>273</v>
      </c>
      <c r="B246" s="51"/>
      <c r="C246" s="51"/>
      <c r="D246" s="52"/>
      <c r="E246" s="53"/>
      <c r="F246" s="62"/>
      <c r="G246" s="125"/>
      <c r="I246" s="69"/>
      <c r="L246" s="52"/>
      <c r="M246" s="132"/>
      <c r="N246" s="131"/>
      <c r="O246" s="55"/>
      <c r="P246" s="113">
        <f t="shared" si="65"/>
        <v>0</v>
      </c>
      <c r="Q246" s="33"/>
      <c r="R246" s="56"/>
      <c r="S246" s="26"/>
      <c r="T246" s="33"/>
      <c r="U246" s="32"/>
      <c r="V246" s="113">
        <f t="shared" si="66"/>
        <v>0</v>
      </c>
      <c r="W246" s="33"/>
      <c r="X246" s="32"/>
      <c r="Y246" s="113">
        <f t="shared" si="67"/>
        <v>0</v>
      </c>
      <c r="Z246" s="33"/>
      <c r="AA246" s="57"/>
      <c r="AB246" s="57"/>
      <c r="AC246" s="57"/>
      <c r="AD246" s="32"/>
      <c r="AE246" s="113">
        <f t="shared" si="68"/>
        <v>0</v>
      </c>
      <c r="AF246" s="33"/>
      <c r="AG246" s="32"/>
      <c r="AH246" s="26"/>
      <c r="AI246" s="33"/>
      <c r="AJ246" s="29">
        <f t="shared" si="69"/>
        <v>0</v>
      </c>
      <c r="AK246" s="57" t="s">
        <v>304</v>
      </c>
      <c r="AL246" s="58">
        <f t="shared" si="57"/>
        <v>0</v>
      </c>
      <c r="AM246" s="113">
        <f t="shared" si="70"/>
        <v>0</v>
      </c>
      <c r="AN246" s="33" t="s">
        <v>33</v>
      </c>
      <c r="AO246" s="59">
        <f t="shared" si="71"/>
        <v>0</v>
      </c>
      <c r="AP246" s="26"/>
      <c r="AQ246" s="33"/>
      <c r="AR246" s="56"/>
      <c r="AS246" s="26"/>
      <c r="AT246" s="33"/>
      <c r="AU246" s="57"/>
      <c r="AV246" s="86">
        <f t="shared" si="72"/>
        <v>0</v>
      </c>
      <c r="AW246" s="89">
        <f t="shared" si="56"/>
        <v>0</v>
      </c>
      <c r="AX246" s="86"/>
    </row>
    <row r="247" spans="1:53" s="29" customFormat="1">
      <c r="A247" s="50" t="s">
        <v>274</v>
      </c>
      <c r="B247" s="51"/>
      <c r="C247" s="51"/>
      <c r="D247" s="52"/>
      <c r="E247" s="53"/>
      <c r="F247" s="62"/>
      <c r="G247" s="69"/>
      <c r="I247" s="69"/>
      <c r="L247" s="52"/>
      <c r="M247" s="132"/>
      <c r="N247" s="131"/>
      <c r="O247" s="55"/>
      <c r="P247" s="113">
        <f t="shared" si="65"/>
        <v>0</v>
      </c>
      <c r="Q247" s="33"/>
      <c r="R247" s="56"/>
      <c r="S247" s="26"/>
      <c r="T247" s="33"/>
      <c r="U247" s="32"/>
      <c r="V247" s="113">
        <f t="shared" si="66"/>
        <v>0</v>
      </c>
      <c r="W247" s="33"/>
      <c r="X247" s="32"/>
      <c r="Y247" s="113">
        <f t="shared" si="67"/>
        <v>0</v>
      </c>
      <c r="Z247" s="33"/>
      <c r="AA247" s="57"/>
      <c r="AB247" s="57"/>
      <c r="AC247" s="57"/>
      <c r="AD247" s="32"/>
      <c r="AE247" s="113">
        <f t="shared" si="68"/>
        <v>0</v>
      </c>
      <c r="AF247" s="33"/>
      <c r="AG247" s="32"/>
      <c r="AH247" s="26"/>
      <c r="AI247" s="33"/>
      <c r="AJ247" s="29">
        <f t="shared" si="69"/>
        <v>0</v>
      </c>
      <c r="AK247" s="57" t="s">
        <v>304</v>
      </c>
      <c r="AL247" s="58">
        <f t="shared" si="57"/>
        <v>0</v>
      </c>
      <c r="AM247" s="113">
        <f t="shared" si="70"/>
        <v>0</v>
      </c>
      <c r="AN247" s="33" t="s">
        <v>33</v>
      </c>
      <c r="AO247" s="59">
        <f t="shared" si="71"/>
        <v>0</v>
      </c>
      <c r="AP247" s="26"/>
      <c r="AQ247" s="33"/>
      <c r="AR247" s="56"/>
      <c r="AS247" s="26"/>
      <c r="AT247" s="33"/>
      <c r="AU247" s="57"/>
      <c r="AV247" s="86">
        <f t="shared" si="72"/>
        <v>0</v>
      </c>
      <c r="AW247" s="89">
        <f t="shared" si="56"/>
        <v>0</v>
      </c>
      <c r="AX247" s="86"/>
    </row>
    <row r="248" spans="1:53" s="29" customFormat="1">
      <c r="A248" s="50" t="s">
        <v>275</v>
      </c>
      <c r="B248" s="51"/>
      <c r="C248" s="51"/>
      <c r="D248" s="52"/>
      <c r="E248" s="53"/>
      <c r="F248" s="62"/>
      <c r="G248" s="125"/>
      <c r="I248" s="69"/>
      <c r="L248" s="52"/>
      <c r="M248" s="132"/>
      <c r="N248" s="131"/>
      <c r="O248" s="55"/>
      <c r="P248" s="113">
        <f t="shared" si="65"/>
        <v>0</v>
      </c>
      <c r="Q248" s="33"/>
      <c r="R248" s="56"/>
      <c r="S248" s="26"/>
      <c r="T248" s="33"/>
      <c r="U248" s="32"/>
      <c r="V248" s="113">
        <f t="shared" si="66"/>
        <v>0</v>
      </c>
      <c r="W248" s="33"/>
      <c r="X248" s="32"/>
      <c r="Y248" s="113">
        <f t="shared" si="67"/>
        <v>0</v>
      </c>
      <c r="Z248" s="33"/>
      <c r="AA248" s="57"/>
      <c r="AB248" s="57"/>
      <c r="AC248" s="57"/>
      <c r="AD248" s="32"/>
      <c r="AE248" s="113">
        <f t="shared" si="68"/>
        <v>0</v>
      </c>
      <c r="AF248" s="33"/>
      <c r="AG248" s="32"/>
      <c r="AH248" s="26"/>
      <c r="AI248" s="33"/>
      <c r="AJ248" s="29">
        <f t="shared" si="69"/>
        <v>0</v>
      </c>
      <c r="AK248" s="57" t="s">
        <v>304</v>
      </c>
      <c r="AL248" s="58">
        <f t="shared" si="57"/>
        <v>0</v>
      </c>
      <c r="AM248" s="113">
        <f t="shared" si="70"/>
        <v>0</v>
      </c>
      <c r="AN248" s="33" t="s">
        <v>33</v>
      </c>
      <c r="AO248" s="59">
        <f t="shared" si="71"/>
        <v>0</v>
      </c>
      <c r="AP248" s="26"/>
      <c r="AQ248" s="33"/>
      <c r="AR248" s="56"/>
      <c r="AS248" s="26"/>
      <c r="AT248" s="33"/>
      <c r="AU248" s="57"/>
      <c r="AV248" s="86">
        <f t="shared" si="72"/>
        <v>0</v>
      </c>
      <c r="AW248" s="89">
        <f t="shared" si="56"/>
        <v>0</v>
      </c>
      <c r="AX248" s="86"/>
    </row>
    <row r="249" spans="1:53" s="38" customFormat="1">
      <c r="A249" s="50" t="s">
        <v>276</v>
      </c>
      <c r="B249" s="35"/>
      <c r="C249" s="35"/>
      <c r="D249" s="39"/>
      <c r="E249" s="48"/>
      <c r="F249" s="37"/>
      <c r="G249" s="125"/>
      <c r="I249" s="74"/>
      <c r="L249" s="49"/>
      <c r="M249" s="134"/>
      <c r="N249" s="135"/>
      <c r="O249" s="40"/>
      <c r="P249" s="41">
        <f t="shared" si="65"/>
        <v>0</v>
      </c>
      <c r="Q249" s="42"/>
      <c r="R249" s="43"/>
      <c r="S249" s="41"/>
      <c r="T249" s="42"/>
      <c r="U249" s="44"/>
      <c r="V249" s="41">
        <f t="shared" si="66"/>
        <v>0</v>
      </c>
      <c r="W249" s="42"/>
      <c r="X249" s="44"/>
      <c r="Y249" s="41">
        <f t="shared" si="67"/>
        <v>0</v>
      </c>
      <c r="Z249" s="42"/>
      <c r="AA249" s="45"/>
      <c r="AB249" s="45"/>
      <c r="AC249" s="45"/>
      <c r="AD249" s="44"/>
      <c r="AE249" s="41">
        <f t="shared" si="68"/>
        <v>0</v>
      </c>
      <c r="AF249" s="42"/>
      <c r="AG249" s="44"/>
      <c r="AH249" s="41"/>
      <c r="AI249" s="42"/>
      <c r="AJ249" s="38">
        <f t="shared" si="69"/>
        <v>0</v>
      </c>
      <c r="AK249" s="45" t="s">
        <v>304</v>
      </c>
      <c r="AL249" s="58">
        <f t="shared" si="57"/>
        <v>0</v>
      </c>
      <c r="AM249" s="114">
        <f t="shared" si="70"/>
        <v>0</v>
      </c>
      <c r="AN249" s="42" t="s">
        <v>33</v>
      </c>
      <c r="AO249" s="46">
        <f t="shared" si="71"/>
        <v>0</v>
      </c>
      <c r="AP249" s="41"/>
      <c r="AQ249" s="42"/>
      <c r="AR249" s="43"/>
      <c r="AS249" s="41"/>
      <c r="AT249" s="42"/>
      <c r="AU249" s="45"/>
      <c r="AV249" s="91">
        <f t="shared" si="72"/>
        <v>0</v>
      </c>
      <c r="AW249" s="92">
        <f t="shared" si="56"/>
        <v>0</v>
      </c>
      <c r="AX249" s="91"/>
    </row>
    <row r="250" spans="1:53" s="29" customFormat="1">
      <c r="A250" s="50" t="s">
        <v>277</v>
      </c>
      <c r="B250" s="51"/>
      <c r="C250" s="51"/>
      <c r="D250" s="51"/>
      <c r="E250" s="53"/>
      <c r="F250" s="62"/>
      <c r="G250" s="69"/>
      <c r="I250" s="69"/>
      <c r="L250" s="51"/>
      <c r="M250" s="132"/>
      <c r="N250" s="131"/>
      <c r="O250" s="55"/>
      <c r="P250" s="113">
        <f t="shared" si="65"/>
        <v>0</v>
      </c>
      <c r="Q250" s="33"/>
      <c r="R250" s="56"/>
      <c r="S250" s="26"/>
      <c r="T250" s="33"/>
      <c r="U250" s="32"/>
      <c r="V250" s="113">
        <f t="shared" si="66"/>
        <v>0</v>
      </c>
      <c r="W250" s="33"/>
      <c r="X250" s="32"/>
      <c r="Y250" s="113">
        <f t="shared" si="67"/>
        <v>0</v>
      </c>
      <c r="Z250" s="33"/>
      <c r="AA250" s="57"/>
      <c r="AB250" s="57"/>
      <c r="AC250" s="57"/>
      <c r="AD250" s="32"/>
      <c r="AE250" s="113">
        <f t="shared" si="68"/>
        <v>0</v>
      </c>
      <c r="AF250" s="33"/>
      <c r="AG250" s="32"/>
      <c r="AH250" s="26"/>
      <c r="AI250" s="33"/>
      <c r="AJ250" s="29">
        <f t="shared" si="69"/>
        <v>0</v>
      </c>
      <c r="AK250" s="57" t="s">
        <v>304</v>
      </c>
      <c r="AL250" s="58">
        <f t="shared" si="57"/>
        <v>0</v>
      </c>
      <c r="AM250" s="113">
        <f t="shared" si="70"/>
        <v>0</v>
      </c>
      <c r="AN250" s="33" t="s">
        <v>33</v>
      </c>
      <c r="AO250" s="59">
        <f t="shared" si="71"/>
        <v>0</v>
      </c>
      <c r="AP250" s="26"/>
      <c r="AQ250" s="33"/>
      <c r="AR250" s="56"/>
      <c r="AS250" s="26"/>
      <c r="AT250" s="33"/>
      <c r="AU250" s="57"/>
      <c r="AV250" s="86">
        <f t="shared" si="72"/>
        <v>0</v>
      </c>
      <c r="AW250" s="89">
        <f t="shared" si="56"/>
        <v>0</v>
      </c>
      <c r="AX250" s="86"/>
    </row>
    <row r="251" spans="1:53" s="29" customFormat="1">
      <c r="A251" s="50" t="s">
        <v>278</v>
      </c>
      <c r="B251" s="51"/>
      <c r="C251" s="51"/>
      <c r="D251" s="52"/>
      <c r="E251" s="53"/>
      <c r="F251" s="62"/>
      <c r="G251" s="125"/>
      <c r="I251" s="69"/>
      <c r="L251" s="61"/>
      <c r="M251" s="132"/>
      <c r="N251" s="131"/>
      <c r="O251" s="55"/>
      <c r="P251" s="113">
        <f t="shared" si="65"/>
        <v>0</v>
      </c>
      <c r="Q251" s="33"/>
      <c r="R251" s="56"/>
      <c r="S251" s="26"/>
      <c r="T251" s="33"/>
      <c r="U251" s="32"/>
      <c r="V251" s="113">
        <f t="shared" si="66"/>
        <v>0</v>
      </c>
      <c r="W251" s="33"/>
      <c r="X251" s="32"/>
      <c r="Y251" s="113">
        <f t="shared" si="67"/>
        <v>0</v>
      </c>
      <c r="Z251" s="33"/>
      <c r="AA251" s="57"/>
      <c r="AB251" s="57"/>
      <c r="AC251" s="57"/>
      <c r="AD251" s="32"/>
      <c r="AE251" s="113">
        <f t="shared" si="68"/>
        <v>0</v>
      </c>
      <c r="AF251" s="33"/>
      <c r="AG251" s="32"/>
      <c r="AH251" s="26"/>
      <c r="AI251" s="33"/>
      <c r="AJ251" s="29">
        <f t="shared" si="69"/>
        <v>0</v>
      </c>
      <c r="AK251" s="57" t="s">
        <v>304</v>
      </c>
      <c r="AL251" s="58">
        <f t="shared" si="57"/>
        <v>0</v>
      </c>
      <c r="AM251" s="113">
        <f t="shared" si="70"/>
        <v>0</v>
      </c>
      <c r="AN251" s="33" t="s">
        <v>33</v>
      </c>
      <c r="AO251" s="59">
        <f t="shared" si="71"/>
        <v>0</v>
      </c>
      <c r="AP251" s="26"/>
      <c r="AQ251" s="33"/>
      <c r="AR251" s="56"/>
      <c r="AS251" s="26"/>
      <c r="AT251" s="33"/>
      <c r="AU251" s="57"/>
      <c r="AV251" s="86">
        <f t="shared" si="72"/>
        <v>0</v>
      </c>
      <c r="AW251" s="89">
        <f t="shared" si="56"/>
        <v>0</v>
      </c>
      <c r="AX251" s="86"/>
    </row>
    <row r="252" spans="1:53" s="29" customFormat="1">
      <c r="A252" s="50" t="s">
        <v>279</v>
      </c>
      <c r="B252" s="51"/>
      <c r="C252" s="51"/>
      <c r="D252" s="52"/>
      <c r="E252" s="53"/>
      <c r="F252" s="62"/>
      <c r="G252" s="125"/>
      <c r="I252" s="69"/>
      <c r="L252" s="52"/>
      <c r="M252" s="132"/>
      <c r="N252" s="131"/>
      <c r="O252" s="55"/>
      <c r="P252" s="113">
        <f t="shared" si="65"/>
        <v>0</v>
      </c>
      <c r="Q252" s="33"/>
      <c r="R252" s="56"/>
      <c r="S252" s="26"/>
      <c r="T252" s="33"/>
      <c r="U252" s="32"/>
      <c r="V252" s="113">
        <f t="shared" si="66"/>
        <v>0</v>
      </c>
      <c r="W252" s="33"/>
      <c r="X252" s="32"/>
      <c r="Y252" s="113">
        <f t="shared" si="67"/>
        <v>0</v>
      </c>
      <c r="Z252" s="33"/>
      <c r="AA252" s="57"/>
      <c r="AB252" s="57"/>
      <c r="AC252" s="57"/>
      <c r="AD252" s="32"/>
      <c r="AE252" s="113">
        <f t="shared" si="68"/>
        <v>0</v>
      </c>
      <c r="AF252" s="33"/>
      <c r="AG252" s="32"/>
      <c r="AH252" s="26"/>
      <c r="AI252" s="33"/>
      <c r="AJ252" s="29">
        <f t="shared" si="69"/>
        <v>0</v>
      </c>
      <c r="AK252" s="57" t="s">
        <v>304</v>
      </c>
      <c r="AL252" s="58">
        <f t="shared" si="57"/>
        <v>0</v>
      </c>
      <c r="AM252" s="113">
        <f t="shared" si="70"/>
        <v>0</v>
      </c>
      <c r="AN252" s="33" t="s">
        <v>33</v>
      </c>
      <c r="AO252" s="59">
        <f t="shared" si="71"/>
        <v>0</v>
      </c>
      <c r="AP252" s="26"/>
      <c r="AQ252" s="33"/>
      <c r="AR252" s="56">
        <f>O252*6%</f>
        <v>0</v>
      </c>
      <c r="AS252" s="113">
        <f>ROUND(AR252*$D$1,2)</f>
        <v>0</v>
      </c>
      <c r="AT252" s="33"/>
      <c r="AU252" s="57"/>
      <c r="AV252" s="86">
        <f t="shared" si="72"/>
        <v>0</v>
      </c>
      <c r="AW252" s="89">
        <f t="shared" si="56"/>
        <v>0</v>
      </c>
      <c r="AX252" s="86"/>
    </row>
    <row r="253" spans="1:53" s="29" customFormat="1">
      <c r="A253" s="50" t="s">
        <v>280</v>
      </c>
      <c r="B253" s="51"/>
      <c r="C253" s="51"/>
      <c r="D253" s="52"/>
      <c r="E253" s="53"/>
      <c r="F253" s="62"/>
      <c r="G253" s="125"/>
      <c r="I253" s="69"/>
      <c r="L253" s="61"/>
      <c r="M253" s="132"/>
      <c r="N253" s="131"/>
      <c r="O253" s="55"/>
      <c r="P253" s="113">
        <f t="shared" si="65"/>
        <v>0</v>
      </c>
      <c r="Q253" s="33"/>
      <c r="R253" s="56"/>
      <c r="S253" s="26"/>
      <c r="T253" s="33"/>
      <c r="U253" s="32"/>
      <c r="V253" s="113">
        <f t="shared" si="66"/>
        <v>0</v>
      </c>
      <c r="W253" s="33"/>
      <c r="X253" s="32"/>
      <c r="Y253" s="113">
        <f t="shared" si="67"/>
        <v>0</v>
      </c>
      <c r="Z253" s="33"/>
      <c r="AA253" s="57"/>
      <c r="AB253" s="57"/>
      <c r="AC253" s="57"/>
      <c r="AD253" s="32"/>
      <c r="AE253" s="113">
        <f t="shared" si="68"/>
        <v>0</v>
      </c>
      <c r="AF253" s="33"/>
      <c r="AG253" s="32"/>
      <c r="AH253" s="26"/>
      <c r="AI253" s="33"/>
      <c r="AJ253" s="29">
        <f t="shared" si="69"/>
        <v>0</v>
      </c>
      <c r="AK253" s="57" t="s">
        <v>304</v>
      </c>
      <c r="AL253" s="58">
        <f t="shared" si="57"/>
        <v>0</v>
      </c>
      <c r="AM253" s="113">
        <f t="shared" si="70"/>
        <v>0</v>
      </c>
      <c r="AN253" s="33" t="s">
        <v>33</v>
      </c>
      <c r="AO253" s="59">
        <f t="shared" si="71"/>
        <v>0</v>
      </c>
      <c r="AP253" s="26"/>
      <c r="AQ253" s="33"/>
      <c r="AR253" s="56"/>
      <c r="AS253" s="26"/>
      <c r="AT253" s="33"/>
      <c r="AU253" s="57"/>
      <c r="AV253" s="86">
        <f t="shared" si="72"/>
        <v>0</v>
      </c>
      <c r="AW253" s="89">
        <f t="shared" si="56"/>
        <v>0</v>
      </c>
      <c r="AX253" s="86"/>
    </row>
    <row r="254" spans="1:53" s="29" customFormat="1">
      <c r="A254" s="50" t="s">
        <v>281</v>
      </c>
      <c r="B254" s="51"/>
      <c r="C254" s="51"/>
      <c r="D254" s="52"/>
      <c r="E254" s="53"/>
      <c r="F254" s="62"/>
      <c r="G254" s="125"/>
      <c r="I254" s="69"/>
      <c r="L254" s="52"/>
      <c r="M254" s="132"/>
      <c r="N254" s="131"/>
      <c r="O254" s="55"/>
      <c r="P254" s="113">
        <f t="shared" si="65"/>
        <v>0</v>
      </c>
      <c r="Q254" s="33"/>
      <c r="R254" s="56"/>
      <c r="S254" s="26"/>
      <c r="T254" s="33"/>
      <c r="U254" s="32"/>
      <c r="V254" s="113">
        <f t="shared" si="66"/>
        <v>0</v>
      </c>
      <c r="W254" s="33"/>
      <c r="X254" s="32"/>
      <c r="Y254" s="113">
        <f t="shared" si="67"/>
        <v>0</v>
      </c>
      <c r="Z254" s="33"/>
      <c r="AA254" s="57"/>
      <c r="AB254" s="57"/>
      <c r="AC254" s="57"/>
      <c r="AD254" s="32"/>
      <c r="AE254" s="113">
        <f t="shared" si="68"/>
        <v>0</v>
      </c>
      <c r="AF254" s="33"/>
      <c r="AG254" s="32"/>
      <c r="AH254" s="26"/>
      <c r="AI254" s="33"/>
      <c r="AJ254" s="29">
        <f t="shared" si="69"/>
        <v>0</v>
      </c>
      <c r="AK254" s="57" t="s">
        <v>304</v>
      </c>
      <c r="AL254" s="58">
        <f t="shared" si="57"/>
        <v>0</v>
      </c>
      <c r="AM254" s="113">
        <f t="shared" si="70"/>
        <v>0</v>
      </c>
      <c r="AN254" s="33" t="s">
        <v>33</v>
      </c>
      <c r="AO254" s="59">
        <f t="shared" si="71"/>
        <v>0</v>
      </c>
      <c r="AP254" s="26"/>
      <c r="AQ254" s="33"/>
      <c r="AR254" s="56"/>
      <c r="AS254" s="26"/>
      <c r="AT254" s="33"/>
      <c r="AU254" s="57"/>
      <c r="AV254" s="86">
        <f t="shared" si="72"/>
        <v>0</v>
      </c>
      <c r="AW254" s="89">
        <f t="shared" si="56"/>
        <v>0</v>
      </c>
      <c r="AX254" s="86"/>
    </row>
    <row r="255" spans="1:53" s="29" customFormat="1">
      <c r="A255" s="50" t="s">
        <v>282</v>
      </c>
      <c r="B255" s="51"/>
      <c r="C255" s="51"/>
      <c r="D255" s="52"/>
      <c r="E255" s="53"/>
      <c r="F255" s="62"/>
      <c r="G255" s="69"/>
      <c r="I255" s="69"/>
      <c r="L255" s="52"/>
      <c r="M255" s="132"/>
      <c r="N255" s="131"/>
      <c r="O255" s="55"/>
      <c r="P255" s="113">
        <f t="shared" si="65"/>
        <v>0</v>
      </c>
      <c r="Q255" s="33"/>
      <c r="R255" s="56"/>
      <c r="S255" s="26"/>
      <c r="T255" s="33"/>
      <c r="U255" s="32"/>
      <c r="V255" s="113">
        <f t="shared" si="66"/>
        <v>0</v>
      </c>
      <c r="W255" s="33"/>
      <c r="X255" s="32"/>
      <c r="Y255" s="113">
        <f t="shared" si="67"/>
        <v>0</v>
      </c>
      <c r="Z255" s="33"/>
      <c r="AA255" s="57"/>
      <c r="AB255" s="57"/>
      <c r="AC255" s="57"/>
      <c r="AD255" s="32"/>
      <c r="AE255" s="113">
        <f t="shared" si="68"/>
        <v>0</v>
      </c>
      <c r="AF255" s="33"/>
      <c r="AG255" s="32"/>
      <c r="AH255" s="26"/>
      <c r="AI255" s="33"/>
      <c r="AJ255" s="29">
        <f t="shared" si="69"/>
        <v>0</v>
      </c>
      <c r="AK255" s="57" t="s">
        <v>304</v>
      </c>
      <c r="AL255" s="58">
        <f t="shared" si="57"/>
        <v>0</v>
      </c>
      <c r="AM255" s="113">
        <f t="shared" si="70"/>
        <v>0</v>
      </c>
      <c r="AN255" s="33" t="s">
        <v>33</v>
      </c>
      <c r="AO255" s="59">
        <f t="shared" si="71"/>
        <v>0</v>
      </c>
      <c r="AP255" s="26"/>
      <c r="AQ255" s="33"/>
      <c r="AR255" s="56"/>
      <c r="AS255" s="26"/>
      <c r="AT255" s="33"/>
      <c r="AU255" s="57"/>
      <c r="AV255" s="86">
        <f t="shared" si="72"/>
        <v>0</v>
      </c>
      <c r="AW255" s="89">
        <f t="shared" si="56"/>
        <v>0</v>
      </c>
      <c r="AX255" s="86"/>
    </row>
    <row r="256" spans="1:53" s="38" customFormat="1" ht="14.25" customHeight="1">
      <c r="A256" s="34" t="s">
        <v>283</v>
      </c>
      <c r="B256" s="35"/>
      <c r="C256" s="35"/>
      <c r="D256" s="35"/>
      <c r="E256" s="36"/>
      <c r="F256" s="37"/>
      <c r="G256" s="69"/>
      <c r="I256" s="72"/>
      <c r="L256" s="39"/>
      <c r="M256" s="134"/>
      <c r="N256" s="135"/>
      <c r="O256" s="100"/>
      <c r="P256" s="114">
        <f t="shared" ref="P256:P261" si="73">ROUND(O256*$D$1,2)</f>
        <v>0</v>
      </c>
      <c r="Q256" s="102"/>
      <c r="R256" s="103"/>
      <c r="S256" s="101"/>
      <c r="T256" s="102"/>
      <c r="U256" s="104"/>
      <c r="V256" s="114">
        <f t="shared" si="66"/>
        <v>0</v>
      </c>
      <c r="W256" s="102"/>
      <c r="X256" s="104"/>
      <c r="Y256" s="114">
        <f t="shared" si="67"/>
        <v>0</v>
      </c>
      <c r="Z256" s="102"/>
      <c r="AA256" s="105"/>
      <c r="AB256" s="105"/>
      <c r="AC256" s="105"/>
      <c r="AD256" s="104"/>
      <c r="AE256" s="114">
        <f t="shared" ref="AE256:AE259" si="74">ROUND(AD256*$J$1,2)</f>
        <v>0</v>
      </c>
      <c r="AF256" s="102"/>
      <c r="AG256" s="104"/>
      <c r="AH256" s="101"/>
      <c r="AI256" s="102"/>
      <c r="AJ256" s="106">
        <f t="shared" ref="AJ256:AJ263" si="75">IF($O$1="SI",400,0)</f>
        <v>0</v>
      </c>
      <c r="AK256" s="105" t="s">
        <v>304</v>
      </c>
      <c r="AL256" s="58">
        <f t="shared" si="57"/>
        <v>0</v>
      </c>
      <c r="AM256" s="114">
        <f t="shared" ref="AM256:AM259" si="76">ROUND(AL256*$D$1,2)</f>
        <v>0</v>
      </c>
      <c r="AN256" s="102" t="s">
        <v>33</v>
      </c>
      <c r="AO256" s="107">
        <f t="shared" ref="AO256:AO263" si="77">IF(H256="RIMAC EPS EMPRESA PRESTADORA DE SALUD",O256*0.0225,O256*0)</f>
        <v>0</v>
      </c>
      <c r="AP256" s="101"/>
      <c r="AQ256" s="102"/>
      <c r="AR256" s="103"/>
      <c r="AS256" s="101"/>
      <c r="AT256" s="102"/>
      <c r="AU256" s="45"/>
      <c r="AV256" s="91">
        <f t="shared" si="72"/>
        <v>0</v>
      </c>
      <c r="AW256" s="92">
        <f t="shared" si="56"/>
        <v>0</v>
      </c>
      <c r="AX256" s="91"/>
      <c r="AY256" s="29"/>
      <c r="AZ256" s="29"/>
      <c r="BA256" s="29"/>
    </row>
    <row r="257" spans="1:53" s="38" customFormat="1" ht="14.25" customHeight="1">
      <c r="A257" s="34" t="s">
        <v>331</v>
      </c>
      <c r="B257" s="35"/>
      <c r="C257" s="35"/>
      <c r="D257" s="35"/>
      <c r="E257" s="36"/>
      <c r="F257" s="37"/>
      <c r="G257" s="69"/>
      <c r="I257" s="72"/>
      <c r="L257" s="39"/>
      <c r="M257" s="134"/>
      <c r="N257" s="135"/>
      <c r="O257" s="100"/>
      <c r="P257" s="114">
        <f t="shared" si="73"/>
        <v>0</v>
      </c>
      <c r="Q257" s="102"/>
      <c r="R257" s="103"/>
      <c r="S257" s="101"/>
      <c r="T257" s="102"/>
      <c r="U257" s="104"/>
      <c r="V257" s="114">
        <f t="shared" si="66"/>
        <v>0</v>
      </c>
      <c r="W257" s="102"/>
      <c r="X257" s="104"/>
      <c r="Y257" s="114">
        <f t="shared" si="67"/>
        <v>0</v>
      </c>
      <c r="Z257" s="102"/>
      <c r="AA257" s="105"/>
      <c r="AB257" s="105"/>
      <c r="AC257" s="105"/>
      <c r="AD257" s="104"/>
      <c r="AE257" s="114">
        <f t="shared" si="74"/>
        <v>0</v>
      </c>
      <c r="AF257" s="102"/>
      <c r="AG257" s="104"/>
      <c r="AH257" s="101"/>
      <c r="AI257" s="102"/>
      <c r="AJ257" s="106">
        <f t="shared" si="75"/>
        <v>0</v>
      </c>
      <c r="AK257" s="105" t="s">
        <v>304</v>
      </c>
      <c r="AL257" s="58">
        <f t="shared" si="57"/>
        <v>0</v>
      </c>
      <c r="AM257" s="114">
        <f t="shared" si="76"/>
        <v>0</v>
      </c>
      <c r="AN257" s="102" t="s">
        <v>33</v>
      </c>
      <c r="AO257" s="107">
        <f t="shared" si="77"/>
        <v>0</v>
      </c>
      <c r="AP257" s="101"/>
      <c r="AQ257" s="102"/>
      <c r="AR257" s="103"/>
      <c r="AS257" s="101"/>
      <c r="AT257" s="102"/>
      <c r="AU257" s="45"/>
      <c r="AV257" s="91">
        <f t="shared" si="72"/>
        <v>0</v>
      </c>
      <c r="AW257" s="92">
        <f t="shared" si="56"/>
        <v>0</v>
      </c>
      <c r="AX257" s="91"/>
    </row>
    <row r="258" spans="1:53" s="38" customFormat="1">
      <c r="A258" s="34" t="s">
        <v>284</v>
      </c>
      <c r="D258" s="35"/>
      <c r="E258" s="36"/>
      <c r="F258" s="37"/>
      <c r="G258" s="69"/>
      <c r="I258" s="72"/>
      <c r="L258" s="39"/>
      <c r="M258" s="134"/>
      <c r="N258" s="135"/>
      <c r="O258" s="100"/>
      <c r="P258" s="114">
        <f t="shared" si="73"/>
        <v>0</v>
      </c>
      <c r="Q258" s="102"/>
      <c r="R258" s="103"/>
      <c r="S258" s="101"/>
      <c r="T258" s="102"/>
      <c r="U258" s="104"/>
      <c r="V258" s="114">
        <f t="shared" si="66"/>
        <v>0</v>
      </c>
      <c r="W258" s="102"/>
      <c r="X258" s="104"/>
      <c r="Y258" s="114">
        <f t="shared" si="67"/>
        <v>0</v>
      </c>
      <c r="Z258" s="102"/>
      <c r="AA258" s="105"/>
      <c r="AB258" s="105"/>
      <c r="AC258" s="105"/>
      <c r="AD258" s="104"/>
      <c r="AE258" s="114">
        <f t="shared" si="74"/>
        <v>0</v>
      </c>
      <c r="AF258" s="102"/>
      <c r="AG258" s="104"/>
      <c r="AH258" s="101"/>
      <c r="AI258" s="102"/>
      <c r="AJ258" s="106">
        <f t="shared" si="75"/>
        <v>0</v>
      </c>
      <c r="AK258" s="105" t="s">
        <v>304</v>
      </c>
      <c r="AL258" s="58">
        <f t="shared" si="57"/>
        <v>0</v>
      </c>
      <c r="AM258" s="114">
        <f t="shared" si="76"/>
        <v>0</v>
      </c>
      <c r="AN258" s="102" t="s">
        <v>33</v>
      </c>
      <c r="AO258" s="107">
        <f t="shared" si="77"/>
        <v>0</v>
      </c>
      <c r="AP258" s="101"/>
      <c r="AQ258" s="102"/>
      <c r="AR258" s="103"/>
      <c r="AS258" s="101"/>
      <c r="AT258" s="102"/>
      <c r="AU258" s="45"/>
      <c r="AV258" s="91">
        <f t="shared" si="72"/>
        <v>0</v>
      </c>
      <c r="AW258" s="92">
        <f t="shared" si="56"/>
        <v>0</v>
      </c>
      <c r="AX258" s="91"/>
    </row>
    <row r="259" spans="1:53" s="38" customFormat="1">
      <c r="A259" s="34" t="s">
        <v>285</v>
      </c>
      <c r="B259" s="35"/>
      <c r="C259" s="35"/>
      <c r="D259" s="35"/>
      <c r="E259" s="36"/>
      <c r="F259" s="37"/>
      <c r="G259" s="69"/>
      <c r="I259" s="72"/>
      <c r="L259" s="39"/>
      <c r="M259" s="134"/>
      <c r="N259" s="135"/>
      <c r="O259" s="100"/>
      <c r="P259" s="114">
        <f t="shared" si="73"/>
        <v>0</v>
      </c>
      <c r="Q259" s="102"/>
      <c r="R259" s="103"/>
      <c r="S259" s="101"/>
      <c r="T259" s="102"/>
      <c r="U259" s="104"/>
      <c r="V259" s="114">
        <f t="shared" si="66"/>
        <v>0</v>
      </c>
      <c r="W259" s="102"/>
      <c r="X259" s="104"/>
      <c r="Y259" s="114">
        <f t="shared" si="67"/>
        <v>0</v>
      </c>
      <c r="Z259" s="102"/>
      <c r="AA259" s="105"/>
      <c r="AB259" s="105"/>
      <c r="AC259" s="105"/>
      <c r="AD259" s="104"/>
      <c r="AE259" s="114">
        <f t="shared" si="74"/>
        <v>0</v>
      </c>
      <c r="AF259" s="102"/>
      <c r="AG259" s="104"/>
      <c r="AH259" s="101"/>
      <c r="AI259" s="102"/>
      <c r="AJ259" s="106">
        <f t="shared" si="75"/>
        <v>0</v>
      </c>
      <c r="AK259" s="105" t="s">
        <v>304</v>
      </c>
      <c r="AL259" s="58">
        <f t="shared" si="57"/>
        <v>0</v>
      </c>
      <c r="AM259" s="114">
        <f t="shared" si="76"/>
        <v>0</v>
      </c>
      <c r="AN259" s="102" t="s">
        <v>33</v>
      </c>
      <c r="AO259" s="107">
        <f t="shared" si="77"/>
        <v>0</v>
      </c>
      <c r="AP259" s="101"/>
      <c r="AQ259" s="102"/>
      <c r="AR259" s="103"/>
      <c r="AS259" s="101"/>
      <c r="AT259" s="102"/>
      <c r="AU259" s="45"/>
      <c r="AV259" s="91">
        <f t="shared" si="72"/>
        <v>0</v>
      </c>
      <c r="AW259" s="92">
        <f t="shared" si="56"/>
        <v>0</v>
      </c>
      <c r="AX259" s="91"/>
    </row>
    <row r="260" spans="1:53" s="38" customFormat="1">
      <c r="A260" s="34" t="s">
        <v>286</v>
      </c>
      <c r="B260" s="35"/>
      <c r="C260" s="35"/>
      <c r="D260" s="35"/>
      <c r="E260" s="36"/>
      <c r="F260" s="47"/>
      <c r="G260" s="69"/>
      <c r="I260" s="72"/>
      <c r="L260" s="39"/>
      <c r="M260" s="134"/>
      <c r="N260" s="135"/>
      <c r="O260" s="100"/>
      <c r="P260" s="114">
        <f t="shared" si="73"/>
        <v>0</v>
      </c>
      <c r="Q260" s="102"/>
      <c r="R260" s="103"/>
      <c r="S260" s="101"/>
      <c r="T260" s="102"/>
      <c r="U260" s="104"/>
      <c r="V260" s="114">
        <f>ROUND(U260*'276 - SETIEMBRE 16-09-2021'!$D$1,2)</f>
        <v>0</v>
      </c>
      <c r="W260" s="102"/>
      <c r="X260" s="104"/>
      <c r="Y260" s="114">
        <f>ROUND(X260*'276 - SETIEMBRE 16-09-2021'!$D$1,2)</f>
        <v>0</v>
      </c>
      <c r="Z260" s="102"/>
      <c r="AA260" s="105"/>
      <c r="AB260" s="105"/>
      <c r="AC260" s="105"/>
      <c r="AD260" s="104"/>
      <c r="AE260" s="114">
        <f>ROUND(AD260*'276 - SETIEMBRE 16-09-2021'!$J$1,2)</f>
        <v>0</v>
      </c>
      <c r="AF260" s="102"/>
      <c r="AG260" s="104"/>
      <c r="AH260" s="101"/>
      <c r="AI260" s="102"/>
      <c r="AJ260" s="106">
        <f t="shared" si="75"/>
        <v>0</v>
      </c>
      <c r="AK260" s="105" t="s">
        <v>304</v>
      </c>
      <c r="AL260" s="58">
        <f t="shared" si="57"/>
        <v>0</v>
      </c>
      <c r="AM260" s="114">
        <f>ROUND(AL260*'276 - SETIEMBRE 16-09-2021'!$D$1,2)</f>
        <v>0</v>
      </c>
      <c r="AN260" s="102" t="s">
        <v>33</v>
      </c>
      <c r="AO260" s="107">
        <f t="shared" si="77"/>
        <v>0</v>
      </c>
      <c r="AP260" s="101"/>
      <c r="AQ260" s="102"/>
      <c r="AR260" s="103"/>
      <c r="AS260" s="101"/>
      <c r="AT260" s="102"/>
      <c r="AU260" s="45"/>
      <c r="AV260" s="91">
        <f t="shared" ref="AV260:AV264" si="78">P260+S260+V260+Y260+AB260+AE260+AH260+AJ260</f>
        <v>0</v>
      </c>
      <c r="AW260" s="92">
        <f t="shared" ref="AW260:AW264" si="79">AV260+AM260+AP260+AS260</f>
        <v>0</v>
      </c>
      <c r="AX260" s="91"/>
    </row>
    <row r="261" spans="1:53" s="38" customFormat="1">
      <c r="A261" s="34" t="s">
        <v>287</v>
      </c>
      <c r="B261" s="35"/>
      <c r="C261" s="35"/>
      <c r="D261" s="35"/>
      <c r="E261" s="36"/>
      <c r="F261" s="37"/>
      <c r="G261" s="69"/>
      <c r="I261" s="72"/>
      <c r="L261" s="39"/>
      <c r="M261" s="134"/>
      <c r="N261" s="135"/>
      <c r="O261" s="100"/>
      <c r="P261" s="114">
        <f t="shared" si="73"/>
        <v>0</v>
      </c>
      <c r="Q261" s="102"/>
      <c r="R261" s="103"/>
      <c r="S261" s="101"/>
      <c r="T261" s="102"/>
      <c r="U261" s="104"/>
      <c r="V261" s="114">
        <f>ROUND(U261*'276 - SETIEMBRE 16-09-2021'!$D$1,2)</f>
        <v>0</v>
      </c>
      <c r="W261" s="102"/>
      <c r="X261" s="104"/>
      <c r="Y261" s="114">
        <f>ROUND(X261*'276 - SETIEMBRE 16-09-2021'!$D$1,2)</f>
        <v>0</v>
      </c>
      <c r="Z261" s="102"/>
      <c r="AA261" s="105"/>
      <c r="AB261" s="105"/>
      <c r="AC261" s="105"/>
      <c r="AD261" s="104"/>
      <c r="AE261" s="114">
        <f>ROUND(AD261*'276 - SETIEMBRE 16-09-2021'!$J$1,2)</f>
        <v>0</v>
      </c>
      <c r="AF261" s="102"/>
      <c r="AG261" s="104"/>
      <c r="AH261" s="101"/>
      <c r="AI261" s="102"/>
      <c r="AJ261" s="106">
        <f t="shared" si="75"/>
        <v>0</v>
      </c>
      <c r="AK261" s="105" t="s">
        <v>304</v>
      </c>
      <c r="AL261" s="58">
        <f t="shared" ref="AL261:AL264" si="80">IF(H261="RIMAC EPS EMPRESA PRESTADORA DE SALUD",O261*0.0675,O261*0.09)</f>
        <v>0</v>
      </c>
      <c r="AM261" s="114">
        <f>ROUND(AL261*'276 - SETIEMBRE 16-09-2021'!$D$1,2)</f>
        <v>0</v>
      </c>
      <c r="AN261" s="102" t="s">
        <v>33</v>
      </c>
      <c r="AO261" s="107">
        <f t="shared" si="77"/>
        <v>0</v>
      </c>
      <c r="AP261" s="101"/>
      <c r="AQ261" s="102"/>
      <c r="AR261" s="103"/>
      <c r="AS261" s="101"/>
      <c r="AT261" s="102"/>
      <c r="AU261" s="45"/>
      <c r="AV261" s="91">
        <f t="shared" si="78"/>
        <v>0</v>
      </c>
      <c r="AW261" s="92">
        <f t="shared" si="79"/>
        <v>0</v>
      </c>
      <c r="AX261" s="91"/>
    </row>
    <row r="262" spans="1:53" s="38" customFormat="1">
      <c r="A262" s="34" t="s">
        <v>288</v>
      </c>
      <c r="B262" s="35"/>
      <c r="C262" s="35"/>
      <c r="D262" s="35"/>
      <c r="E262" s="36"/>
      <c r="F262" s="37"/>
      <c r="G262" s="69"/>
      <c r="I262" s="72"/>
      <c r="L262" s="35"/>
      <c r="M262" s="134"/>
      <c r="N262" s="135"/>
      <c r="O262" s="100"/>
      <c r="P262" s="114">
        <f t="shared" ref="P262:P264" si="81">ROUND(O262*$D$1,2)</f>
        <v>0</v>
      </c>
      <c r="Q262" s="102"/>
      <c r="R262" s="103"/>
      <c r="S262" s="101"/>
      <c r="T262" s="102"/>
      <c r="U262" s="104"/>
      <c r="V262" s="114">
        <f>ROUND(U262*'276 - SETIEMBRE 16-09-2021'!$D$1,2)</f>
        <v>0</v>
      </c>
      <c r="W262" s="102"/>
      <c r="X262" s="104"/>
      <c r="Y262" s="114">
        <f>ROUND(X262*'276 - SETIEMBRE 16-09-2021'!$D$1,2)</f>
        <v>0</v>
      </c>
      <c r="Z262" s="102"/>
      <c r="AA262" s="105"/>
      <c r="AB262" s="105"/>
      <c r="AC262" s="105"/>
      <c r="AD262" s="104"/>
      <c r="AE262" s="114">
        <f>ROUND(AD262*'276 - SETIEMBRE 16-09-2021'!$J$1,2)</f>
        <v>0</v>
      </c>
      <c r="AF262" s="102"/>
      <c r="AG262" s="104"/>
      <c r="AH262" s="101"/>
      <c r="AI262" s="102"/>
      <c r="AJ262" s="106">
        <f t="shared" si="75"/>
        <v>0</v>
      </c>
      <c r="AK262" s="105" t="s">
        <v>304</v>
      </c>
      <c r="AL262" s="58">
        <f t="shared" si="80"/>
        <v>0</v>
      </c>
      <c r="AM262" s="114">
        <f>ROUND(AL262*'276 - SETIEMBRE 16-09-2021'!$D$1,2)</f>
        <v>0</v>
      </c>
      <c r="AN262" s="102" t="s">
        <v>33</v>
      </c>
      <c r="AO262" s="107">
        <f t="shared" si="77"/>
        <v>0</v>
      </c>
      <c r="AP262" s="101"/>
      <c r="AQ262" s="102"/>
      <c r="AR262" s="103"/>
      <c r="AS262" s="101"/>
      <c r="AT262" s="102"/>
      <c r="AU262" s="45"/>
      <c r="AV262" s="91">
        <f t="shared" si="78"/>
        <v>0</v>
      </c>
      <c r="AW262" s="92">
        <f t="shared" si="79"/>
        <v>0</v>
      </c>
      <c r="AX262" s="91"/>
    </row>
    <row r="263" spans="1:53" s="38" customFormat="1">
      <c r="A263" s="34" t="s">
        <v>289</v>
      </c>
      <c r="B263" s="35"/>
      <c r="C263" s="35"/>
      <c r="D263" s="39"/>
      <c r="E263" s="48"/>
      <c r="F263" s="37"/>
      <c r="G263" s="69"/>
      <c r="I263" s="73"/>
      <c r="L263" s="49"/>
      <c r="M263" s="134"/>
      <c r="N263" s="135"/>
      <c r="O263" s="100"/>
      <c r="P263" s="114">
        <f t="shared" si="81"/>
        <v>0</v>
      </c>
      <c r="Q263" s="102"/>
      <c r="R263" s="103"/>
      <c r="S263" s="101"/>
      <c r="T263" s="102"/>
      <c r="U263" s="104"/>
      <c r="V263" s="114">
        <f t="shared" ref="V263" si="82">ROUND(U263*$D$1,2)</f>
        <v>0</v>
      </c>
      <c r="W263" s="102"/>
      <c r="X263" s="104"/>
      <c r="Y263" s="114">
        <f t="shared" ref="Y263:Y264" si="83">ROUND(X263*$D$1,2)</f>
        <v>0</v>
      </c>
      <c r="Z263" s="102"/>
      <c r="AA263" s="105"/>
      <c r="AB263" s="101"/>
      <c r="AC263" s="102"/>
      <c r="AD263" s="104"/>
      <c r="AE263" s="114">
        <f>ROUND(AD263*'276 - SETIEMBRE 16-09-2021'!$J$1,2)</f>
        <v>0</v>
      </c>
      <c r="AF263" s="102"/>
      <c r="AG263" s="104"/>
      <c r="AH263" s="101"/>
      <c r="AI263" s="102"/>
      <c r="AJ263" s="106">
        <f t="shared" si="75"/>
        <v>0</v>
      </c>
      <c r="AK263" s="105" t="s">
        <v>304</v>
      </c>
      <c r="AL263" s="58">
        <f t="shared" si="80"/>
        <v>0</v>
      </c>
      <c r="AM263" s="114">
        <f t="shared" ref="AM263" si="84">ROUND(AL263*$D$1,2)</f>
        <v>0</v>
      </c>
      <c r="AN263" s="102" t="s">
        <v>33</v>
      </c>
      <c r="AO263" s="107">
        <f t="shared" si="77"/>
        <v>0</v>
      </c>
      <c r="AP263" s="101"/>
      <c r="AQ263" s="102"/>
      <c r="AR263" s="103"/>
      <c r="AS263" s="101"/>
      <c r="AT263" s="102"/>
      <c r="AU263" s="45"/>
      <c r="AV263" s="91">
        <f t="shared" si="78"/>
        <v>0</v>
      </c>
      <c r="AW263" s="92">
        <f t="shared" si="79"/>
        <v>0</v>
      </c>
      <c r="AX263" s="91"/>
    </row>
    <row r="264" spans="1:53" s="38" customFormat="1">
      <c r="A264" s="34" t="s">
        <v>313</v>
      </c>
      <c r="B264" s="35"/>
      <c r="C264" s="35"/>
      <c r="D264" s="39"/>
      <c r="E264" s="48"/>
      <c r="F264" s="37"/>
      <c r="G264" s="69"/>
      <c r="I264" s="74"/>
      <c r="L264" s="49"/>
      <c r="M264" s="134"/>
      <c r="N264" s="135"/>
      <c r="O264" s="100"/>
      <c r="P264" s="114">
        <f t="shared" si="81"/>
        <v>0</v>
      </c>
      <c r="Q264" s="102"/>
      <c r="R264" s="103"/>
      <c r="S264" s="101"/>
      <c r="T264" s="102"/>
      <c r="U264" s="104"/>
      <c r="V264" s="114">
        <f>ROUND(U264*$D$1,2)</f>
        <v>0</v>
      </c>
      <c r="W264" s="102"/>
      <c r="X264" s="104"/>
      <c r="Y264" s="114">
        <f t="shared" si="83"/>
        <v>0</v>
      </c>
      <c r="Z264" s="102"/>
      <c r="AA264" s="105"/>
      <c r="AB264" s="105"/>
      <c r="AC264" s="105"/>
      <c r="AD264" s="104"/>
      <c r="AE264" s="114">
        <f>ROUND(AD264*'276 - SETIEMBRE 16-09-2021'!$J$1,2)</f>
        <v>0</v>
      </c>
      <c r="AF264" s="102"/>
      <c r="AG264" s="104"/>
      <c r="AH264" s="101"/>
      <c r="AI264" s="102"/>
      <c r="AJ264" s="106">
        <f t="shared" ref="AJ264" si="85">IF($O$1="SI",400,0)</f>
        <v>0</v>
      </c>
      <c r="AK264" s="105" t="s">
        <v>304</v>
      </c>
      <c r="AL264" s="58">
        <f t="shared" si="80"/>
        <v>0</v>
      </c>
      <c r="AM264" s="114">
        <f>ROUND(AL264*$D$1,2)</f>
        <v>0</v>
      </c>
      <c r="AN264" s="102" t="s">
        <v>33</v>
      </c>
      <c r="AO264" s="107">
        <f>IF(H264="RIMAC EPS EMPRESA PRESTADORA DE SALUD",O264*0.0225,O264*0)</f>
        <v>0</v>
      </c>
      <c r="AP264" s="101"/>
      <c r="AQ264" s="102"/>
      <c r="AR264" s="103"/>
      <c r="AS264" s="101"/>
      <c r="AT264" s="102"/>
      <c r="AU264" s="45"/>
      <c r="AV264" s="91">
        <f t="shared" si="78"/>
        <v>0</v>
      </c>
      <c r="AW264" s="92">
        <f t="shared" si="79"/>
        <v>0</v>
      </c>
      <c r="AX264" s="91"/>
    </row>
    <row r="265" spans="1:53" s="22" customFormat="1">
      <c r="A265" s="68"/>
      <c r="B265" s="23"/>
      <c r="C265" s="23"/>
      <c r="D265" s="25"/>
      <c r="E265" s="30"/>
      <c r="F265" s="24"/>
      <c r="G265" s="69"/>
      <c r="I265" s="75"/>
      <c r="L265" s="31"/>
      <c r="M265" s="132"/>
      <c r="N265" s="131"/>
      <c r="O265" s="55"/>
      <c r="P265" s="26">
        <f>SUM(P256:P264)</f>
        <v>0</v>
      </c>
      <c r="Q265" s="57"/>
      <c r="R265" s="108"/>
      <c r="S265" s="26">
        <f>SUM(S256:S264)</f>
        <v>0</v>
      </c>
      <c r="T265" s="57"/>
      <c r="U265" s="26"/>
      <c r="V265" s="26">
        <f>SUM(V256:V264)</f>
        <v>0</v>
      </c>
      <c r="W265" s="57"/>
      <c r="X265" s="26"/>
      <c r="Y265" s="26">
        <f>SUM(Y256:Y264)</f>
        <v>0</v>
      </c>
      <c r="Z265" s="57"/>
      <c r="AA265" s="57"/>
      <c r="AB265" s="26">
        <f>SUM(AB256:AB264)</f>
        <v>0</v>
      </c>
      <c r="AC265" s="57"/>
      <c r="AD265" s="26"/>
      <c r="AE265" s="26">
        <f>SUM(AE256:AE264)</f>
        <v>0</v>
      </c>
      <c r="AF265" s="57"/>
      <c r="AG265" s="26"/>
      <c r="AH265" s="26">
        <f>SUM(AH256:AH264)</f>
        <v>0</v>
      </c>
      <c r="AI265" s="57"/>
      <c r="AJ265" s="26">
        <f>SUM(AJ256:AJ264)</f>
        <v>0</v>
      </c>
      <c r="AK265" s="26">
        <f>SUM(AK256:AK264)</f>
        <v>0</v>
      </c>
      <c r="AL265" s="26"/>
      <c r="AM265" s="26">
        <f>SUM(AM256:AM264)</f>
        <v>0</v>
      </c>
      <c r="AN265" s="57"/>
      <c r="AO265" s="59"/>
      <c r="AP265" s="26">
        <f>SUM(AP256:AP264)</f>
        <v>0</v>
      </c>
      <c r="AQ265" s="57"/>
      <c r="AR265" s="108"/>
      <c r="AS265" s="26">
        <f>SUM(AS256:AS264)</f>
        <v>0</v>
      </c>
      <c r="AT265" s="57"/>
      <c r="AU265" s="27"/>
      <c r="AV265" s="28"/>
      <c r="AW265" s="121">
        <f>SUM(AW256:AW264)</f>
        <v>0</v>
      </c>
      <c r="AX265" s="28"/>
      <c r="AY265" s="38"/>
      <c r="AZ265" s="38"/>
      <c r="BA265" s="38"/>
    </row>
    <row r="266" spans="1:53" s="29" customFormat="1">
      <c r="E266" s="69"/>
      <c r="I266" s="69"/>
      <c r="M266" s="136"/>
      <c r="N266" s="137"/>
      <c r="O266" s="109"/>
      <c r="P266" s="120"/>
      <c r="Q266" s="67"/>
      <c r="R266" s="67"/>
      <c r="S266" s="67"/>
      <c r="T266" s="67"/>
      <c r="U266" s="67"/>
      <c r="V266" s="120"/>
      <c r="W266" s="67"/>
      <c r="X266" s="67"/>
      <c r="Y266" s="120"/>
      <c r="Z266" s="67"/>
      <c r="AA266" s="67"/>
      <c r="AB266" s="120"/>
      <c r="AC266" s="67"/>
      <c r="AD266" s="67"/>
      <c r="AE266" s="120"/>
      <c r="AF266" s="67"/>
      <c r="AG266" s="67"/>
      <c r="AH266" s="120"/>
      <c r="AI266" s="67"/>
      <c r="AJ266" s="67"/>
      <c r="AK266" s="67"/>
      <c r="AL266" s="67"/>
      <c r="AM266" s="120"/>
      <c r="AN266" s="67"/>
      <c r="AO266" s="67"/>
      <c r="AP266" s="115"/>
      <c r="AQ266" s="67"/>
      <c r="AR266" s="67"/>
      <c r="AS266" s="67"/>
      <c r="AT266" s="67"/>
      <c r="AU266" s="67"/>
      <c r="AW266" s="90"/>
      <c r="AY266" s="22"/>
      <c r="AZ266" s="22"/>
      <c r="BA266" s="22"/>
    </row>
    <row r="267" spans="1:53">
      <c r="AY267" s="29"/>
      <c r="AZ267" s="29"/>
      <c r="BA267" s="29"/>
    </row>
    <row r="269" spans="1:53">
      <c r="A269" s="144" t="s">
        <v>317</v>
      </c>
      <c r="B269" s="144"/>
      <c r="C269" s="144"/>
      <c r="D269" s="144"/>
      <c r="E269" s="144"/>
      <c r="F269" s="144"/>
      <c r="G269" s="122"/>
    </row>
    <row r="270" spans="1:53">
      <c r="A270" s="19"/>
      <c r="B270" s="19"/>
      <c r="C270" s="19"/>
      <c r="D270" s="20"/>
      <c r="E270" s="21"/>
      <c r="F270" s="19"/>
      <c r="G270" s="19"/>
    </row>
    <row r="271" spans="1:53">
      <c r="A271" s="145" t="s">
        <v>316</v>
      </c>
      <c r="B271" s="145"/>
      <c r="C271" s="76" t="s">
        <v>312</v>
      </c>
      <c r="D271" s="78" t="s">
        <v>318</v>
      </c>
      <c r="E271" s="78" t="s">
        <v>319</v>
      </c>
      <c r="F271" s="78" t="s">
        <v>320</v>
      </c>
      <c r="G271" s="123"/>
    </row>
    <row r="272" spans="1:53">
      <c r="A272" s="142" t="s">
        <v>294</v>
      </c>
      <c r="B272" s="142"/>
      <c r="C272" s="77" t="s">
        <v>321</v>
      </c>
      <c r="D272" s="79">
        <v>10</v>
      </c>
      <c r="E272" s="81">
        <v>10</v>
      </c>
      <c r="F272" s="80">
        <f>E272-D272</f>
        <v>0</v>
      </c>
      <c r="G272" s="124"/>
    </row>
    <row r="273" spans="1:7">
      <c r="A273" s="142" t="s">
        <v>295</v>
      </c>
      <c r="B273" s="142"/>
      <c r="C273" s="77" t="s">
        <v>322</v>
      </c>
      <c r="D273" s="79">
        <v>12</v>
      </c>
      <c r="E273" s="81">
        <v>11</v>
      </c>
      <c r="F273" s="80">
        <f>E273-D273</f>
        <v>-1</v>
      </c>
      <c r="G273" s="124"/>
    </row>
    <row r="274" spans="1:7">
      <c r="A274" s="142" t="s">
        <v>296</v>
      </c>
      <c r="B274" s="142"/>
      <c r="C274" s="77" t="s">
        <v>323</v>
      </c>
      <c r="D274" s="79">
        <v>82</v>
      </c>
      <c r="E274" s="81">
        <v>81</v>
      </c>
      <c r="F274" s="80">
        <f>E274-D274</f>
        <v>-1</v>
      </c>
      <c r="G274" s="124"/>
    </row>
    <row r="275" spans="1:7">
      <c r="A275" s="142" t="s">
        <v>293</v>
      </c>
      <c r="B275" s="142"/>
      <c r="C275" s="77" t="s">
        <v>324</v>
      </c>
      <c r="D275" s="79">
        <v>151</v>
      </c>
      <c r="E275" s="81">
        <v>144</v>
      </c>
      <c r="F275" s="80">
        <f>E275-D275</f>
        <v>-7</v>
      </c>
      <c r="G275" s="124"/>
    </row>
    <row r="276" spans="1:7">
      <c r="A276" s="140" t="s">
        <v>325</v>
      </c>
      <c r="B276" s="140"/>
      <c r="C276" s="141"/>
      <c r="D276" s="78">
        <f>SUBTOTAL(9,D272:D275)</f>
        <v>255</v>
      </c>
      <c r="E276" s="78">
        <f>SUBTOTAL(9,E272:E275)</f>
        <v>246</v>
      </c>
      <c r="F276" s="78">
        <f>SUBTOTAL(9,F272:F275)</f>
        <v>-9</v>
      </c>
      <c r="G276" s="123"/>
    </row>
    <row r="277" spans="1:7">
      <c r="A277" s="142" t="s">
        <v>326</v>
      </c>
      <c r="B277" s="142"/>
      <c r="C277" s="77" t="s">
        <v>327</v>
      </c>
      <c r="D277" s="79">
        <v>7</v>
      </c>
      <c r="E277" s="81">
        <v>6</v>
      </c>
      <c r="F277" s="80">
        <f>E277-D277</f>
        <v>-1</v>
      </c>
      <c r="G277" s="124"/>
    </row>
    <row r="278" spans="1:7">
      <c r="A278" s="142" t="s">
        <v>328</v>
      </c>
      <c r="B278" s="142"/>
      <c r="C278" s="77" t="s">
        <v>329</v>
      </c>
      <c r="D278" s="79">
        <v>1</v>
      </c>
      <c r="E278" s="81">
        <v>1</v>
      </c>
      <c r="F278" s="80">
        <f>E278-D278</f>
        <v>0</v>
      </c>
      <c r="G278" s="124"/>
    </row>
    <row r="279" spans="1:7">
      <c r="A279" s="140" t="s">
        <v>330</v>
      </c>
      <c r="B279" s="140"/>
      <c r="C279" s="141"/>
      <c r="D279" s="78">
        <f>D277+D278</f>
        <v>8</v>
      </c>
      <c r="E279" s="78">
        <f>E277+E278</f>
        <v>7</v>
      </c>
      <c r="F279" s="78">
        <f>F277+F278</f>
        <v>-1</v>
      </c>
      <c r="G279" s="123"/>
    </row>
    <row r="280" spans="1:7">
      <c r="A280" s="141" t="s">
        <v>314</v>
      </c>
      <c r="B280" s="143"/>
      <c r="C280" s="143"/>
      <c r="D280" s="78">
        <f>D276+D279</f>
        <v>263</v>
      </c>
      <c r="E280" s="78">
        <f>E276+E279</f>
        <v>253</v>
      </c>
      <c r="F280" s="78">
        <f>F276+F279</f>
        <v>-10</v>
      </c>
      <c r="G280" s="123"/>
    </row>
    <row r="281" spans="1:7">
      <c r="A281" s="20"/>
      <c r="B281" s="20"/>
      <c r="C281" s="20"/>
      <c r="D281" s="20"/>
      <c r="E281" s="21"/>
      <c r="F281" s="20"/>
      <c r="G281" s="20"/>
    </row>
    <row r="282" spans="1:7">
      <c r="A282" s="20"/>
      <c r="B282" s="20"/>
      <c r="C282" s="20"/>
      <c r="D282" s="20"/>
      <c r="E282" s="21"/>
      <c r="F282" s="20"/>
      <c r="G282" s="20"/>
    </row>
  </sheetData>
  <sortState ref="A5:AT257">
    <sortCondition ref="D5:D257"/>
  </sortState>
  <mergeCells count="11">
    <mergeCell ref="A275:B275"/>
    <mergeCell ref="A269:F269"/>
    <mergeCell ref="A271:B271"/>
    <mergeCell ref="A272:B272"/>
    <mergeCell ref="A273:B273"/>
    <mergeCell ref="A274:B274"/>
    <mergeCell ref="A276:C276"/>
    <mergeCell ref="A277:B277"/>
    <mergeCell ref="A278:B278"/>
    <mergeCell ref="A279:C279"/>
    <mergeCell ref="A280:C280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276 - SETIEMBRE 16-09-2021</vt:lpstr>
      <vt:lpstr>GENERAL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Usuario de Windows</cp:lastModifiedBy>
  <cp:lastPrinted>2021-09-18T03:26:55Z</cp:lastPrinted>
  <dcterms:created xsi:type="dcterms:W3CDTF">2019-09-19T14:43:53Z</dcterms:created>
  <dcterms:modified xsi:type="dcterms:W3CDTF">2022-02-09T17:50:00Z</dcterms:modified>
</cp:coreProperties>
</file>