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N21" i="3"/>
  <c r="N20"/>
  <c r="N19"/>
  <c r="N18"/>
  <c r="N17"/>
  <c r="N16"/>
  <c r="N15"/>
  <c r="N14"/>
  <c r="N13"/>
  <c r="N12"/>
  <c r="N11"/>
  <c r="N10"/>
  <c r="N9"/>
  <c r="N8"/>
  <c r="N7"/>
  <c r="N6"/>
  <c r="N5"/>
  <c r="N66" i="2"/>
  <c r="N65"/>
  <c r="N64"/>
  <c r="N63"/>
  <c r="N62"/>
  <c r="N61"/>
  <c r="N60"/>
  <c r="N59"/>
  <c r="N58"/>
  <c r="N57"/>
  <c r="N56"/>
  <c r="N55"/>
  <c r="N54"/>
  <c r="N53"/>
  <c r="N52"/>
  <c r="N50"/>
  <c r="N49"/>
  <c r="N48"/>
  <c r="N47"/>
  <c r="N46"/>
  <c r="N45"/>
  <c r="N44"/>
  <c r="N43"/>
  <c r="N42"/>
  <c r="N41"/>
  <c r="N40"/>
  <c r="N39"/>
  <c r="N37"/>
  <c r="N36"/>
  <c r="N35"/>
  <c r="N34"/>
  <c r="N33"/>
  <c r="N32"/>
  <c r="N31"/>
  <c r="N30"/>
  <c r="N29"/>
  <c r="N28"/>
  <c r="N27"/>
  <c r="N26"/>
  <c r="N25"/>
  <c r="N23" s="1"/>
  <c r="N24"/>
  <c r="N22"/>
  <c r="N21"/>
  <c r="N20"/>
  <c r="N19"/>
  <c r="N18"/>
  <c r="N17"/>
  <c r="N16"/>
  <c r="N15"/>
  <c r="N14"/>
  <c r="N13"/>
  <c r="N12"/>
  <c r="N11"/>
  <c r="N10"/>
  <c r="N9"/>
  <c r="N8"/>
  <c r="N7"/>
  <c r="N6"/>
  <c r="O321" i="1"/>
  <c r="O304"/>
  <c r="O287"/>
  <c r="O270"/>
  <c r="O253"/>
  <c r="O236"/>
  <c r="O228"/>
  <c r="O211"/>
  <c r="O194"/>
  <c r="O177"/>
  <c r="O160"/>
  <c r="O143"/>
  <c r="O126"/>
  <c r="O109"/>
  <c r="O92"/>
  <c r="O75"/>
  <c r="O57"/>
  <c r="O40"/>
  <c r="O23"/>
  <c r="O6"/>
  <c r="O338" s="1"/>
  <c r="M21" i="3"/>
  <c r="M20"/>
  <c r="M19"/>
  <c r="M18"/>
  <c r="M17"/>
  <c r="M16"/>
  <c r="M15"/>
  <c r="M14"/>
  <c r="M13"/>
  <c r="M12"/>
  <c r="M11"/>
  <c r="M10"/>
  <c r="M9"/>
  <c r="M8"/>
  <c r="M7"/>
  <c r="M6"/>
  <c r="M5"/>
  <c r="M66" i="2"/>
  <c r="M65"/>
  <c r="M64"/>
  <c r="M63"/>
  <c r="M62"/>
  <c r="M61"/>
  <c r="M60"/>
  <c r="M59"/>
  <c r="M58"/>
  <c r="M57"/>
  <c r="M56"/>
  <c r="M55"/>
  <c r="M54"/>
  <c r="M53"/>
  <c r="M52"/>
  <c r="M50"/>
  <c r="M49"/>
  <c r="M48"/>
  <c r="M47"/>
  <c r="M46"/>
  <c r="M45"/>
  <c r="M44"/>
  <c r="M43"/>
  <c r="M42"/>
  <c r="M41"/>
  <c r="M40"/>
  <c r="M39"/>
  <c r="M37"/>
  <c r="M36"/>
  <c r="M35"/>
  <c r="M34"/>
  <c r="M33"/>
  <c r="M32"/>
  <c r="M31"/>
  <c r="M30"/>
  <c r="M29"/>
  <c r="M28"/>
  <c r="M27"/>
  <c r="M26"/>
  <c r="M25"/>
  <c r="M24"/>
  <c r="M22"/>
  <c r="M21"/>
  <c r="M20"/>
  <c r="M19"/>
  <c r="M18"/>
  <c r="M17"/>
  <c r="M16"/>
  <c r="M15"/>
  <c r="M14"/>
  <c r="M13"/>
  <c r="M12"/>
  <c r="M11"/>
  <c r="M10"/>
  <c r="M9"/>
  <c r="M8"/>
  <c r="M7"/>
  <c r="M6"/>
  <c r="N321" i="1"/>
  <c r="N304"/>
  <c r="N287"/>
  <c r="N270"/>
  <c r="N253"/>
  <c r="N236"/>
  <c r="N228"/>
  <c r="N211"/>
  <c r="N194"/>
  <c r="N177"/>
  <c r="N160"/>
  <c r="N143"/>
  <c r="N126"/>
  <c r="N109"/>
  <c r="N92"/>
  <c r="N75"/>
  <c r="N57"/>
  <c r="N40"/>
  <c r="N23"/>
  <c r="N6"/>
  <c r="L21" i="3"/>
  <c r="L20"/>
  <c r="L19"/>
  <c r="L18"/>
  <c r="L17"/>
  <c r="L16"/>
  <c r="L15"/>
  <c r="L14"/>
  <c r="L13"/>
  <c r="L12"/>
  <c r="L11"/>
  <c r="L10"/>
  <c r="L9"/>
  <c r="L8"/>
  <c r="L7"/>
  <c r="L6"/>
  <c r="L5"/>
  <c r="L66" i="2"/>
  <c r="L65"/>
  <c r="L64"/>
  <c r="L63"/>
  <c r="L62"/>
  <c r="L61"/>
  <c r="L60"/>
  <c r="L59"/>
  <c r="L58"/>
  <c r="L57"/>
  <c r="L56"/>
  <c r="L55"/>
  <c r="L54"/>
  <c r="L53"/>
  <c r="L52"/>
  <c r="L50"/>
  <c r="L49"/>
  <c r="L48"/>
  <c r="L47"/>
  <c r="L46"/>
  <c r="L45"/>
  <c r="L44"/>
  <c r="L43"/>
  <c r="L42"/>
  <c r="L41"/>
  <c r="L40"/>
  <c r="L39"/>
  <c r="L37"/>
  <c r="L36"/>
  <c r="L35"/>
  <c r="L34"/>
  <c r="L33"/>
  <c r="L32"/>
  <c r="L31"/>
  <c r="L30"/>
  <c r="L29"/>
  <c r="L28"/>
  <c r="L27"/>
  <c r="L26"/>
  <c r="L25"/>
  <c r="L24"/>
  <c r="L22"/>
  <c r="L21"/>
  <c r="L20"/>
  <c r="L19"/>
  <c r="L18"/>
  <c r="L17"/>
  <c r="L16"/>
  <c r="L15"/>
  <c r="L14"/>
  <c r="L13"/>
  <c r="L12"/>
  <c r="L11"/>
  <c r="L10"/>
  <c r="L9"/>
  <c r="L8"/>
  <c r="L7"/>
  <c r="L6"/>
  <c r="M321" i="1"/>
  <c r="M304"/>
  <c r="M287"/>
  <c r="M270"/>
  <c r="M253"/>
  <c r="M236"/>
  <c r="M228"/>
  <c r="M211"/>
  <c r="M194"/>
  <c r="M177"/>
  <c r="M160"/>
  <c r="M143"/>
  <c r="M126"/>
  <c r="M109"/>
  <c r="M92"/>
  <c r="M75"/>
  <c r="M57"/>
  <c r="M40"/>
  <c r="M23"/>
  <c r="M6"/>
  <c r="K21" i="3"/>
  <c r="K20"/>
  <c r="K19"/>
  <c r="K18"/>
  <c r="K17"/>
  <c r="K16"/>
  <c r="K15"/>
  <c r="K14"/>
  <c r="K13"/>
  <c r="K12"/>
  <c r="K11"/>
  <c r="K10"/>
  <c r="K9"/>
  <c r="K8"/>
  <c r="K7"/>
  <c r="K6"/>
  <c r="K5"/>
  <c r="K66" i="2"/>
  <c r="K65"/>
  <c r="K64"/>
  <c r="K63"/>
  <c r="K62"/>
  <c r="K61"/>
  <c r="K60"/>
  <c r="K59"/>
  <c r="K58"/>
  <c r="K57"/>
  <c r="K56"/>
  <c r="K55"/>
  <c r="K54"/>
  <c r="K53"/>
  <c r="K52"/>
  <c r="K50"/>
  <c r="K49"/>
  <c r="K48"/>
  <c r="K47"/>
  <c r="K46"/>
  <c r="K45"/>
  <c r="K44"/>
  <c r="K43"/>
  <c r="K42"/>
  <c r="K41"/>
  <c r="K40"/>
  <c r="K39"/>
  <c r="K37"/>
  <c r="K36"/>
  <c r="K35"/>
  <c r="K34"/>
  <c r="K33"/>
  <c r="K32"/>
  <c r="K31"/>
  <c r="K30"/>
  <c r="K29"/>
  <c r="K28"/>
  <c r="K27"/>
  <c r="K26"/>
  <c r="K25"/>
  <c r="K24"/>
  <c r="K22"/>
  <c r="K21"/>
  <c r="K20"/>
  <c r="K19"/>
  <c r="K18"/>
  <c r="K17"/>
  <c r="K16"/>
  <c r="K15"/>
  <c r="K14"/>
  <c r="K13"/>
  <c r="K12"/>
  <c r="K11"/>
  <c r="K10"/>
  <c r="K9"/>
  <c r="K8"/>
  <c r="K7"/>
  <c r="K6"/>
  <c r="L321" i="1"/>
  <c r="L304"/>
  <c r="L287"/>
  <c r="L270"/>
  <c r="L253"/>
  <c r="L236"/>
  <c r="L228"/>
  <c r="L211"/>
  <c r="L194"/>
  <c r="L177"/>
  <c r="L160"/>
  <c r="L143"/>
  <c r="L126"/>
  <c r="L109"/>
  <c r="L92"/>
  <c r="L75"/>
  <c r="L57"/>
  <c r="L40"/>
  <c r="L23"/>
  <c r="L6"/>
  <c r="J21" i="3"/>
  <c r="J20"/>
  <c r="J19"/>
  <c r="J18"/>
  <c r="J17"/>
  <c r="J16"/>
  <c r="J15"/>
  <c r="J14"/>
  <c r="J13"/>
  <c r="J12"/>
  <c r="J11"/>
  <c r="J10"/>
  <c r="J9"/>
  <c r="J8"/>
  <c r="J7"/>
  <c r="J6"/>
  <c r="J5"/>
  <c r="J66" i="2"/>
  <c r="J65"/>
  <c r="J64"/>
  <c r="J63"/>
  <c r="J62"/>
  <c r="J61"/>
  <c r="J60"/>
  <c r="J59"/>
  <c r="J58"/>
  <c r="J57"/>
  <c r="J56"/>
  <c r="J55"/>
  <c r="J54"/>
  <c r="J53"/>
  <c r="J52"/>
  <c r="J50"/>
  <c r="J49"/>
  <c r="J48"/>
  <c r="J47"/>
  <c r="J46"/>
  <c r="J45"/>
  <c r="J44"/>
  <c r="J43"/>
  <c r="J42"/>
  <c r="J41"/>
  <c r="J40"/>
  <c r="J39"/>
  <c r="J37"/>
  <c r="J36"/>
  <c r="J35"/>
  <c r="J34"/>
  <c r="J33"/>
  <c r="J32"/>
  <c r="J31"/>
  <c r="J30"/>
  <c r="J29"/>
  <c r="J28"/>
  <c r="J27"/>
  <c r="J26"/>
  <c r="J25"/>
  <c r="J24"/>
  <c r="J22"/>
  <c r="J21"/>
  <c r="J20"/>
  <c r="J19"/>
  <c r="J18"/>
  <c r="J17"/>
  <c r="J16"/>
  <c r="J15"/>
  <c r="J14"/>
  <c r="J13"/>
  <c r="J12"/>
  <c r="J11"/>
  <c r="J10"/>
  <c r="J9"/>
  <c r="J8"/>
  <c r="J7"/>
  <c r="J6"/>
  <c r="K321" i="1"/>
  <c r="K304"/>
  <c r="K287"/>
  <c r="K270"/>
  <c r="K253"/>
  <c r="K236"/>
  <c r="K228"/>
  <c r="K211"/>
  <c r="K194"/>
  <c r="K177"/>
  <c r="K160"/>
  <c r="K143"/>
  <c r="K126"/>
  <c r="K109"/>
  <c r="K92"/>
  <c r="K75"/>
  <c r="K57"/>
  <c r="K40"/>
  <c r="K23"/>
  <c r="K6"/>
  <c r="I21" i="3"/>
  <c r="I20"/>
  <c r="I19"/>
  <c r="I18"/>
  <c r="I17"/>
  <c r="I16"/>
  <c r="I15"/>
  <c r="I14"/>
  <c r="I13"/>
  <c r="I12"/>
  <c r="I11"/>
  <c r="I10"/>
  <c r="I9"/>
  <c r="I8"/>
  <c r="I7"/>
  <c r="I6"/>
  <c r="I5"/>
  <c r="I66" i="2"/>
  <c r="I65"/>
  <c r="I64"/>
  <c r="I63"/>
  <c r="I62"/>
  <c r="I61"/>
  <c r="I60"/>
  <c r="I59"/>
  <c r="I58"/>
  <c r="I57"/>
  <c r="I56"/>
  <c r="I55"/>
  <c r="I54"/>
  <c r="I53"/>
  <c r="I52"/>
  <c r="I50"/>
  <c r="I49"/>
  <c r="I48"/>
  <c r="I47"/>
  <c r="I46"/>
  <c r="I45"/>
  <c r="I44"/>
  <c r="I43"/>
  <c r="I42"/>
  <c r="I41"/>
  <c r="I40"/>
  <c r="I39"/>
  <c r="I37"/>
  <c r="I36"/>
  <c r="I35"/>
  <c r="I3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P21"/>
  <c r="O21"/>
  <c r="F21"/>
  <c r="E21"/>
  <c r="D21"/>
  <c r="C21"/>
  <c r="W20"/>
  <c r="V20"/>
  <c r="U20"/>
  <c r="T20"/>
  <c r="S20"/>
  <c r="P20"/>
  <c r="O20"/>
  <c r="F20"/>
  <c r="E20"/>
  <c r="D20"/>
  <c r="C20"/>
  <c r="W19"/>
  <c r="V19"/>
  <c r="U19"/>
  <c r="T19"/>
  <c r="S19"/>
  <c r="P19"/>
  <c r="O19"/>
  <c r="F19"/>
  <c r="E19"/>
  <c r="D19"/>
  <c r="C19"/>
  <c r="W18"/>
  <c r="V18"/>
  <c r="U18"/>
  <c r="T18"/>
  <c r="S18"/>
  <c r="P18"/>
  <c r="O18"/>
  <c r="F18"/>
  <c r="E18"/>
  <c r="D18"/>
  <c r="C18"/>
  <c r="W17"/>
  <c r="V17"/>
  <c r="U17"/>
  <c r="T17"/>
  <c r="S17"/>
  <c r="P17"/>
  <c r="O17"/>
  <c r="F17"/>
  <c r="E17"/>
  <c r="D17"/>
  <c r="C17"/>
  <c r="W16"/>
  <c r="V16"/>
  <c r="U16"/>
  <c r="T16"/>
  <c r="S16"/>
  <c r="P16"/>
  <c r="O16"/>
  <c r="F16"/>
  <c r="E16"/>
  <c r="D16"/>
  <c r="C16"/>
  <c r="W15"/>
  <c r="V15"/>
  <c r="U15"/>
  <c r="T15"/>
  <c r="S15"/>
  <c r="P15"/>
  <c r="O15"/>
  <c r="F15"/>
  <c r="E15"/>
  <c r="D15"/>
  <c r="C15"/>
  <c r="W14"/>
  <c r="V14"/>
  <c r="U14"/>
  <c r="T14"/>
  <c r="S14"/>
  <c r="W13"/>
  <c r="V13"/>
  <c r="U13"/>
  <c r="T13"/>
  <c r="S13"/>
  <c r="W12"/>
  <c r="V12"/>
  <c r="U12"/>
  <c r="T12"/>
  <c r="S12"/>
  <c r="W11"/>
  <c r="V11"/>
  <c r="U11"/>
  <c r="T11"/>
  <c r="S11"/>
  <c r="W10"/>
  <c r="V10"/>
  <c r="U10"/>
  <c r="T10"/>
  <c r="S10"/>
  <c r="P14"/>
  <c r="O14"/>
  <c r="F14"/>
  <c r="E14"/>
  <c r="D14"/>
  <c r="C14"/>
  <c r="P13"/>
  <c r="O13"/>
  <c r="F13"/>
  <c r="E13"/>
  <c r="D13"/>
  <c r="C13"/>
  <c r="P12"/>
  <c r="O12"/>
  <c r="F12"/>
  <c r="E12"/>
  <c r="D12"/>
  <c r="C12"/>
  <c r="P11"/>
  <c r="O11"/>
  <c r="F11"/>
  <c r="E11"/>
  <c r="D11"/>
  <c r="C11"/>
  <c r="P10"/>
  <c r="O10"/>
  <c r="F10"/>
  <c r="E10"/>
  <c r="D10"/>
  <c r="C10"/>
  <c r="W8"/>
  <c r="V8"/>
  <c r="U8"/>
  <c r="T8"/>
  <c r="S8"/>
  <c r="P8"/>
  <c r="O8"/>
  <c r="F8"/>
  <c r="E8"/>
  <c r="D8"/>
  <c r="C8"/>
  <c r="W7"/>
  <c r="V7"/>
  <c r="U7"/>
  <c r="T7"/>
  <c r="S7"/>
  <c r="P7"/>
  <c r="O7"/>
  <c r="F7"/>
  <c r="E7"/>
  <c r="D7"/>
  <c r="C7"/>
  <c r="W6"/>
  <c r="V6"/>
  <c r="U6"/>
  <c r="T6"/>
  <c r="S6"/>
  <c r="P6"/>
  <c r="O6"/>
  <c r="F6"/>
  <c r="E6"/>
  <c r="D6"/>
  <c r="C6"/>
  <c r="W5"/>
  <c r="V5"/>
  <c r="U5"/>
  <c r="T5"/>
  <c r="S5"/>
  <c r="P5"/>
  <c r="O5"/>
  <c r="F5"/>
  <c r="E5"/>
  <c r="D5"/>
  <c r="C5"/>
  <c r="W15" i="2"/>
  <c r="V15"/>
  <c r="U15"/>
  <c r="T15"/>
  <c r="S15"/>
  <c r="P15"/>
  <c r="O15"/>
  <c r="F15"/>
  <c r="C15"/>
  <c r="W22"/>
  <c r="V22"/>
  <c r="U22"/>
  <c r="T22"/>
  <c r="S22"/>
  <c r="P22"/>
  <c r="O22"/>
  <c r="F22"/>
  <c r="C22"/>
  <c r="W10"/>
  <c r="V10"/>
  <c r="U10"/>
  <c r="T10"/>
  <c r="S10"/>
  <c r="P10"/>
  <c r="O10"/>
  <c r="F10"/>
  <c r="C10"/>
  <c r="W9"/>
  <c r="V9"/>
  <c r="U9"/>
  <c r="T9"/>
  <c r="S9"/>
  <c r="P9"/>
  <c r="O9"/>
  <c r="F9"/>
  <c r="C9"/>
  <c r="W8"/>
  <c r="V8"/>
  <c r="U8"/>
  <c r="T8"/>
  <c r="S8"/>
  <c r="P8"/>
  <c r="O8"/>
  <c r="F8"/>
  <c r="C8"/>
  <c r="W7"/>
  <c r="V7"/>
  <c r="U7"/>
  <c r="T7"/>
  <c r="S7"/>
  <c r="P7"/>
  <c r="O7"/>
  <c r="F7"/>
  <c r="E7"/>
  <c r="D7"/>
  <c r="C7"/>
  <c r="W6"/>
  <c r="V6"/>
  <c r="U6"/>
  <c r="T6"/>
  <c r="S6"/>
  <c r="P6"/>
  <c r="O6"/>
  <c r="F6"/>
  <c r="E6"/>
  <c r="D6"/>
  <c r="C6"/>
  <c r="X211" i="1"/>
  <c r="W211"/>
  <c r="V211"/>
  <c r="U211"/>
  <c r="T211"/>
  <c r="Q211"/>
  <c r="P211"/>
  <c r="G211"/>
  <c r="F211"/>
  <c r="E211"/>
  <c r="D211"/>
  <c r="E8" i="2"/>
  <c r="D8"/>
  <c r="E9"/>
  <c r="D9"/>
  <c r="E10"/>
  <c r="D10"/>
  <c r="W11"/>
  <c r="V11"/>
  <c r="U11"/>
  <c r="T11"/>
  <c r="S11"/>
  <c r="P11"/>
  <c r="O11"/>
  <c r="F11"/>
  <c r="E11"/>
  <c r="D11"/>
  <c r="C11"/>
  <c r="V12"/>
  <c r="U12"/>
  <c r="T12"/>
  <c r="S12"/>
  <c r="P12"/>
  <c r="O12"/>
  <c r="F12"/>
  <c r="E12"/>
  <c r="D12"/>
  <c r="C12"/>
  <c r="W13"/>
  <c r="V13"/>
  <c r="U13"/>
  <c r="T13"/>
  <c r="S13"/>
  <c r="P13"/>
  <c r="O13"/>
  <c r="F13"/>
  <c r="E13"/>
  <c r="D13"/>
  <c r="C13"/>
  <c r="W14"/>
  <c r="V14"/>
  <c r="U14"/>
  <c r="T14"/>
  <c r="S14"/>
  <c r="P14"/>
  <c r="O14"/>
  <c r="F14"/>
  <c r="E14"/>
  <c r="D14"/>
  <c r="C14"/>
  <c r="W12"/>
  <c r="E15"/>
  <c r="D15"/>
  <c r="W16"/>
  <c r="V16"/>
  <c r="U16"/>
  <c r="T16"/>
  <c r="S16"/>
  <c r="P16"/>
  <c r="O16"/>
  <c r="F16"/>
  <c r="E16"/>
  <c r="D16"/>
  <c r="C16"/>
  <c r="W17"/>
  <c r="V17"/>
  <c r="U17"/>
  <c r="T17"/>
  <c r="S17"/>
  <c r="P17"/>
  <c r="O17"/>
  <c r="F17"/>
  <c r="E17"/>
  <c r="D17"/>
  <c r="C17"/>
  <c r="W18"/>
  <c r="V18"/>
  <c r="U18"/>
  <c r="T18"/>
  <c r="S18"/>
  <c r="P18"/>
  <c r="O18"/>
  <c r="F18"/>
  <c r="E18"/>
  <c r="D18"/>
  <c r="C18"/>
  <c r="W19"/>
  <c r="V19"/>
  <c r="U19"/>
  <c r="T19"/>
  <c r="S19"/>
  <c r="P19"/>
  <c r="O19"/>
  <c r="F19"/>
  <c r="E19"/>
  <c r="D19"/>
  <c r="C19"/>
  <c r="W20"/>
  <c r="V20"/>
  <c r="U20"/>
  <c r="T20"/>
  <c r="S20"/>
  <c r="P20"/>
  <c r="O20"/>
  <c r="F20"/>
  <c r="E20"/>
  <c r="D20"/>
  <c r="C20"/>
  <c r="W21"/>
  <c r="V21"/>
  <c r="U21"/>
  <c r="T21"/>
  <c r="S21"/>
  <c r="P21"/>
  <c r="O21"/>
  <c r="F21"/>
  <c r="E21"/>
  <c r="D21"/>
  <c r="C21"/>
  <c r="N22" i="3" l="1"/>
  <c r="N5" i="2"/>
  <c r="N38"/>
  <c r="N51"/>
  <c r="M23"/>
  <c r="M338" i="1"/>
  <c r="N338"/>
  <c r="M22" i="3"/>
  <c r="M5" i="2"/>
  <c r="M38"/>
  <c r="M51"/>
  <c r="L51"/>
  <c r="L38"/>
  <c r="L23"/>
  <c r="L22" i="3"/>
  <c r="L5" i="2"/>
  <c r="K38"/>
  <c r="K51"/>
  <c r="K22" i="3"/>
  <c r="J51" i="2"/>
  <c r="K5"/>
  <c r="J22" i="3"/>
  <c r="K23" i="2"/>
  <c r="J23"/>
  <c r="J38"/>
  <c r="K338" i="1"/>
  <c r="L338"/>
  <c r="I51" i="2"/>
  <c r="J5"/>
  <c r="I23"/>
  <c r="I38"/>
  <c r="I22" i="3"/>
  <c r="I5" i="2"/>
  <c r="H51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Q21"/>
  <c r="R21" s="1"/>
  <c r="X20"/>
  <c r="Q20"/>
  <c r="R20" s="1"/>
  <c r="X19"/>
  <c r="Q19"/>
  <c r="R19" s="1"/>
  <c r="X18"/>
  <c r="Q18"/>
  <c r="R18" s="1"/>
  <c r="X17"/>
  <c r="Q17"/>
  <c r="R17" s="1"/>
  <c r="X16"/>
  <c r="Q16"/>
  <c r="R16" s="1"/>
  <c r="X15"/>
  <c r="Q15"/>
  <c r="R15" s="1"/>
  <c r="X14"/>
  <c r="Q14"/>
  <c r="R14" s="1"/>
  <c r="X13"/>
  <c r="Q13"/>
  <c r="R13" s="1"/>
  <c r="X12"/>
  <c r="Q12"/>
  <c r="R12" s="1"/>
  <c r="X11"/>
  <c r="Q11"/>
  <c r="R11" s="1"/>
  <c r="W9"/>
  <c r="W22" s="1"/>
  <c r="V9"/>
  <c r="V22" s="1"/>
  <c r="U9"/>
  <c r="U22" s="1"/>
  <c r="T9"/>
  <c r="T22" s="1"/>
  <c r="S9"/>
  <c r="S22" s="1"/>
  <c r="P9"/>
  <c r="P22" s="1"/>
  <c r="O9"/>
  <c r="O22" s="1"/>
  <c r="F9"/>
  <c r="F22" s="1"/>
  <c r="E9"/>
  <c r="E22" s="1"/>
  <c r="D9"/>
  <c r="D22" s="1"/>
  <c r="C9"/>
  <c r="C22" s="1"/>
  <c r="X8"/>
  <c r="Q8"/>
  <c r="R8" s="1"/>
  <c r="X7"/>
  <c r="Q7"/>
  <c r="R7" s="1"/>
  <c r="X6"/>
  <c r="Q6"/>
  <c r="X5"/>
  <c r="Q5"/>
  <c r="R5" s="1"/>
  <c r="W66" i="2"/>
  <c r="V66"/>
  <c r="U66"/>
  <c r="T66"/>
  <c r="S66"/>
  <c r="P66"/>
  <c r="O66"/>
  <c r="F66"/>
  <c r="E66"/>
  <c r="D66"/>
  <c r="C66"/>
  <c r="W65"/>
  <c r="V65"/>
  <c r="U65"/>
  <c r="T65"/>
  <c r="S65"/>
  <c r="P65"/>
  <c r="O65"/>
  <c r="F65"/>
  <c r="E65"/>
  <c r="D65"/>
  <c r="C65"/>
  <c r="W64"/>
  <c r="V64"/>
  <c r="U64"/>
  <c r="T64"/>
  <c r="S64"/>
  <c r="P64"/>
  <c r="O64"/>
  <c r="F64"/>
  <c r="E64"/>
  <c r="D64"/>
  <c r="C64"/>
  <c r="W63"/>
  <c r="V63"/>
  <c r="U63"/>
  <c r="T63"/>
  <c r="S63"/>
  <c r="P63"/>
  <c r="O63"/>
  <c r="F63"/>
  <c r="E63"/>
  <c r="D63"/>
  <c r="C63"/>
  <c r="W62"/>
  <c r="V62"/>
  <c r="U62"/>
  <c r="T62"/>
  <c r="S62"/>
  <c r="P62"/>
  <c r="O62"/>
  <c r="F62"/>
  <c r="E62"/>
  <c r="D62"/>
  <c r="C62"/>
  <c r="W61"/>
  <c r="V61"/>
  <c r="U61"/>
  <c r="T61"/>
  <c r="S61"/>
  <c r="P61"/>
  <c r="O61"/>
  <c r="F61"/>
  <c r="E61"/>
  <c r="D61"/>
  <c r="C61"/>
  <c r="W60"/>
  <c r="V60"/>
  <c r="U60"/>
  <c r="T60"/>
  <c r="S60"/>
  <c r="P60"/>
  <c r="O60"/>
  <c r="F60"/>
  <c r="E60"/>
  <c r="D60"/>
  <c r="C60"/>
  <c r="W59"/>
  <c r="V59"/>
  <c r="U59"/>
  <c r="T59"/>
  <c r="S59"/>
  <c r="P59"/>
  <c r="O59"/>
  <c r="F59"/>
  <c r="E59"/>
  <c r="D59"/>
  <c r="C59"/>
  <c r="W58"/>
  <c r="V58"/>
  <c r="U58"/>
  <c r="T58"/>
  <c r="S58"/>
  <c r="P58"/>
  <c r="O58"/>
  <c r="F58"/>
  <c r="E58"/>
  <c r="D58"/>
  <c r="C58"/>
  <c r="W57"/>
  <c r="V57"/>
  <c r="U57"/>
  <c r="T57"/>
  <c r="S57"/>
  <c r="P57"/>
  <c r="O57"/>
  <c r="F57"/>
  <c r="E57"/>
  <c r="D57"/>
  <c r="C57"/>
  <c r="W56"/>
  <c r="V56"/>
  <c r="U56"/>
  <c r="T56"/>
  <c r="S56"/>
  <c r="P56"/>
  <c r="O56"/>
  <c r="F56"/>
  <c r="E56"/>
  <c r="D56"/>
  <c r="C56"/>
  <c r="W55"/>
  <c r="V55"/>
  <c r="U55"/>
  <c r="T55"/>
  <c r="S55"/>
  <c r="P55"/>
  <c r="O55"/>
  <c r="F55"/>
  <c r="E55"/>
  <c r="D55"/>
  <c r="C55"/>
  <c r="W54"/>
  <c r="V54"/>
  <c r="U54"/>
  <c r="T54"/>
  <c r="S54"/>
  <c r="P54"/>
  <c r="O54"/>
  <c r="F54"/>
  <c r="E54"/>
  <c r="D54"/>
  <c r="C54"/>
  <c r="W53"/>
  <c r="V53"/>
  <c r="U53"/>
  <c r="T53"/>
  <c r="S53"/>
  <c r="P53"/>
  <c r="O53"/>
  <c r="F53"/>
  <c r="E53"/>
  <c r="D53"/>
  <c r="C53"/>
  <c r="W52"/>
  <c r="V52"/>
  <c r="U52"/>
  <c r="T52"/>
  <c r="S52"/>
  <c r="P52"/>
  <c r="O52"/>
  <c r="F52"/>
  <c r="E52"/>
  <c r="D52"/>
  <c r="C52"/>
  <c r="W50"/>
  <c r="V50"/>
  <c r="U50"/>
  <c r="T50"/>
  <c r="S50"/>
  <c r="P50"/>
  <c r="O50"/>
  <c r="F50"/>
  <c r="E50"/>
  <c r="D50"/>
  <c r="C50"/>
  <c r="W49"/>
  <c r="V49"/>
  <c r="U49"/>
  <c r="T49"/>
  <c r="S49"/>
  <c r="P49"/>
  <c r="O49"/>
  <c r="F49"/>
  <c r="E49"/>
  <c r="D49"/>
  <c r="C49"/>
  <c r="W48"/>
  <c r="V48"/>
  <c r="U48"/>
  <c r="T48"/>
  <c r="S48"/>
  <c r="P48"/>
  <c r="O48"/>
  <c r="F48"/>
  <c r="E48"/>
  <c r="D48"/>
  <c r="C48"/>
  <c r="W47"/>
  <c r="V47"/>
  <c r="U47"/>
  <c r="T47"/>
  <c r="S47"/>
  <c r="P47"/>
  <c r="O47"/>
  <c r="F47"/>
  <c r="E47"/>
  <c r="D47"/>
  <c r="C47"/>
  <c r="W46"/>
  <c r="V46"/>
  <c r="U46"/>
  <c r="T46"/>
  <c r="S46"/>
  <c r="P46"/>
  <c r="O46"/>
  <c r="F46"/>
  <c r="E46"/>
  <c r="D46"/>
  <c r="C46"/>
  <c r="W45"/>
  <c r="V45"/>
  <c r="U45"/>
  <c r="T45"/>
  <c r="S45"/>
  <c r="P45"/>
  <c r="O45"/>
  <c r="F45"/>
  <c r="E45"/>
  <c r="D45"/>
  <c r="C45"/>
  <c r="W44"/>
  <c r="V44"/>
  <c r="U44"/>
  <c r="T44"/>
  <c r="S44"/>
  <c r="P44"/>
  <c r="O44"/>
  <c r="F44"/>
  <c r="E44"/>
  <c r="D44"/>
  <c r="C44"/>
  <c r="W43"/>
  <c r="V43"/>
  <c r="U43"/>
  <c r="T43"/>
  <c r="S43"/>
  <c r="P43"/>
  <c r="O43"/>
  <c r="F43"/>
  <c r="E43"/>
  <c r="D43"/>
  <c r="C43"/>
  <c r="W42"/>
  <c r="V42"/>
  <c r="U42"/>
  <c r="T42"/>
  <c r="S42"/>
  <c r="P42"/>
  <c r="O42"/>
  <c r="F42"/>
  <c r="E42"/>
  <c r="D42"/>
  <c r="C42"/>
  <c r="W41"/>
  <c r="V41"/>
  <c r="U41"/>
  <c r="T41"/>
  <c r="S41"/>
  <c r="P41"/>
  <c r="O41"/>
  <c r="F41"/>
  <c r="E41"/>
  <c r="D41"/>
  <c r="C41"/>
  <c r="W40"/>
  <c r="V40"/>
  <c r="U40"/>
  <c r="T40"/>
  <c r="S40"/>
  <c r="P40"/>
  <c r="O40"/>
  <c r="F40"/>
  <c r="E40"/>
  <c r="D40"/>
  <c r="C40"/>
  <c r="W39"/>
  <c r="V39"/>
  <c r="U39"/>
  <c r="T39"/>
  <c r="S39"/>
  <c r="P39"/>
  <c r="O39"/>
  <c r="F39"/>
  <c r="E39"/>
  <c r="D39"/>
  <c r="C39"/>
  <c r="W37"/>
  <c r="V37"/>
  <c r="U37"/>
  <c r="T37"/>
  <c r="S37"/>
  <c r="P37"/>
  <c r="O37"/>
  <c r="F37"/>
  <c r="E37"/>
  <c r="D37"/>
  <c r="C37"/>
  <c r="W36"/>
  <c r="V36"/>
  <c r="U36"/>
  <c r="T36"/>
  <c r="S36"/>
  <c r="P36"/>
  <c r="O36"/>
  <c r="F36"/>
  <c r="E36"/>
  <c r="D36"/>
  <c r="C36"/>
  <c r="W35"/>
  <c r="V35"/>
  <c r="U35"/>
  <c r="T35"/>
  <c r="S35"/>
  <c r="P35"/>
  <c r="O35"/>
  <c r="F35"/>
  <c r="E35"/>
  <c r="D35"/>
  <c r="C35"/>
  <c r="W34"/>
  <c r="V34"/>
  <c r="U34"/>
  <c r="T34"/>
  <c r="S34"/>
  <c r="P34"/>
  <c r="O34"/>
  <c r="F34"/>
  <c r="E34"/>
  <c r="D34"/>
  <c r="C34"/>
  <c r="W33"/>
  <c r="V33"/>
  <c r="U33"/>
  <c r="T33"/>
  <c r="S33"/>
  <c r="P33"/>
  <c r="O33"/>
  <c r="F33"/>
  <c r="E33"/>
  <c r="D33"/>
  <c r="C33"/>
  <c r="W32"/>
  <c r="V32"/>
  <c r="U32"/>
  <c r="T32"/>
  <c r="S32"/>
  <c r="P32"/>
  <c r="O32"/>
  <c r="F32"/>
  <c r="E32"/>
  <c r="D32"/>
  <c r="C32"/>
  <c r="W31"/>
  <c r="V31"/>
  <c r="U31"/>
  <c r="T31"/>
  <c r="S31"/>
  <c r="P31"/>
  <c r="O31"/>
  <c r="F31"/>
  <c r="E31"/>
  <c r="D31"/>
  <c r="C31"/>
  <c r="W30"/>
  <c r="V30"/>
  <c r="U30"/>
  <c r="T30"/>
  <c r="S30"/>
  <c r="P30"/>
  <c r="O30"/>
  <c r="F30"/>
  <c r="E30"/>
  <c r="D30"/>
  <c r="C30"/>
  <c r="W29"/>
  <c r="V29"/>
  <c r="U29"/>
  <c r="T29"/>
  <c r="S29"/>
  <c r="P29"/>
  <c r="O29"/>
  <c r="F29"/>
  <c r="E29"/>
  <c r="D29"/>
  <c r="C29"/>
  <c r="W28"/>
  <c r="V28"/>
  <c r="U28"/>
  <c r="T28"/>
  <c r="S28"/>
  <c r="P28"/>
  <c r="O28"/>
  <c r="F28"/>
  <c r="E28"/>
  <c r="D28"/>
  <c r="C28"/>
  <c r="W27"/>
  <c r="V27"/>
  <c r="U27"/>
  <c r="T27"/>
  <c r="S27"/>
  <c r="P27"/>
  <c r="O27"/>
  <c r="F27"/>
  <c r="E27"/>
  <c r="D27"/>
  <c r="C27"/>
  <c r="W26"/>
  <c r="V26"/>
  <c r="U26"/>
  <c r="T26"/>
  <c r="S26"/>
  <c r="P26"/>
  <c r="O26"/>
  <c r="F26"/>
  <c r="E26"/>
  <c r="D26"/>
  <c r="C26"/>
  <c r="W25"/>
  <c r="V25"/>
  <c r="U25"/>
  <c r="T25"/>
  <c r="S25"/>
  <c r="P25"/>
  <c r="O25"/>
  <c r="F25"/>
  <c r="E25"/>
  <c r="D25"/>
  <c r="C25"/>
  <c r="W24"/>
  <c r="V24"/>
  <c r="U24"/>
  <c r="T24"/>
  <c r="S24"/>
  <c r="P24"/>
  <c r="O24"/>
  <c r="F24"/>
  <c r="E24"/>
  <c r="D24"/>
  <c r="C24"/>
  <c r="X22"/>
  <c r="Q22"/>
  <c r="R22" s="1"/>
  <c r="X21"/>
  <c r="Q21"/>
  <c r="R21" s="1"/>
  <c r="X20"/>
  <c r="Q20"/>
  <c r="R20" s="1"/>
  <c r="X19"/>
  <c r="Q19"/>
  <c r="R19" s="1"/>
  <c r="X18"/>
  <c r="Q18"/>
  <c r="R18" s="1"/>
  <c r="X17"/>
  <c r="Q17"/>
  <c r="R17" s="1"/>
  <c r="X16"/>
  <c r="Q16"/>
  <c r="R16" s="1"/>
  <c r="X15"/>
  <c r="Q15"/>
  <c r="R15" s="1"/>
  <c r="X14"/>
  <c r="Q14"/>
  <c r="R14" s="1"/>
  <c r="X13"/>
  <c r="Q13"/>
  <c r="R13" s="1"/>
  <c r="X12"/>
  <c r="Q12"/>
  <c r="R12" s="1"/>
  <c r="X11"/>
  <c r="Q11"/>
  <c r="R11" s="1"/>
  <c r="X10"/>
  <c r="Q10"/>
  <c r="R10" s="1"/>
  <c r="X9"/>
  <c r="Q9"/>
  <c r="R9" s="1"/>
  <c r="X8"/>
  <c r="Q8"/>
  <c r="R8" s="1"/>
  <c r="X7"/>
  <c r="Q7"/>
  <c r="R7" s="1"/>
  <c r="Q6"/>
  <c r="R6" s="1"/>
  <c r="X6" s="1"/>
  <c r="W5"/>
  <c r="V5"/>
  <c r="U5"/>
  <c r="T5"/>
  <c r="S5"/>
  <c r="P5"/>
  <c r="O5"/>
  <c r="F5"/>
  <c r="C5"/>
  <c r="Y337" i="1"/>
  <c r="R337"/>
  <c r="S337" s="1"/>
  <c r="Y336"/>
  <c r="R336"/>
  <c r="S336" s="1"/>
  <c r="Y335"/>
  <c r="R335"/>
  <c r="S335" s="1"/>
  <c r="Y334"/>
  <c r="R334"/>
  <c r="S334" s="1"/>
  <c r="Y333"/>
  <c r="R333"/>
  <c r="S333" s="1"/>
  <c r="Y332"/>
  <c r="R332"/>
  <c r="S332" s="1"/>
  <c r="Y331"/>
  <c r="R331"/>
  <c r="Y330"/>
  <c r="R330"/>
  <c r="S330" s="1"/>
  <c r="Y329"/>
  <c r="R329"/>
  <c r="S329" s="1"/>
  <c r="Y328"/>
  <c r="R328"/>
  <c r="Y327"/>
  <c r="R327"/>
  <c r="S327" s="1"/>
  <c r="Y326"/>
  <c r="R326"/>
  <c r="S326" s="1"/>
  <c r="Y325"/>
  <c r="R325"/>
  <c r="Y324"/>
  <c r="R324"/>
  <c r="S324" s="1"/>
  <c r="Y323"/>
  <c r="R323"/>
  <c r="S323" s="1"/>
  <c r="Y322"/>
  <c r="R322"/>
  <c r="S322" s="1"/>
  <c r="X321"/>
  <c r="W321"/>
  <c r="V321"/>
  <c r="U321"/>
  <c r="T321"/>
  <c r="Y321"/>
  <c r="Q321"/>
  <c r="P321"/>
  <c r="G321"/>
  <c r="F321"/>
  <c r="E321"/>
  <c r="D321"/>
  <c r="Y320"/>
  <c r="R320"/>
  <c r="S320" s="1"/>
  <c r="Y319"/>
  <c r="R319"/>
  <c r="S319" s="1"/>
  <c r="Y318"/>
  <c r="R318"/>
  <c r="S318" s="1"/>
  <c r="Y317"/>
  <c r="R317"/>
  <c r="S317" s="1"/>
  <c r="Y316"/>
  <c r="R316"/>
  <c r="S316" s="1"/>
  <c r="Y315"/>
  <c r="R315"/>
  <c r="S315" s="1"/>
  <c r="Y314"/>
  <c r="R314"/>
  <c r="S314" s="1"/>
  <c r="Y313"/>
  <c r="R313"/>
  <c r="S313" s="1"/>
  <c r="Y312"/>
  <c r="R312"/>
  <c r="S312" s="1"/>
  <c r="Y311"/>
  <c r="R311"/>
  <c r="S311" s="1"/>
  <c r="Y310"/>
  <c r="R310"/>
  <c r="S310" s="1"/>
  <c r="Y309"/>
  <c r="R309"/>
  <c r="S309" s="1"/>
  <c r="Y308"/>
  <c r="R308"/>
  <c r="S308" s="1"/>
  <c r="Y307"/>
  <c r="R307"/>
  <c r="S307" s="1"/>
  <c r="Y306"/>
  <c r="R306"/>
  <c r="S306" s="1"/>
  <c r="Y305"/>
  <c r="R305"/>
  <c r="S305" s="1"/>
  <c r="X304"/>
  <c r="W304"/>
  <c r="V304"/>
  <c r="U304"/>
  <c r="T304"/>
  <c r="Y304"/>
  <c r="Q304"/>
  <c r="P304"/>
  <c r="G304"/>
  <c r="F304"/>
  <c r="E304"/>
  <c r="D304"/>
  <c r="Y303"/>
  <c r="R303"/>
  <c r="S303" s="1"/>
  <c r="Y302"/>
  <c r="R302"/>
  <c r="S302" s="1"/>
  <c r="Y301"/>
  <c r="R301"/>
  <c r="S301" s="1"/>
  <c r="Y300"/>
  <c r="R300"/>
  <c r="S300" s="1"/>
  <c r="Y299"/>
  <c r="R299"/>
  <c r="S299" s="1"/>
  <c r="Y298"/>
  <c r="R298"/>
  <c r="S298" s="1"/>
  <c r="Y297"/>
  <c r="R297"/>
  <c r="S297" s="1"/>
  <c r="Y296"/>
  <c r="R296"/>
  <c r="S296" s="1"/>
  <c r="Y295"/>
  <c r="R295"/>
  <c r="S295" s="1"/>
  <c r="Y294"/>
  <c r="R294"/>
  <c r="S294" s="1"/>
  <c r="Y293"/>
  <c r="R293"/>
  <c r="S293" s="1"/>
  <c r="Y292"/>
  <c r="R292"/>
  <c r="S292" s="1"/>
  <c r="Y291"/>
  <c r="R291"/>
  <c r="S291" s="1"/>
  <c r="Y290"/>
  <c r="R290"/>
  <c r="S290" s="1"/>
  <c r="Y289"/>
  <c r="R289"/>
  <c r="Y288"/>
  <c r="R288"/>
  <c r="S288" s="1"/>
  <c r="X287"/>
  <c r="W287"/>
  <c r="V287"/>
  <c r="U287"/>
  <c r="T287"/>
  <c r="Q287"/>
  <c r="P287"/>
  <c r="G287"/>
  <c r="F287"/>
  <c r="E287"/>
  <c r="D287"/>
  <c r="Y286"/>
  <c r="R286"/>
  <c r="S286" s="1"/>
  <c r="Y285"/>
  <c r="R285"/>
  <c r="S285" s="1"/>
  <c r="Y284"/>
  <c r="R284"/>
  <c r="S284" s="1"/>
  <c r="Y283"/>
  <c r="R283"/>
  <c r="S283" s="1"/>
  <c r="Y282"/>
  <c r="R282"/>
  <c r="S282" s="1"/>
  <c r="Y281"/>
  <c r="R281"/>
  <c r="S281" s="1"/>
  <c r="Y280"/>
  <c r="R280"/>
  <c r="S280" s="1"/>
  <c r="Y279"/>
  <c r="R279"/>
  <c r="S279" s="1"/>
  <c r="Y278"/>
  <c r="R278"/>
  <c r="S278" s="1"/>
  <c r="Y277"/>
  <c r="R277"/>
  <c r="S277" s="1"/>
  <c r="Y276"/>
  <c r="R276"/>
  <c r="S276" s="1"/>
  <c r="Y275"/>
  <c r="R275"/>
  <c r="S275" s="1"/>
  <c r="Y274"/>
  <c r="R274"/>
  <c r="S274" s="1"/>
  <c r="Y273"/>
  <c r="R273"/>
  <c r="S273" s="1"/>
  <c r="Y272"/>
  <c r="R272"/>
  <c r="S272" s="1"/>
  <c r="Y271"/>
  <c r="R271"/>
  <c r="S271" s="1"/>
  <c r="X270"/>
  <c r="W270"/>
  <c r="V270"/>
  <c r="Y270" s="1"/>
  <c r="U270"/>
  <c r="T270"/>
  <c r="Q270"/>
  <c r="P270"/>
  <c r="G270"/>
  <c r="F270"/>
  <c r="E270"/>
  <c r="D270"/>
  <c r="Y269"/>
  <c r="R269"/>
  <c r="S269" s="1"/>
  <c r="Y268"/>
  <c r="R268"/>
  <c r="S268" s="1"/>
  <c r="Y267"/>
  <c r="R267"/>
  <c r="S267" s="1"/>
  <c r="Y266"/>
  <c r="R266"/>
  <c r="S266" s="1"/>
  <c r="Y265"/>
  <c r="R265"/>
  <c r="S265" s="1"/>
  <c r="Y264"/>
  <c r="R264"/>
  <c r="S264" s="1"/>
  <c r="Y263"/>
  <c r="R263"/>
  <c r="S263" s="1"/>
  <c r="Y262"/>
  <c r="R262"/>
  <c r="S262" s="1"/>
  <c r="Y261"/>
  <c r="R261"/>
  <c r="S261" s="1"/>
  <c r="Y260"/>
  <c r="R260"/>
  <c r="S260" s="1"/>
  <c r="Y259"/>
  <c r="R259"/>
  <c r="S259" s="1"/>
  <c r="Y258"/>
  <c r="R258"/>
  <c r="S258" s="1"/>
  <c r="Y257"/>
  <c r="R257"/>
  <c r="S257" s="1"/>
  <c r="Y256"/>
  <c r="R256"/>
  <c r="S256" s="1"/>
  <c r="Y255"/>
  <c r="R255"/>
  <c r="S255" s="1"/>
  <c r="Y254"/>
  <c r="R254"/>
  <c r="S254" s="1"/>
  <c r="X253"/>
  <c r="W253"/>
  <c r="V253"/>
  <c r="U253"/>
  <c r="T253"/>
  <c r="Q253"/>
  <c r="P253"/>
  <c r="G253"/>
  <c r="F253"/>
  <c r="E253"/>
  <c r="D253"/>
  <c r="Y252"/>
  <c r="R252"/>
  <c r="S252" s="1"/>
  <c r="Y251"/>
  <c r="R251"/>
  <c r="S251" s="1"/>
  <c r="Y250"/>
  <c r="R250"/>
  <c r="S250" s="1"/>
  <c r="Y249"/>
  <c r="R249"/>
  <c r="S249" s="1"/>
  <c r="Y248"/>
  <c r="R248"/>
  <c r="S248" s="1"/>
  <c r="Y247"/>
  <c r="R247"/>
  <c r="S247" s="1"/>
  <c r="Y246"/>
  <c r="R246"/>
  <c r="S246" s="1"/>
  <c r="Y245"/>
  <c r="R245"/>
  <c r="S245" s="1"/>
  <c r="Y244"/>
  <c r="R244"/>
  <c r="S244" s="1"/>
  <c r="Y243"/>
  <c r="R243"/>
  <c r="S243" s="1"/>
  <c r="Y242"/>
  <c r="R242"/>
  <c r="S242" s="1"/>
  <c r="Y241"/>
  <c r="R241"/>
  <c r="S241" s="1"/>
  <c r="Y240"/>
  <c r="R240"/>
  <c r="S240" s="1"/>
  <c r="Y239"/>
  <c r="R239"/>
  <c r="S239" s="1"/>
  <c r="Y238"/>
  <c r="R238"/>
  <c r="S238" s="1"/>
  <c r="Y237"/>
  <c r="R237"/>
  <c r="S237" s="1"/>
  <c r="X236"/>
  <c r="W236"/>
  <c r="V236"/>
  <c r="U236"/>
  <c r="T236"/>
  <c r="Q236"/>
  <c r="P236"/>
  <c r="G236"/>
  <c r="F236"/>
  <c r="E236"/>
  <c r="D236"/>
  <c r="Y235"/>
  <c r="R235"/>
  <c r="S235" s="1"/>
  <c r="Y234"/>
  <c r="R234"/>
  <c r="S234" s="1"/>
  <c r="Y233"/>
  <c r="R233"/>
  <c r="S233" s="1"/>
  <c r="Y232"/>
  <c r="R232"/>
  <c r="S232" s="1"/>
  <c r="Y231"/>
  <c r="R231"/>
  <c r="S231" s="1"/>
  <c r="Y230"/>
  <c r="R230"/>
  <c r="S230" s="1"/>
  <c r="Y229"/>
  <c r="R229"/>
  <c r="S229" s="1"/>
  <c r="X228"/>
  <c r="W228"/>
  <c r="V228"/>
  <c r="U228"/>
  <c r="T228"/>
  <c r="Y228"/>
  <c r="Q228"/>
  <c r="P228"/>
  <c r="G228"/>
  <c r="F228"/>
  <c r="E228"/>
  <c r="D228"/>
  <c r="Y227"/>
  <c r="R227"/>
  <c r="S227" s="1"/>
  <c r="Y226"/>
  <c r="R226"/>
  <c r="S226" s="1"/>
  <c r="Y225"/>
  <c r="R225"/>
  <c r="S225" s="1"/>
  <c r="Y224"/>
  <c r="R224"/>
  <c r="S224" s="1"/>
  <c r="Y223"/>
  <c r="R223"/>
  <c r="S223" s="1"/>
  <c r="Y222"/>
  <c r="R222"/>
  <c r="S222" s="1"/>
  <c r="Y221"/>
  <c r="R221"/>
  <c r="S221" s="1"/>
  <c r="Y220"/>
  <c r="R220"/>
  <c r="S220" s="1"/>
  <c r="Y219"/>
  <c r="R219"/>
  <c r="S219" s="1"/>
  <c r="Y218"/>
  <c r="R218"/>
  <c r="S218" s="1"/>
  <c r="Y217"/>
  <c r="R217"/>
  <c r="S217" s="1"/>
  <c r="Y216"/>
  <c r="R216"/>
  <c r="S216" s="1"/>
  <c r="Y215"/>
  <c r="R215"/>
  <c r="S215" s="1"/>
  <c r="Y214"/>
  <c r="R214"/>
  <c r="S214" s="1"/>
  <c r="Y213"/>
  <c r="R213"/>
  <c r="S213" s="1"/>
  <c r="Y212"/>
  <c r="R212"/>
  <c r="S212" s="1"/>
  <c r="Y211"/>
  <c r="R211"/>
  <c r="S211" s="1"/>
  <c r="Y210"/>
  <c r="R210"/>
  <c r="S210" s="1"/>
  <c r="Y209"/>
  <c r="R209"/>
  <c r="S209" s="1"/>
  <c r="Y208"/>
  <c r="R208"/>
  <c r="S208" s="1"/>
  <c r="Y207"/>
  <c r="R207"/>
  <c r="S207" s="1"/>
  <c r="Y206"/>
  <c r="R206"/>
  <c r="S206" s="1"/>
  <c r="Y205"/>
  <c r="R205"/>
  <c r="S205" s="1"/>
  <c r="Y204"/>
  <c r="R204"/>
  <c r="S204" s="1"/>
  <c r="Y203"/>
  <c r="R203"/>
  <c r="S203" s="1"/>
  <c r="Y202"/>
  <c r="R202"/>
  <c r="S202" s="1"/>
  <c r="Y201"/>
  <c r="R201"/>
  <c r="S201" s="1"/>
  <c r="Y200"/>
  <c r="R200"/>
  <c r="S200" s="1"/>
  <c r="Y199"/>
  <c r="R199"/>
  <c r="S199" s="1"/>
  <c r="Y198"/>
  <c r="R198"/>
  <c r="S198" s="1"/>
  <c r="Y197"/>
  <c r="R197"/>
  <c r="S197" s="1"/>
  <c r="Y196"/>
  <c r="R196"/>
  <c r="S196" s="1"/>
  <c r="Y195"/>
  <c r="R195"/>
  <c r="S195" s="1"/>
  <c r="X194"/>
  <c r="W194"/>
  <c r="V194"/>
  <c r="U194"/>
  <c r="T194"/>
  <c r="Q194"/>
  <c r="P194"/>
  <c r="G194"/>
  <c r="F194"/>
  <c r="E194"/>
  <c r="D194"/>
  <c r="Y193"/>
  <c r="R193"/>
  <c r="S193" s="1"/>
  <c r="Y192"/>
  <c r="R192"/>
  <c r="S192" s="1"/>
  <c r="Y191"/>
  <c r="R191"/>
  <c r="S191" s="1"/>
  <c r="Y190"/>
  <c r="R190"/>
  <c r="S190" s="1"/>
  <c r="Y189"/>
  <c r="R189"/>
  <c r="S189" s="1"/>
  <c r="Y188"/>
  <c r="R188"/>
  <c r="S188" s="1"/>
  <c r="Y187"/>
  <c r="R187"/>
  <c r="S187" s="1"/>
  <c r="Y186"/>
  <c r="R186"/>
  <c r="S186" s="1"/>
  <c r="Y185"/>
  <c r="R185"/>
  <c r="S185" s="1"/>
  <c r="Y184"/>
  <c r="R184"/>
  <c r="S184" s="1"/>
  <c r="Y183"/>
  <c r="R183"/>
  <c r="S183" s="1"/>
  <c r="Y182"/>
  <c r="R182"/>
  <c r="S182" s="1"/>
  <c r="Y181"/>
  <c r="R181"/>
  <c r="S181" s="1"/>
  <c r="Y180"/>
  <c r="R180"/>
  <c r="S180" s="1"/>
  <c r="Y179"/>
  <c r="R179"/>
  <c r="S179" s="1"/>
  <c r="Y178"/>
  <c r="R178"/>
  <c r="S178" s="1"/>
  <c r="X177"/>
  <c r="W177"/>
  <c r="V177"/>
  <c r="U177"/>
  <c r="T177"/>
  <c r="Y177" s="1"/>
  <c r="Q177"/>
  <c r="P177"/>
  <c r="G177"/>
  <c r="F177"/>
  <c r="E177"/>
  <c r="D177"/>
  <c r="Y176"/>
  <c r="R176"/>
  <c r="S176" s="1"/>
  <c r="Y175"/>
  <c r="R175"/>
  <c r="S175" s="1"/>
  <c r="Y174"/>
  <c r="R174"/>
  <c r="S174" s="1"/>
  <c r="Y173"/>
  <c r="R173"/>
  <c r="S173" s="1"/>
  <c r="Y172"/>
  <c r="R172"/>
  <c r="S172" s="1"/>
  <c r="Y171"/>
  <c r="R171"/>
  <c r="S171" s="1"/>
  <c r="Y170"/>
  <c r="R170"/>
  <c r="S170" s="1"/>
  <c r="Y169"/>
  <c r="R169"/>
  <c r="S169" s="1"/>
  <c r="Y168"/>
  <c r="R168"/>
  <c r="S168" s="1"/>
  <c r="Y167"/>
  <c r="R167"/>
  <c r="S167" s="1"/>
  <c r="Y166"/>
  <c r="R166"/>
  <c r="S166" s="1"/>
  <c r="Y165"/>
  <c r="R165"/>
  <c r="S165" s="1"/>
  <c r="Y164"/>
  <c r="R164"/>
  <c r="S164" s="1"/>
  <c r="Y163"/>
  <c r="R163"/>
  <c r="S163" s="1"/>
  <c r="Y162"/>
  <c r="R162"/>
  <c r="S162" s="1"/>
  <c r="Y161"/>
  <c r="R161"/>
  <c r="S161" s="1"/>
  <c r="X160"/>
  <c r="W160"/>
  <c r="V160"/>
  <c r="U160"/>
  <c r="T160"/>
  <c r="Y160"/>
  <c r="Q160"/>
  <c r="P160"/>
  <c r="G160"/>
  <c r="F160"/>
  <c r="E160"/>
  <c r="D160"/>
  <c r="Y159"/>
  <c r="R159"/>
  <c r="S159" s="1"/>
  <c r="Y158"/>
  <c r="R158"/>
  <c r="S158" s="1"/>
  <c r="Y157"/>
  <c r="R157"/>
  <c r="S157" s="1"/>
  <c r="Y156"/>
  <c r="R156"/>
  <c r="S156" s="1"/>
  <c r="Y155"/>
  <c r="R155"/>
  <c r="S155" s="1"/>
  <c r="Y154"/>
  <c r="R154"/>
  <c r="S154" s="1"/>
  <c r="Y153"/>
  <c r="R153"/>
  <c r="S153" s="1"/>
  <c r="Y152"/>
  <c r="R152"/>
  <c r="S152" s="1"/>
  <c r="Y151"/>
  <c r="R151"/>
  <c r="S151" s="1"/>
  <c r="Y150"/>
  <c r="R150"/>
  <c r="S150" s="1"/>
  <c r="Y149"/>
  <c r="R149"/>
  <c r="S149" s="1"/>
  <c r="Y148"/>
  <c r="R148"/>
  <c r="S148" s="1"/>
  <c r="Y147"/>
  <c r="R147"/>
  <c r="S147" s="1"/>
  <c r="Y146"/>
  <c r="R146"/>
  <c r="S146" s="1"/>
  <c r="Y145"/>
  <c r="R145"/>
  <c r="S145" s="1"/>
  <c r="Y144"/>
  <c r="R144"/>
  <c r="S144" s="1"/>
  <c r="X143"/>
  <c r="W143"/>
  <c r="V143"/>
  <c r="U143"/>
  <c r="T143"/>
  <c r="Q143"/>
  <c r="P143"/>
  <c r="G143"/>
  <c r="F143"/>
  <c r="E143"/>
  <c r="D143"/>
  <c r="Y142"/>
  <c r="R142"/>
  <c r="S142" s="1"/>
  <c r="Y141"/>
  <c r="R141"/>
  <c r="S141" s="1"/>
  <c r="Y140"/>
  <c r="R140"/>
  <c r="S140" s="1"/>
  <c r="Y139"/>
  <c r="R139"/>
  <c r="S139" s="1"/>
  <c r="Y138"/>
  <c r="R138"/>
  <c r="S138" s="1"/>
  <c r="Y137"/>
  <c r="R137"/>
  <c r="S137" s="1"/>
  <c r="Y136"/>
  <c r="R136"/>
  <c r="S136" s="1"/>
  <c r="Y135"/>
  <c r="R135"/>
  <c r="S135" s="1"/>
  <c r="Y134"/>
  <c r="R134"/>
  <c r="S134" s="1"/>
  <c r="Y133"/>
  <c r="R133"/>
  <c r="S133" s="1"/>
  <c r="Y132"/>
  <c r="R132"/>
  <c r="S132" s="1"/>
  <c r="Y131"/>
  <c r="R131"/>
  <c r="S131" s="1"/>
  <c r="Y130"/>
  <c r="R130"/>
  <c r="S130" s="1"/>
  <c r="Y129"/>
  <c r="R129"/>
  <c r="S129" s="1"/>
  <c r="Y128"/>
  <c r="R128"/>
  <c r="S128" s="1"/>
  <c r="Y127"/>
  <c r="R127"/>
  <c r="S127" s="1"/>
  <c r="X126"/>
  <c r="W126"/>
  <c r="V126"/>
  <c r="U126"/>
  <c r="T126"/>
  <c r="Y126"/>
  <c r="Q126"/>
  <c r="P126"/>
  <c r="G126"/>
  <c r="F126"/>
  <c r="E126"/>
  <c r="D126"/>
  <c r="Y125"/>
  <c r="R125"/>
  <c r="S125" s="1"/>
  <c r="Y124"/>
  <c r="R124"/>
  <c r="S124" s="1"/>
  <c r="Y123"/>
  <c r="R123"/>
  <c r="S123" s="1"/>
  <c r="Y122"/>
  <c r="R122"/>
  <c r="S122" s="1"/>
  <c r="Y121"/>
  <c r="R121"/>
  <c r="S121" s="1"/>
  <c r="Y120"/>
  <c r="R120"/>
  <c r="S120" s="1"/>
  <c r="Y119"/>
  <c r="R119"/>
  <c r="S119" s="1"/>
  <c r="Y118"/>
  <c r="R118"/>
  <c r="S118" s="1"/>
  <c r="Y117"/>
  <c r="R117"/>
  <c r="S117" s="1"/>
  <c r="Y116"/>
  <c r="R116"/>
  <c r="S116" s="1"/>
  <c r="Y115"/>
  <c r="R115"/>
  <c r="S115" s="1"/>
  <c r="Y114"/>
  <c r="R114"/>
  <c r="S114" s="1"/>
  <c r="Y113"/>
  <c r="R113"/>
  <c r="S113" s="1"/>
  <c r="Y112"/>
  <c r="R112"/>
  <c r="S112" s="1"/>
  <c r="Y111"/>
  <c r="R111"/>
  <c r="S111" s="1"/>
  <c r="Y110"/>
  <c r="R110"/>
  <c r="S110" s="1"/>
  <c r="X109"/>
  <c r="W109"/>
  <c r="V109"/>
  <c r="U109"/>
  <c r="T109"/>
  <c r="Q109"/>
  <c r="P109"/>
  <c r="G109"/>
  <c r="F109"/>
  <c r="E109"/>
  <c r="D109"/>
  <c r="Y108"/>
  <c r="R108"/>
  <c r="S108" s="1"/>
  <c r="Y107"/>
  <c r="R107"/>
  <c r="S107" s="1"/>
  <c r="Y106"/>
  <c r="R106"/>
  <c r="S106" s="1"/>
  <c r="Y105"/>
  <c r="R105"/>
  <c r="S105" s="1"/>
  <c r="Y104"/>
  <c r="R104"/>
  <c r="S104" s="1"/>
  <c r="Y103"/>
  <c r="R103"/>
  <c r="S103" s="1"/>
  <c r="Y102"/>
  <c r="R102"/>
  <c r="S102" s="1"/>
  <c r="Y101"/>
  <c r="R101"/>
  <c r="S101" s="1"/>
  <c r="Y100"/>
  <c r="R100"/>
  <c r="S100" s="1"/>
  <c r="Y99"/>
  <c r="R99"/>
  <c r="S99" s="1"/>
  <c r="Y98"/>
  <c r="R98"/>
  <c r="S98" s="1"/>
  <c r="Y97"/>
  <c r="R97"/>
  <c r="S97" s="1"/>
  <c r="Y96"/>
  <c r="R96"/>
  <c r="S96" s="1"/>
  <c r="Y95"/>
  <c r="R95"/>
  <c r="S95" s="1"/>
  <c r="Y94"/>
  <c r="R94"/>
  <c r="S94" s="1"/>
  <c r="Y93"/>
  <c r="R93"/>
  <c r="S93" s="1"/>
  <c r="X92"/>
  <c r="W92"/>
  <c r="V92"/>
  <c r="U92"/>
  <c r="T92"/>
  <c r="Q92"/>
  <c r="P92"/>
  <c r="G92"/>
  <c r="F92"/>
  <c r="E22" i="2" s="1"/>
  <c r="E5" s="1"/>
  <c r="E92" i="1"/>
  <c r="D22" i="2" s="1"/>
  <c r="D5" s="1"/>
  <c r="D92" i="1"/>
  <c r="Y91"/>
  <c r="R91"/>
  <c r="S91" s="1"/>
  <c r="Y90"/>
  <c r="R90"/>
  <c r="S90" s="1"/>
  <c r="Y89"/>
  <c r="R89"/>
  <c r="S89" s="1"/>
  <c r="Y88"/>
  <c r="R88"/>
  <c r="S88" s="1"/>
  <c r="Y87"/>
  <c r="R87"/>
  <c r="S87" s="1"/>
  <c r="Y86"/>
  <c r="R86"/>
  <c r="S86" s="1"/>
  <c r="Y85"/>
  <c r="R85"/>
  <c r="S85" s="1"/>
  <c r="Y84"/>
  <c r="R84"/>
  <c r="S84" s="1"/>
  <c r="Y83"/>
  <c r="R83"/>
  <c r="S83" s="1"/>
  <c r="Y82"/>
  <c r="R82"/>
  <c r="S82" s="1"/>
  <c r="Y81"/>
  <c r="R81"/>
  <c r="S81" s="1"/>
  <c r="Y80"/>
  <c r="R80"/>
  <c r="S80" s="1"/>
  <c r="Y79"/>
  <c r="R79"/>
  <c r="S79" s="1"/>
  <c r="Y78"/>
  <c r="R78"/>
  <c r="S78" s="1"/>
  <c r="Y77"/>
  <c r="R77"/>
  <c r="S77" s="1"/>
  <c r="Y76"/>
  <c r="R76"/>
  <c r="S76" s="1"/>
  <c r="X75"/>
  <c r="W75"/>
  <c r="V75"/>
  <c r="U75"/>
  <c r="T75"/>
  <c r="Q75"/>
  <c r="P75"/>
  <c r="G75"/>
  <c r="F75"/>
  <c r="E75"/>
  <c r="D75"/>
  <c r="Y74"/>
  <c r="R74"/>
  <c r="S74" s="1"/>
  <c r="Y73"/>
  <c r="R73"/>
  <c r="S73" s="1"/>
  <c r="Y72"/>
  <c r="R72"/>
  <c r="S72" s="1"/>
  <c r="Y71"/>
  <c r="R71"/>
  <c r="S71" s="1"/>
  <c r="Y70"/>
  <c r="R70"/>
  <c r="S70" s="1"/>
  <c r="Y69"/>
  <c r="R69"/>
  <c r="S69" s="1"/>
  <c r="Y68"/>
  <c r="R68"/>
  <c r="S68" s="1"/>
  <c r="Y67"/>
  <c r="R67"/>
  <c r="S67" s="1"/>
  <c r="Y66"/>
  <c r="R66"/>
  <c r="S66" s="1"/>
  <c r="Y65"/>
  <c r="R65"/>
  <c r="S65" s="1"/>
  <c r="Y64"/>
  <c r="R64"/>
  <c r="S64" s="1"/>
  <c r="Y63"/>
  <c r="R63"/>
  <c r="Y62"/>
  <c r="R62"/>
  <c r="S62" s="1"/>
  <c r="Y61"/>
  <c r="R61"/>
  <c r="S61" s="1"/>
  <c r="Y60"/>
  <c r="R60"/>
  <c r="S60" s="1"/>
  <c r="Y59"/>
  <c r="R59"/>
  <c r="S59" s="1"/>
  <c r="Y58"/>
  <c r="R58"/>
  <c r="S58" s="1"/>
  <c r="X57"/>
  <c r="W57"/>
  <c r="V57"/>
  <c r="U57"/>
  <c r="T57"/>
  <c r="Q57"/>
  <c r="P57"/>
  <c r="G57"/>
  <c r="F57"/>
  <c r="E57"/>
  <c r="D57"/>
  <c r="Y56"/>
  <c r="R56"/>
  <c r="S56" s="1"/>
  <c r="Y55"/>
  <c r="R55"/>
  <c r="S55" s="1"/>
  <c r="Y54"/>
  <c r="R54"/>
  <c r="S54" s="1"/>
  <c r="Y53"/>
  <c r="R53"/>
  <c r="S53" s="1"/>
  <c r="Y52"/>
  <c r="R52"/>
  <c r="S52" s="1"/>
  <c r="Y51"/>
  <c r="R51"/>
  <c r="S51" s="1"/>
  <c r="Y50"/>
  <c r="R50"/>
  <c r="Y49"/>
  <c r="R49"/>
  <c r="S49" s="1"/>
  <c r="Y48"/>
  <c r="R48"/>
  <c r="S48" s="1"/>
  <c r="Y47"/>
  <c r="R47"/>
  <c r="S47" s="1"/>
  <c r="Y46"/>
  <c r="R46"/>
  <c r="S46" s="1"/>
  <c r="Y45"/>
  <c r="R45"/>
  <c r="S45" s="1"/>
  <c r="Y44"/>
  <c r="R44"/>
  <c r="S44" s="1"/>
  <c r="Y43"/>
  <c r="R43"/>
  <c r="S43" s="1"/>
  <c r="Y42"/>
  <c r="R42"/>
  <c r="S42" s="1"/>
  <c r="Y41"/>
  <c r="R41"/>
  <c r="S41" s="1"/>
  <c r="X40"/>
  <c r="W40"/>
  <c r="V40"/>
  <c r="U40"/>
  <c r="T40"/>
  <c r="Q40"/>
  <c r="P40"/>
  <c r="G40"/>
  <c r="F40"/>
  <c r="E40"/>
  <c r="D40"/>
  <c r="Y39"/>
  <c r="R39"/>
  <c r="S39" s="1"/>
  <c r="Y38"/>
  <c r="R38"/>
  <c r="S38" s="1"/>
  <c r="Y37"/>
  <c r="R37"/>
  <c r="S37" s="1"/>
  <c r="Y36"/>
  <c r="R36"/>
  <c r="S36" s="1"/>
  <c r="Y35"/>
  <c r="R35"/>
  <c r="S35" s="1"/>
  <c r="Y34"/>
  <c r="R34"/>
  <c r="S34" s="1"/>
  <c r="Y33"/>
  <c r="R33"/>
  <c r="S33" s="1"/>
  <c r="Y32"/>
  <c r="R32"/>
  <c r="S32" s="1"/>
  <c r="Y31"/>
  <c r="R31"/>
  <c r="S31" s="1"/>
  <c r="Y30"/>
  <c r="R30"/>
  <c r="S30" s="1"/>
  <c r="Y29"/>
  <c r="R29"/>
  <c r="S29" s="1"/>
  <c r="Y28"/>
  <c r="R28"/>
  <c r="S28" s="1"/>
  <c r="Y27"/>
  <c r="R27"/>
  <c r="S27" s="1"/>
  <c r="Y26"/>
  <c r="R26"/>
  <c r="Y25"/>
  <c r="R25"/>
  <c r="S25" s="1"/>
  <c r="Y24"/>
  <c r="R24"/>
  <c r="X23"/>
  <c r="W23"/>
  <c r="V23"/>
  <c r="U23"/>
  <c r="T23"/>
  <c r="Q23"/>
  <c r="P23"/>
  <c r="G23"/>
  <c r="F23"/>
  <c r="E23"/>
  <c r="D23"/>
  <c r="Y22"/>
  <c r="R22"/>
  <c r="S22" s="1"/>
  <c r="Y21"/>
  <c r="R21"/>
  <c r="Y20"/>
  <c r="R20"/>
  <c r="Y19"/>
  <c r="R19"/>
  <c r="S19" s="1"/>
  <c r="Y18"/>
  <c r="R18"/>
  <c r="S18" s="1"/>
  <c r="Y17"/>
  <c r="R17"/>
  <c r="S17" s="1"/>
  <c r="Y16"/>
  <c r="R16"/>
  <c r="S16" s="1"/>
  <c r="Y15"/>
  <c r="R15"/>
  <c r="S15" s="1"/>
  <c r="Y14"/>
  <c r="R14"/>
  <c r="S14" s="1"/>
  <c r="Y13"/>
  <c r="R13"/>
  <c r="S13" s="1"/>
  <c r="Y12"/>
  <c r="R12"/>
  <c r="S12" s="1"/>
  <c r="Y11"/>
  <c r="R11"/>
  <c r="S11" s="1"/>
  <c r="Y10"/>
  <c r="R10"/>
  <c r="S10" s="1"/>
  <c r="Y9"/>
  <c r="R9"/>
  <c r="Y8"/>
  <c r="R8"/>
  <c r="S8" s="1"/>
  <c r="Y7"/>
  <c r="R7"/>
  <c r="S7" s="1"/>
  <c r="X6"/>
  <c r="W6"/>
  <c r="V6"/>
  <c r="U6"/>
  <c r="T6"/>
  <c r="Q6"/>
  <c r="Q338" s="1"/>
  <c r="P6"/>
  <c r="G6"/>
  <c r="F6"/>
  <c r="E6"/>
  <c r="E338" s="1"/>
  <c r="D6"/>
  <c r="N67" i="2" l="1"/>
  <c r="M67"/>
  <c r="L67"/>
  <c r="Y40" i="1"/>
  <c r="Y92"/>
  <c r="R253"/>
  <c r="S253" s="1"/>
  <c r="J67" i="2"/>
  <c r="K67"/>
  <c r="I67"/>
  <c r="X338" i="1"/>
  <c r="D338"/>
  <c r="P338"/>
  <c r="W338"/>
  <c r="Z20"/>
  <c r="AA20" s="1"/>
  <c r="Z247"/>
  <c r="AA247" s="1"/>
  <c r="Z325"/>
  <c r="AA325" s="1"/>
  <c r="Z331"/>
  <c r="AA331" s="1"/>
  <c r="G338"/>
  <c r="R143"/>
  <c r="R228"/>
  <c r="S228" s="1"/>
  <c r="Y236"/>
  <c r="Z246"/>
  <c r="AA246" s="1"/>
  <c r="X63" i="2"/>
  <c r="Y6" i="1"/>
  <c r="S20"/>
  <c r="Z47"/>
  <c r="AA47" s="1"/>
  <c r="Z184"/>
  <c r="AA184" s="1"/>
  <c r="Z229"/>
  <c r="AA229" s="1"/>
  <c r="R236"/>
  <c r="S236" s="1"/>
  <c r="R287"/>
  <c r="S287" s="1"/>
  <c r="H67" i="2"/>
  <c r="Z9" i="1"/>
  <c r="AA9" s="1"/>
  <c r="R109"/>
  <c r="S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S289"/>
  <c r="Z305"/>
  <c r="AA305" s="1"/>
  <c r="Z311"/>
  <c r="AA311" s="1"/>
  <c r="Z315"/>
  <c r="AA315" s="1"/>
  <c r="Q45" i="2"/>
  <c r="R45" s="1"/>
  <c r="G67"/>
  <c r="Z24" i="1"/>
  <c r="AA24" s="1"/>
  <c r="Z26"/>
  <c r="AA26" s="1"/>
  <c r="R40"/>
  <c r="S40" s="1"/>
  <c r="R92"/>
  <c r="S92" s="1"/>
  <c r="R126"/>
  <c r="S126" s="1"/>
  <c r="R160"/>
  <c r="S160" s="1"/>
  <c r="R177"/>
  <c r="Y194"/>
  <c r="R304"/>
  <c r="S304" s="1"/>
  <c r="W51" i="2"/>
  <c r="F338" i="1"/>
  <c r="Z11"/>
  <c r="AA11" s="1"/>
  <c r="Z21"/>
  <c r="AA21" s="1"/>
  <c r="R57"/>
  <c r="S57" s="1"/>
  <c r="Z63"/>
  <c r="AA63" s="1"/>
  <c r="R75"/>
  <c r="S75" s="1"/>
  <c r="Z115"/>
  <c r="AA115" s="1"/>
  <c r="Z117"/>
  <c r="AA117" s="1"/>
  <c r="Z119"/>
  <c r="AA119" s="1"/>
  <c r="Z140"/>
  <c r="AA140" s="1"/>
  <c r="R194"/>
  <c r="S194" s="1"/>
  <c r="Z220"/>
  <c r="AA220" s="1"/>
  <c r="Z254"/>
  <c r="AA254" s="1"/>
  <c r="Z256"/>
  <c r="AA256" s="1"/>
  <c r="Z262"/>
  <c r="AA262" s="1"/>
  <c r="R321"/>
  <c r="Z321" s="1"/>
  <c r="AA321" s="1"/>
  <c r="R23"/>
  <c r="S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R270"/>
  <c r="S270" s="1"/>
  <c r="Z328"/>
  <c r="AA328" s="1"/>
  <c r="Z323"/>
  <c r="AA323" s="1"/>
  <c r="X44" i="2"/>
  <c r="S177" i="1"/>
  <c r="Z7"/>
  <c r="AA7" s="1"/>
  <c r="S9"/>
  <c r="S21"/>
  <c r="S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Z324"/>
  <c r="AA324" s="1"/>
  <c r="S328"/>
  <c r="Z337"/>
  <c r="AA337" s="1"/>
  <c r="X48" i="2"/>
  <c r="F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S331"/>
  <c r="T51" i="2"/>
  <c r="X24"/>
  <c r="C38"/>
  <c r="O38"/>
  <c r="X40"/>
  <c r="O23"/>
  <c r="U38"/>
  <c r="P51"/>
  <c r="F38"/>
  <c r="Q49"/>
  <c r="R49" s="1"/>
  <c r="C51"/>
  <c r="O51"/>
  <c r="Q66"/>
  <c r="R66" s="1"/>
  <c r="T38"/>
  <c r="Q41"/>
  <c r="R41" s="1"/>
  <c r="Q61"/>
  <c r="R61" s="1"/>
  <c r="P23"/>
  <c r="V23"/>
  <c r="W23"/>
  <c r="P38"/>
  <c r="V38"/>
  <c r="U51"/>
  <c r="Q53"/>
  <c r="R53" s="1"/>
  <c r="S143" i="1"/>
  <c r="R6"/>
  <c r="S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Q24" i="2"/>
  <c r="R24" s="1"/>
  <c r="T23"/>
  <c r="C23"/>
  <c r="U23"/>
  <c r="Q28"/>
  <c r="R28" s="1"/>
  <c r="Q32"/>
  <c r="Q36"/>
  <c r="R36" s="1"/>
  <c r="Q54"/>
  <c r="Q58"/>
  <c r="R58" s="1"/>
  <c r="Q65"/>
  <c r="Z10" i="1"/>
  <c r="AA10" s="1"/>
  <c r="Z16"/>
  <c r="AA16" s="1"/>
  <c r="S24"/>
  <c r="Z29"/>
  <c r="AA29" s="1"/>
  <c r="Z36"/>
  <c r="AA36" s="1"/>
  <c r="Z46"/>
  <c r="AA46" s="1"/>
  <c r="S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S325"/>
  <c r="Z327"/>
  <c r="AA327" s="1"/>
  <c r="Z336"/>
  <c r="AA336" s="1"/>
  <c r="S23" i="2"/>
  <c r="Y7" i="3"/>
  <c r="Z7" s="1"/>
  <c r="Y23" i="1"/>
  <c r="Z23" s="1"/>
  <c r="AA23" s="1"/>
  <c r="Y57"/>
  <c r="Z61"/>
  <c r="AA61" s="1"/>
  <c r="S63"/>
  <c r="Z103"/>
  <c r="AA103" s="1"/>
  <c r="Z249"/>
  <c r="AA249" s="1"/>
  <c r="Z252"/>
  <c r="AA252" s="1"/>
  <c r="W38" i="2"/>
  <c r="Z40" i="1"/>
  <c r="AA40" s="1"/>
  <c r="U338"/>
  <c r="Z177"/>
  <c r="AA177" s="1"/>
  <c r="Z236"/>
  <c r="AA236" s="1"/>
  <c r="V51" i="2"/>
  <c r="Q57"/>
  <c r="R57" s="1"/>
  <c r="Z30" i="1"/>
  <c r="AA30" s="1"/>
  <c r="Z48"/>
  <c r="AA48" s="1"/>
  <c r="Q25" i="2"/>
  <c r="R25" s="1"/>
  <c r="X28"/>
  <c r="Y28" s="1"/>
  <c r="Z28" s="1"/>
  <c r="Q29"/>
  <c r="R29" s="1"/>
  <c r="Q33"/>
  <c r="X33"/>
  <c r="Q37"/>
  <c r="R37" s="1"/>
  <c r="X37"/>
  <c r="Q42"/>
  <c r="R42" s="1"/>
  <c r="Q46"/>
  <c r="Q50"/>
  <c r="R50" s="1"/>
  <c r="Q62"/>
  <c r="Z38" i="1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Q26"/>
  <c r="Q30"/>
  <c r="R30" s="1"/>
  <c r="X30"/>
  <c r="Q34"/>
  <c r="R34" s="1"/>
  <c r="Q39"/>
  <c r="R39" s="1"/>
  <c r="Q43"/>
  <c r="R43" s="1"/>
  <c r="Q47"/>
  <c r="R47" s="1"/>
  <c r="Q55"/>
  <c r="R55" s="1"/>
  <c r="Q59"/>
  <c r="R59" s="1"/>
  <c r="Q63"/>
  <c r="Y63" s="1"/>
  <c r="Z63" s="1"/>
  <c r="Q9" i="3"/>
  <c r="R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Q27" i="2"/>
  <c r="R27" s="1"/>
  <c r="Q31"/>
  <c r="R31" s="1"/>
  <c r="Q35"/>
  <c r="R35" s="1"/>
  <c r="S38"/>
  <c r="Q40"/>
  <c r="Q44"/>
  <c r="Y44" s="1"/>
  <c r="Z44" s="1"/>
  <c r="Q48"/>
  <c r="R48" s="1"/>
  <c r="Q52"/>
  <c r="Q56"/>
  <c r="R56" s="1"/>
  <c r="Q60"/>
  <c r="R60" s="1"/>
  <c r="Q64"/>
  <c r="R64" s="1"/>
  <c r="X9" i="3"/>
  <c r="V338" i="1"/>
  <c r="X41" i="2"/>
  <c r="X45"/>
  <c r="X49"/>
  <c r="X42"/>
  <c r="X46"/>
  <c r="X50"/>
  <c r="X39"/>
  <c r="X43"/>
  <c r="X47"/>
  <c r="S51"/>
  <c r="X53"/>
  <c r="X57"/>
  <c r="X52"/>
  <c r="X56"/>
  <c r="X60"/>
  <c r="X61"/>
  <c r="X64"/>
  <c r="X65"/>
  <c r="Y65" s="1"/>
  <c r="Z65" s="1"/>
  <c r="X66"/>
  <c r="X54"/>
  <c r="X58"/>
  <c r="X62"/>
  <c r="X55"/>
  <c r="X59"/>
  <c r="X32"/>
  <c r="X36"/>
  <c r="X29"/>
  <c r="Y29" s="1"/>
  <c r="Z29" s="1"/>
  <c r="X34"/>
  <c r="Y34" s="1"/>
  <c r="Z34" s="1"/>
  <c r="X26"/>
  <c r="X27"/>
  <c r="X31"/>
  <c r="X35"/>
  <c r="Y287" i="1"/>
  <c r="Z287" s="1"/>
  <c r="AA287" s="1"/>
  <c r="T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R6"/>
  <c r="Y5"/>
  <c r="Z5" s="1"/>
  <c r="Q5" i="2"/>
  <c r="R5" s="1"/>
  <c r="R32"/>
  <c r="R65"/>
  <c r="R338" i="1"/>
  <c r="Z211"/>
  <c r="AA211" s="1"/>
  <c r="Q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Y32" l="1"/>
  <c r="Z32" s="1"/>
  <c r="Y53"/>
  <c r="Z53" s="1"/>
  <c r="V67"/>
  <c r="Z92" i="1"/>
  <c r="AA92" s="1"/>
  <c r="Z228"/>
  <c r="AA228" s="1"/>
  <c r="Y58" i="2"/>
  <c r="Z58" s="1"/>
  <c r="Y61"/>
  <c r="Z61" s="1"/>
  <c r="C67"/>
  <c r="T67"/>
  <c r="Y40"/>
  <c r="Z40" s="1"/>
  <c r="Z57" i="1"/>
  <c r="AA57" s="1"/>
  <c r="S321"/>
  <c r="Y56" i="2"/>
  <c r="Z56" s="1"/>
  <c r="Y35"/>
  <c r="Z35" s="1"/>
  <c r="W67"/>
  <c r="Y50"/>
  <c r="Z50" s="1"/>
  <c r="Y45"/>
  <c r="Z45" s="1"/>
  <c r="Y41"/>
  <c r="Z41" s="1"/>
  <c r="U67"/>
  <c r="Y52"/>
  <c r="Z52" s="1"/>
  <c r="O67"/>
  <c r="Y46"/>
  <c r="Z46" s="1"/>
  <c r="R46"/>
  <c r="Y66"/>
  <c r="Z66" s="1"/>
  <c r="F67"/>
  <c r="R63"/>
  <c r="Y43"/>
  <c r="Z43" s="1"/>
  <c r="Y26"/>
  <c r="Z26" s="1"/>
  <c r="Y33"/>
  <c r="Z33" s="1"/>
  <c r="P67"/>
  <c r="Z304" i="1"/>
  <c r="AA304" s="1"/>
  <c r="Y39" i="2"/>
  <c r="Z39" s="1"/>
  <c r="Y27"/>
  <c r="Z27" s="1"/>
  <c r="Y57"/>
  <c r="Z57" s="1"/>
  <c r="Y54"/>
  <c r="Z54" s="1"/>
  <c r="Y49"/>
  <c r="Z49" s="1"/>
  <c r="R44"/>
  <c r="R26"/>
  <c r="Y25"/>
  <c r="Z25" s="1"/>
  <c r="Y30"/>
  <c r="Z30" s="1"/>
  <c r="R33"/>
  <c r="Y62"/>
  <c r="Z62" s="1"/>
  <c r="Y37"/>
  <c r="Z37" s="1"/>
  <c r="Y48"/>
  <c r="Z48" s="1"/>
  <c r="R62"/>
  <c r="X51"/>
  <c r="Y24"/>
  <c r="Z24" s="1"/>
  <c r="Y47"/>
  <c r="Z47" s="1"/>
  <c r="R54"/>
  <c r="Q23"/>
  <c r="R23" s="1"/>
  <c r="Y31"/>
  <c r="Z31" s="1"/>
  <c r="X38"/>
  <c r="R40"/>
  <c r="Y36"/>
  <c r="Z36" s="1"/>
  <c r="Z126" i="1"/>
  <c r="AA126" s="1"/>
  <c r="Q51" i="2"/>
  <c r="R51" s="1"/>
  <c r="R52"/>
  <c r="Y42"/>
  <c r="Z42" s="1"/>
  <c r="Y9" i="3"/>
  <c r="Z9" s="1"/>
  <c r="Q22"/>
  <c r="R22" s="1"/>
  <c r="Y64" i="2"/>
  <c r="Z64" s="1"/>
  <c r="X23"/>
  <c r="Y60"/>
  <c r="Z60" s="1"/>
  <c r="S67"/>
  <c r="Y59"/>
  <c r="Z59" s="1"/>
  <c r="Q38"/>
  <c r="R38" s="1"/>
  <c r="Y55"/>
  <c r="Z55" s="1"/>
  <c r="Y338" i="1"/>
  <c r="Z338" s="1"/>
  <c r="AA338" s="1"/>
  <c r="R10" i="3"/>
  <c r="X22"/>
  <c r="Y10"/>
  <c r="Z5" i="2"/>
  <c r="Y5"/>
  <c r="X67" l="1"/>
  <c r="Z23"/>
  <c r="Z38"/>
  <c r="Q67"/>
  <c r="R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<sst xmlns="http://schemas.openxmlformats.org/spreadsheetml/2006/main" count="1480" uniqueCount="133">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</sst>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A4" sqref="A4:A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7" width="11.42578125" customWidth="1"/>
    <col min="18" max="18" width="12" customWidth="1"/>
    <col min="19" max="19" width="11.85546875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R3" s="1"/>
      <c r="Y3" s="1"/>
      <c r="Z3" s="1"/>
      <c r="AA3" s="1"/>
    </row>
    <row r="4" spans="1:27" ht="30" customHeight="1">
      <c r="A4" s="229" t="s">
        <v>1</v>
      </c>
      <c r="B4" s="231" t="s">
        <v>2</v>
      </c>
      <c r="C4" s="231" t="s">
        <v>3</v>
      </c>
      <c r="D4" s="233" t="s">
        <v>4</v>
      </c>
      <c r="E4" s="233" t="s">
        <v>5</v>
      </c>
      <c r="F4" s="233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25" t="s">
        <v>132</v>
      </c>
      <c r="T4" s="218"/>
      <c r="U4" s="236" t="s">
        <v>9</v>
      </c>
      <c r="V4" s="235"/>
      <c r="W4" s="238" t="s">
        <v>10</v>
      </c>
      <c r="X4" s="237" t="s">
        <v>11</v>
      </c>
      <c r="Y4" s="223" t="s">
        <v>12</v>
      </c>
      <c r="Z4" s="223" t="s">
        <v>13</v>
      </c>
      <c r="AA4" s="227" t="s">
        <v>14</v>
      </c>
    </row>
    <row r="5" spans="1:27" ht="41.25" customHeight="1">
      <c r="A5" s="230"/>
      <c r="B5" s="232"/>
      <c r="C5" s="232"/>
      <c r="D5" s="234"/>
      <c r="E5" s="234"/>
      <c r="F5" s="234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  <c r="Q5" s="4" t="s">
        <v>26</v>
      </c>
      <c r="R5" s="4" t="s">
        <v>18</v>
      </c>
      <c r="S5" s="226"/>
      <c r="T5" s="118" t="s">
        <v>27</v>
      </c>
      <c r="U5" s="81">
        <v>276</v>
      </c>
      <c r="V5" s="81">
        <v>728</v>
      </c>
      <c r="W5" s="239"/>
      <c r="X5" s="237"/>
      <c r="Y5" s="224"/>
      <c r="Z5" s="224"/>
      <c r="AA5" s="228"/>
    </row>
    <row r="6" spans="1:27" s="108" customFormat="1" ht="13.5" customHeight="1">
      <c r="A6" s="190" t="s">
        <v>28</v>
      </c>
      <c r="B6" s="179"/>
      <c r="C6" s="128"/>
      <c r="D6" s="129">
        <f t="shared" ref="D6:Q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O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1"/>
        <v>0</v>
      </c>
      <c r="L6" s="130">
        <f t="shared" si="1"/>
        <v>0</v>
      </c>
      <c r="M6" s="130">
        <f t="shared" si="1"/>
        <v>0</v>
      </c>
      <c r="N6" s="130">
        <f t="shared" si="1"/>
        <v>0</v>
      </c>
      <c r="O6" s="130">
        <f t="shared" si="1"/>
        <v>0</v>
      </c>
      <c r="P6" s="130">
        <f t="shared" si="0"/>
        <v>0</v>
      </c>
      <c r="Q6" s="130">
        <f t="shared" si="0"/>
        <v>0</v>
      </c>
      <c r="R6" s="107">
        <f t="shared" ref="R6:R69" si="2">SUM(G6:Q6)</f>
        <v>0</v>
      </c>
      <c r="S6" s="107">
        <f t="shared" ref="S6:S69" si="3">D6-R6</f>
        <v>0</v>
      </c>
      <c r="T6" s="130">
        <f t="shared" ref="T6:X6" si="4">SUBTOTAL(9,T7:T22)</f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SUM(T6:X6)</f>
        <v>0</v>
      </c>
      <c r="Z6" s="56">
        <f>+R6+Y6</f>
        <v>0</v>
      </c>
      <c r="AA6" s="131">
        <f>+D6-Z6</f>
        <v>0</v>
      </c>
    </row>
    <row r="7" spans="1:27" s="138" customFormat="1" ht="13.5" customHeight="1">
      <c r="A7" s="216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133">
        <f t="shared" si="2"/>
        <v>0</v>
      </c>
      <c r="S7" s="134">
        <f t="shared" si="3"/>
        <v>0</v>
      </c>
      <c r="T7" s="132"/>
      <c r="U7" s="135">
        <v>0</v>
      </c>
      <c r="V7" s="135">
        <v>0</v>
      </c>
      <c r="W7" s="135"/>
      <c r="X7" s="132"/>
      <c r="Y7" s="136">
        <f>SUM(T7:X7)</f>
        <v>0</v>
      </c>
      <c r="Z7" s="136">
        <f>+R7+Y7</f>
        <v>0</v>
      </c>
      <c r="AA7" s="137">
        <f>+D7-Z7</f>
        <v>0</v>
      </c>
    </row>
    <row r="8" spans="1:27" s="138" customFormat="1" ht="13.5" customHeight="1">
      <c r="A8" s="216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140">
        <f t="shared" si="2"/>
        <v>0</v>
      </c>
      <c r="S8" s="141">
        <f t="shared" si="3"/>
        <v>0</v>
      </c>
      <c r="T8" s="139"/>
      <c r="U8" s="142">
        <v>0</v>
      </c>
      <c r="V8" s="142">
        <v>0</v>
      </c>
      <c r="W8" s="142"/>
      <c r="X8" s="139"/>
      <c r="Y8" s="136">
        <f>SUM(T8:X8)</f>
        <v>0</v>
      </c>
      <c r="Z8" s="136">
        <f>+R8+Y8</f>
        <v>0</v>
      </c>
      <c r="AA8" s="137">
        <f>+D8-Z8</f>
        <v>0</v>
      </c>
    </row>
    <row r="9" spans="1:27" s="138" customFormat="1" ht="13.5" customHeight="1">
      <c r="A9" s="216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140">
        <f t="shared" si="2"/>
        <v>0</v>
      </c>
      <c r="S9" s="141">
        <f t="shared" si="3"/>
        <v>0</v>
      </c>
      <c r="T9" s="139"/>
      <c r="U9" s="142">
        <v>0</v>
      </c>
      <c r="V9" s="142">
        <v>0</v>
      </c>
      <c r="W9" s="142"/>
      <c r="X9" s="139"/>
      <c r="Y9" s="136">
        <f>SUM(T9:X9)</f>
        <v>0</v>
      </c>
      <c r="Z9" s="136">
        <f>+R9+Y9</f>
        <v>0</v>
      </c>
      <c r="AA9" s="137">
        <f>+D9-Z9</f>
        <v>0</v>
      </c>
    </row>
    <row r="10" spans="1:27" s="138" customFormat="1" ht="13.5" customHeight="1">
      <c r="A10" s="216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140">
        <f t="shared" si="2"/>
        <v>0</v>
      </c>
      <c r="S10" s="141">
        <f t="shared" si="3"/>
        <v>0</v>
      </c>
      <c r="T10" s="139"/>
      <c r="U10" s="142">
        <v>0</v>
      </c>
      <c r="V10" s="142">
        <v>0</v>
      </c>
      <c r="W10" s="142"/>
      <c r="X10" s="139"/>
      <c r="Y10" s="136">
        <f>SUM(T10:X10)</f>
        <v>0</v>
      </c>
      <c r="Z10" s="136">
        <f>+R10+Y10</f>
        <v>0</v>
      </c>
      <c r="AA10" s="137">
        <f>+D10-Z10</f>
        <v>0</v>
      </c>
    </row>
    <row r="11" spans="1:27" s="138" customFormat="1" ht="13.5" customHeight="1">
      <c r="A11" s="216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140">
        <f t="shared" si="2"/>
        <v>0</v>
      </c>
      <c r="S11" s="141">
        <f t="shared" si="3"/>
        <v>0</v>
      </c>
      <c r="T11" s="139"/>
      <c r="U11" s="142">
        <v>0</v>
      </c>
      <c r="V11" s="142">
        <v>0</v>
      </c>
      <c r="W11" s="142"/>
      <c r="X11" s="139"/>
      <c r="Y11" s="136">
        <f>SUM(T11:X11)</f>
        <v>0</v>
      </c>
      <c r="Z11" s="136">
        <f>+R11+Y11</f>
        <v>0</v>
      </c>
      <c r="AA11" s="137">
        <f>+D11-Z11</f>
        <v>0</v>
      </c>
    </row>
    <row r="12" spans="1:27" s="138" customFormat="1" ht="13.5" customHeight="1">
      <c r="A12" s="216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140">
        <f t="shared" si="2"/>
        <v>0</v>
      </c>
      <c r="S12" s="141">
        <f t="shared" si="3"/>
        <v>0</v>
      </c>
      <c r="T12" s="139"/>
      <c r="U12" s="142">
        <v>0</v>
      </c>
      <c r="V12" s="142">
        <v>0</v>
      </c>
      <c r="W12" s="142"/>
      <c r="X12" s="139"/>
      <c r="Y12" s="136">
        <f>SUM(T12:X12)</f>
        <v>0</v>
      </c>
      <c r="Z12" s="136">
        <f>+R12+Y12</f>
        <v>0</v>
      </c>
      <c r="AA12" s="137">
        <f>+D12-Z12</f>
        <v>0</v>
      </c>
    </row>
    <row r="13" spans="1:27" s="138" customFormat="1" ht="13.5" customHeight="1">
      <c r="A13" s="216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140">
        <f t="shared" si="2"/>
        <v>0</v>
      </c>
      <c r="S13" s="141">
        <f t="shared" si="3"/>
        <v>0</v>
      </c>
      <c r="T13" s="139"/>
      <c r="U13" s="142">
        <v>0</v>
      </c>
      <c r="V13" s="142">
        <v>0</v>
      </c>
      <c r="W13" s="142"/>
      <c r="X13" s="139"/>
      <c r="Y13" s="136">
        <f>SUM(T13:X13)</f>
        <v>0</v>
      </c>
      <c r="Z13" s="136">
        <f>+R13+Y13</f>
        <v>0</v>
      </c>
      <c r="AA13" s="137">
        <f>+D13-Z13</f>
        <v>0</v>
      </c>
    </row>
    <row r="14" spans="1:27" s="138" customFormat="1" ht="13.5" customHeight="1">
      <c r="A14" s="216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140">
        <f t="shared" si="2"/>
        <v>0</v>
      </c>
      <c r="S14" s="141">
        <f t="shared" si="3"/>
        <v>0</v>
      </c>
      <c r="T14" s="139"/>
      <c r="U14" s="142">
        <v>0</v>
      </c>
      <c r="V14" s="142">
        <v>0</v>
      </c>
      <c r="W14" s="142"/>
      <c r="X14" s="139"/>
      <c r="Y14" s="136">
        <f>SUM(T14:X14)</f>
        <v>0</v>
      </c>
      <c r="Z14" s="136">
        <f>+R14+Y14</f>
        <v>0</v>
      </c>
      <c r="AA14" s="137">
        <f>+D14-Z14</f>
        <v>0</v>
      </c>
    </row>
    <row r="15" spans="1:27" s="138" customFormat="1" ht="13.5" customHeight="1">
      <c r="A15" s="216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140">
        <f t="shared" si="2"/>
        <v>0</v>
      </c>
      <c r="S15" s="141">
        <f t="shared" si="3"/>
        <v>0</v>
      </c>
      <c r="T15" s="139"/>
      <c r="U15" s="142">
        <v>0</v>
      </c>
      <c r="V15" s="142">
        <v>0</v>
      </c>
      <c r="W15" s="142"/>
      <c r="X15" s="139"/>
      <c r="Y15" s="136">
        <f>SUM(T15:X15)</f>
        <v>0</v>
      </c>
      <c r="Z15" s="136">
        <f>+R15+Y15</f>
        <v>0</v>
      </c>
      <c r="AA15" s="137">
        <f>+D15-Z15</f>
        <v>0</v>
      </c>
    </row>
    <row r="16" spans="1:27" s="138" customFormat="1" ht="13.5" customHeight="1">
      <c r="A16" s="216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140">
        <f t="shared" si="2"/>
        <v>0</v>
      </c>
      <c r="S16" s="141">
        <f t="shared" si="3"/>
        <v>0</v>
      </c>
      <c r="T16" s="139"/>
      <c r="U16" s="142">
        <v>0</v>
      </c>
      <c r="V16" s="142">
        <v>0</v>
      </c>
      <c r="W16" s="142"/>
      <c r="X16" s="139"/>
      <c r="Y16" s="136">
        <f>SUM(T16:X16)</f>
        <v>0</v>
      </c>
      <c r="Z16" s="136">
        <f>+R16+Y16</f>
        <v>0</v>
      </c>
      <c r="AA16" s="137">
        <f>+D16-Z16</f>
        <v>0</v>
      </c>
    </row>
    <row r="17" spans="1:27" s="138" customFormat="1" ht="13.5" customHeight="1">
      <c r="A17" s="216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140">
        <f t="shared" si="2"/>
        <v>0</v>
      </c>
      <c r="S17" s="141">
        <f t="shared" si="3"/>
        <v>0</v>
      </c>
      <c r="T17" s="139"/>
      <c r="U17" s="142">
        <v>0</v>
      </c>
      <c r="V17" s="142">
        <v>0</v>
      </c>
      <c r="W17" s="142"/>
      <c r="X17" s="139"/>
      <c r="Y17" s="136">
        <f>SUM(T17:X17)</f>
        <v>0</v>
      </c>
      <c r="Z17" s="136">
        <f>+R17+Y17</f>
        <v>0</v>
      </c>
      <c r="AA17" s="137">
        <f>+D17-Z17</f>
        <v>0</v>
      </c>
    </row>
    <row r="18" spans="1:27" s="138" customFormat="1" ht="13.5" customHeight="1">
      <c r="A18" s="216" t="s">
        <v>28</v>
      </c>
      <c r="B18" s="191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140">
        <f t="shared" si="2"/>
        <v>0</v>
      </c>
      <c r="S18" s="141">
        <f t="shared" si="3"/>
        <v>0</v>
      </c>
      <c r="T18" s="139"/>
      <c r="U18" s="142">
        <v>0</v>
      </c>
      <c r="V18" s="142">
        <v>0</v>
      </c>
      <c r="W18" s="142"/>
      <c r="X18" s="139"/>
      <c r="Y18" s="136">
        <f>SUM(T18:X18)</f>
        <v>0</v>
      </c>
      <c r="Z18" s="136">
        <f>+R18+Y18</f>
        <v>0</v>
      </c>
      <c r="AA18" s="137">
        <f>+D18-Z18</f>
        <v>0</v>
      </c>
    </row>
    <row r="19" spans="1:27" s="138" customFormat="1" ht="13.5" customHeight="1">
      <c r="A19" s="216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140">
        <f t="shared" si="2"/>
        <v>0</v>
      </c>
      <c r="S19" s="141">
        <f t="shared" si="3"/>
        <v>0</v>
      </c>
      <c r="T19" s="139"/>
      <c r="U19" s="142">
        <v>0</v>
      </c>
      <c r="V19" s="142">
        <v>0</v>
      </c>
      <c r="W19" s="142"/>
      <c r="X19" s="139"/>
      <c r="Y19" s="136">
        <f>SUM(T19:X19)</f>
        <v>0</v>
      </c>
      <c r="Z19" s="136">
        <f>+R19+Y19</f>
        <v>0</v>
      </c>
      <c r="AA19" s="137">
        <f>+D19-Z19</f>
        <v>0</v>
      </c>
    </row>
    <row r="20" spans="1:27" s="138" customFormat="1" ht="13.5" customHeight="1">
      <c r="A20" s="216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140">
        <f t="shared" si="2"/>
        <v>0</v>
      </c>
      <c r="S20" s="141">
        <f t="shared" si="3"/>
        <v>0</v>
      </c>
      <c r="T20" s="139"/>
      <c r="U20" s="142">
        <v>0</v>
      </c>
      <c r="V20" s="142">
        <v>0</v>
      </c>
      <c r="W20" s="142"/>
      <c r="X20" s="139"/>
      <c r="Y20" s="136">
        <f>SUM(T20:X20)</f>
        <v>0</v>
      </c>
      <c r="Z20" s="136">
        <f>+R20+Y20</f>
        <v>0</v>
      </c>
      <c r="AA20" s="137">
        <f>+D20-Z20</f>
        <v>0</v>
      </c>
    </row>
    <row r="21" spans="1:27" s="138" customFormat="1" ht="13.5" customHeight="1">
      <c r="A21" s="216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140">
        <f t="shared" si="2"/>
        <v>0</v>
      </c>
      <c r="S21" s="141">
        <f t="shared" si="3"/>
        <v>0</v>
      </c>
      <c r="T21" s="139"/>
      <c r="U21" s="142">
        <v>0</v>
      </c>
      <c r="V21" s="142">
        <v>0</v>
      </c>
      <c r="W21" s="142"/>
      <c r="X21" s="139"/>
      <c r="Y21" s="136">
        <f>SUM(T21:X21)</f>
        <v>0</v>
      </c>
      <c r="Z21" s="136">
        <f>+R21+Y21</f>
        <v>0</v>
      </c>
      <c r="AA21" s="137">
        <f>+D21-Z21</f>
        <v>0</v>
      </c>
    </row>
    <row r="22" spans="1:27" s="138" customFormat="1" ht="13.5" customHeight="1">
      <c r="A22" s="216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144">
        <f t="shared" si="2"/>
        <v>0</v>
      </c>
      <c r="S22" s="145">
        <f t="shared" si="3"/>
        <v>0</v>
      </c>
      <c r="T22" s="143"/>
      <c r="U22" s="146">
        <v>0</v>
      </c>
      <c r="V22" s="146">
        <v>0</v>
      </c>
      <c r="W22" s="146"/>
      <c r="X22" s="143"/>
      <c r="Y22" s="136">
        <f>SUM(T22:X22)</f>
        <v>0</v>
      </c>
      <c r="Z22" s="136">
        <f>+R22+Y22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Q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O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6"/>
        <v>0</v>
      </c>
      <c r="L23" s="130">
        <f t="shared" si="6"/>
        <v>0</v>
      </c>
      <c r="M23" s="130">
        <f t="shared" si="6"/>
        <v>0</v>
      </c>
      <c r="N23" s="130">
        <f t="shared" si="6"/>
        <v>0</v>
      </c>
      <c r="O23" s="130">
        <f t="shared" si="6"/>
        <v>0</v>
      </c>
      <c r="P23" s="130">
        <f t="shared" si="5"/>
        <v>0</v>
      </c>
      <c r="Q23" s="130">
        <f t="shared" si="5"/>
        <v>0</v>
      </c>
      <c r="R23" s="107">
        <f t="shared" si="2"/>
        <v>0</v>
      </c>
      <c r="S23" s="107">
        <f t="shared" si="3"/>
        <v>0</v>
      </c>
      <c r="T23" s="130">
        <f t="shared" ref="T23:X23" si="7">SUBTOTAL(9,T24:T39)</f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SUM(T23:X23)</f>
        <v>0</v>
      </c>
      <c r="Z23" s="56">
        <f>+R23+Y23</f>
        <v>0</v>
      </c>
      <c r="AA23" s="131">
        <f>+D23-Z23</f>
        <v>0</v>
      </c>
    </row>
    <row r="24" spans="1:27" s="138" customFormat="1" ht="13.5" customHeight="1">
      <c r="A24" s="214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133">
        <f t="shared" si="2"/>
        <v>0</v>
      </c>
      <c r="S24" s="134">
        <f t="shared" si="3"/>
        <v>0</v>
      </c>
      <c r="T24" s="132"/>
      <c r="U24" s="135">
        <v>0</v>
      </c>
      <c r="V24" s="135">
        <v>0</v>
      </c>
      <c r="W24" s="135"/>
      <c r="X24" s="132"/>
      <c r="Y24" s="136">
        <f>SUM(T24:X24)</f>
        <v>0</v>
      </c>
      <c r="Z24" s="136">
        <f>+R24+Y24</f>
        <v>0</v>
      </c>
      <c r="AA24" s="137">
        <f>+D24-Z24</f>
        <v>0</v>
      </c>
    </row>
    <row r="25" spans="1:27" s="138" customFormat="1" ht="13.5" customHeight="1">
      <c r="A25" s="214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140">
        <f t="shared" si="2"/>
        <v>0</v>
      </c>
      <c r="S25" s="141">
        <f t="shared" si="3"/>
        <v>0</v>
      </c>
      <c r="T25" s="139"/>
      <c r="U25" s="142">
        <v>0</v>
      </c>
      <c r="V25" s="142">
        <v>0</v>
      </c>
      <c r="W25" s="142"/>
      <c r="X25" s="139"/>
      <c r="Y25" s="136">
        <f>SUM(T25:X25)</f>
        <v>0</v>
      </c>
      <c r="Z25" s="136">
        <f>+R25+Y25</f>
        <v>0</v>
      </c>
      <c r="AA25" s="137">
        <f>+D25-Z25</f>
        <v>0</v>
      </c>
    </row>
    <row r="26" spans="1:27" s="138" customFormat="1" ht="13.5" customHeight="1">
      <c r="A26" s="214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140">
        <f t="shared" si="2"/>
        <v>0</v>
      </c>
      <c r="S26" s="141">
        <f t="shared" si="3"/>
        <v>0</v>
      </c>
      <c r="T26" s="139"/>
      <c r="U26" s="142">
        <v>0</v>
      </c>
      <c r="V26" s="142">
        <v>0</v>
      </c>
      <c r="W26" s="142"/>
      <c r="X26" s="139"/>
      <c r="Y26" s="136">
        <f>SUM(T26:X26)</f>
        <v>0</v>
      </c>
      <c r="Z26" s="136">
        <f>+R26+Y26</f>
        <v>0</v>
      </c>
      <c r="AA26" s="137">
        <f>+D26-Z26</f>
        <v>0</v>
      </c>
    </row>
    <row r="27" spans="1:27" s="138" customFormat="1" ht="13.5" customHeight="1">
      <c r="A27" s="214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140">
        <f t="shared" si="2"/>
        <v>0</v>
      </c>
      <c r="S27" s="141">
        <f t="shared" si="3"/>
        <v>0</v>
      </c>
      <c r="T27" s="139"/>
      <c r="U27" s="142">
        <v>0</v>
      </c>
      <c r="V27" s="142">
        <v>0</v>
      </c>
      <c r="W27" s="142"/>
      <c r="X27" s="139"/>
      <c r="Y27" s="136">
        <f>SUM(T27:X27)</f>
        <v>0</v>
      </c>
      <c r="Z27" s="136">
        <f>+R27+Y27</f>
        <v>0</v>
      </c>
      <c r="AA27" s="137">
        <f>+D27-Z27</f>
        <v>0</v>
      </c>
    </row>
    <row r="28" spans="1:27" s="138" customFormat="1" ht="13.5" customHeight="1">
      <c r="A28" s="214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140">
        <f t="shared" si="2"/>
        <v>0</v>
      </c>
      <c r="S28" s="141">
        <f t="shared" si="3"/>
        <v>0</v>
      </c>
      <c r="T28" s="139"/>
      <c r="U28" s="142">
        <v>0</v>
      </c>
      <c r="V28" s="142">
        <v>0</v>
      </c>
      <c r="W28" s="142"/>
      <c r="X28" s="139"/>
      <c r="Y28" s="136">
        <f>SUM(T28:X28)</f>
        <v>0</v>
      </c>
      <c r="Z28" s="136">
        <f>+R28+Y28</f>
        <v>0</v>
      </c>
      <c r="AA28" s="137">
        <f>+D28-Z28</f>
        <v>0</v>
      </c>
    </row>
    <row r="29" spans="1:27" s="138" customFormat="1" ht="13.5" customHeight="1">
      <c r="A29" s="214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140">
        <f t="shared" si="2"/>
        <v>0</v>
      </c>
      <c r="S29" s="141">
        <f t="shared" si="3"/>
        <v>0</v>
      </c>
      <c r="T29" s="139"/>
      <c r="U29" s="142">
        <v>0</v>
      </c>
      <c r="V29" s="142">
        <v>0</v>
      </c>
      <c r="W29" s="142"/>
      <c r="X29" s="139"/>
      <c r="Y29" s="136">
        <f>SUM(T29:X29)</f>
        <v>0</v>
      </c>
      <c r="Z29" s="136">
        <f>+R29+Y29</f>
        <v>0</v>
      </c>
      <c r="AA29" s="137">
        <f>+D29-Z29</f>
        <v>0</v>
      </c>
    </row>
    <row r="30" spans="1:27" s="138" customFormat="1" ht="13.5" customHeight="1">
      <c r="A30" s="214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140">
        <f t="shared" si="2"/>
        <v>0</v>
      </c>
      <c r="S30" s="141">
        <f t="shared" si="3"/>
        <v>0</v>
      </c>
      <c r="T30" s="139"/>
      <c r="U30" s="142">
        <v>0</v>
      </c>
      <c r="V30" s="142">
        <v>0</v>
      </c>
      <c r="W30" s="142"/>
      <c r="X30" s="139"/>
      <c r="Y30" s="136">
        <f>SUM(T30:X30)</f>
        <v>0</v>
      </c>
      <c r="Z30" s="136">
        <f>+R30+Y30</f>
        <v>0</v>
      </c>
      <c r="AA30" s="137">
        <f>+D30-Z30</f>
        <v>0</v>
      </c>
    </row>
    <row r="31" spans="1:27" s="138" customFormat="1" ht="13.5" customHeight="1">
      <c r="A31" s="214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140">
        <f t="shared" si="2"/>
        <v>0</v>
      </c>
      <c r="S31" s="141">
        <f t="shared" si="3"/>
        <v>0</v>
      </c>
      <c r="T31" s="139"/>
      <c r="U31" s="142">
        <v>0</v>
      </c>
      <c r="V31" s="142">
        <v>0</v>
      </c>
      <c r="W31" s="142"/>
      <c r="X31" s="139"/>
      <c r="Y31" s="136">
        <f>SUM(T31:X31)</f>
        <v>0</v>
      </c>
      <c r="Z31" s="136">
        <f>+R31+Y31</f>
        <v>0</v>
      </c>
      <c r="AA31" s="137">
        <f>+D31-Z31</f>
        <v>0</v>
      </c>
    </row>
    <row r="32" spans="1:27" s="138" customFormat="1" ht="13.5" customHeight="1">
      <c r="A32" s="214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140">
        <f t="shared" si="2"/>
        <v>0</v>
      </c>
      <c r="S32" s="141">
        <f t="shared" si="3"/>
        <v>0</v>
      </c>
      <c r="T32" s="139"/>
      <c r="U32" s="142">
        <v>0</v>
      </c>
      <c r="V32" s="142">
        <v>0</v>
      </c>
      <c r="W32" s="142"/>
      <c r="X32" s="139"/>
      <c r="Y32" s="136">
        <f>SUM(T32:X32)</f>
        <v>0</v>
      </c>
      <c r="Z32" s="136">
        <f>+R32+Y32</f>
        <v>0</v>
      </c>
      <c r="AA32" s="137">
        <f>+D32-Z32</f>
        <v>0</v>
      </c>
    </row>
    <row r="33" spans="1:27" s="138" customFormat="1" ht="13.5" customHeight="1">
      <c r="A33" s="214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140">
        <f t="shared" si="2"/>
        <v>0</v>
      </c>
      <c r="S33" s="141">
        <f t="shared" si="3"/>
        <v>0</v>
      </c>
      <c r="T33" s="139"/>
      <c r="U33" s="142">
        <v>0</v>
      </c>
      <c r="V33" s="142">
        <v>0</v>
      </c>
      <c r="W33" s="142"/>
      <c r="X33" s="139"/>
      <c r="Y33" s="136">
        <f>SUM(T33:X33)</f>
        <v>0</v>
      </c>
      <c r="Z33" s="136">
        <f>+R33+Y33</f>
        <v>0</v>
      </c>
      <c r="AA33" s="137">
        <f>+D33-Z33</f>
        <v>0</v>
      </c>
    </row>
    <row r="34" spans="1:27" s="138" customFormat="1" ht="13.5" customHeight="1">
      <c r="A34" s="214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140">
        <f t="shared" si="2"/>
        <v>0</v>
      </c>
      <c r="S34" s="141">
        <f t="shared" si="3"/>
        <v>0</v>
      </c>
      <c r="T34" s="139"/>
      <c r="U34" s="142">
        <v>0</v>
      </c>
      <c r="V34" s="142">
        <v>0</v>
      </c>
      <c r="W34" s="142"/>
      <c r="X34" s="139"/>
      <c r="Y34" s="136">
        <f>SUM(T34:X34)</f>
        <v>0</v>
      </c>
      <c r="Z34" s="136">
        <f>+R34+Y34</f>
        <v>0</v>
      </c>
      <c r="AA34" s="137">
        <f>+D34-Z34</f>
        <v>0</v>
      </c>
    </row>
    <row r="35" spans="1:27" s="138" customFormat="1" ht="13.5" customHeight="1">
      <c r="A35" s="214" t="s">
        <v>61</v>
      </c>
      <c r="B35" s="191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140">
        <f t="shared" si="2"/>
        <v>0</v>
      </c>
      <c r="S35" s="141">
        <f t="shared" si="3"/>
        <v>0</v>
      </c>
      <c r="T35" s="139"/>
      <c r="U35" s="142">
        <v>0</v>
      </c>
      <c r="V35" s="142">
        <v>0</v>
      </c>
      <c r="W35" s="142"/>
      <c r="X35" s="139"/>
      <c r="Y35" s="136">
        <f>SUM(T35:X35)</f>
        <v>0</v>
      </c>
      <c r="Z35" s="136">
        <f>+R35+Y35</f>
        <v>0</v>
      </c>
      <c r="AA35" s="137">
        <f>+D35-Z35</f>
        <v>0</v>
      </c>
    </row>
    <row r="36" spans="1:27" s="138" customFormat="1" ht="13.5" customHeight="1">
      <c r="A36" s="214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140">
        <f t="shared" si="2"/>
        <v>0</v>
      </c>
      <c r="S36" s="141">
        <f t="shared" si="3"/>
        <v>0</v>
      </c>
      <c r="T36" s="139"/>
      <c r="U36" s="142">
        <v>0</v>
      </c>
      <c r="V36" s="142">
        <v>0</v>
      </c>
      <c r="W36" s="142"/>
      <c r="X36" s="139"/>
      <c r="Y36" s="136">
        <f>SUM(T36:X36)</f>
        <v>0</v>
      </c>
      <c r="Z36" s="136">
        <f>+R36+Y36</f>
        <v>0</v>
      </c>
      <c r="AA36" s="137">
        <f>+D36-Z36</f>
        <v>0</v>
      </c>
    </row>
    <row r="37" spans="1:27" s="138" customFormat="1" ht="13.5" customHeight="1">
      <c r="A37" s="214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140">
        <f t="shared" si="2"/>
        <v>0</v>
      </c>
      <c r="S37" s="141">
        <f t="shared" si="3"/>
        <v>0</v>
      </c>
      <c r="T37" s="139"/>
      <c r="U37" s="142">
        <v>0</v>
      </c>
      <c r="V37" s="142">
        <v>0</v>
      </c>
      <c r="W37" s="142"/>
      <c r="X37" s="139"/>
      <c r="Y37" s="136">
        <f>SUM(T37:X37)</f>
        <v>0</v>
      </c>
      <c r="Z37" s="136">
        <f>+R37+Y37</f>
        <v>0</v>
      </c>
      <c r="AA37" s="137">
        <f>+D37-Z37</f>
        <v>0</v>
      </c>
    </row>
    <row r="38" spans="1:27" s="138" customFormat="1" ht="13.5" customHeight="1">
      <c r="A38" s="214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140">
        <f t="shared" si="2"/>
        <v>0</v>
      </c>
      <c r="S38" s="141">
        <f t="shared" si="3"/>
        <v>0</v>
      </c>
      <c r="T38" s="139"/>
      <c r="U38" s="142">
        <v>0</v>
      </c>
      <c r="V38" s="142">
        <v>0</v>
      </c>
      <c r="W38" s="142"/>
      <c r="X38" s="139"/>
      <c r="Y38" s="136">
        <f>SUM(T38:X38)</f>
        <v>0</v>
      </c>
      <c r="Z38" s="136">
        <f>+R38+Y38</f>
        <v>0</v>
      </c>
      <c r="AA38" s="137">
        <f>+D38-Z38</f>
        <v>0</v>
      </c>
    </row>
    <row r="39" spans="1:27" s="138" customFormat="1" ht="13.5" customHeight="1">
      <c r="A39" s="214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144">
        <f t="shared" si="2"/>
        <v>0</v>
      </c>
      <c r="S39" s="145">
        <f t="shared" si="3"/>
        <v>0</v>
      </c>
      <c r="T39" s="143"/>
      <c r="U39" s="146">
        <v>0</v>
      </c>
      <c r="V39" s="146">
        <v>0</v>
      </c>
      <c r="W39" s="146"/>
      <c r="X39" s="143"/>
      <c r="Y39" s="136">
        <f>SUM(T39:X39)</f>
        <v>0</v>
      </c>
      <c r="Z39" s="136">
        <f>+R39+Y39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Q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O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9"/>
        <v>0</v>
      </c>
      <c r="L40" s="130">
        <f t="shared" si="9"/>
        <v>0</v>
      </c>
      <c r="M40" s="130">
        <f t="shared" si="9"/>
        <v>0</v>
      </c>
      <c r="N40" s="130">
        <f t="shared" si="9"/>
        <v>0</v>
      </c>
      <c r="O40" s="130">
        <f t="shared" si="9"/>
        <v>0</v>
      </c>
      <c r="P40" s="130">
        <f t="shared" si="8"/>
        <v>0</v>
      </c>
      <c r="Q40" s="130">
        <f t="shared" si="8"/>
        <v>0</v>
      </c>
      <c r="R40" s="107">
        <f t="shared" si="2"/>
        <v>0</v>
      </c>
      <c r="S40" s="107">
        <f t="shared" si="3"/>
        <v>0</v>
      </c>
      <c r="T40" s="130">
        <f t="shared" ref="T40:X40" si="10">SUBTOTAL(9,T41:T56)</f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SUM(T40:X40)</f>
        <v>0</v>
      </c>
      <c r="Z40" s="56">
        <f>+R40+Y40</f>
        <v>0</v>
      </c>
      <c r="AA40" s="131">
        <f>+D40-Z40</f>
        <v>0</v>
      </c>
    </row>
    <row r="41" spans="1:27" s="138" customFormat="1" ht="13.5" customHeight="1">
      <c r="A41" s="193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33">
        <f t="shared" si="2"/>
        <v>0</v>
      </c>
      <c r="S41" s="134">
        <f t="shared" si="3"/>
        <v>0</v>
      </c>
      <c r="T41" s="132"/>
      <c r="U41" s="135">
        <v>0</v>
      </c>
      <c r="V41" s="135">
        <v>0</v>
      </c>
      <c r="W41" s="135"/>
      <c r="X41" s="132"/>
      <c r="Y41" s="136">
        <f>SUM(T41:X41)</f>
        <v>0</v>
      </c>
      <c r="Z41" s="136">
        <f>+R41+Y41</f>
        <v>0</v>
      </c>
      <c r="AA41" s="137">
        <f>+D41-Z41</f>
        <v>0</v>
      </c>
    </row>
    <row r="42" spans="1:27" s="138" customFormat="1" ht="13.5" customHeight="1">
      <c r="A42" s="193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40">
        <f t="shared" si="2"/>
        <v>0</v>
      </c>
      <c r="S42" s="141">
        <f t="shared" si="3"/>
        <v>0</v>
      </c>
      <c r="T42" s="139"/>
      <c r="U42" s="142">
        <v>0</v>
      </c>
      <c r="V42" s="142">
        <v>0</v>
      </c>
      <c r="W42" s="142"/>
      <c r="X42" s="139"/>
      <c r="Y42" s="136">
        <f>SUM(T42:X42)</f>
        <v>0</v>
      </c>
      <c r="Z42" s="136">
        <f>+R42+Y42</f>
        <v>0</v>
      </c>
      <c r="AA42" s="137">
        <f>+D42-Z42</f>
        <v>0</v>
      </c>
    </row>
    <row r="43" spans="1:27" s="138" customFormat="1" ht="13.5" customHeight="1">
      <c r="A43" s="193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40">
        <f t="shared" si="2"/>
        <v>0</v>
      </c>
      <c r="S43" s="141">
        <f t="shared" si="3"/>
        <v>0</v>
      </c>
      <c r="T43" s="139"/>
      <c r="U43" s="142">
        <v>0</v>
      </c>
      <c r="V43" s="142">
        <v>0</v>
      </c>
      <c r="W43" s="142"/>
      <c r="X43" s="139"/>
      <c r="Y43" s="136">
        <f>SUM(T43:X43)</f>
        <v>0</v>
      </c>
      <c r="Z43" s="136">
        <f>+R43+Y43</f>
        <v>0</v>
      </c>
      <c r="AA43" s="137">
        <f>+D43-Z43</f>
        <v>0</v>
      </c>
    </row>
    <row r="44" spans="1:27" s="138" customFormat="1" ht="13.5" customHeight="1">
      <c r="A44" s="193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40">
        <f t="shared" si="2"/>
        <v>0</v>
      </c>
      <c r="S44" s="141">
        <f t="shared" si="3"/>
        <v>0</v>
      </c>
      <c r="T44" s="139"/>
      <c r="U44" s="142">
        <v>0</v>
      </c>
      <c r="V44" s="142">
        <v>0</v>
      </c>
      <c r="W44" s="142"/>
      <c r="X44" s="139"/>
      <c r="Y44" s="136">
        <f>SUM(T44:X44)</f>
        <v>0</v>
      </c>
      <c r="Z44" s="136">
        <f>+R44+Y44</f>
        <v>0</v>
      </c>
      <c r="AA44" s="137">
        <f>+D44-Z44</f>
        <v>0</v>
      </c>
    </row>
    <row r="45" spans="1:27" s="138" customFormat="1" ht="13.5" customHeight="1">
      <c r="A45" s="193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40">
        <f t="shared" si="2"/>
        <v>0</v>
      </c>
      <c r="S45" s="141">
        <f t="shared" si="3"/>
        <v>0</v>
      </c>
      <c r="T45" s="139"/>
      <c r="U45" s="142">
        <v>0</v>
      </c>
      <c r="V45" s="142">
        <v>0</v>
      </c>
      <c r="W45" s="142"/>
      <c r="X45" s="139"/>
      <c r="Y45" s="136">
        <f>SUM(T45:X45)</f>
        <v>0</v>
      </c>
      <c r="Z45" s="136">
        <f>+R45+Y45</f>
        <v>0</v>
      </c>
      <c r="AA45" s="137">
        <f>+D45-Z45</f>
        <v>0</v>
      </c>
    </row>
    <row r="46" spans="1:27" s="138" customFormat="1" ht="13.5" customHeight="1">
      <c r="A46" s="193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40">
        <f t="shared" si="2"/>
        <v>0</v>
      </c>
      <c r="S46" s="141">
        <f t="shared" si="3"/>
        <v>0</v>
      </c>
      <c r="T46" s="139"/>
      <c r="U46" s="142">
        <v>0</v>
      </c>
      <c r="V46" s="142">
        <v>0</v>
      </c>
      <c r="W46" s="142"/>
      <c r="X46" s="139"/>
      <c r="Y46" s="136">
        <f>SUM(T46:X46)</f>
        <v>0</v>
      </c>
      <c r="Z46" s="136">
        <f>+R46+Y46</f>
        <v>0</v>
      </c>
      <c r="AA46" s="137">
        <f>+D46-Z46</f>
        <v>0</v>
      </c>
    </row>
    <row r="47" spans="1:27" s="138" customFormat="1" ht="13.5" customHeight="1">
      <c r="A47" s="193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40">
        <f t="shared" si="2"/>
        <v>0</v>
      </c>
      <c r="S47" s="141">
        <f t="shared" si="3"/>
        <v>0</v>
      </c>
      <c r="T47" s="139"/>
      <c r="U47" s="142">
        <v>0</v>
      </c>
      <c r="V47" s="142">
        <v>0</v>
      </c>
      <c r="W47" s="142"/>
      <c r="X47" s="139"/>
      <c r="Y47" s="136">
        <f>SUM(T47:X47)</f>
        <v>0</v>
      </c>
      <c r="Z47" s="136">
        <f>+R47+Y47</f>
        <v>0</v>
      </c>
      <c r="AA47" s="137">
        <f>+D47-Z47</f>
        <v>0</v>
      </c>
    </row>
    <row r="48" spans="1:27" s="138" customFormat="1" ht="13.5" customHeight="1">
      <c r="A48" s="193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40">
        <f t="shared" si="2"/>
        <v>0</v>
      </c>
      <c r="S48" s="141">
        <f t="shared" si="3"/>
        <v>0</v>
      </c>
      <c r="T48" s="139"/>
      <c r="U48" s="142">
        <v>0</v>
      </c>
      <c r="V48" s="142">
        <v>0</v>
      </c>
      <c r="W48" s="142"/>
      <c r="X48" s="139"/>
      <c r="Y48" s="136">
        <f>SUM(T48:X48)</f>
        <v>0</v>
      </c>
      <c r="Z48" s="136">
        <f>+R48+Y48</f>
        <v>0</v>
      </c>
      <c r="AA48" s="137">
        <f>+D48-Z48</f>
        <v>0</v>
      </c>
    </row>
    <row r="49" spans="1:27" s="138" customFormat="1" ht="13.5" customHeight="1">
      <c r="A49" s="193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40">
        <f t="shared" si="2"/>
        <v>0</v>
      </c>
      <c r="S49" s="141">
        <f t="shared" si="3"/>
        <v>0</v>
      </c>
      <c r="T49" s="139"/>
      <c r="U49" s="142">
        <v>0</v>
      </c>
      <c r="V49" s="142">
        <v>0</v>
      </c>
      <c r="W49" s="142"/>
      <c r="X49" s="139"/>
      <c r="Y49" s="136">
        <f>SUM(T49:X49)</f>
        <v>0</v>
      </c>
      <c r="Z49" s="136">
        <f>+R49+Y49</f>
        <v>0</v>
      </c>
      <c r="AA49" s="137">
        <f>+D49-Z49</f>
        <v>0</v>
      </c>
    </row>
    <row r="50" spans="1:27" s="138" customFormat="1" ht="13.5" customHeight="1">
      <c r="A50" s="193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40">
        <f t="shared" si="2"/>
        <v>0</v>
      </c>
      <c r="S50" s="141">
        <f t="shared" si="3"/>
        <v>0</v>
      </c>
      <c r="T50" s="139"/>
      <c r="U50" s="142">
        <v>0</v>
      </c>
      <c r="V50" s="142">
        <v>0</v>
      </c>
      <c r="W50" s="142"/>
      <c r="X50" s="139"/>
      <c r="Y50" s="136">
        <f>SUM(T50:X50)</f>
        <v>0</v>
      </c>
      <c r="Z50" s="136">
        <f>+R50+Y50</f>
        <v>0</v>
      </c>
      <c r="AA50" s="137">
        <f>+D50-Z50</f>
        <v>0</v>
      </c>
    </row>
    <row r="51" spans="1:27" s="138" customFormat="1" ht="13.5" customHeight="1">
      <c r="A51" s="193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40">
        <f t="shared" si="2"/>
        <v>0</v>
      </c>
      <c r="S51" s="141">
        <f t="shared" si="3"/>
        <v>0</v>
      </c>
      <c r="T51" s="139"/>
      <c r="U51" s="142">
        <v>0</v>
      </c>
      <c r="V51" s="142">
        <v>0</v>
      </c>
      <c r="W51" s="142"/>
      <c r="X51" s="139"/>
      <c r="Y51" s="136">
        <f>SUM(T51:X51)</f>
        <v>0</v>
      </c>
      <c r="Z51" s="136">
        <f>+R51+Y51</f>
        <v>0</v>
      </c>
      <c r="AA51" s="137">
        <f>+D51-Z51</f>
        <v>0</v>
      </c>
    </row>
    <row r="52" spans="1:27" s="138" customFormat="1" ht="13.5" customHeight="1">
      <c r="A52" s="193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40">
        <f t="shared" si="2"/>
        <v>0</v>
      </c>
      <c r="S52" s="141">
        <f t="shared" si="3"/>
        <v>0</v>
      </c>
      <c r="T52" s="139"/>
      <c r="U52" s="142">
        <v>0</v>
      </c>
      <c r="V52" s="142">
        <v>0</v>
      </c>
      <c r="W52" s="142"/>
      <c r="X52" s="139"/>
      <c r="Y52" s="136">
        <f>SUM(T52:X52)</f>
        <v>0</v>
      </c>
      <c r="Z52" s="136">
        <f>+R52+Y52</f>
        <v>0</v>
      </c>
      <c r="AA52" s="137">
        <f>+D52-Z52</f>
        <v>0</v>
      </c>
    </row>
    <row r="53" spans="1:27" s="138" customFormat="1" ht="13.5" customHeight="1">
      <c r="A53" s="193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40">
        <f t="shared" si="2"/>
        <v>0</v>
      </c>
      <c r="S53" s="141">
        <f t="shared" si="3"/>
        <v>0</v>
      </c>
      <c r="T53" s="139"/>
      <c r="U53" s="142">
        <v>0</v>
      </c>
      <c r="V53" s="142">
        <v>0</v>
      </c>
      <c r="W53" s="142"/>
      <c r="X53" s="139"/>
      <c r="Y53" s="136">
        <f>SUM(T53:X53)</f>
        <v>0</v>
      </c>
      <c r="Z53" s="136">
        <f>+R53+Y53</f>
        <v>0</v>
      </c>
      <c r="AA53" s="137">
        <f>+D53-Z53</f>
        <v>0</v>
      </c>
    </row>
    <row r="54" spans="1:27" s="138" customFormat="1" ht="13.5" customHeight="1">
      <c r="A54" s="193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40">
        <f t="shared" si="2"/>
        <v>0</v>
      </c>
      <c r="S54" s="141">
        <f t="shared" si="3"/>
        <v>0</v>
      </c>
      <c r="T54" s="139"/>
      <c r="U54" s="142">
        <v>0</v>
      </c>
      <c r="V54" s="142">
        <v>0</v>
      </c>
      <c r="W54" s="142"/>
      <c r="X54" s="139"/>
      <c r="Y54" s="136">
        <f>SUM(T54:X54)</f>
        <v>0</v>
      </c>
      <c r="Z54" s="136">
        <f>+R54+Y54</f>
        <v>0</v>
      </c>
      <c r="AA54" s="137">
        <f>+D54-Z54</f>
        <v>0</v>
      </c>
    </row>
    <row r="55" spans="1:27" s="138" customFormat="1" ht="13.5" customHeight="1">
      <c r="A55" s="193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40">
        <f t="shared" si="2"/>
        <v>0</v>
      </c>
      <c r="S55" s="141">
        <f t="shared" si="3"/>
        <v>0</v>
      </c>
      <c r="T55" s="139"/>
      <c r="U55" s="142">
        <v>0</v>
      </c>
      <c r="V55" s="142">
        <v>0</v>
      </c>
      <c r="W55" s="142"/>
      <c r="X55" s="139"/>
      <c r="Y55" s="136">
        <f>SUM(T55:X55)</f>
        <v>0</v>
      </c>
      <c r="Z55" s="136">
        <f>+R55+Y55</f>
        <v>0</v>
      </c>
      <c r="AA55" s="137">
        <f>+D55-Z55</f>
        <v>0</v>
      </c>
    </row>
    <row r="56" spans="1:27" s="138" customFormat="1" ht="13.5" customHeight="1">
      <c r="A56" s="193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44">
        <f t="shared" si="2"/>
        <v>0</v>
      </c>
      <c r="S56" s="145">
        <f t="shared" si="3"/>
        <v>0</v>
      </c>
      <c r="T56" s="143"/>
      <c r="U56" s="146">
        <v>0</v>
      </c>
      <c r="V56" s="146">
        <v>0</v>
      </c>
      <c r="W56" s="146"/>
      <c r="X56" s="143"/>
      <c r="Y56" s="136">
        <f>SUM(T56:X56)</f>
        <v>0</v>
      </c>
      <c r="Z56" s="136">
        <f>+R56+Y56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Q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O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2"/>
        <v>0</v>
      </c>
      <c r="L57" s="130">
        <f t="shared" si="12"/>
        <v>0</v>
      </c>
      <c r="M57" s="130">
        <f t="shared" si="12"/>
        <v>0</v>
      </c>
      <c r="N57" s="130">
        <f t="shared" si="12"/>
        <v>0</v>
      </c>
      <c r="O57" s="130">
        <f t="shared" si="12"/>
        <v>0</v>
      </c>
      <c r="P57" s="130">
        <f t="shared" si="11"/>
        <v>0</v>
      </c>
      <c r="Q57" s="130">
        <f t="shared" si="11"/>
        <v>0</v>
      </c>
      <c r="R57" s="107">
        <f t="shared" si="2"/>
        <v>0</v>
      </c>
      <c r="S57" s="107">
        <f t="shared" si="3"/>
        <v>0</v>
      </c>
      <c r="T57" s="130">
        <f t="shared" ref="T57:X57" si="13">SUBTOTAL(9,T58:T74)</f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SUM(T57:X57)</f>
        <v>0</v>
      </c>
      <c r="Z57" s="56">
        <f>+R57+Y57</f>
        <v>0</v>
      </c>
      <c r="AA57" s="131">
        <f>+D57-Z57</f>
        <v>0</v>
      </c>
    </row>
    <row r="58" spans="1:27" s="138" customFormat="1" ht="13.5" customHeight="1">
      <c r="A58" s="193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33">
        <f t="shared" si="2"/>
        <v>0</v>
      </c>
      <c r="S58" s="134">
        <f t="shared" si="3"/>
        <v>0</v>
      </c>
      <c r="T58" s="132"/>
      <c r="U58" s="135">
        <v>0</v>
      </c>
      <c r="V58" s="135">
        <v>0</v>
      </c>
      <c r="W58" s="135"/>
      <c r="X58" s="132"/>
      <c r="Y58" s="136">
        <f>SUM(T58:X58)</f>
        <v>0</v>
      </c>
      <c r="Z58" s="136">
        <f>+R58+Y58</f>
        <v>0</v>
      </c>
      <c r="AA58" s="137">
        <f>+D58-Z58</f>
        <v>0</v>
      </c>
    </row>
    <row r="59" spans="1:27" s="138" customFormat="1" ht="13.5" customHeight="1">
      <c r="A59" s="193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133">
        <f t="shared" si="2"/>
        <v>0</v>
      </c>
      <c r="S59" s="134">
        <f t="shared" si="3"/>
        <v>0</v>
      </c>
      <c r="T59" s="132"/>
      <c r="U59" s="135">
        <v>0</v>
      </c>
      <c r="V59" s="135">
        <v>0</v>
      </c>
      <c r="W59" s="135"/>
      <c r="X59" s="132"/>
      <c r="Y59" s="136">
        <f>SUM(T59:X59)</f>
        <v>0</v>
      </c>
      <c r="Z59" s="136">
        <f>+R59+Y59</f>
        <v>0</v>
      </c>
      <c r="AA59" s="137">
        <f>+D59-Z59</f>
        <v>0</v>
      </c>
    </row>
    <row r="60" spans="1:27" s="138" customFormat="1" ht="13.5" customHeight="1">
      <c r="A60" s="193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140">
        <f t="shared" si="2"/>
        <v>0</v>
      </c>
      <c r="S60" s="141">
        <f t="shared" si="3"/>
        <v>0</v>
      </c>
      <c r="T60" s="139"/>
      <c r="U60" s="142">
        <v>0</v>
      </c>
      <c r="V60" s="142">
        <v>0</v>
      </c>
      <c r="W60" s="142"/>
      <c r="X60" s="139"/>
      <c r="Y60" s="136">
        <f>SUM(T60:X60)</f>
        <v>0</v>
      </c>
      <c r="Z60" s="136">
        <f>+R60+Y60</f>
        <v>0</v>
      </c>
      <c r="AA60" s="137">
        <f>+D60-Z60</f>
        <v>0</v>
      </c>
    </row>
    <row r="61" spans="1:27" s="138" customFormat="1" ht="13.5" customHeight="1">
      <c r="A61" s="193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40">
        <f t="shared" si="2"/>
        <v>0</v>
      </c>
      <c r="S61" s="141">
        <f t="shared" si="3"/>
        <v>0</v>
      </c>
      <c r="T61" s="139"/>
      <c r="U61" s="142">
        <v>0</v>
      </c>
      <c r="V61" s="142">
        <v>0</v>
      </c>
      <c r="W61" s="142"/>
      <c r="X61" s="139"/>
      <c r="Y61" s="136">
        <f>SUM(T61:X61)</f>
        <v>0</v>
      </c>
      <c r="Z61" s="136">
        <f>+R61+Y61</f>
        <v>0</v>
      </c>
      <c r="AA61" s="137">
        <f>+D61-Z61</f>
        <v>0</v>
      </c>
    </row>
    <row r="62" spans="1:27" s="138" customFormat="1" ht="13.5" customHeight="1">
      <c r="A62" s="193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140">
        <f t="shared" si="2"/>
        <v>0</v>
      </c>
      <c r="S62" s="141">
        <f t="shared" si="3"/>
        <v>0</v>
      </c>
      <c r="T62" s="139"/>
      <c r="U62" s="142">
        <v>0</v>
      </c>
      <c r="V62" s="142">
        <v>0</v>
      </c>
      <c r="W62" s="142"/>
      <c r="X62" s="139"/>
      <c r="Y62" s="136">
        <f>SUM(T62:X62)</f>
        <v>0</v>
      </c>
      <c r="Z62" s="136">
        <f>+R62+Y62</f>
        <v>0</v>
      </c>
      <c r="AA62" s="137">
        <f>+D62-Z62</f>
        <v>0</v>
      </c>
    </row>
    <row r="63" spans="1:27" s="138" customFormat="1" ht="13.5" customHeight="1">
      <c r="A63" s="193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40">
        <f t="shared" si="2"/>
        <v>0</v>
      </c>
      <c r="S63" s="141">
        <f t="shared" si="3"/>
        <v>0</v>
      </c>
      <c r="T63" s="139"/>
      <c r="U63" s="142">
        <v>0</v>
      </c>
      <c r="V63" s="142">
        <v>0</v>
      </c>
      <c r="W63" s="142"/>
      <c r="X63" s="139"/>
      <c r="Y63" s="136">
        <f>SUM(T63:X63)</f>
        <v>0</v>
      </c>
      <c r="Z63" s="136">
        <f>+R63+Y63</f>
        <v>0</v>
      </c>
      <c r="AA63" s="137">
        <f>+D63-Z63</f>
        <v>0</v>
      </c>
    </row>
    <row r="64" spans="1:27" s="138" customFormat="1" ht="13.5" customHeight="1">
      <c r="A64" s="193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40">
        <f t="shared" si="2"/>
        <v>0</v>
      </c>
      <c r="S64" s="141">
        <f t="shared" si="3"/>
        <v>0</v>
      </c>
      <c r="T64" s="139"/>
      <c r="U64" s="142">
        <v>0</v>
      </c>
      <c r="V64" s="142">
        <v>0</v>
      </c>
      <c r="W64" s="142"/>
      <c r="X64" s="139"/>
      <c r="Y64" s="136">
        <f>SUM(T64:X64)</f>
        <v>0</v>
      </c>
      <c r="Z64" s="136">
        <f>+R64+Y64</f>
        <v>0</v>
      </c>
      <c r="AA64" s="137">
        <f>+D64-Z64</f>
        <v>0</v>
      </c>
    </row>
    <row r="65" spans="1:27" s="138" customFormat="1" ht="13.5" customHeight="1">
      <c r="A65" s="193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40">
        <f t="shared" si="2"/>
        <v>0</v>
      </c>
      <c r="S65" s="141">
        <f t="shared" si="3"/>
        <v>0</v>
      </c>
      <c r="T65" s="139"/>
      <c r="U65" s="142">
        <v>0</v>
      </c>
      <c r="V65" s="142">
        <v>0</v>
      </c>
      <c r="W65" s="142"/>
      <c r="X65" s="139"/>
      <c r="Y65" s="136">
        <f>SUM(T65:X65)</f>
        <v>0</v>
      </c>
      <c r="Z65" s="136">
        <f>+R65+Y65</f>
        <v>0</v>
      </c>
      <c r="AA65" s="137">
        <f>+D65-Z65</f>
        <v>0</v>
      </c>
    </row>
    <row r="66" spans="1:27" s="138" customFormat="1" ht="13.5" customHeight="1">
      <c r="A66" s="193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140">
        <f t="shared" si="2"/>
        <v>0</v>
      </c>
      <c r="S66" s="141">
        <f t="shared" si="3"/>
        <v>0</v>
      </c>
      <c r="T66" s="139"/>
      <c r="U66" s="142">
        <v>0</v>
      </c>
      <c r="V66" s="142">
        <v>0</v>
      </c>
      <c r="W66" s="142"/>
      <c r="X66" s="139"/>
      <c r="Y66" s="136">
        <f>SUM(T66:X66)</f>
        <v>0</v>
      </c>
      <c r="Z66" s="136">
        <f>+R66+Y66</f>
        <v>0</v>
      </c>
      <c r="AA66" s="137">
        <f>+D66-Z66</f>
        <v>0</v>
      </c>
    </row>
    <row r="67" spans="1:27" s="138" customFormat="1" ht="13.5" customHeight="1">
      <c r="A67" s="193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40">
        <f t="shared" si="2"/>
        <v>0</v>
      </c>
      <c r="S67" s="141">
        <f t="shared" si="3"/>
        <v>0</v>
      </c>
      <c r="T67" s="139"/>
      <c r="U67" s="142">
        <v>0</v>
      </c>
      <c r="V67" s="142">
        <v>0</v>
      </c>
      <c r="W67" s="142"/>
      <c r="X67" s="139"/>
      <c r="Y67" s="136">
        <f>SUM(T67:X67)</f>
        <v>0</v>
      </c>
      <c r="Z67" s="136">
        <f>+R67+Y67</f>
        <v>0</v>
      </c>
      <c r="AA67" s="137">
        <f>+D67-Z67</f>
        <v>0</v>
      </c>
    </row>
    <row r="68" spans="1:27" s="138" customFormat="1" ht="13.5" customHeight="1">
      <c r="A68" s="193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140">
        <f t="shared" si="2"/>
        <v>0</v>
      </c>
      <c r="S68" s="141">
        <f t="shared" si="3"/>
        <v>0</v>
      </c>
      <c r="T68" s="139"/>
      <c r="U68" s="142">
        <v>0</v>
      </c>
      <c r="V68" s="142">
        <v>0</v>
      </c>
      <c r="W68" s="142"/>
      <c r="X68" s="139"/>
      <c r="Y68" s="136">
        <f>SUM(T68:X68)</f>
        <v>0</v>
      </c>
      <c r="Z68" s="136">
        <f>+R68+Y68</f>
        <v>0</v>
      </c>
      <c r="AA68" s="137">
        <f>+D68-Z68</f>
        <v>0</v>
      </c>
    </row>
    <row r="69" spans="1:27" s="138" customFormat="1" ht="13.5" customHeight="1">
      <c r="A69" s="193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140">
        <f t="shared" si="2"/>
        <v>0</v>
      </c>
      <c r="S69" s="141">
        <f t="shared" si="3"/>
        <v>0</v>
      </c>
      <c r="T69" s="139"/>
      <c r="U69" s="142">
        <v>0</v>
      </c>
      <c r="V69" s="142">
        <v>0</v>
      </c>
      <c r="W69" s="142"/>
      <c r="X69" s="139"/>
      <c r="Y69" s="136">
        <f>SUM(T69:X69)</f>
        <v>0</v>
      </c>
      <c r="Z69" s="136">
        <f>+R69+Y69</f>
        <v>0</v>
      </c>
      <c r="AA69" s="137">
        <f>+D69-Z69</f>
        <v>0</v>
      </c>
    </row>
    <row r="70" spans="1:27" s="138" customFormat="1" ht="13.5" customHeight="1">
      <c r="A70" s="193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40">
        <f t="shared" ref="R70:R133" si="14">SUM(G70:Q70)</f>
        <v>0</v>
      </c>
      <c r="S70" s="141">
        <f t="shared" ref="S70:S133" si="15">D70-R70</f>
        <v>0</v>
      </c>
      <c r="T70" s="139"/>
      <c r="U70" s="142">
        <v>0</v>
      </c>
      <c r="V70" s="142">
        <v>0</v>
      </c>
      <c r="W70" s="142"/>
      <c r="X70" s="139"/>
      <c r="Y70" s="136">
        <f>SUM(T70:X70)</f>
        <v>0</v>
      </c>
      <c r="Z70" s="136">
        <f>+R70+Y70</f>
        <v>0</v>
      </c>
      <c r="AA70" s="137">
        <f>+D70-Z70</f>
        <v>0</v>
      </c>
    </row>
    <row r="71" spans="1:27" s="138" customFormat="1" ht="13.5" customHeight="1">
      <c r="A71" s="193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140">
        <f t="shared" si="14"/>
        <v>0</v>
      </c>
      <c r="S71" s="141">
        <f t="shared" si="15"/>
        <v>0</v>
      </c>
      <c r="T71" s="139"/>
      <c r="U71" s="142">
        <v>0</v>
      </c>
      <c r="V71" s="142">
        <v>0</v>
      </c>
      <c r="W71" s="142"/>
      <c r="X71" s="139"/>
      <c r="Y71" s="136">
        <f>SUM(T71:X71)</f>
        <v>0</v>
      </c>
      <c r="Z71" s="136">
        <f>+R71+Y71</f>
        <v>0</v>
      </c>
      <c r="AA71" s="137">
        <f>+D71-Z71</f>
        <v>0</v>
      </c>
    </row>
    <row r="72" spans="1:27" s="138" customFormat="1" ht="13.5" customHeight="1">
      <c r="A72" s="193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140">
        <f t="shared" si="14"/>
        <v>0</v>
      </c>
      <c r="S72" s="141">
        <f t="shared" si="15"/>
        <v>0</v>
      </c>
      <c r="T72" s="139"/>
      <c r="U72" s="142">
        <v>0</v>
      </c>
      <c r="V72" s="142">
        <v>0</v>
      </c>
      <c r="W72" s="142"/>
      <c r="X72" s="139"/>
      <c r="Y72" s="136">
        <f>SUM(T72:X72)</f>
        <v>0</v>
      </c>
      <c r="Z72" s="136">
        <f>+R72+Y72</f>
        <v>0</v>
      </c>
      <c r="AA72" s="137">
        <f>+D72-Z72</f>
        <v>0</v>
      </c>
    </row>
    <row r="73" spans="1:27" s="138" customFormat="1" ht="13.5" customHeight="1">
      <c r="A73" s="193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40">
        <f t="shared" si="14"/>
        <v>0</v>
      </c>
      <c r="S73" s="141">
        <f t="shared" si="15"/>
        <v>0</v>
      </c>
      <c r="T73" s="139"/>
      <c r="U73" s="142">
        <v>0</v>
      </c>
      <c r="V73" s="142">
        <v>0</v>
      </c>
      <c r="W73" s="142"/>
      <c r="X73" s="139"/>
      <c r="Y73" s="136">
        <f>SUM(T73:X73)</f>
        <v>0</v>
      </c>
      <c r="Z73" s="136">
        <f>+R73+Y73</f>
        <v>0</v>
      </c>
      <c r="AA73" s="137">
        <f>+D73-Z73</f>
        <v>0</v>
      </c>
    </row>
    <row r="74" spans="1:27" s="138" customFormat="1" ht="13.5" customHeight="1">
      <c r="A74" s="193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144">
        <f t="shared" si="14"/>
        <v>0</v>
      </c>
      <c r="S74" s="145">
        <f t="shared" si="15"/>
        <v>0</v>
      </c>
      <c r="T74" s="143"/>
      <c r="U74" s="146">
        <v>0</v>
      </c>
      <c r="V74" s="146">
        <v>0</v>
      </c>
      <c r="W74" s="146"/>
      <c r="X74" s="143"/>
      <c r="Y74" s="136">
        <f>SUM(T74:X74)</f>
        <v>0</v>
      </c>
      <c r="Z74" s="136">
        <f>+R74+Y74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Q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O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7"/>
        <v>0</v>
      </c>
      <c r="L75" s="130">
        <f t="shared" si="17"/>
        <v>0</v>
      </c>
      <c r="M75" s="130">
        <f t="shared" si="17"/>
        <v>0</v>
      </c>
      <c r="N75" s="130">
        <f t="shared" si="17"/>
        <v>0</v>
      </c>
      <c r="O75" s="130">
        <f t="shared" si="17"/>
        <v>0</v>
      </c>
      <c r="P75" s="130">
        <f t="shared" si="16"/>
        <v>0</v>
      </c>
      <c r="Q75" s="130">
        <f t="shared" si="16"/>
        <v>0</v>
      </c>
      <c r="R75" s="107">
        <f t="shared" si="14"/>
        <v>0</v>
      </c>
      <c r="S75" s="107">
        <f t="shared" si="15"/>
        <v>0</v>
      </c>
      <c r="T75" s="130">
        <f t="shared" ref="T75:X75" si="18">SUBTOTAL(9,T76:T91)</f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SUM(T75:X75)</f>
        <v>0</v>
      </c>
      <c r="Z75" s="56">
        <f>+R75+Y75</f>
        <v>0</v>
      </c>
      <c r="AA75" s="131">
        <f>+D75-Z75</f>
        <v>0</v>
      </c>
    </row>
    <row r="76" spans="1:27" s="138" customFormat="1" ht="13.5" customHeight="1">
      <c r="A76" s="193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133">
        <f t="shared" si="14"/>
        <v>0</v>
      </c>
      <c r="S76" s="134">
        <f t="shared" si="15"/>
        <v>0</v>
      </c>
      <c r="T76" s="132"/>
      <c r="U76" s="135">
        <v>0</v>
      </c>
      <c r="V76" s="135">
        <v>0</v>
      </c>
      <c r="W76" s="135"/>
      <c r="X76" s="132"/>
      <c r="Y76" s="136">
        <f>SUM(T76:X76)</f>
        <v>0</v>
      </c>
      <c r="Z76" s="136">
        <f>+R76+Y76</f>
        <v>0</v>
      </c>
      <c r="AA76" s="137">
        <f>+D76-Z76</f>
        <v>0</v>
      </c>
    </row>
    <row r="77" spans="1:27" s="138" customFormat="1" ht="13.5" customHeight="1">
      <c r="A77" s="193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140">
        <f t="shared" si="14"/>
        <v>0</v>
      </c>
      <c r="S77" s="141">
        <f t="shared" si="15"/>
        <v>0</v>
      </c>
      <c r="T77" s="139"/>
      <c r="U77" s="142">
        <v>0</v>
      </c>
      <c r="V77" s="142">
        <v>0</v>
      </c>
      <c r="W77" s="142"/>
      <c r="X77" s="139"/>
      <c r="Y77" s="136">
        <f>SUM(T77:X77)</f>
        <v>0</v>
      </c>
      <c r="Z77" s="136">
        <f>+R77+Y77</f>
        <v>0</v>
      </c>
      <c r="AA77" s="137">
        <f>+D77-Z77</f>
        <v>0</v>
      </c>
    </row>
    <row r="78" spans="1:27" s="138" customFormat="1" ht="13.5" customHeight="1">
      <c r="A78" s="193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140">
        <f t="shared" si="14"/>
        <v>0</v>
      </c>
      <c r="S78" s="141">
        <f t="shared" si="15"/>
        <v>0</v>
      </c>
      <c r="T78" s="139"/>
      <c r="U78" s="142">
        <v>0</v>
      </c>
      <c r="V78" s="142">
        <v>0</v>
      </c>
      <c r="W78" s="142"/>
      <c r="X78" s="139"/>
      <c r="Y78" s="136">
        <f>SUM(T78:X78)</f>
        <v>0</v>
      </c>
      <c r="Z78" s="136">
        <f>+R78+Y78</f>
        <v>0</v>
      </c>
      <c r="AA78" s="137">
        <f>+D78-Z78</f>
        <v>0</v>
      </c>
    </row>
    <row r="79" spans="1:27" s="138" customFormat="1" ht="13.5" customHeight="1">
      <c r="A79" s="193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140">
        <f t="shared" si="14"/>
        <v>0</v>
      </c>
      <c r="S79" s="141">
        <f t="shared" si="15"/>
        <v>0</v>
      </c>
      <c r="T79" s="139"/>
      <c r="U79" s="142">
        <v>0</v>
      </c>
      <c r="V79" s="142">
        <v>0</v>
      </c>
      <c r="W79" s="142"/>
      <c r="X79" s="139"/>
      <c r="Y79" s="136">
        <f>SUM(T79:X79)</f>
        <v>0</v>
      </c>
      <c r="Z79" s="136">
        <f>+R79+Y79</f>
        <v>0</v>
      </c>
      <c r="AA79" s="137">
        <f>+D79-Z79</f>
        <v>0</v>
      </c>
    </row>
    <row r="80" spans="1:27" s="138" customFormat="1" ht="13.5" customHeight="1">
      <c r="A80" s="193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40">
        <f t="shared" si="14"/>
        <v>0</v>
      </c>
      <c r="S80" s="141">
        <f t="shared" si="15"/>
        <v>0</v>
      </c>
      <c r="T80" s="139"/>
      <c r="U80" s="142">
        <v>0</v>
      </c>
      <c r="V80" s="142">
        <v>0</v>
      </c>
      <c r="W80" s="142"/>
      <c r="X80" s="139"/>
      <c r="Y80" s="136">
        <f>SUM(T80:X80)</f>
        <v>0</v>
      </c>
      <c r="Z80" s="136">
        <f>+R80+Y80</f>
        <v>0</v>
      </c>
      <c r="AA80" s="137">
        <f>+D80-Z80</f>
        <v>0</v>
      </c>
    </row>
    <row r="81" spans="1:27" s="138" customFormat="1" ht="13.5" customHeight="1">
      <c r="A81" s="193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40">
        <f t="shared" si="14"/>
        <v>0</v>
      </c>
      <c r="S81" s="141">
        <f t="shared" si="15"/>
        <v>0</v>
      </c>
      <c r="T81" s="139"/>
      <c r="U81" s="142">
        <v>0</v>
      </c>
      <c r="V81" s="142">
        <v>0</v>
      </c>
      <c r="W81" s="142"/>
      <c r="X81" s="139"/>
      <c r="Y81" s="136">
        <f>SUM(T81:X81)</f>
        <v>0</v>
      </c>
      <c r="Z81" s="136">
        <f>+R81+Y81</f>
        <v>0</v>
      </c>
      <c r="AA81" s="137">
        <f>+D81-Z81</f>
        <v>0</v>
      </c>
    </row>
    <row r="82" spans="1:27" s="138" customFormat="1" ht="13.5" customHeight="1">
      <c r="A82" s="193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40">
        <f t="shared" si="14"/>
        <v>0</v>
      </c>
      <c r="S82" s="141">
        <f t="shared" si="15"/>
        <v>0</v>
      </c>
      <c r="T82" s="139"/>
      <c r="U82" s="142">
        <v>0</v>
      </c>
      <c r="V82" s="142">
        <v>0</v>
      </c>
      <c r="W82" s="142"/>
      <c r="X82" s="139"/>
      <c r="Y82" s="136">
        <f>SUM(T82:X82)</f>
        <v>0</v>
      </c>
      <c r="Z82" s="136">
        <f>+R82+Y82</f>
        <v>0</v>
      </c>
      <c r="AA82" s="137">
        <f>+D82-Z82</f>
        <v>0</v>
      </c>
    </row>
    <row r="83" spans="1:27" s="138" customFormat="1" ht="13.5" customHeight="1">
      <c r="A83" s="193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140">
        <f t="shared" si="14"/>
        <v>0</v>
      </c>
      <c r="S83" s="141">
        <f t="shared" si="15"/>
        <v>0</v>
      </c>
      <c r="T83" s="139"/>
      <c r="U83" s="142">
        <v>0</v>
      </c>
      <c r="V83" s="142">
        <v>0</v>
      </c>
      <c r="W83" s="142"/>
      <c r="X83" s="139"/>
      <c r="Y83" s="136">
        <f>SUM(T83:X83)</f>
        <v>0</v>
      </c>
      <c r="Z83" s="136">
        <f>+R83+Y83</f>
        <v>0</v>
      </c>
      <c r="AA83" s="137">
        <f>+D83-Z83</f>
        <v>0</v>
      </c>
    </row>
    <row r="84" spans="1:27" s="138" customFormat="1" ht="13.5" customHeight="1">
      <c r="A84" s="193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140">
        <f t="shared" si="14"/>
        <v>0</v>
      </c>
      <c r="S84" s="141">
        <f t="shared" si="15"/>
        <v>0</v>
      </c>
      <c r="T84" s="139"/>
      <c r="U84" s="142">
        <v>0</v>
      </c>
      <c r="V84" s="142">
        <v>0</v>
      </c>
      <c r="W84" s="142"/>
      <c r="X84" s="139"/>
      <c r="Y84" s="136">
        <f>SUM(T84:X84)</f>
        <v>0</v>
      </c>
      <c r="Z84" s="136">
        <f>+R84+Y84</f>
        <v>0</v>
      </c>
      <c r="AA84" s="137">
        <f>+D84-Z84</f>
        <v>0</v>
      </c>
    </row>
    <row r="85" spans="1:27" s="138" customFormat="1" ht="13.5" customHeight="1">
      <c r="A85" s="193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140">
        <f t="shared" si="14"/>
        <v>0</v>
      </c>
      <c r="S85" s="141">
        <f t="shared" si="15"/>
        <v>0</v>
      </c>
      <c r="T85" s="139"/>
      <c r="U85" s="142">
        <v>0</v>
      </c>
      <c r="V85" s="142">
        <v>0</v>
      </c>
      <c r="W85" s="142"/>
      <c r="X85" s="139"/>
      <c r="Y85" s="136">
        <f>SUM(T85:X85)</f>
        <v>0</v>
      </c>
      <c r="Z85" s="136">
        <f>+R85+Y85</f>
        <v>0</v>
      </c>
      <c r="AA85" s="137">
        <f>+D85-Z85</f>
        <v>0</v>
      </c>
    </row>
    <row r="86" spans="1:27" s="138" customFormat="1" ht="13.5" customHeight="1">
      <c r="A86" s="193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140">
        <f t="shared" si="14"/>
        <v>0</v>
      </c>
      <c r="S86" s="141">
        <f t="shared" si="15"/>
        <v>0</v>
      </c>
      <c r="T86" s="139"/>
      <c r="U86" s="142">
        <v>0</v>
      </c>
      <c r="V86" s="142">
        <v>0</v>
      </c>
      <c r="W86" s="142"/>
      <c r="X86" s="139"/>
      <c r="Y86" s="136">
        <f>SUM(T86:X86)</f>
        <v>0</v>
      </c>
      <c r="Z86" s="136">
        <f>+R86+Y86</f>
        <v>0</v>
      </c>
      <c r="AA86" s="137">
        <f>+D86-Z86</f>
        <v>0</v>
      </c>
    </row>
    <row r="87" spans="1:27" s="138" customFormat="1" ht="13.5" customHeight="1">
      <c r="A87" s="193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140">
        <f t="shared" si="14"/>
        <v>0</v>
      </c>
      <c r="S87" s="141">
        <f t="shared" si="15"/>
        <v>0</v>
      </c>
      <c r="T87" s="139"/>
      <c r="U87" s="142">
        <v>0</v>
      </c>
      <c r="V87" s="142">
        <v>0</v>
      </c>
      <c r="W87" s="142"/>
      <c r="X87" s="139"/>
      <c r="Y87" s="136">
        <f>SUM(T87:X87)</f>
        <v>0</v>
      </c>
      <c r="Z87" s="136">
        <f>+R87+Y87</f>
        <v>0</v>
      </c>
      <c r="AA87" s="137">
        <f>+D87-Z87</f>
        <v>0</v>
      </c>
    </row>
    <row r="88" spans="1:27" s="138" customFormat="1" ht="13.5" customHeight="1">
      <c r="A88" s="193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140">
        <f t="shared" si="14"/>
        <v>0</v>
      </c>
      <c r="S88" s="141">
        <f t="shared" si="15"/>
        <v>0</v>
      </c>
      <c r="T88" s="139"/>
      <c r="U88" s="142">
        <v>0</v>
      </c>
      <c r="V88" s="142">
        <v>0</v>
      </c>
      <c r="W88" s="142"/>
      <c r="X88" s="139"/>
      <c r="Y88" s="136">
        <f>SUM(T88:X88)</f>
        <v>0</v>
      </c>
      <c r="Z88" s="136">
        <f>+R88+Y88</f>
        <v>0</v>
      </c>
      <c r="AA88" s="137">
        <f>+D88-Z88</f>
        <v>0</v>
      </c>
    </row>
    <row r="89" spans="1:27" s="138" customFormat="1" ht="13.5" customHeight="1">
      <c r="A89" s="193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140">
        <f t="shared" si="14"/>
        <v>0</v>
      </c>
      <c r="S89" s="141">
        <f t="shared" si="15"/>
        <v>0</v>
      </c>
      <c r="T89" s="139"/>
      <c r="U89" s="142">
        <v>0</v>
      </c>
      <c r="V89" s="142">
        <v>0</v>
      </c>
      <c r="W89" s="142"/>
      <c r="X89" s="139"/>
      <c r="Y89" s="136">
        <f>SUM(T89:X89)</f>
        <v>0</v>
      </c>
      <c r="Z89" s="136">
        <f>+R89+Y89</f>
        <v>0</v>
      </c>
      <c r="AA89" s="137">
        <f>+D89-Z89</f>
        <v>0</v>
      </c>
    </row>
    <row r="90" spans="1:27" s="138" customFormat="1" ht="13.5" customHeight="1">
      <c r="A90" s="193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40">
        <f t="shared" si="14"/>
        <v>0</v>
      </c>
      <c r="S90" s="141">
        <f t="shared" si="15"/>
        <v>0</v>
      </c>
      <c r="T90" s="139"/>
      <c r="U90" s="142">
        <v>0</v>
      </c>
      <c r="V90" s="142">
        <v>0</v>
      </c>
      <c r="W90" s="142"/>
      <c r="X90" s="139"/>
      <c r="Y90" s="136">
        <f>SUM(T90:X90)</f>
        <v>0</v>
      </c>
      <c r="Z90" s="136">
        <f>+R90+Y90</f>
        <v>0</v>
      </c>
      <c r="AA90" s="137">
        <f>+D90-Z90</f>
        <v>0</v>
      </c>
    </row>
    <row r="91" spans="1:27" s="138" customFormat="1" ht="13.5" customHeight="1">
      <c r="A91" s="193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144">
        <f t="shared" si="14"/>
        <v>0</v>
      </c>
      <c r="S91" s="145">
        <f t="shared" si="15"/>
        <v>0</v>
      </c>
      <c r="T91" s="143"/>
      <c r="U91" s="146">
        <v>0</v>
      </c>
      <c r="V91" s="146">
        <v>0</v>
      </c>
      <c r="W91" s="146"/>
      <c r="X91" s="143"/>
      <c r="Y91" s="136">
        <f>SUM(T91:X91)</f>
        <v>0</v>
      </c>
      <c r="Z91" s="136">
        <f>+R91+Y91</f>
        <v>0</v>
      </c>
      <c r="AA91" s="137">
        <f>+D91-Z91</f>
        <v>0</v>
      </c>
    </row>
    <row r="92" spans="1:27" s="138" customFormat="1" ht="13.5" customHeight="1">
      <c r="A92" s="192" t="s">
        <v>67</v>
      </c>
      <c r="B92" s="186"/>
      <c r="C92" s="156"/>
      <c r="D92" s="129">
        <f t="shared" ref="D92:Q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O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20"/>
        <v>0</v>
      </c>
      <c r="L92" s="130">
        <f t="shared" si="20"/>
        <v>0</v>
      </c>
      <c r="M92" s="130">
        <f t="shared" si="20"/>
        <v>0</v>
      </c>
      <c r="N92" s="130">
        <f t="shared" si="20"/>
        <v>0</v>
      </c>
      <c r="O92" s="130">
        <f t="shared" si="20"/>
        <v>0</v>
      </c>
      <c r="P92" s="130">
        <f t="shared" si="19"/>
        <v>0</v>
      </c>
      <c r="Q92" s="130">
        <f t="shared" si="19"/>
        <v>0</v>
      </c>
      <c r="R92" s="107">
        <f t="shared" si="14"/>
        <v>0</v>
      </c>
      <c r="S92" s="107">
        <f t="shared" si="15"/>
        <v>0</v>
      </c>
      <c r="T92" s="130">
        <f t="shared" ref="T92:X92" si="21">SUBTOTAL(9,T93:T108)</f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SUM(T92:X92)</f>
        <v>0</v>
      </c>
      <c r="Z92" s="56">
        <f>+R92+Y92</f>
        <v>0</v>
      </c>
      <c r="AA92" s="131">
        <f>+D92-Z92</f>
        <v>0</v>
      </c>
    </row>
    <row r="93" spans="1:27" s="138" customFormat="1" ht="13.5" customHeight="1">
      <c r="A93" s="215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133">
        <f t="shared" si="14"/>
        <v>0</v>
      </c>
      <c r="S93" s="134">
        <f t="shared" si="15"/>
        <v>0</v>
      </c>
      <c r="T93" s="132"/>
      <c r="U93" s="135">
        <v>0</v>
      </c>
      <c r="V93" s="135">
        <v>0</v>
      </c>
      <c r="W93" s="135"/>
      <c r="X93" s="132"/>
      <c r="Y93" s="136">
        <f>SUM(T93:X93)</f>
        <v>0</v>
      </c>
      <c r="Z93" s="136">
        <f>+R93+Y93</f>
        <v>0</v>
      </c>
      <c r="AA93" s="137">
        <f>+D93-Z93</f>
        <v>0</v>
      </c>
    </row>
    <row r="94" spans="1:27" s="138" customFormat="1" ht="13.5" customHeight="1">
      <c r="A94" s="215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140">
        <f t="shared" si="14"/>
        <v>0</v>
      </c>
      <c r="S94" s="141">
        <f t="shared" si="15"/>
        <v>0</v>
      </c>
      <c r="T94" s="139"/>
      <c r="U94" s="142">
        <v>0</v>
      </c>
      <c r="V94" s="142">
        <v>0</v>
      </c>
      <c r="W94" s="142"/>
      <c r="X94" s="139"/>
      <c r="Y94" s="136">
        <f>SUM(T94:X94)</f>
        <v>0</v>
      </c>
      <c r="Z94" s="136">
        <f>+R94+Y94</f>
        <v>0</v>
      </c>
      <c r="AA94" s="137">
        <f>+D94-Z94</f>
        <v>0</v>
      </c>
    </row>
    <row r="95" spans="1:27" s="138" customFormat="1" ht="13.5" customHeight="1">
      <c r="A95" s="215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140">
        <f t="shared" si="14"/>
        <v>0</v>
      </c>
      <c r="S95" s="141">
        <f t="shared" si="15"/>
        <v>0</v>
      </c>
      <c r="T95" s="139"/>
      <c r="U95" s="142">
        <v>0</v>
      </c>
      <c r="V95" s="142">
        <v>0</v>
      </c>
      <c r="W95" s="142"/>
      <c r="X95" s="139"/>
      <c r="Y95" s="136">
        <f>SUM(T95:X95)</f>
        <v>0</v>
      </c>
      <c r="Z95" s="136">
        <f>+R95+Y95</f>
        <v>0</v>
      </c>
      <c r="AA95" s="137">
        <f>+D95-Z95</f>
        <v>0</v>
      </c>
    </row>
    <row r="96" spans="1:27" s="138" customFormat="1" ht="13.5" customHeight="1">
      <c r="A96" s="215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140">
        <f t="shared" si="14"/>
        <v>0</v>
      </c>
      <c r="S96" s="141">
        <f t="shared" si="15"/>
        <v>0</v>
      </c>
      <c r="T96" s="139"/>
      <c r="U96" s="142">
        <v>0</v>
      </c>
      <c r="V96" s="142">
        <v>0</v>
      </c>
      <c r="W96" s="142"/>
      <c r="X96" s="139"/>
      <c r="Y96" s="136">
        <f>SUM(T96:X96)</f>
        <v>0</v>
      </c>
      <c r="Z96" s="136">
        <f>+R96+Y96</f>
        <v>0</v>
      </c>
      <c r="AA96" s="137">
        <f>+D96-Z96</f>
        <v>0</v>
      </c>
    </row>
    <row r="97" spans="1:27" s="138" customFormat="1" ht="13.5" customHeight="1">
      <c r="A97" s="215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40">
        <f t="shared" si="14"/>
        <v>0</v>
      </c>
      <c r="S97" s="141">
        <f t="shared" si="15"/>
        <v>0</v>
      </c>
      <c r="T97" s="139"/>
      <c r="U97" s="142">
        <v>0</v>
      </c>
      <c r="V97" s="142">
        <v>0</v>
      </c>
      <c r="W97" s="142"/>
      <c r="X97" s="139"/>
      <c r="Y97" s="136">
        <f>SUM(T97:X97)</f>
        <v>0</v>
      </c>
      <c r="Z97" s="136">
        <f>+R97+Y97</f>
        <v>0</v>
      </c>
      <c r="AA97" s="137">
        <f>+D97-Z97</f>
        <v>0</v>
      </c>
    </row>
    <row r="98" spans="1:27" s="138" customFormat="1" ht="13.5" customHeight="1">
      <c r="A98" s="215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40">
        <f t="shared" si="14"/>
        <v>0</v>
      </c>
      <c r="S98" s="141">
        <f t="shared" si="15"/>
        <v>0</v>
      </c>
      <c r="T98" s="139"/>
      <c r="U98" s="142">
        <v>0</v>
      </c>
      <c r="V98" s="142">
        <v>0</v>
      </c>
      <c r="W98" s="142"/>
      <c r="X98" s="139"/>
      <c r="Y98" s="136">
        <f>SUM(T98:X98)</f>
        <v>0</v>
      </c>
      <c r="Z98" s="136">
        <f>+R98+Y98</f>
        <v>0</v>
      </c>
      <c r="AA98" s="137">
        <f>+D98-Z98</f>
        <v>0</v>
      </c>
    </row>
    <row r="99" spans="1:27" s="138" customFormat="1" ht="13.5" customHeight="1">
      <c r="A99" s="215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40">
        <f t="shared" si="14"/>
        <v>0</v>
      </c>
      <c r="S99" s="141">
        <f t="shared" si="15"/>
        <v>0</v>
      </c>
      <c r="T99" s="139"/>
      <c r="U99" s="142">
        <v>0</v>
      </c>
      <c r="V99" s="142">
        <v>0</v>
      </c>
      <c r="W99" s="142"/>
      <c r="X99" s="139"/>
      <c r="Y99" s="136">
        <f>SUM(T99:X99)</f>
        <v>0</v>
      </c>
      <c r="Z99" s="136">
        <f>+R99+Y99</f>
        <v>0</v>
      </c>
      <c r="AA99" s="137">
        <f>+D99-Z99</f>
        <v>0</v>
      </c>
    </row>
    <row r="100" spans="1:27" s="138" customFormat="1" ht="13.5" customHeight="1">
      <c r="A100" s="215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140">
        <f t="shared" si="14"/>
        <v>0</v>
      </c>
      <c r="S100" s="141">
        <f t="shared" si="15"/>
        <v>0</v>
      </c>
      <c r="T100" s="139"/>
      <c r="U100" s="142">
        <v>0</v>
      </c>
      <c r="V100" s="142">
        <v>0</v>
      </c>
      <c r="W100" s="142"/>
      <c r="X100" s="139"/>
      <c r="Y100" s="136">
        <f>SUM(T100:X100)</f>
        <v>0</v>
      </c>
      <c r="Z100" s="136">
        <f>+R100+Y100</f>
        <v>0</v>
      </c>
      <c r="AA100" s="137">
        <f>+D100-Z100</f>
        <v>0</v>
      </c>
    </row>
    <row r="101" spans="1:27" s="138" customFormat="1" ht="13.5" customHeight="1">
      <c r="A101" s="215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140">
        <f t="shared" si="14"/>
        <v>0</v>
      </c>
      <c r="S101" s="141">
        <f t="shared" si="15"/>
        <v>0</v>
      </c>
      <c r="T101" s="139"/>
      <c r="U101" s="142">
        <v>0</v>
      </c>
      <c r="V101" s="142">
        <v>0</v>
      </c>
      <c r="W101" s="142"/>
      <c r="X101" s="139"/>
      <c r="Y101" s="136">
        <f>SUM(T101:X101)</f>
        <v>0</v>
      </c>
      <c r="Z101" s="136">
        <f>+R101+Y101</f>
        <v>0</v>
      </c>
      <c r="AA101" s="137">
        <f>+D101-Z101</f>
        <v>0</v>
      </c>
    </row>
    <row r="102" spans="1:27" s="138" customFormat="1" ht="13.5" customHeight="1">
      <c r="A102" s="215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140">
        <f t="shared" si="14"/>
        <v>0</v>
      </c>
      <c r="S102" s="141">
        <f t="shared" si="15"/>
        <v>0</v>
      </c>
      <c r="T102" s="139"/>
      <c r="U102" s="142">
        <v>0</v>
      </c>
      <c r="V102" s="142">
        <v>0</v>
      </c>
      <c r="W102" s="142"/>
      <c r="X102" s="139"/>
      <c r="Y102" s="136">
        <f>SUM(T102:X102)</f>
        <v>0</v>
      </c>
      <c r="Z102" s="136">
        <f>+R102+Y102</f>
        <v>0</v>
      </c>
      <c r="AA102" s="137">
        <f>+D102-Z102</f>
        <v>0</v>
      </c>
    </row>
    <row r="103" spans="1:27" s="138" customFormat="1" ht="13.5" customHeight="1">
      <c r="A103" s="215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140">
        <f t="shared" si="14"/>
        <v>0</v>
      </c>
      <c r="S103" s="141">
        <f t="shared" si="15"/>
        <v>0</v>
      </c>
      <c r="T103" s="139"/>
      <c r="U103" s="142">
        <v>0</v>
      </c>
      <c r="V103" s="142">
        <v>0</v>
      </c>
      <c r="W103" s="142"/>
      <c r="X103" s="139"/>
      <c r="Y103" s="136">
        <f>SUM(T103:X103)</f>
        <v>0</v>
      </c>
      <c r="Z103" s="136">
        <f>+R103+Y103</f>
        <v>0</v>
      </c>
      <c r="AA103" s="137">
        <f>+D103-Z103</f>
        <v>0</v>
      </c>
    </row>
    <row r="104" spans="1:27" s="138" customFormat="1" ht="13.5" customHeight="1">
      <c r="A104" s="215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140">
        <f t="shared" si="14"/>
        <v>0</v>
      </c>
      <c r="S104" s="141">
        <f t="shared" si="15"/>
        <v>0</v>
      </c>
      <c r="T104" s="139"/>
      <c r="U104" s="142">
        <v>0</v>
      </c>
      <c r="V104" s="142">
        <v>0</v>
      </c>
      <c r="W104" s="142"/>
      <c r="X104" s="139"/>
      <c r="Y104" s="136">
        <f>SUM(T104:X104)</f>
        <v>0</v>
      </c>
      <c r="Z104" s="136">
        <f>+R104+Y104</f>
        <v>0</v>
      </c>
      <c r="AA104" s="137">
        <f>+D104-Z104</f>
        <v>0</v>
      </c>
    </row>
    <row r="105" spans="1:27" s="138" customFormat="1" ht="13.5" customHeight="1">
      <c r="A105" s="215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140">
        <f t="shared" si="14"/>
        <v>0</v>
      </c>
      <c r="S105" s="141">
        <f t="shared" si="15"/>
        <v>0</v>
      </c>
      <c r="T105" s="139"/>
      <c r="U105" s="142">
        <v>0</v>
      </c>
      <c r="V105" s="142">
        <v>0</v>
      </c>
      <c r="W105" s="142"/>
      <c r="X105" s="139"/>
      <c r="Y105" s="136">
        <f>SUM(T105:X105)</f>
        <v>0</v>
      </c>
      <c r="Z105" s="136">
        <f>+R105+Y105</f>
        <v>0</v>
      </c>
      <c r="AA105" s="137">
        <f>+D105-Z105</f>
        <v>0</v>
      </c>
    </row>
    <row r="106" spans="1:27" s="138" customFormat="1" ht="13.5" customHeight="1">
      <c r="A106" s="215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140">
        <f t="shared" si="14"/>
        <v>0</v>
      </c>
      <c r="S106" s="141">
        <f t="shared" si="15"/>
        <v>0</v>
      </c>
      <c r="T106" s="139"/>
      <c r="U106" s="142">
        <v>0</v>
      </c>
      <c r="V106" s="142">
        <v>0</v>
      </c>
      <c r="W106" s="142"/>
      <c r="X106" s="139"/>
      <c r="Y106" s="136">
        <f>SUM(T106:X106)</f>
        <v>0</v>
      </c>
      <c r="Z106" s="136">
        <f>+R106+Y106</f>
        <v>0</v>
      </c>
      <c r="AA106" s="137">
        <f>+D106-Z106</f>
        <v>0</v>
      </c>
    </row>
    <row r="107" spans="1:27" s="138" customFormat="1" ht="13.5" customHeight="1">
      <c r="A107" s="215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40">
        <f t="shared" si="14"/>
        <v>0</v>
      </c>
      <c r="S107" s="141">
        <f t="shared" si="15"/>
        <v>0</v>
      </c>
      <c r="T107" s="139"/>
      <c r="U107" s="142">
        <v>0</v>
      </c>
      <c r="V107" s="142">
        <v>0</v>
      </c>
      <c r="W107" s="142"/>
      <c r="X107" s="139"/>
      <c r="Y107" s="136">
        <f>SUM(T107:X107)</f>
        <v>0</v>
      </c>
      <c r="Z107" s="136">
        <f>+R107+Y107</f>
        <v>0</v>
      </c>
      <c r="AA107" s="137">
        <f>+D107-Z107</f>
        <v>0</v>
      </c>
    </row>
    <row r="108" spans="1:27" s="138" customFormat="1" ht="13.5" customHeight="1">
      <c r="A108" s="215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144">
        <f t="shared" si="14"/>
        <v>0</v>
      </c>
      <c r="S108" s="145">
        <f t="shared" si="15"/>
        <v>0</v>
      </c>
      <c r="T108" s="143"/>
      <c r="U108" s="146">
        <v>0</v>
      </c>
      <c r="V108" s="146">
        <v>0</v>
      </c>
      <c r="W108" s="146"/>
      <c r="X108" s="143"/>
      <c r="Y108" s="136">
        <f>SUM(T108:X108)</f>
        <v>0</v>
      </c>
      <c r="Z108" s="136">
        <f>+R108+Y108</f>
        <v>0</v>
      </c>
      <c r="AA108" s="137">
        <f>+D108-Z108</f>
        <v>0</v>
      </c>
    </row>
    <row r="109" spans="1:27" s="138" customFormat="1" ht="13.5" customHeight="1">
      <c r="A109" s="192" t="s">
        <v>68</v>
      </c>
      <c r="B109" s="186"/>
      <c r="C109" s="156"/>
      <c r="D109" s="129">
        <f t="shared" ref="D109:Q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O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3"/>
        <v>0</v>
      </c>
      <c r="L109" s="130">
        <f t="shared" si="23"/>
        <v>0</v>
      </c>
      <c r="M109" s="130">
        <f t="shared" si="23"/>
        <v>0</v>
      </c>
      <c r="N109" s="130">
        <f t="shared" si="23"/>
        <v>0</v>
      </c>
      <c r="O109" s="130">
        <f t="shared" si="23"/>
        <v>0</v>
      </c>
      <c r="P109" s="130">
        <f t="shared" si="22"/>
        <v>0</v>
      </c>
      <c r="Q109" s="130">
        <f t="shared" si="22"/>
        <v>0</v>
      </c>
      <c r="R109" s="107">
        <f t="shared" si="14"/>
        <v>0</v>
      </c>
      <c r="S109" s="107">
        <f t="shared" si="15"/>
        <v>0</v>
      </c>
      <c r="T109" s="130">
        <f t="shared" ref="T109:X109" si="24">SUBTOTAL(9,T110:T125)</f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SUM(T109:X109)</f>
        <v>0</v>
      </c>
      <c r="Z109" s="56">
        <f>+R109+Y109</f>
        <v>0</v>
      </c>
      <c r="AA109" s="131">
        <f>+D109-Z109</f>
        <v>0</v>
      </c>
    </row>
    <row r="110" spans="1:27" s="138" customFormat="1" ht="13.5" customHeight="1">
      <c r="A110" s="215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133">
        <f t="shared" si="14"/>
        <v>0</v>
      </c>
      <c r="S110" s="134">
        <f t="shared" si="15"/>
        <v>0</v>
      </c>
      <c r="T110" s="132"/>
      <c r="U110" s="135">
        <v>0</v>
      </c>
      <c r="V110" s="135">
        <v>0</v>
      </c>
      <c r="W110" s="135"/>
      <c r="X110" s="132"/>
      <c r="Y110" s="136">
        <f>SUM(T110:X110)</f>
        <v>0</v>
      </c>
      <c r="Z110" s="136">
        <f>+R110+Y110</f>
        <v>0</v>
      </c>
      <c r="AA110" s="137">
        <f>+D110-Z110</f>
        <v>0</v>
      </c>
    </row>
    <row r="111" spans="1:27" s="138" customFormat="1" ht="13.5" customHeight="1">
      <c r="A111" s="215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140">
        <f t="shared" si="14"/>
        <v>0</v>
      </c>
      <c r="S111" s="141">
        <f t="shared" si="15"/>
        <v>0</v>
      </c>
      <c r="T111" s="139"/>
      <c r="U111" s="142">
        <v>0</v>
      </c>
      <c r="V111" s="142">
        <v>0</v>
      </c>
      <c r="W111" s="142"/>
      <c r="X111" s="139"/>
      <c r="Y111" s="136">
        <f>SUM(T111:X111)</f>
        <v>0</v>
      </c>
      <c r="Z111" s="136">
        <f>+R111+Y111</f>
        <v>0</v>
      </c>
      <c r="AA111" s="137">
        <f>+D111-Z111</f>
        <v>0</v>
      </c>
    </row>
    <row r="112" spans="1:27" s="138" customFormat="1" ht="13.5" customHeight="1">
      <c r="A112" s="215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140">
        <f t="shared" si="14"/>
        <v>0</v>
      </c>
      <c r="S112" s="141">
        <f t="shared" si="15"/>
        <v>0</v>
      </c>
      <c r="T112" s="139"/>
      <c r="U112" s="142">
        <v>0</v>
      </c>
      <c r="V112" s="142">
        <v>0</v>
      </c>
      <c r="W112" s="142"/>
      <c r="X112" s="139"/>
      <c r="Y112" s="136">
        <f>SUM(T112:X112)</f>
        <v>0</v>
      </c>
      <c r="Z112" s="136">
        <f>+R112+Y112</f>
        <v>0</v>
      </c>
      <c r="AA112" s="137">
        <f>+D112-Z112</f>
        <v>0</v>
      </c>
    </row>
    <row r="113" spans="1:27" s="138" customFormat="1" ht="13.5" customHeight="1">
      <c r="A113" s="215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140">
        <f t="shared" si="14"/>
        <v>0</v>
      </c>
      <c r="S113" s="141">
        <f t="shared" si="15"/>
        <v>0</v>
      </c>
      <c r="T113" s="139"/>
      <c r="U113" s="142">
        <v>0</v>
      </c>
      <c r="V113" s="142">
        <v>0</v>
      </c>
      <c r="W113" s="142"/>
      <c r="X113" s="139"/>
      <c r="Y113" s="136">
        <f>SUM(T113:X113)</f>
        <v>0</v>
      </c>
      <c r="Z113" s="136">
        <f>+R113+Y113</f>
        <v>0</v>
      </c>
      <c r="AA113" s="137">
        <f>+D113-Z113</f>
        <v>0</v>
      </c>
    </row>
    <row r="114" spans="1:27" s="138" customFormat="1" ht="13.5" customHeight="1">
      <c r="A114" s="215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40">
        <f t="shared" si="14"/>
        <v>0</v>
      </c>
      <c r="S114" s="141">
        <f t="shared" si="15"/>
        <v>0</v>
      </c>
      <c r="T114" s="139"/>
      <c r="U114" s="142">
        <v>0</v>
      </c>
      <c r="V114" s="142">
        <v>0</v>
      </c>
      <c r="W114" s="142"/>
      <c r="X114" s="139"/>
      <c r="Y114" s="136">
        <f>SUM(T114:X114)</f>
        <v>0</v>
      </c>
      <c r="Z114" s="136">
        <f>+R114+Y114</f>
        <v>0</v>
      </c>
      <c r="AA114" s="137">
        <f>+D114-Z114</f>
        <v>0</v>
      </c>
    </row>
    <row r="115" spans="1:27" s="138" customFormat="1" ht="13.5" customHeight="1">
      <c r="A115" s="215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40">
        <f t="shared" si="14"/>
        <v>0</v>
      </c>
      <c r="S115" s="141">
        <f t="shared" si="15"/>
        <v>0</v>
      </c>
      <c r="T115" s="139"/>
      <c r="U115" s="142">
        <v>0</v>
      </c>
      <c r="V115" s="142">
        <v>0</v>
      </c>
      <c r="W115" s="142"/>
      <c r="X115" s="139"/>
      <c r="Y115" s="136">
        <f>SUM(T115:X115)</f>
        <v>0</v>
      </c>
      <c r="Z115" s="136">
        <f>+R115+Y115</f>
        <v>0</v>
      </c>
      <c r="AA115" s="137">
        <f>+D115-Z115</f>
        <v>0</v>
      </c>
    </row>
    <row r="116" spans="1:27" s="138" customFormat="1" ht="13.5" customHeight="1">
      <c r="A116" s="215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40">
        <f t="shared" si="14"/>
        <v>0</v>
      </c>
      <c r="S116" s="141">
        <f t="shared" si="15"/>
        <v>0</v>
      </c>
      <c r="T116" s="139"/>
      <c r="U116" s="142">
        <v>0</v>
      </c>
      <c r="V116" s="142">
        <v>0</v>
      </c>
      <c r="W116" s="142"/>
      <c r="X116" s="139"/>
      <c r="Y116" s="136">
        <f>SUM(T116:X116)</f>
        <v>0</v>
      </c>
      <c r="Z116" s="136">
        <f>+R116+Y116</f>
        <v>0</v>
      </c>
      <c r="AA116" s="137">
        <f>+D116-Z116</f>
        <v>0</v>
      </c>
    </row>
    <row r="117" spans="1:27" s="138" customFormat="1" ht="13.5" customHeight="1">
      <c r="A117" s="215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140">
        <f t="shared" si="14"/>
        <v>0</v>
      </c>
      <c r="S117" s="141">
        <f t="shared" si="15"/>
        <v>0</v>
      </c>
      <c r="T117" s="139"/>
      <c r="U117" s="142">
        <v>0</v>
      </c>
      <c r="V117" s="142">
        <v>0</v>
      </c>
      <c r="W117" s="142"/>
      <c r="X117" s="139"/>
      <c r="Y117" s="136">
        <f>SUM(T117:X117)</f>
        <v>0</v>
      </c>
      <c r="Z117" s="136">
        <f>+R117+Y117</f>
        <v>0</v>
      </c>
      <c r="AA117" s="137">
        <f>+D117-Z117</f>
        <v>0</v>
      </c>
    </row>
    <row r="118" spans="1:27" s="138" customFormat="1" ht="13.5" customHeight="1">
      <c r="A118" s="215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140">
        <f t="shared" si="14"/>
        <v>0</v>
      </c>
      <c r="S118" s="141">
        <f t="shared" si="15"/>
        <v>0</v>
      </c>
      <c r="T118" s="139"/>
      <c r="U118" s="142">
        <v>0</v>
      </c>
      <c r="V118" s="142">
        <v>0</v>
      </c>
      <c r="W118" s="142"/>
      <c r="X118" s="139"/>
      <c r="Y118" s="136">
        <f>SUM(T118:X118)</f>
        <v>0</v>
      </c>
      <c r="Z118" s="136">
        <f>+R118+Y118</f>
        <v>0</v>
      </c>
      <c r="AA118" s="137">
        <f>+D118-Z118</f>
        <v>0</v>
      </c>
    </row>
    <row r="119" spans="1:27" s="138" customFormat="1" ht="13.5" customHeight="1">
      <c r="A119" s="215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140">
        <f t="shared" si="14"/>
        <v>0</v>
      </c>
      <c r="S119" s="141">
        <f t="shared" si="15"/>
        <v>0</v>
      </c>
      <c r="T119" s="139"/>
      <c r="U119" s="142">
        <v>0</v>
      </c>
      <c r="V119" s="142">
        <v>0</v>
      </c>
      <c r="W119" s="142"/>
      <c r="X119" s="139"/>
      <c r="Y119" s="136">
        <f>SUM(T119:X119)</f>
        <v>0</v>
      </c>
      <c r="Z119" s="136">
        <f>+R119+Y119</f>
        <v>0</v>
      </c>
      <c r="AA119" s="137">
        <f>+D119-Z119</f>
        <v>0</v>
      </c>
    </row>
    <row r="120" spans="1:27" s="138" customFormat="1" ht="13.5" customHeight="1">
      <c r="A120" s="215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140">
        <f t="shared" si="14"/>
        <v>0</v>
      </c>
      <c r="S120" s="141">
        <f t="shared" si="15"/>
        <v>0</v>
      </c>
      <c r="T120" s="139"/>
      <c r="U120" s="142">
        <v>0</v>
      </c>
      <c r="V120" s="142">
        <v>0</v>
      </c>
      <c r="W120" s="142"/>
      <c r="X120" s="139"/>
      <c r="Y120" s="136">
        <f>SUM(T120:X120)</f>
        <v>0</v>
      </c>
      <c r="Z120" s="136">
        <f>+R120+Y120</f>
        <v>0</v>
      </c>
      <c r="AA120" s="137">
        <f>+D120-Z120</f>
        <v>0</v>
      </c>
    </row>
    <row r="121" spans="1:27" s="138" customFormat="1" ht="13.5" customHeight="1">
      <c r="A121" s="215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140">
        <f t="shared" si="14"/>
        <v>0</v>
      </c>
      <c r="S121" s="141">
        <f t="shared" si="15"/>
        <v>0</v>
      </c>
      <c r="T121" s="139"/>
      <c r="U121" s="142">
        <v>0</v>
      </c>
      <c r="V121" s="142">
        <v>0</v>
      </c>
      <c r="W121" s="142"/>
      <c r="X121" s="139"/>
      <c r="Y121" s="136">
        <f>SUM(T121:X121)</f>
        <v>0</v>
      </c>
      <c r="Z121" s="136">
        <f>+R121+Y121</f>
        <v>0</v>
      </c>
      <c r="AA121" s="137">
        <f>+D121-Z121</f>
        <v>0</v>
      </c>
    </row>
    <row r="122" spans="1:27" s="138" customFormat="1" ht="13.5" customHeight="1">
      <c r="A122" s="215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140">
        <f t="shared" si="14"/>
        <v>0</v>
      </c>
      <c r="S122" s="141">
        <f t="shared" si="15"/>
        <v>0</v>
      </c>
      <c r="T122" s="139"/>
      <c r="U122" s="142">
        <v>0</v>
      </c>
      <c r="V122" s="142">
        <v>0</v>
      </c>
      <c r="W122" s="142"/>
      <c r="X122" s="139"/>
      <c r="Y122" s="136">
        <f>SUM(T122:X122)</f>
        <v>0</v>
      </c>
      <c r="Z122" s="136">
        <f>+R122+Y122</f>
        <v>0</v>
      </c>
      <c r="AA122" s="137">
        <f>+D122-Z122</f>
        <v>0</v>
      </c>
    </row>
    <row r="123" spans="1:27" s="138" customFormat="1" ht="13.5" customHeight="1">
      <c r="A123" s="215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140">
        <f t="shared" si="14"/>
        <v>0</v>
      </c>
      <c r="S123" s="141">
        <f t="shared" si="15"/>
        <v>0</v>
      </c>
      <c r="T123" s="139"/>
      <c r="U123" s="142">
        <v>0</v>
      </c>
      <c r="V123" s="142">
        <v>0</v>
      </c>
      <c r="W123" s="142"/>
      <c r="X123" s="139"/>
      <c r="Y123" s="136">
        <f>SUM(T123:X123)</f>
        <v>0</v>
      </c>
      <c r="Z123" s="136">
        <f>+R123+Y123</f>
        <v>0</v>
      </c>
      <c r="AA123" s="137">
        <f>+D123-Z123</f>
        <v>0</v>
      </c>
    </row>
    <row r="124" spans="1:27" s="138" customFormat="1" ht="13.5" customHeight="1">
      <c r="A124" s="215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40">
        <f t="shared" si="14"/>
        <v>0</v>
      </c>
      <c r="S124" s="141">
        <f t="shared" si="15"/>
        <v>0</v>
      </c>
      <c r="T124" s="139"/>
      <c r="U124" s="142">
        <v>0</v>
      </c>
      <c r="V124" s="142">
        <v>0</v>
      </c>
      <c r="W124" s="142"/>
      <c r="X124" s="139"/>
      <c r="Y124" s="136">
        <f>SUM(T124:X124)</f>
        <v>0</v>
      </c>
      <c r="Z124" s="136">
        <f>+R124+Y124</f>
        <v>0</v>
      </c>
      <c r="AA124" s="137">
        <f>+D124-Z124</f>
        <v>0</v>
      </c>
    </row>
    <row r="125" spans="1:27" s="138" customFormat="1" ht="13.5" customHeight="1">
      <c r="A125" s="215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144">
        <f t="shared" si="14"/>
        <v>0</v>
      </c>
      <c r="S125" s="145">
        <f t="shared" si="15"/>
        <v>0</v>
      </c>
      <c r="T125" s="143"/>
      <c r="U125" s="146">
        <v>0</v>
      </c>
      <c r="V125" s="146">
        <v>0</v>
      </c>
      <c r="W125" s="146"/>
      <c r="X125" s="143"/>
      <c r="Y125" s="136">
        <f>SUM(T125:X125)</f>
        <v>0</v>
      </c>
      <c r="Z125" s="136">
        <f>+R125+Y125</f>
        <v>0</v>
      </c>
      <c r="AA125" s="137">
        <f>+D125-Z125</f>
        <v>0</v>
      </c>
    </row>
    <row r="126" spans="1:27" s="138" customFormat="1" ht="13.5" customHeight="1">
      <c r="A126" s="192" t="s">
        <v>69</v>
      </c>
      <c r="B126" s="186"/>
      <c r="C126" s="156"/>
      <c r="D126" s="129">
        <f t="shared" ref="D126:Q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O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6"/>
        <v>0</v>
      </c>
      <c r="L126" s="130">
        <f t="shared" si="26"/>
        <v>0</v>
      </c>
      <c r="M126" s="130">
        <f t="shared" si="26"/>
        <v>0</v>
      </c>
      <c r="N126" s="130">
        <f t="shared" si="26"/>
        <v>0</v>
      </c>
      <c r="O126" s="130">
        <f t="shared" si="26"/>
        <v>0</v>
      </c>
      <c r="P126" s="130">
        <f t="shared" si="25"/>
        <v>0</v>
      </c>
      <c r="Q126" s="130">
        <f t="shared" si="25"/>
        <v>0</v>
      </c>
      <c r="R126" s="107">
        <f t="shared" si="14"/>
        <v>0</v>
      </c>
      <c r="S126" s="107">
        <f t="shared" si="15"/>
        <v>0</v>
      </c>
      <c r="T126" s="130">
        <f t="shared" ref="T126:X126" si="27">SUBTOTAL(9,T127:T142)</f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SUM(T126:X126)</f>
        <v>0</v>
      </c>
      <c r="Z126" s="56">
        <f>+R126+Y126</f>
        <v>0</v>
      </c>
      <c r="AA126" s="131">
        <f>+D126-Z126</f>
        <v>0</v>
      </c>
    </row>
    <row r="127" spans="1:27" s="138" customFormat="1" ht="13.5" customHeight="1">
      <c r="A127" s="215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133">
        <f t="shared" si="14"/>
        <v>0</v>
      </c>
      <c r="S127" s="134">
        <f t="shared" si="15"/>
        <v>0</v>
      </c>
      <c r="T127" s="132"/>
      <c r="U127" s="135">
        <v>0</v>
      </c>
      <c r="V127" s="135">
        <v>0</v>
      </c>
      <c r="W127" s="135"/>
      <c r="X127" s="132"/>
      <c r="Y127" s="136">
        <f>SUM(T127:X127)</f>
        <v>0</v>
      </c>
      <c r="Z127" s="136">
        <f>+R127+Y127</f>
        <v>0</v>
      </c>
      <c r="AA127" s="137">
        <f>+D127-Z127</f>
        <v>0</v>
      </c>
    </row>
    <row r="128" spans="1:27" s="138" customFormat="1" ht="13.5" customHeight="1">
      <c r="A128" s="215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140">
        <f t="shared" si="14"/>
        <v>0</v>
      </c>
      <c r="S128" s="141">
        <f t="shared" si="15"/>
        <v>0</v>
      </c>
      <c r="T128" s="139"/>
      <c r="U128" s="142">
        <v>0</v>
      </c>
      <c r="V128" s="142">
        <v>0</v>
      </c>
      <c r="W128" s="142"/>
      <c r="X128" s="139"/>
      <c r="Y128" s="136">
        <f>SUM(T128:X128)</f>
        <v>0</v>
      </c>
      <c r="Z128" s="136">
        <f>+R128+Y128</f>
        <v>0</v>
      </c>
      <c r="AA128" s="137">
        <f>+D128-Z128</f>
        <v>0</v>
      </c>
    </row>
    <row r="129" spans="1:27" s="138" customFormat="1" ht="13.5" customHeight="1">
      <c r="A129" s="215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140">
        <f t="shared" si="14"/>
        <v>0</v>
      </c>
      <c r="S129" s="141">
        <f t="shared" si="15"/>
        <v>0</v>
      </c>
      <c r="T129" s="139"/>
      <c r="U129" s="142">
        <v>0</v>
      </c>
      <c r="V129" s="142">
        <v>0</v>
      </c>
      <c r="W129" s="142"/>
      <c r="X129" s="139"/>
      <c r="Y129" s="136">
        <f>SUM(T129:X129)</f>
        <v>0</v>
      </c>
      <c r="Z129" s="136">
        <f>+R129+Y129</f>
        <v>0</v>
      </c>
      <c r="AA129" s="137">
        <f>+D129-Z129</f>
        <v>0</v>
      </c>
    </row>
    <row r="130" spans="1:27" s="138" customFormat="1" ht="13.5" customHeight="1">
      <c r="A130" s="215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140">
        <f t="shared" si="14"/>
        <v>0</v>
      </c>
      <c r="S130" s="141">
        <f t="shared" si="15"/>
        <v>0</v>
      </c>
      <c r="T130" s="139"/>
      <c r="U130" s="142">
        <v>0</v>
      </c>
      <c r="V130" s="142">
        <v>0</v>
      </c>
      <c r="W130" s="142"/>
      <c r="X130" s="139"/>
      <c r="Y130" s="136">
        <f>SUM(T130:X130)</f>
        <v>0</v>
      </c>
      <c r="Z130" s="136">
        <f>+R130+Y130</f>
        <v>0</v>
      </c>
      <c r="AA130" s="137">
        <f>+D130-Z130</f>
        <v>0</v>
      </c>
    </row>
    <row r="131" spans="1:27" s="138" customFormat="1" ht="13.5" customHeight="1">
      <c r="A131" s="215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40">
        <f t="shared" si="14"/>
        <v>0</v>
      </c>
      <c r="S131" s="141">
        <f t="shared" si="15"/>
        <v>0</v>
      </c>
      <c r="T131" s="139"/>
      <c r="U131" s="142">
        <v>0</v>
      </c>
      <c r="V131" s="142">
        <v>0</v>
      </c>
      <c r="W131" s="142"/>
      <c r="X131" s="139"/>
      <c r="Y131" s="136">
        <f>SUM(T131:X131)</f>
        <v>0</v>
      </c>
      <c r="Z131" s="136">
        <f>+R131+Y131</f>
        <v>0</v>
      </c>
      <c r="AA131" s="137">
        <f>+D131-Z131</f>
        <v>0</v>
      </c>
    </row>
    <row r="132" spans="1:27" s="138" customFormat="1" ht="13.5" customHeight="1">
      <c r="A132" s="215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40">
        <f t="shared" si="14"/>
        <v>0</v>
      </c>
      <c r="S132" s="141">
        <f t="shared" si="15"/>
        <v>0</v>
      </c>
      <c r="T132" s="139"/>
      <c r="U132" s="142">
        <v>0</v>
      </c>
      <c r="V132" s="142">
        <v>0</v>
      </c>
      <c r="W132" s="142"/>
      <c r="X132" s="139"/>
      <c r="Y132" s="136">
        <f>SUM(T132:X132)</f>
        <v>0</v>
      </c>
      <c r="Z132" s="136">
        <f>+R132+Y132</f>
        <v>0</v>
      </c>
      <c r="AA132" s="137">
        <f>+D132-Z132</f>
        <v>0</v>
      </c>
    </row>
    <row r="133" spans="1:27" s="138" customFormat="1" ht="13.5" customHeight="1">
      <c r="A133" s="215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40">
        <f t="shared" si="14"/>
        <v>0</v>
      </c>
      <c r="S133" s="141">
        <f t="shared" si="15"/>
        <v>0</v>
      </c>
      <c r="T133" s="139"/>
      <c r="U133" s="142">
        <v>0</v>
      </c>
      <c r="V133" s="142">
        <v>0</v>
      </c>
      <c r="W133" s="142"/>
      <c r="X133" s="139"/>
      <c r="Y133" s="136">
        <f>SUM(T133:X133)</f>
        <v>0</v>
      </c>
      <c r="Z133" s="136">
        <f>+R133+Y133</f>
        <v>0</v>
      </c>
      <c r="AA133" s="137">
        <f>+D133-Z133</f>
        <v>0</v>
      </c>
    </row>
    <row r="134" spans="1:27" s="138" customFormat="1" ht="13.5" customHeight="1">
      <c r="A134" s="215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140">
        <f t="shared" ref="R134:R197" si="28">SUM(G134:Q134)</f>
        <v>0</v>
      </c>
      <c r="S134" s="141">
        <f t="shared" ref="S134:S197" si="29">D134-R134</f>
        <v>0</v>
      </c>
      <c r="T134" s="139"/>
      <c r="U134" s="142">
        <v>0</v>
      </c>
      <c r="V134" s="142">
        <v>0</v>
      </c>
      <c r="W134" s="142"/>
      <c r="X134" s="139"/>
      <c r="Y134" s="136">
        <f>SUM(T134:X134)</f>
        <v>0</v>
      </c>
      <c r="Z134" s="136">
        <f>+R134+Y134</f>
        <v>0</v>
      </c>
      <c r="AA134" s="137">
        <f>+D134-Z134</f>
        <v>0</v>
      </c>
    </row>
    <row r="135" spans="1:27" s="138" customFormat="1" ht="13.5" customHeight="1">
      <c r="A135" s="215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140">
        <f t="shared" si="28"/>
        <v>0</v>
      </c>
      <c r="S135" s="141">
        <f t="shared" si="29"/>
        <v>0</v>
      </c>
      <c r="T135" s="139"/>
      <c r="U135" s="142">
        <v>0</v>
      </c>
      <c r="V135" s="142">
        <v>0</v>
      </c>
      <c r="W135" s="142"/>
      <c r="X135" s="139"/>
      <c r="Y135" s="136">
        <f>SUM(T135:X135)</f>
        <v>0</v>
      </c>
      <c r="Z135" s="136">
        <f>+R135+Y135</f>
        <v>0</v>
      </c>
      <c r="AA135" s="137">
        <f>+D135-Z135</f>
        <v>0</v>
      </c>
    </row>
    <row r="136" spans="1:27" s="138" customFormat="1" ht="13.5" customHeight="1">
      <c r="A136" s="215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140">
        <f t="shared" si="28"/>
        <v>0</v>
      </c>
      <c r="S136" s="141">
        <f t="shared" si="29"/>
        <v>0</v>
      </c>
      <c r="T136" s="139"/>
      <c r="U136" s="142">
        <v>0</v>
      </c>
      <c r="V136" s="142">
        <v>0</v>
      </c>
      <c r="W136" s="142"/>
      <c r="X136" s="139"/>
      <c r="Y136" s="136">
        <f>SUM(T136:X136)</f>
        <v>0</v>
      </c>
      <c r="Z136" s="136">
        <f>+R136+Y136</f>
        <v>0</v>
      </c>
      <c r="AA136" s="137">
        <f>+D136-Z136</f>
        <v>0</v>
      </c>
    </row>
    <row r="137" spans="1:27" s="138" customFormat="1" ht="13.5" customHeight="1">
      <c r="A137" s="215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140">
        <f t="shared" si="28"/>
        <v>0</v>
      </c>
      <c r="S137" s="141">
        <f t="shared" si="29"/>
        <v>0</v>
      </c>
      <c r="T137" s="139"/>
      <c r="U137" s="142">
        <v>0</v>
      </c>
      <c r="V137" s="142">
        <v>0</v>
      </c>
      <c r="W137" s="142"/>
      <c r="X137" s="139"/>
      <c r="Y137" s="136">
        <f>SUM(T137:X137)</f>
        <v>0</v>
      </c>
      <c r="Z137" s="136">
        <f>+R137+Y137</f>
        <v>0</v>
      </c>
      <c r="AA137" s="137">
        <f>+D137-Z137</f>
        <v>0</v>
      </c>
    </row>
    <row r="138" spans="1:27" s="138" customFormat="1" ht="13.5" customHeight="1">
      <c r="A138" s="215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140">
        <f t="shared" si="28"/>
        <v>0</v>
      </c>
      <c r="S138" s="141">
        <f t="shared" si="29"/>
        <v>0</v>
      </c>
      <c r="T138" s="139"/>
      <c r="U138" s="142">
        <v>0</v>
      </c>
      <c r="V138" s="142">
        <v>0</v>
      </c>
      <c r="W138" s="142"/>
      <c r="X138" s="139"/>
      <c r="Y138" s="136">
        <f>SUM(T138:X138)</f>
        <v>0</v>
      </c>
      <c r="Z138" s="136">
        <f>+R138+Y138</f>
        <v>0</v>
      </c>
      <c r="AA138" s="137">
        <f>+D138-Z138</f>
        <v>0</v>
      </c>
    </row>
    <row r="139" spans="1:27" s="138" customFormat="1" ht="13.5" customHeight="1">
      <c r="A139" s="215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140">
        <f t="shared" si="28"/>
        <v>0</v>
      </c>
      <c r="S139" s="141">
        <f t="shared" si="29"/>
        <v>0</v>
      </c>
      <c r="T139" s="139"/>
      <c r="U139" s="142">
        <v>0</v>
      </c>
      <c r="V139" s="142">
        <v>0</v>
      </c>
      <c r="W139" s="142"/>
      <c r="X139" s="139"/>
      <c r="Y139" s="136">
        <f>SUM(T139:X139)</f>
        <v>0</v>
      </c>
      <c r="Z139" s="136">
        <f>+R139+Y139</f>
        <v>0</v>
      </c>
      <c r="AA139" s="137">
        <f>+D139-Z139</f>
        <v>0</v>
      </c>
    </row>
    <row r="140" spans="1:27" s="138" customFormat="1" ht="13.5" customHeight="1">
      <c r="A140" s="215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140">
        <f t="shared" si="28"/>
        <v>0</v>
      </c>
      <c r="S140" s="141">
        <f t="shared" si="29"/>
        <v>0</v>
      </c>
      <c r="T140" s="139"/>
      <c r="U140" s="142">
        <v>0</v>
      </c>
      <c r="V140" s="142">
        <v>0</v>
      </c>
      <c r="W140" s="142"/>
      <c r="X140" s="139"/>
      <c r="Y140" s="136">
        <f>SUM(T140:X140)</f>
        <v>0</v>
      </c>
      <c r="Z140" s="136">
        <f>+R140+Y140</f>
        <v>0</v>
      </c>
      <c r="AA140" s="137">
        <f>+D140-Z140</f>
        <v>0</v>
      </c>
    </row>
    <row r="141" spans="1:27" s="138" customFormat="1" ht="13.5" customHeight="1">
      <c r="A141" s="215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40">
        <f t="shared" si="28"/>
        <v>0</v>
      </c>
      <c r="S141" s="141">
        <f t="shared" si="29"/>
        <v>0</v>
      </c>
      <c r="T141" s="139"/>
      <c r="U141" s="142">
        <v>0</v>
      </c>
      <c r="V141" s="142">
        <v>0</v>
      </c>
      <c r="W141" s="142"/>
      <c r="X141" s="139"/>
      <c r="Y141" s="136">
        <f>SUM(T141:X141)</f>
        <v>0</v>
      </c>
      <c r="Z141" s="136">
        <f>+R141+Y141</f>
        <v>0</v>
      </c>
      <c r="AA141" s="137">
        <f>+D141-Z141</f>
        <v>0</v>
      </c>
    </row>
    <row r="142" spans="1:27" s="138" customFormat="1" ht="13.5" customHeight="1">
      <c r="A142" s="215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144">
        <f t="shared" si="28"/>
        <v>0</v>
      </c>
      <c r="S142" s="145">
        <f t="shared" si="29"/>
        <v>0</v>
      </c>
      <c r="T142" s="143"/>
      <c r="U142" s="146">
        <v>0</v>
      </c>
      <c r="V142" s="146">
        <v>0</v>
      </c>
      <c r="W142" s="146"/>
      <c r="X142" s="143"/>
      <c r="Y142" s="136">
        <f>SUM(T142:X142)</f>
        <v>0</v>
      </c>
      <c r="Z142" s="136">
        <f>+R142+Y142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Q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O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1"/>
        <v>0</v>
      </c>
      <c r="L143" s="130">
        <f t="shared" si="31"/>
        <v>0</v>
      </c>
      <c r="M143" s="130">
        <f t="shared" si="31"/>
        <v>0</v>
      </c>
      <c r="N143" s="130">
        <f t="shared" si="31"/>
        <v>0</v>
      </c>
      <c r="O143" s="130">
        <f t="shared" si="31"/>
        <v>0</v>
      </c>
      <c r="P143" s="130">
        <f t="shared" si="30"/>
        <v>0</v>
      </c>
      <c r="Q143" s="130">
        <f t="shared" si="30"/>
        <v>0</v>
      </c>
      <c r="R143" s="107">
        <f t="shared" si="28"/>
        <v>0</v>
      </c>
      <c r="S143" s="107">
        <f t="shared" si="29"/>
        <v>0</v>
      </c>
      <c r="T143" s="130">
        <f t="shared" ref="T143:X143" si="32">SUBTOTAL(9,T144:T159)</f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SUM(T143:X143)</f>
        <v>0</v>
      </c>
      <c r="Z143" s="56">
        <f>+R143+Y143</f>
        <v>0</v>
      </c>
      <c r="AA143" s="131">
        <f>+D143-Z143</f>
        <v>0</v>
      </c>
    </row>
    <row r="144" spans="1:27" s="138" customFormat="1" ht="13.5" customHeight="1">
      <c r="A144" s="207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159">
        <f t="shared" si="28"/>
        <v>0</v>
      </c>
      <c r="S144" s="160">
        <f t="shared" si="29"/>
        <v>0</v>
      </c>
      <c r="T144" s="158"/>
      <c r="U144" s="161">
        <v>0</v>
      </c>
      <c r="V144" s="161">
        <v>0</v>
      </c>
      <c r="W144" s="161"/>
      <c r="X144" s="158"/>
      <c r="Y144" s="162">
        <f>SUM(T144:X144)</f>
        <v>0</v>
      </c>
      <c r="Z144" s="162">
        <f>+R144+Y144</f>
        <v>0</v>
      </c>
      <c r="AA144" s="163">
        <f>+D144-Z144</f>
        <v>0</v>
      </c>
    </row>
    <row r="145" spans="1:27" s="138" customFormat="1" ht="13.5" customHeight="1">
      <c r="A145" s="207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165">
        <f t="shared" si="28"/>
        <v>0</v>
      </c>
      <c r="S145" s="166">
        <f t="shared" si="29"/>
        <v>0</v>
      </c>
      <c r="T145" s="164"/>
      <c r="U145" s="167">
        <v>0</v>
      </c>
      <c r="V145" s="167">
        <v>0</v>
      </c>
      <c r="W145" s="167"/>
      <c r="X145" s="164"/>
      <c r="Y145" s="162">
        <f>SUM(T145:X145)</f>
        <v>0</v>
      </c>
      <c r="Z145" s="162">
        <f>+R145+Y145</f>
        <v>0</v>
      </c>
      <c r="AA145" s="163">
        <f>+D145-Z145</f>
        <v>0</v>
      </c>
    </row>
    <row r="146" spans="1:27" s="138" customFormat="1" ht="13.5" customHeight="1">
      <c r="A146" s="207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165">
        <f t="shared" si="28"/>
        <v>0</v>
      </c>
      <c r="S146" s="166">
        <f t="shared" si="29"/>
        <v>0</v>
      </c>
      <c r="T146" s="164"/>
      <c r="U146" s="167">
        <v>0</v>
      </c>
      <c r="V146" s="167">
        <v>0</v>
      </c>
      <c r="W146" s="167"/>
      <c r="X146" s="164"/>
      <c r="Y146" s="162">
        <f>SUM(T146:X146)</f>
        <v>0</v>
      </c>
      <c r="Z146" s="162">
        <f>+R146+Y146</f>
        <v>0</v>
      </c>
      <c r="AA146" s="163">
        <f>+D146-Z146</f>
        <v>0</v>
      </c>
    </row>
    <row r="147" spans="1:27" s="138" customFormat="1" ht="13.5" customHeight="1">
      <c r="A147" s="207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165">
        <f t="shared" si="28"/>
        <v>0</v>
      </c>
      <c r="S147" s="166">
        <f t="shared" si="29"/>
        <v>0</v>
      </c>
      <c r="T147" s="164"/>
      <c r="U147" s="167">
        <v>0</v>
      </c>
      <c r="V147" s="167">
        <v>0</v>
      </c>
      <c r="W147" s="167"/>
      <c r="X147" s="164"/>
      <c r="Y147" s="162">
        <f>SUM(T147:X147)</f>
        <v>0</v>
      </c>
      <c r="Z147" s="162">
        <f>+R147+Y147</f>
        <v>0</v>
      </c>
      <c r="AA147" s="163">
        <f>+D147-Z147</f>
        <v>0</v>
      </c>
    </row>
    <row r="148" spans="1:27" s="138" customFormat="1" ht="13.5" customHeight="1">
      <c r="A148" s="207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165">
        <f t="shared" si="28"/>
        <v>0</v>
      </c>
      <c r="S148" s="166">
        <f t="shared" si="29"/>
        <v>0</v>
      </c>
      <c r="T148" s="164"/>
      <c r="U148" s="167">
        <v>0</v>
      </c>
      <c r="V148" s="167">
        <v>0</v>
      </c>
      <c r="W148" s="167"/>
      <c r="X148" s="164"/>
      <c r="Y148" s="162">
        <f>SUM(T148:X148)</f>
        <v>0</v>
      </c>
      <c r="Z148" s="162">
        <f>+R148+Y148</f>
        <v>0</v>
      </c>
      <c r="AA148" s="163">
        <f>+D148-Z148</f>
        <v>0</v>
      </c>
    </row>
    <row r="149" spans="1:27" s="138" customFormat="1" ht="13.5" customHeight="1">
      <c r="A149" s="207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165">
        <f t="shared" si="28"/>
        <v>0</v>
      </c>
      <c r="S149" s="166">
        <f t="shared" si="29"/>
        <v>0</v>
      </c>
      <c r="T149" s="164"/>
      <c r="U149" s="167">
        <v>0</v>
      </c>
      <c r="V149" s="167">
        <v>0</v>
      </c>
      <c r="W149" s="167"/>
      <c r="X149" s="164"/>
      <c r="Y149" s="162">
        <f>SUM(T149:X149)</f>
        <v>0</v>
      </c>
      <c r="Z149" s="162">
        <f>+R149+Y149</f>
        <v>0</v>
      </c>
      <c r="AA149" s="163">
        <f>+D149-Z149</f>
        <v>0</v>
      </c>
    </row>
    <row r="150" spans="1:27" s="138" customFormat="1" ht="13.5" customHeight="1">
      <c r="A150" s="207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165">
        <f t="shared" si="28"/>
        <v>0</v>
      </c>
      <c r="S150" s="166">
        <f t="shared" si="29"/>
        <v>0</v>
      </c>
      <c r="T150" s="164"/>
      <c r="U150" s="167">
        <v>0</v>
      </c>
      <c r="V150" s="167">
        <v>0</v>
      </c>
      <c r="W150" s="167"/>
      <c r="X150" s="164"/>
      <c r="Y150" s="162">
        <f>SUM(T150:X150)</f>
        <v>0</v>
      </c>
      <c r="Z150" s="162">
        <f>+R150+Y150</f>
        <v>0</v>
      </c>
      <c r="AA150" s="163">
        <f>+D150-Z150</f>
        <v>0</v>
      </c>
    </row>
    <row r="151" spans="1:27" s="138" customFormat="1" ht="13.5" customHeight="1">
      <c r="A151" s="207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165">
        <f t="shared" si="28"/>
        <v>0</v>
      </c>
      <c r="S151" s="166">
        <f t="shared" si="29"/>
        <v>0</v>
      </c>
      <c r="T151" s="164"/>
      <c r="U151" s="167">
        <v>0</v>
      </c>
      <c r="V151" s="167">
        <v>0</v>
      </c>
      <c r="W151" s="167"/>
      <c r="X151" s="164"/>
      <c r="Y151" s="162">
        <f>SUM(T151:X151)</f>
        <v>0</v>
      </c>
      <c r="Z151" s="162">
        <f>+R151+Y151</f>
        <v>0</v>
      </c>
      <c r="AA151" s="163">
        <f>+D151-Z151</f>
        <v>0</v>
      </c>
    </row>
    <row r="152" spans="1:27" s="138" customFormat="1" ht="13.5" customHeight="1">
      <c r="A152" s="207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165">
        <f t="shared" si="28"/>
        <v>0</v>
      </c>
      <c r="S152" s="166">
        <f t="shared" si="29"/>
        <v>0</v>
      </c>
      <c r="T152" s="164"/>
      <c r="U152" s="167">
        <v>0</v>
      </c>
      <c r="V152" s="167">
        <v>0</v>
      </c>
      <c r="W152" s="167"/>
      <c r="X152" s="164"/>
      <c r="Y152" s="162">
        <f>SUM(T152:X152)</f>
        <v>0</v>
      </c>
      <c r="Z152" s="162">
        <f>+R152+Y152</f>
        <v>0</v>
      </c>
      <c r="AA152" s="163">
        <f>+D152-Z152</f>
        <v>0</v>
      </c>
    </row>
    <row r="153" spans="1:27" s="138" customFormat="1" ht="13.5" customHeight="1">
      <c r="A153" s="207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165">
        <f t="shared" si="28"/>
        <v>0</v>
      </c>
      <c r="S153" s="166">
        <f t="shared" si="29"/>
        <v>0</v>
      </c>
      <c r="T153" s="164"/>
      <c r="U153" s="167">
        <v>0</v>
      </c>
      <c r="V153" s="167">
        <v>0</v>
      </c>
      <c r="W153" s="167"/>
      <c r="X153" s="164"/>
      <c r="Y153" s="162">
        <f>SUM(T153:X153)</f>
        <v>0</v>
      </c>
      <c r="Z153" s="162">
        <f>+R153+Y153</f>
        <v>0</v>
      </c>
      <c r="AA153" s="163">
        <f>+D153-Z153</f>
        <v>0</v>
      </c>
    </row>
    <row r="154" spans="1:27" s="138" customFormat="1" ht="13.5" customHeight="1">
      <c r="A154" s="207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165">
        <f t="shared" si="28"/>
        <v>0</v>
      </c>
      <c r="S154" s="166">
        <f t="shared" si="29"/>
        <v>0</v>
      </c>
      <c r="T154" s="164"/>
      <c r="U154" s="167">
        <v>0</v>
      </c>
      <c r="V154" s="167">
        <v>0</v>
      </c>
      <c r="W154" s="167"/>
      <c r="X154" s="164"/>
      <c r="Y154" s="162">
        <f>SUM(T154:X154)</f>
        <v>0</v>
      </c>
      <c r="Z154" s="162">
        <f>+R154+Y154</f>
        <v>0</v>
      </c>
      <c r="AA154" s="163">
        <f>+D154-Z154</f>
        <v>0</v>
      </c>
    </row>
    <row r="155" spans="1:27" s="138" customFormat="1" ht="13.5" customHeight="1">
      <c r="A155" s="207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140">
        <f t="shared" si="28"/>
        <v>0</v>
      </c>
      <c r="S155" s="141">
        <f t="shared" si="29"/>
        <v>0</v>
      </c>
      <c r="T155" s="139"/>
      <c r="U155" s="142">
        <v>0</v>
      </c>
      <c r="V155" s="142">
        <v>0</v>
      </c>
      <c r="W155" s="142"/>
      <c r="X155" s="139"/>
      <c r="Y155" s="136">
        <f>SUM(T155:X155)</f>
        <v>0</v>
      </c>
      <c r="Z155" s="136">
        <f>+R155+Y155</f>
        <v>0</v>
      </c>
      <c r="AA155" s="137">
        <f>+D155-Z155</f>
        <v>0</v>
      </c>
    </row>
    <row r="156" spans="1:27" s="138" customFormat="1" ht="13.5" customHeight="1">
      <c r="A156" s="207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165">
        <f t="shared" si="28"/>
        <v>0</v>
      </c>
      <c r="S156" s="166">
        <f t="shared" si="29"/>
        <v>0</v>
      </c>
      <c r="T156" s="164"/>
      <c r="U156" s="167">
        <v>0</v>
      </c>
      <c r="V156" s="167">
        <v>0</v>
      </c>
      <c r="W156" s="167"/>
      <c r="X156" s="164"/>
      <c r="Y156" s="162">
        <f>SUM(T156:X156)</f>
        <v>0</v>
      </c>
      <c r="Z156" s="162">
        <f>+R156+Y156</f>
        <v>0</v>
      </c>
      <c r="AA156" s="163">
        <f>+D156-Z156</f>
        <v>0</v>
      </c>
    </row>
    <row r="157" spans="1:27" s="138" customFormat="1" ht="13.5" customHeight="1">
      <c r="A157" s="207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165">
        <f t="shared" si="28"/>
        <v>0</v>
      </c>
      <c r="S157" s="166">
        <f t="shared" si="29"/>
        <v>0</v>
      </c>
      <c r="T157" s="164"/>
      <c r="U157" s="167">
        <v>0</v>
      </c>
      <c r="V157" s="167">
        <v>0</v>
      </c>
      <c r="W157" s="167"/>
      <c r="X157" s="164"/>
      <c r="Y157" s="162">
        <f>SUM(T157:X157)</f>
        <v>0</v>
      </c>
      <c r="Z157" s="162">
        <f>+R157+Y157</f>
        <v>0</v>
      </c>
      <c r="AA157" s="163">
        <f>+D157-Z157</f>
        <v>0</v>
      </c>
    </row>
    <row r="158" spans="1:27" s="138" customFormat="1" ht="13.5" customHeight="1">
      <c r="A158" s="207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165">
        <f t="shared" si="28"/>
        <v>0</v>
      </c>
      <c r="S158" s="166">
        <f t="shared" si="29"/>
        <v>0</v>
      </c>
      <c r="T158" s="164"/>
      <c r="U158" s="167">
        <v>0</v>
      </c>
      <c r="V158" s="167">
        <v>0</v>
      </c>
      <c r="W158" s="167"/>
      <c r="X158" s="164"/>
      <c r="Y158" s="162">
        <f>SUM(T158:X158)</f>
        <v>0</v>
      </c>
      <c r="Z158" s="162">
        <f>+R158+Y158</f>
        <v>0</v>
      </c>
      <c r="AA158" s="163">
        <f>+D158-Z158</f>
        <v>0</v>
      </c>
    </row>
    <row r="159" spans="1:27" s="138" customFormat="1" ht="13.5" customHeight="1">
      <c r="A159" s="207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169">
        <f t="shared" si="28"/>
        <v>0</v>
      </c>
      <c r="S159" s="170">
        <f t="shared" si="29"/>
        <v>0</v>
      </c>
      <c r="T159" s="168"/>
      <c r="U159" s="171">
        <v>0</v>
      </c>
      <c r="V159" s="171">
        <v>0</v>
      </c>
      <c r="W159" s="171"/>
      <c r="X159" s="168"/>
      <c r="Y159" s="162">
        <f>SUM(T159:X159)</f>
        <v>0</v>
      </c>
      <c r="Z159" s="162">
        <f>+R159+Y159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Q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O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4"/>
        <v>0</v>
      </c>
      <c r="L160" s="130">
        <f t="shared" si="34"/>
        <v>0</v>
      </c>
      <c r="M160" s="130">
        <f t="shared" si="34"/>
        <v>0</v>
      </c>
      <c r="N160" s="130">
        <f t="shared" si="34"/>
        <v>0</v>
      </c>
      <c r="O160" s="130">
        <f t="shared" si="34"/>
        <v>0</v>
      </c>
      <c r="P160" s="130">
        <f t="shared" si="33"/>
        <v>0</v>
      </c>
      <c r="Q160" s="130">
        <f t="shared" si="33"/>
        <v>0</v>
      </c>
      <c r="R160" s="107">
        <f t="shared" si="28"/>
        <v>0</v>
      </c>
      <c r="S160" s="107">
        <f t="shared" si="29"/>
        <v>0</v>
      </c>
      <c r="T160" s="130">
        <f t="shared" ref="T160:X160" si="35">SUBTOTAL(9,T161:T176)</f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SUM(T160:X160)</f>
        <v>0</v>
      </c>
      <c r="Z160" s="56">
        <f>+R160+Y160</f>
        <v>0</v>
      </c>
      <c r="AA160" s="131">
        <f>+D160-Z160</f>
        <v>0</v>
      </c>
    </row>
    <row r="161" spans="1:27" s="138" customFormat="1" ht="13.5" customHeight="1">
      <c r="A161" s="193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159">
        <f t="shared" si="28"/>
        <v>0</v>
      </c>
      <c r="S161" s="160">
        <f t="shared" si="29"/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SUM(T161:X161)</f>
        <v>0</v>
      </c>
      <c r="Z161" s="162">
        <f>+R161+Y161</f>
        <v>0</v>
      </c>
      <c r="AA161" s="163">
        <f>+D161-Z161</f>
        <v>0</v>
      </c>
    </row>
    <row r="162" spans="1:27" s="138" customFormat="1" ht="13.5" customHeight="1">
      <c r="A162" s="193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133">
        <f t="shared" si="28"/>
        <v>0</v>
      </c>
      <c r="S162" s="134">
        <f t="shared" si="29"/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SUM(T162:X162)</f>
        <v>0</v>
      </c>
      <c r="Z162" s="136">
        <f>+R162+Y162</f>
        <v>0</v>
      </c>
      <c r="AA162" s="137">
        <f>+D162-Z162</f>
        <v>0</v>
      </c>
    </row>
    <row r="163" spans="1:27" s="138" customFormat="1" ht="13.5" customHeight="1">
      <c r="A163" s="193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165">
        <f t="shared" si="28"/>
        <v>0</v>
      </c>
      <c r="S163" s="166">
        <f t="shared" si="29"/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SUM(T163:X163)</f>
        <v>0</v>
      </c>
      <c r="Z163" s="162">
        <f>+R163+Y163</f>
        <v>0</v>
      </c>
      <c r="AA163" s="163">
        <f>+D163-Z163</f>
        <v>0</v>
      </c>
    </row>
    <row r="164" spans="1:27" s="138" customFormat="1" ht="13.5" customHeight="1">
      <c r="A164" s="193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165">
        <f t="shared" si="28"/>
        <v>0</v>
      </c>
      <c r="S164" s="166">
        <f t="shared" si="29"/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SUM(T164:X164)</f>
        <v>0</v>
      </c>
      <c r="Z164" s="162">
        <f>+R164+Y164</f>
        <v>0</v>
      </c>
      <c r="AA164" s="163">
        <f>+D164-Z164</f>
        <v>0</v>
      </c>
    </row>
    <row r="165" spans="1:27" s="138" customFormat="1" ht="13.5" customHeight="1">
      <c r="A165" s="193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140">
        <f t="shared" si="28"/>
        <v>0</v>
      </c>
      <c r="S165" s="141">
        <f t="shared" si="29"/>
        <v>0</v>
      </c>
      <c r="T165" s="172"/>
      <c r="U165" s="173"/>
      <c r="V165" s="173"/>
      <c r="W165" s="173"/>
      <c r="X165" s="172"/>
      <c r="Y165" s="136">
        <f>SUM(T165:X165)</f>
        <v>0</v>
      </c>
      <c r="Z165" s="136">
        <f>+R165+Y165</f>
        <v>0</v>
      </c>
      <c r="AA165" s="137">
        <f>+D165-Z165</f>
        <v>0</v>
      </c>
    </row>
    <row r="166" spans="1:27" s="138" customFormat="1" ht="13.5" customHeight="1">
      <c r="A166" s="193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140">
        <f t="shared" si="28"/>
        <v>0</v>
      </c>
      <c r="S166" s="141">
        <f t="shared" si="29"/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SUM(T166:X166)</f>
        <v>0</v>
      </c>
      <c r="Z166" s="136">
        <f>+R166+Y166</f>
        <v>0</v>
      </c>
      <c r="AA166" s="137">
        <f>+D166-Z166</f>
        <v>0</v>
      </c>
    </row>
    <row r="167" spans="1:27" s="138" customFormat="1" ht="13.5" customHeight="1">
      <c r="A167" s="193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140">
        <f t="shared" si="28"/>
        <v>0</v>
      </c>
      <c r="S167" s="141">
        <f t="shared" si="29"/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SUM(T167:X167)</f>
        <v>0</v>
      </c>
      <c r="Z167" s="136">
        <f>+R167+Y167</f>
        <v>0</v>
      </c>
      <c r="AA167" s="137">
        <f>+D167-Z167</f>
        <v>0</v>
      </c>
    </row>
    <row r="168" spans="1:27" s="138" customFormat="1" ht="13.5" customHeight="1">
      <c r="A168" s="193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140">
        <f t="shared" si="28"/>
        <v>0</v>
      </c>
      <c r="S168" s="141">
        <f t="shared" si="29"/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SUM(T168:X168)</f>
        <v>0</v>
      </c>
      <c r="Z168" s="136">
        <f>+R168+Y168</f>
        <v>0</v>
      </c>
      <c r="AA168" s="137">
        <f>+D168-Z168</f>
        <v>0</v>
      </c>
    </row>
    <row r="169" spans="1:27" s="138" customFormat="1" ht="13.5" customHeight="1">
      <c r="A169" s="193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140">
        <f t="shared" si="28"/>
        <v>0</v>
      </c>
      <c r="S169" s="141">
        <f t="shared" si="29"/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SUM(T169:X169)</f>
        <v>0</v>
      </c>
      <c r="Z169" s="136">
        <f>+R169+Y169</f>
        <v>0</v>
      </c>
      <c r="AA169" s="137">
        <f>+D169-Z169</f>
        <v>0</v>
      </c>
    </row>
    <row r="170" spans="1:27" s="138" customFormat="1" ht="13.5" customHeight="1">
      <c r="A170" s="193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140">
        <f t="shared" si="28"/>
        <v>0</v>
      </c>
      <c r="S170" s="141">
        <f t="shared" si="29"/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SUM(T170:X170)</f>
        <v>0</v>
      </c>
      <c r="Z170" s="136">
        <f>+R170+Y170</f>
        <v>0</v>
      </c>
      <c r="AA170" s="137">
        <f>+D170-Z170</f>
        <v>0</v>
      </c>
    </row>
    <row r="171" spans="1:27" s="138" customFormat="1" ht="13.5" customHeight="1">
      <c r="A171" s="193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140">
        <f t="shared" si="28"/>
        <v>0</v>
      </c>
      <c r="S171" s="141">
        <f t="shared" si="29"/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SUM(T171:X171)</f>
        <v>0</v>
      </c>
      <c r="Z171" s="136">
        <f>+R171+Y171</f>
        <v>0</v>
      </c>
      <c r="AA171" s="137">
        <f>+D171-Z171</f>
        <v>0</v>
      </c>
    </row>
    <row r="172" spans="1:27" s="138" customFormat="1" ht="13.5" customHeight="1">
      <c r="A172" s="193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140">
        <f t="shared" si="28"/>
        <v>0</v>
      </c>
      <c r="S172" s="141">
        <f t="shared" si="29"/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SUM(T172:X172)</f>
        <v>0</v>
      </c>
      <c r="Z172" s="136">
        <f>+R172+Y172</f>
        <v>0</v>
      </c>
      <c r="AA172" s="137">
        <f>+D172-Z172</f>
        <v>0</v>
      </c>
    </row>
    <row r="173" spans="1:27" s="138" customFormat="1" ht="13.5" customHeight="1">
      <c r="A173" s="193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140">
        <f t="shared" si="28"/>
        <v>0</v>
      </c>
      <c r="S173" s="141">
        <f t="shared" si="29"/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SUM(T173:X173)</f>
        <v>0</v>
      </c>
      <c r="Z173" s="136">
        <f>+R173+Y173</f>
        <v>0</v>
      </c>
      <c r="AA173" s="137">
        <f>+D173-Z173</f>
        <v>0</v>
      </c>
    </row>
    <row r="174" spans="1:27" s="138" customFormat="1" ht="13.5" customHeight="1">
      <c r="A174" s="193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140">
        <f t="shared" si="28"/>
        <v>0</v>
      </c>
      <c r="S174" s="141">
        <f t="shared" si="29"/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SUM(T174:X174)</f>
        <v>0</v>
      </c>
      <c r="Z174" s="136">
        <f>+R174+Y174</f>
        <v>0</v>
      </c>
      <c r="AA174" s="137">
        <f>+D174-Z174</f>
        <v>0</v>
      </c>
    </row>
    <row r="175" spans="1:27" s="138" customFormat="1" ht="13.5" customHeight="1">
      <c r="A175" s="193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140">
        <f t="shared" si="28"/>
        <v>0</v>
      </c>
      <c r="S175" s="141">
        <f t="shared" si="29"/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SUM(T175:X175)</f>
        <v>0</v>
      </c>
      <c r="Z175" s="136">
        <f>+R175+Y175</f>
        <v>0</v>
      </c>
      <c r="AA175" s="137">
        <f>+D175-Z175</f>
        <v>0</v>
      </c>
    </row>
    <row r="176" spans="1:27" s="138" customFormat="1" ht="13.5" customHeight="1">
      <c r="A176" s="193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144">
        <f t="shared" si="28"/>
        <v>0</v>
      </c>
      <c r="S176" s="145">
        <f t="shared" si="29"/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SUM(T176:X176)</f>
        <v>0</v>
      </c>
      <c r="Z176" s="136">
        <f>+R176+Y176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Q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O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7"/>
        <v>0</v>
      </c>
      <c r="L177" s="130">
        <f t="shared" si="37"/>
        <v>0</v>
      </c>
      <c r="M177" s="130">
        <f t="shared" si="37"/>
        <v>0</v>
      </c>
      <c r="N177" s="130">
        <f t="shared" si="37"/>
        <v>0</v>
      </c>
      <c r="O177" s="130">
        <f t="shared" si="37"/>
        <v>0</v>
      </c>
      <c r="P177" s="130">
        <f t="shared" si="36"/>
        <v>0</v>
      </c>
      <c r="Q177" s="130">
        <f t="shared" si="36"/>
        <v>0</v>
      </c>
      <c r="R177" s="107">
        <f t="shared" si="28"/>
        <v>0</v>
      </c>
      <c r="S177" s="107">
        <f t="shared" si="29"/>
        <v>0</v>
      </c>
      <c r="T177" s="130">
        <f t="shared" ref="T177:X177" si="38">SUBTOTAL(9,T178:T193)</f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SUM(T177:X177)</f>
        <v>0</v>
      </c>
      <c r="Z177" s="56">
        <f>+R177+Y177</f>
        <v>0</v>
      </c>
      <c r="AA177" s="131">
        <f>+D177-Z177</f>
        <v>0</v>
      </c>
    </row>
    <row r="178" spans="1:27" s="138" customFormat="1" ht="13.5" customHeight="1">
      <c r="A178" s="193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159">
        <f t="shared" si="28"/>
        <v>0</v>
      </c>
      <c r="S178" s="160">
        <f t="shared" si="29"/>
        <v>0</v>
      </c>
      <c r="T178" s="158"/>
      <c r="U178" s="161">
        <v>0</v>
      </c>
      <c r="V178" s="161">
        <v>0</v>
      </c>
      <c r="W178" s="161"/>
      <c r="X178" s="158"/>
      <c r="Y178" s="162">
        <f>SUM(T178:X178)</f>
        <v>0</v>
      </c>
      <c r="Z178" s="162">
        <f>+R178+Y178</f>
        <v>0</v>
      </c>
      <c r="AA178" s="163">
        <f>+D178-Z178</f>
        <v>0</v>
      </c>
    </row>
    <row r="179" spans="1:27" s="138" customFormat="1" ht="13.5" customHeight="1">
      <c r="A179" s="193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133">
        <f t="shared" si="28"/>
        <v>0</v>
      </c>
      <c r="S179" s="134">
        <f t="shared" si="29"/>
        <v>0</v>
      </c>
      <c r="T179" s="132"/>
      <c r="U179" s="135">
        <v>0</v>
      </c>
      <c r="V179" s="135">
        <v>0</v>
      </c>
      <c r="W179" s="135"/>
      <c r="X179" s="132"/>
      <c r="Y179" s="136">
        <f>SUM(T179:X179)</f>
        <v>0</v>
      </c>
      <c r="Z179" s="136">
        <f>+R179+Y179</f>
        <v>0</v>
      </c>
      <c r="AA179" s="137">
        <f>+D179-Z179</f>
        <v>0</v>
      </c>
    </row>
    <row r="180" spans="1:27" s="138" customFormat="1" ht="13.5" customHeight="1">
      <c r="A180" s="193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140">
        <f t="shared" si="28"/>
        <v>0</v>
      </c>
      <c r="S180" s="141">
        <f t="shared" si="29"/>
        <v>0</v>
      </c>
      <c r="T180" s="139"/>
      <c r="U180" s="142">
        <v>0</v>
      </c>
      <c r="V180" s="142">
        <v>0</v>
      </c>
      <c r="W180" s="142"/>
      <c r="X180" s="139"/>
      <c r="Y180" s="136">
        <f>SUM(T180:X180)</f>
        <v>0</v>
      </c>
      <c r="Z180" s="136">
        <f>+R180+Y180</f>
        <v>0</v>
      </c>
      <c r="AA180" s="137">
        <f>+D180-Z180</f>
        <v>0</v>
      </c>
    </row>
    <row r="181" spans="1:27" s="138" customFormat="1" ht="13.5" customHeight="1">
      <c r="A181" s="193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165">
        <f t="shared" si="28"/>
        <v>0</v>
      </c>
      <c r="S181" s="166">
        <f t="shared" si="29"/>
        <v>0</v>
      </c>
      <c r="T181" s="164"/>
      <c r="U181" s="167">
        <v>0</v>
      </c>
      <c r="V181" s="167">
        <v>0</v>
      </c>
      <c r="W181" s="167"/>
      <c r="X181" s="164"/>
      <c r="Y181" s="162">
        <f>SUM(T181:X181)</f>
        <v>0</v>
      </c>
      <c r="Z181" s="162">
        <f>+R181+Y181</f>
        <v>0</v>
      </c>
      <c r="AA181" s="163">
        <f>+D181-Z181</f>
        <v>0</v>
      </c>
    </row>
    <row r="182" spans="1:27" s="138" customFormat="1" ht="13.5" customHeight="1">
      <c r="A182" s="193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140">
        <f t="shared" si="28"/>
        <v>0</v>
      </c>
      <c r="S182" s="141">
        <f t="shared" si="29"/>
        <v>0</v>
      </c>
      <c r="T182" s="139"/>
      <c r="U182" s="142">
        <v>0</v>
      </c>
      <c r="V182" s="142">
        <v>0</v>
      </c>
      <c r="W182" s="142"/>
      <c r="X182" s="139"/>
      <c r="Y182" s="136">
        <f>SUM(T182:X182)</f>
        <v>0</v>
      </c>
      <c r="Z182" s="136">
        <f>+R182+Y182</f>
        <v>0</v>
      </c>
      <c r="AA182" s="137">
        <f>+D182-Z182</f>
        <v>0</v>
      </c>
    </row>
    <row r="183" spans="1:27" s="138" customFormat="1" ht="13.5" customHeight="1">
      <c r="A183" s="193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140">
        <f t="shared" si="28"/>
        <v>0</v>
      </c>
      <c r="S183" s="141">
        <f t="shared" si="29"/>
        <v>0</v>
      </c>
      <c r="T183" s="139"/>
      <c r="U183" s="142">
        <v>0</v>
      </c>
      <c r="V183" s="142">
        <v>0</v>
      </c>
      <c r="W183" s="142"/>
      <c r="X183" s="139"/>
      <c r="Y183" s="136">
        <f>SUM(T183:X183)</f>
        <v>0</v>
      </c>
      <c r="Z183" s="136">
        <f>+R183+Y183</f>
        <v>0</v>
      </c>
      <c r="AA183" s="137">
        <f>+D183-Z183</f>
        <v>0</v>
      </c>
    </row>
    <row r="184" spans="1:27" s="138" customFormat="1" ht="13.5" customHeight="1">
      <c r="A184" s="193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140">
        <f t="shared" si="28"/>
        <v>0</v>
      </c>
      <c r="S184" s="141">
        <f t="shared" si="29"/>
        <v>0</v>
      </c>
      <c r="T184" s="139"/>
      <c r="U184" s="142">
        <v>0</v>
      </c>
      <c r="V184" s="142">
        <v>0</v>
      </c>
      <c r="W184" s="142"/>
      <c r="X184" s="139"/>
      <c r="Y184" s="136">
        <f>SUM(T184:X184)</f>
        <v>0</v>
      </c>
      <c r="Z184" s="136">
        <f>+R184+Y184</f>
        <v>0</v>
      </c>
      <c r="AA184" s="137">
        <f>+D184-Z184</f>
        <v>0</v>
      </c>
    </row>
    <row r="185" spans="1:27" s="138" customFormat="1" ht="13.5" customHeight="1">
      <c r="A185" s="193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140">
        <f t="shared" si="28"/>
        <v>0</v>
      </c>
      <c r="S185" s="141">
        <f t="shared" si="29"/>
        <v>0</v>
      </c>
      <c r="T185" s="139"/>
      <c r="U185" s="142">
        <v>0</v>
      </c>
      <c r="V185" s="142">
        <v>0</v>
      </c>
      <c r="W185" s="142"/>
      <c r="X185" s="139"/>
      <c r="Y185" s="136">
        <f>SUM(T185:X185)</f>
        <v>0</v>
      </c>
      <c r="Z185" s="136">
        <f>+R185+Y185</f>
        <v>0</v>
      </c>
      <c r="AA185" s="137">
        <f>+D185-Z185</f>
        <v>0</v>
      </c>
    </row>
    <row r="186" spans="1:27" s="138" customFormat="1" ht="13.5" customHeight="1">
      <c r="A186" s="193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140">
        <f t="shared" si="28"/>
        <v>0</v>
      </c>
      <c r="S186" s="141">
        <f t="shared" si="29"/>
        <v>0</v>
      </c>
      <c r="T186" s="139"/>
      <c r="U186" s="142">
        <v>0</v>
      </c>
      <c r="V186" s="142">
        <v>0</v>
      </c>
      <c r="W186" s="142"/>
      <c r="X186" s="139"/>
      <c r="Y186" s="136">
        <f>SUM(T186:X186)</f>
        <v>0</v>
      </c>
      <c r="Z186" s="136">
        <f>+R186+Y186</f>
        <v>0</v>
      </c>
      <c r="AA186" s="137">
        <f>+D186-Z186</f>
        <v>0</v>
      </c>
    </row>
    <row r="187" spans="1:27" s="138" customFormat="1" ht="13.5" customHeight="1">
      <c r="A187" s="193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140">
        <f t="shared" si="28"/>
        <v>0</v>
      </c>
      <c r="S187" s="141">
        <f t="shared" si="29"/>
        <v>0</v>
      </c>
      <c r="T187" s="139"/>
      <c r="U187" s="142">
        <v>0</v>
      </c>
      <c r="V187" s="142">
        <v>0</v>
      </c>
      <c r="W187" s="142"/>
      <c r="X187" s="139"/>
      <c r="Y187" s="136">
        <f>SUM(T187:X187)</f>
        <v>0</v>
      </c>
      <c r="Z187" s="136">
        <f>+R187+Y187</f>
        <v>0</v>
      </c>
      <c r="AA187" s="137">
        <f>+D187-Z187</f>
        <v>0</v>
      </c>
    </row>
    <row r="188" spans="1:27" s="138" customFormat="1" ht="13.5" customHeight="1">
      <c r="A188" s="193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140">
        <f t="shared" si="28"/>
        <v>0</v>
      </c>
      <c r="S188" s="141">
        <f t="shared" si="29"/>
        <v>0</v>
      </c>
      <c r="T188" s="139"/>
      <c r="U188" s="142">
        <v>0</v>
      </c>
      <c r="V188" s="142">
        <v>0</v>
      </c>
      <c r="W188" s="142"/>
      <c r="X188" s="139"/>
      <c r="Y188" s="136">
        <f>SUM(T188:X188)</f>
        <v>0</v>
      </c>
      <c r="Z188" s="136">
        <f>+R188+Y188</f>
        <v>0</v>
      </c>
      <c r="AA188" s="137">
        <f>+D188-Z188</f>
        <v>0</v>
      </c>
    </row>
    <row r="189" spans="1:27" s="138" customFormat="1" ht="13.5" customHeight="1">
      <c r="A189" s="193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140">
        <f t="shared" si="28"/>
        <v>0</v>
      </c>
      <c r="S189" s="141">
        <f t="shared" si="29"/>
        <v>0</v>
      </c>
      <c r="T189" s="139"/>
      <c r="U189" s="142">
        <v>0</v>
      </c>
      <c r="V189" s="142">
        <v>0</v>
      </c>
      <c r="W189" s="142"/>
      <c r="X189" s="139"/>
      <c r="Y189" s="136">
        <f>SUM(T189:X189)</f>
        <v>0</v>
      </c>
      <c r="Z189" s="136">
        <f>+R189+Y189</f>
        <v>0</v>
      </c>
      <c r="AA189" s="137">
        <f>+D189-Z189</f>
        <v>0</v>
      </c>
    </row>
    <row r="190" spans="1:27" s="138" customFormat="1" ht="13.5" customHeight="1">
      <c r="A190" s="193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140">
        <f t="shared" si="28"/>
        <v>0</v>
      </c>
      <c r="S190" s="141">
        <f t="shared" si="29"/>
        <v>0</v>
      </c>
      <c r="T190" s="139"/>
      <c r="U190" s="142">
        <v>0</v>
      </c>
      <c r="V190" s="142">
        <v>0</v>
      </c>
      <c r="W190" s="142"/>
      <c r="X190" s="139"/>
      <c r="Y190" s="136">
        <f>SUM(T190:X190)</f>
        <v>0</v>
      </c>
      <c r="Z190" s="136">
        <f>+R190+Y190</f>
        <v>0</v>
      </c>
      <c r="AA190" s="137">
        <f>+D190-Z190</f>
        <v>0</v>
      </c>
    </row>
    <row r="191" spans="1:27" s="138" customFormat="1" ht="13.5" customHeight="1">
      <c r="A191" s="193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140">
        <f t="shared" si="28"/>
        <v>0</v>
      </c>
      <c r="S191" s="141">
        <f t="shared" si="29"/>
        <v>0</v>
      </c>
      <c r="T191" s="139"/>
      <c r="U191" s="142">
        <v>0</v>
      </c>
      <c r="V191" s="142">
        <v>0</v>
      </c>
      <c r="W191" s="142"/>
      <c r="X191" s="139"/>
      <c r="Y191" s="136">
        <f>SUM(T191:X191)</f>
        <v>0</v>
      </c>
      <c r="Z191" s="136">
        <f>+R191+Y191</f>
        <v>0</v>
      </c>
      <c r="AA191" s="137">
        <f>+D191-Z191</f>
        <v>0</v>
      </c>
    </row>
    <row r="192" spans="1:27" s="138" customFormat="1" ht="13.5" customHeight="1">
      <c r="A192" s="193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140">
        <f t="shared" si="28"/>
        <v>0</v>
      </c>
      <c r="S192" s="141">
        <f t="shared" si="29"/>
        <v>0</v>
      </c>
      <c r="T192" s="139"/>
      <c r="U192" s="142">
        <v>0</v>
      </c>
      <c r="V192" s="142">
        <v>0</v>
      </c>
      <c r="W192" s="142"/>
      <c r="X192" s="139"/>
      <c r="Y192" s="136">
        <f>SUM(T192:X192)</f>
        <v>0</v>
      </c>
      <c r="Z192" s="136">
        <f>+R192+Y192</f>
        <v>0</v>
      </c>
      <c r="AA192" s="137">
        <f>+D192-Z192</f>
        <v>0</v>
      </c>
    </row>
    <row r="193" spans="1:27" s="138" customFormat="1" ht="13.5" customHeight="1">
      <c r="A193" s="193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140">
        <f t="shared" si="28"/>
        <v>0</v>
      </c>
      <c r="S193" s="141">
        <f t="shared" si="29"/>
        <v>0</v>
      </c>
      <c r="T193" s="143"/>
      <c r="U193" s="146">
        <v>0</v>
      </c>
      <c r="V193" s="146">
        <v>0</v>
      </c>
      <c r="W193" s="146"/>
      <c r="X193" s="143"/>
      <c r="Y193" s="136">
        <f>SUM(T193:X193)</f>
        <v>0</v>
      </c>
      <c r="Z193" s="136">
        <f>+R193+Y193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Q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O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40"/>
        <v>0</v>
      </c>
      <c r="L194" s="130">
        <f t="shared" si="40"/>
        <v>0</v>
      </c>
      <c r="M194" s="130">
        <f t="shared" si="40"/>
        <v>0</v>
      </c>
      <c r="N194" s="130">
        <f t="shared" si="40"/>
        <v>0</v>
      </c>
      <c r="O194" s="130">
        <f t="shared" si="40"/>
        <v>0</v>
      </c>
      <c r="P194" s="130">
        <f t="shared" si="39"/>
        <v>0</v>
      </c>
      <c r="Q194" s="130">
        <f t="shared" si="39"/>
        <v>0</v>
      </c>
      <c r="R194" s="107">
        <f t="shared" si="28"/>
        <v>0</v>
      </c>
      <c r="S194" s="107">
        <f t="shared" si="29"/>
        <v>0</v>
      </c>
      <c r="T194" s="130">
        <f t="shared" ref="T194:X194" si="41">SUBTOTAL(9,T195:T210)</f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SUM(T194:X194)</f>
        <v>0</v>
      </c>
      <c r="Z194" s="56">
        <f>+R194+Y194</f>
        <v>0</v>
      </c>
      <c r="AA194" s="131">
        <f>+D194-Z194</f>
        <v>0</v>
      </c>
    </row>
    <row r="195" spans="1:27" s="138" customFormat="1" ht="13.5" customHeight="1">
      <c r="A195" s="193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159">
        <f t="shared" si="28"/>
        <v>0</v>
      </c>
      <c r="S195" s="160">
        <f t="shared" si="29"/>
        <v>0</v>
      </c>
      <c r="T195" s="158"/>
      <c r="U195" s="161">
        <v>0</v>
      </c>
      <c r="V195" s="161">
        <v>0</v>
      </c>
      <c r="W195" s="161"/>
      <c r="X195" s="158"/>
      <c r="Y195" s="162">
        <f>SUM(T195:X195)</f>
        <v>0</v>
      </c>
      <c r="Z195" s="162">
        <f>+R195+Y195</f>
        <v>0</v>
      </c>
      <c r="AA195" s="163">
        <f>+D195-Z195</f>
        <v>0</v>
      </c>
    </row>
    <row r="196" spans="1:27" s="138" customFormat="1" ht="13.5" customHeight="1">
      <c r="A196" s="193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133">
        <f t="shared" si="28"/>
        <v>0</v>
      </c>
      <c r="S196" s="134">
        <f t="shared" si="29"/>
        <v>0</v>
      </c>
      <c r="T196" s="132"/>
      <c r="U196" s="135">
        <v>0</v>
      </c>
      <c r="V196" s="135">
        <v>0</v>
      </c>
      <c r="W196" s="135"/>
      <c r="X196" s="132"/>
      <c r="Y196" s="136">
        <f>SUM(T196:X196)</f>
        <v>0</v>
      </c>
      <c r="Z196" s="136">
        <f>+R196+Y196</f>
        <v>0</v>
      </c>
      <c r="AA196" s="137">
        <f>+D196-Z196</f>
        <v>0</v>
      </c>
    </row>
    <row r="197" spans="1:27" s="138" customFormat="1" ht="13.5" customHeight="1">
      <c r="A197" s="193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140">
        <f t="shared" si="28"/>
        <v>0</v>
      </c>
      <c r="S197" s="141">
        <f t="shared" si="29"/>
        <v>0</v>
      </c>
      <c r="T197" s="139"/>
      <c r="U197" s="142">
        <v>0</v>
      </c>
      <c r="V197" s="142">
        <v>0</v>
      </c>
      <c r="W197" s="142"/>
      <c r="X197" s="139"/>
      <c r="Y197" s="136">
        <f>SUM(T197:X197)</f>
        <v>0</v>
      </c>
      <c r="Z197" s="136">
        <f>+R197+Y197</f>
        <v>0</v>
      </c>
      <c r="AA197" s="137">
        <f>+D197-Z197</f>
        <v>0</v>
      </c>
    </row>
    <row r="198" spans="1:27" s="138" customFormat="1" ht="13.5" customHeight="1">
      <c r="A198" s="193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165">
        <f t="shared" ref="R198:R261" si="42">SUM(G198:Q198)</f>
        <v>0</v>
      </c>
      <c r="S198" s="166">
        <f t="shared" ref="S198:S261" si="43">D198-R198</f>
        <v>0</v>
      </c>
      <c r="T198" s="164"/>
      <c r="U198" s="167">
        <v>0</v>
      </c>
      <c r="V198" s="167">
        <v>0</v>
      </c>
      <c r="W198" s="167"/>
      <c r="X198" s="164"/>
      <c r="Y198" s="162">
        <f>SUM(T198:X198)</f>
        <v>0</v>
      </c>
      <c r="Z198" s="162">
        <f>+R198+Y198</f>
        <v>0</v>
      </c>
      <c r="AA198" s="163">
        <f>+D198-Z198</f>
        <v>0</v>
      </c>
    </row>
    <row r="199" spans="1:27" s="138" customFormat="1" ht="13.5" customHeight="1">
      <c r="A199" s="193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140">
        <f t="shared" si="42"/>
        <v>0</v>
      </c>
      <c r="S199" s="141">
        <f t="shared" si="43"/>
        <v>0</v>
      </c>
      <c r="T199" s="139"/>
      <c r="U199" s="142">
        <v>0</v>
      </c>
      <c r="V199" s="142">
        <v>0</v>
      </c>
      <c r="W199" s="142"/>
      <c r="X199" s="139"/>
      <c r="Y199" s="136">
        <f>SUM(T199:X199)</f>
        <v>0</v>
      </c>
      <c r="Z199" s="136">
        <f>+R199+Y199</f>
        <v>0</v>
      </c>
      <c r="AA199" s="137">
        <f>+D199-Z199</f>
        <v>0</v>
      </c>
    </row>
    <row r="200" spans="1:27" s="138" customFormat="1" ht="13.5" customHeight="1">
      <c r="A200" s="193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140">
        <f t="shared" si="42"/>
        <v>0</v>
      </c>
      <c r="S200" s="141">
        <f t="shared" si="43"/>
        <v>0</v>
      </c>
      <c r="T200" s="139"/>
      <c r="U200" s="142">
        <v>0</v>
      </c>
      <c r="V200" s="142">
        <v>0</v>
      </c>
      <c r="W200" s="142"/>
      <c r="X200" s="139"/>
      <c r="Y200" s="136">
        <f>SUM(T200:X200)</f>
        <v>0</v>
      </c>
      <c r="Z200" s="136">
        <f>+R200+Y200</f>
        <v>0</v>
      </c>
      <c r="AA200" s="137">
        <f>+D200-Z200</f>
        <v>0</v>
      </c>
    </row>
    <row r="201" spans="1:27" s="138" customFormat="1" ht="13.5" customHeight="1">
      <c r="A201" s="193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140">
        <f t="shared" si="42"/>
        <v>0</v>
      </c>
      <c r="S201" s="141">
        <f t="shared" si="43"/>
        <v>0</v>
      </c>
      <c r="T201" s="139"/>
      <c r="U201" s="142">
        <v>0</v>
      </c>
      <c r="V201" s="142">
        <v>0</v>
      </c>
      <c r="W201" s="142"/>
      <c r="X201" s="139"/>
      <c r="Y201" s="136">
        <f>SUM(T201:X201)</f>
        <v>0</v>
      </c>
      <c r="Z201" s="136">
        <f>+R201+Y201</f>
        <v>0</v>
      </c>
      <c r="AA201" s="137">
        <f>+D201-Z201</f>
        <v>0</v>
      </c>
    </row>
    <row r="202" spans="1:27" s="138" customFormat="1" ht="13.5" customHeight="1">
      <c r="A202" s="193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140">
        <f t="shared" si="42"/>
        <v>0</v>
      </c>
      <c r="S202" s="141">
        <f t="shared" si="43"/>
        <v>0</v>
      </c>
      <c r="T202" s="139"/>
      <c r="U202" s="142">
        <v>0</v>
      </c>
      <c r="V202" s="142">
        <v>0</v>
      </c>
      <c r="W202" s="142"/>
      <c r="X202" s="139"/>
      <c r="Y202" s="136">
        <f>SUM(T202:X202)</f>
        <v>0</v>
      </c>
      <c r="Z202" s="136">
        <f>+R202+Y202</f>
        <v>0</v>
      </c>
      <c r="AA202" s="137">
        <f>+D202-Z202</f>
        <v>0</v>
      </c>
    </row>
    <row r="203" spans="1:27" s="138" customFormat="1" ht="13.5" customHeight="1">
      <c r="A203" s="193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140">
        <f t="shared" si="42"/>
        <v>0</v>
      </c>
      <c r="S203" s="141">
        <f t="shared" si="43"/>
        <v>0</v>
      </c>
      <c r="T203" s="139"/>
      <c r="U203" s="142">
        <v>0</v>
      </c>
      <c r="V203" s="142">
        <v>0</v>
      </c>
      <c r="W203" s="142"/>
      <c r="X203" s="139"/>
      <c r="Y203" s="136">
        <f>SUM(T203:X203)</f>
        <v>0</v>
      </c>
      <c r="Z203" s="136">
        <f>+R203+Y203</f>
        <v>0</v>
      </c>
      <c r="AA203" s="137">
        <f>+D203-Z203</f>
        <v>0</v>
      </c>
    </row>
    <row r="204" spans="1:27" s="138" customFormat="1" ht="13.5" customHeight="1">
      <c r="A204" s="193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140">
        <f t="shared" si="42"/>
        <v>0</v>
      </c>
      <c r="S204" s="141">
        <f t="shared" si="43"/>
        <v>0</v>
      </c>
      <c r="T204" s="139"/>
      <c r="U204" s="142">
        <v>0</v>
      </c>
      <c r="V204" s="142">
        <v>0</v>
      </c>
      <c r="W204" s="142"/>
      <c r="X204" s="139"/>
      <c r="Y204" s="136">
        <f>SUM(T204:X204)</f>
        <v>0</v>
      </c>
      <c r="Z204" s="136">
        <f>+R204+Y204</f>
        <v>0</v>
      </c>
      <c r="AA204" s="137">
        <f>+D204-Z204</f>
        <v>0</v>
      </c>
    </row>
    <row r="205" spans="1:27" s="138" customFormat="1" ht="13.5" customHeight="1">
      <c r="A205" s="193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140">
        <f t="shared" si="42"/>
        <v>0</v>
      </c>
      <c r="S205" s="141">
        <f t="shared" si="43"/>
        <v>0</v>
      </c>
      <c r="T205" s="139"/>
      <c r="U205" s="142">
        <v>0</v>
      </c>
      <c r="V205" s="142">
        <v>0</v>
      </c>
      <c r="W205" s="142"/>
      <c r="X205" s="139"/>
      <c r="Y205" s="136">
        <f>SUM(T205:X205)</f>
        <v>0</v>
      </c>
      <c r="Z205" s="136">
        <f>+R205+Y205</f>
        <v>0</v>
      </c>
      <c r="AA205" s="137">
        <f>+D205-Z205</f>
        <v>0</v>
      </c>
    </row>
    <row r="206" spans="1:27" s="138" customFormat="1" ht="13.5" customHeight="1">
      <c r="A206" s="193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140">
        <f t="shared" si="42"/>
        <v>0</v>
      </c>
      <c r="S206" s="141">
        <f t="shared" si="43"/>
        <v>0</v>
      </c>
      <c r="T206" s="139"/>
      <c r="U206" s="142">
        <v>0</v>
      </c>
      <c r="V206" s="142">
        <v>0</v>
      </c>
      <c r="W206" s="142"/>
      <c r="X206" s="139"/>
      <c r="Y206" s="136">
        <f>SUM(T206:X206)</f>
        <v>0</v>
      </c>
      <c r="Z206" s="136">
        <f>+R206+Y206</f>
        <v>0</v>
      </c>
      <c r="AA206" s="137">
        <f>+D206-Z206</f>
        <v>0</v>
      </c>
    </row>
    <row r="207" spans="1:27" s="138" customFormat="1" ht="13.5" customHeight="1">
      <c r="A207" s="193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140">
        <f t="shared" si="42"/>
        <v>0</v>
      </c>
      <c r="S207" s="141">
        <f t="shared" si="43"/>
        <v>0</v>
      </c>
      <c r="T207" s="139"/>
      <c r="U207" s="142">
        <v>0</v>
      </c>
      <c r="V207" s="142">
        <v>0</v>
      </c>
      <c r="W207" s="142"/>
      <c r="X207" s="139"/>
      <c r="Y207" s="136">
        <f>SUM(T207:X207)</f>
        <v>0</v>
      </c>
      <c r="Z207" s="136">
        <f>+R207+Y207</f>
        <v>0</v>
      </c>
      <c r="AA207" s="137">
        <f>+D207-Z207</f>
        <v>0</v>
      </c>
    </row>
    <row r="208" spans="1:27" s="138" customFormat="1" ht="13.5" customHeight="1">
      <c r="A208" s="193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140">
        <f t="shared" si="42"/>
        <v>0</v>
      </c>
      <c r="S208" s="141">
        <f t="shared" si="43"/>
        <v>0</v>
      </c>
      <c r="T208" s="139"/>
      <c r="U208" s="142">
        <v>0</v>
      </c>
      <c r="V208" s="142">
        <v>0</v>
      </c>
      <c r="W208" s="142"/>
      <c r="X208" s="139"/>
      <c r="Y208" s="136">
        <f>SUM(T208:X208)</f>
        <v>0</v>
      </c>
      <c r="Z208" s="136">
        <f>+R208+Y208</f>
        <v>0</v>
      </c>
      <c r="AA208" s="137">
        <f>+D208-Z208</f>
        <v>0</v>
      </c>
    </row>
    <row r="209" spans="1:27" s="138" customFormat="1" ht="13.5" customHeight="1">
      <c r="A209" s="193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140">
        <f t="shared" si="42"/>
        <v>0</v>
      </c>
      <c r="S209" s="141">
        <f t="shared" si="43"/>
        <v>0</v>
      </c>
      <c r="T209" s="139"/>
      <c r="U209" s="142">
        <v>0</v>
      </c>
      <c r="V209" s="142">
        <v>0</v>
      </c>
      <c r="W209" s="142"/>
      <c r="X209" s="139"/>
      <c r="Y209" s="136">
        <f>SUM(T209:X209)</f>
        <v>0</v>
      </c>
      <c r="Z209" s="136">
        <f>+R209+Y209</f>
        <v>0</v>
      </c>
      <c r="AA209" s="137">
        <f>+D209-Z209</f>
        <v>0</v>
      </c>
    </row>
    <row r="210" spans="1:27" s="138" customFormat="1" ht="13.5" customHeight="1">
      <c r="A210" s="193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144">
        <f t="shared" si="42"/>
        <v>0</v>
      </c>
      <c r="S210" s="145">
        <f t="shared" si="43"/>
        <v>0</v>
      </c>
      <c r="T210" s="143"/>
      <c r="U210" s="146">
        <v>0</v>
      </c>
      <c r="V210" s="146">
        <v>0</v>
      </c>
      <c r="W210" s="146"/>
      <c r="X210" s="143"/>
      <c r="Y210" s="136">
        <f>SUM(T210:X210)</f>
        <v>0</v>
      </c>
      <c r="Z210" s="136">
        <f>+R210+Y210</f>
        <v>0</v>
      </c>
      <c r="AA210" s="137">
        <f>+D210-Z210</f>
        <v>0</v>
      </c>
    </row>
    <row r="211" spans="1:27" s="138" customFormat="1" ht="13.5" customHeight="1">
      <c r="A211" s="192" t="s">
        <v>74</v>
      </c>
      <c r="B211" s="186"/>
      <c r="C211" s="156"/>
      <c r="D211" s="130">
        <f t="shared" ref="D211:Q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O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5"/>
        <v>0</v>
      </c>
      <c r="L211" s="130">
        <f t="shared" si="45"/>
        <v>0</v>
      </c>
      <c r="M211" s="130">
        <f t="shared" si="45"/>
        <v>0</v>
      </c>
      <c r="N211" s="130">
        <f t="shared" si="45"/>
        <v>0</v>
      </c>
      <c r="O211" s="130">
        <f t="shared" si="45"/>
        <v>0</v>
      </c>
      <c r="P211" s="130">
        <f t="shared" si="44"/>
        <v>0</v>
      </c>
      <c r="Q211" s="130">
        <f t="shared" si="44"/>
        <v>0</v>
      </c>
      <c r="R211" s="148">
        <f t="shared" si="42"/>
        <v>0</v>
      </c>
      <c r="S211" s="148">
        <f t="shared" si="43"/>
        <v>0</v>
      </c>
      <c r="T211" s="130">
        <f t="shared" ref="T211:X211" si="46">SUBTOTAL(9,T212:T227)</f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SUM(T211:X211)</f>
        <v>0</v>
      </c>
      <c r="Z211" s="126">
        <f>+R211+Y211</f>
        <v>0</v>
      </c>
      <c r="AA211" s="127">
        <f>+D211-Z211</f>
        <v>0</v>
      </c>
    </row>
    <row r="212" spans="1:27" s="138" customFormat="1" ht="13.5" customHeight="1">
      <c r="A212" s="215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159">
        <f t="shared" si="42"/>
        <v>0</v>
      </c>
      <c r="S212" s="160">
        <f t="shared" si="43"/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SUM(T212:X212)</f>
        <v>0</v>
      </c>
      <c r="Z212" s="162">
        <f>+R212+Y212</f>
        <v>0</v>
      </c>
      <c r="AA212" s="163">
        <f>+D212-Z212</f>
        <v>0</v>
      </c>
    </row>
    <row r="213" spans="1:27" s="138" customFormat="1" ht="13.5" customHeight="1">
      <c r="A213" s="215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133">
        <f t="shared" si="42"/>
        <v>0</v>
      </c>
      <c r="S213" s="134">
        <f t="shared" si="43"/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SUM(T213:X213)</f>
        <v>0</v>
      </c>
      <c r="Z213" s="136">
        <f>+R213+Y213</f>
        <v>0</v>
      </c>
      <c r="AA213" s="137">
        <f>+D213-Z213</f>
        <v>0</v>
      </c>
    </row>
    <row r="214" spans="1:27" s="138" customFormat="1" ht="13.5" customHeight="1">
      <c r="A214" s="215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140">
        <f t="shared" si="42"/>
        <v>0</v>
      </c>
      <c r="S214" s="141">
        <f t="shared" si="43"/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SUM(T214:X214)</f>
        <v>0</v>
      </c>
      <c r="Z214" s="136">
        <f>+R214+Y214</f>
        <v>0</v>
      </c>
      <c r="AA214" s="137">
        <f>+D214-Z214</f>
        <v>0</v>
      </c>
    </row>
    <row r="215" spans="1:27" s="138" customFormat="1" ht="13.5" customHeight="1">
      <c r="A215" s="215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165">
        <f t="shared" si="42"/>
        <v>0</v>
      </c>
      <c r="S215" s="166">
        <f t="shared" si="43"/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SUM(T215:X215)</f>
        <v>0</v>
      </c>
      <c r="Z215" s="162">
        <f>+R215+Y215</f>
        <v>0</v>
      </c>
      <c r="AA215" s="163">
        <f>+D215-Z215</f>
        <v>0</v>
      </c>
    </row>
    <row r="216" spans="1:27" s="138" customFormat="1" ht="13.5" customHeight="1">
      <c r="A216" s="215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133">
        <f t="shared" si="42"/>
        <v>0</v>
      </c>
      <c r="S216" s="134">
        <f t="shared" si="43"/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SUM(T216:X216)</f>
        <v>0</v>
      </c>
      <c r="Z216" s="136">
        <f>+R216+Y216</f>
        <v>0</v>
      </c>
      <c r="AA216" s="137">
        <f>+D216-Z216</f>
        <v>0</v>
      </c>
    </row>
    <row r="217" spans="1:27" s="138" customFormat="1" ht="13.5" customHeight="1">
      <c r="A217" s="215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140">
        <f t="shared" si="42"/>
        <v>0</v>
      </c>
      <c r="S217" s="141">
        <f t="shared" si="43"/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SUM(T217:X217)</f>
        <v>0</v>
      </c>
      <c r="Z217" s="136">
        <f>+R217+Y217</f>
        <v>0</v>
      </c>
      <c r="AA217" s="137">
        <f>+D217-Z217</f>
        <v>0</v>
      </c>
    </row>
    <row r="218" spans="1:27" s="138" customFormat="1" ht="13.5" customHeight="1">
      <c r="A218" s="215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140">
        <f t="shared" si="42"/>
        <v>0</v>
      </c>
      <c r="S218" s="141">
        <f t="shared" si="43"/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SUM(T218:X218)</f>
        <v>0</v>
      </c>
      <c r="Z218" s="136">
        <f>+R218+Y218</f>
        <v>0</v>
      </c>
      <c r="AA218" s="137">
        <f>+D218-Z218</f>
        <v>0</v>
      </c>
    </row>
    <row r="219" spans="1:27" s="138" customFormat="1" ht="13.5" customHeight="1">
      <c r="A219" s="215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140">
        <f t="shared" si="42"/>
        <v>0</v>
      </c>
      <c r="S219" s="141">
        <f t="shared" si="43"/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SUM(T219:X219)</f>
        <v>0</v>
      </c>
      <c r="Z219" s="136">
        <f>+R219+Y219</f>
        <v>0</v>
      </c>
      <c r="AA219" s="137">
        <f>+D219-Z219</f>
        <v>0</v>
      </c>
    </row>
    <row r="220" spans="1:27" s="138" customFormat="1" ht="13.5" customHeight="1">
      <c r="A220" s="215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140">
        <f t="shared" si="42"/>
        <v>0</v>
      </c>
      <c r="S220" s="141">
        <f t="shared" si="43"/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SUM(T220:X220)</f>
        <v>0</v>
      </c>
      <c r="Z220" s="136">
        <f>+R220+Y220</f>
        <v>0</v>
      </c>
      <c r="AA220" s="137">
        <f>+D220-Z220</f>
        <v>0</v>
      </c>
    </row>
    <row r="221" spans="1:27" s="138" customFormat="1" ht="13.5" customHeight="1">
      <c r="A221" s="215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140">
        <f t="shared" si="42"/>
        <v>0</v>
      </c>
      <c r="S221" s="141">
        <f t="shared" si="43"/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SUM(T221:X221)</f>
        <v>0</v>
      </c>
      <c r="Z221" s="136">
        <f>+R221+Y221</f>
        <v>0</v>
      </c>
      <c r="AA221" s="137">
        <f>+D221-Z221</f>
        <v>0</v>
      </c>
    </row>
    <row r="222" spans="1:27" s="138" customFormat="1" ht="13.5" customHeight="1">
      <c r="A222" s="215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140">
        <f t="shared" si="42"/>
        <v>0</v>
      </c>
      <c r="S222" s="141">
        <f t="shared" si="43"/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SUM(T222:X222)</f>
        <v>0</v>
      </c>
      <c r="Z222" s="136">
        <f>+R222+Y222</f>
        <v>0</v>
      </c>
      <c r="AA222" s="137">
        <f>+D222-Z222</f>
        <v>0</v>
      </c>
    </row>
    <row r="223" spans="1:27" s="138" customFormat="1" ht="13.5" customHeight="1">
      <c r="A223" s="215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140">
        <f t="shared" si="42"/>
        <v>0</v>
      </c>
      <c r="S223" s="141">
        <f t="shared" si="43"/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SUM(T223:X223)</f>
        <v>0</v>
      </c>
      <c r="Z223" s="136">
        <f>+R223+Y223</f>
        <v>0</v>
      </c>
      <c r="AA223" s="137">
        <f>+D223-Z223</f>
        <v>0</v>
      </c>
    </row>
    <row r="224" spans="1:27" s="138" customFormat="1" ht="13.5" customHeight="1">
      <c r="A224" s="215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140">
        <f t="shared" si="42"/>
        <v>0</v>
      </c>
      <c r="S224" s="141">
        <f t="shared" si="43"/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SUM(T224:X224)</f>
        <v>0</v>
      </c>
      <c r="Z224" s="136">
        <f>+R224+Y224</f>
        <v>0</v>
      </c>
      <c r="AA224" s="137">
        <f>+D224-Z224</f>
        <v>0</v>
      </c>
    </row>
    <row r="225" spans="1:27" s="138" customFormat="1" ht="13.5" customHeight="1">
      <c r="A225" s="215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140">
        <f t="shared" si="42"/>
        <v>0</v>
      </c>
      <c r="S225" s="141">
        <f t="shared" si="43"/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SUM(T225:X225)</f>
        <v>0</v>
      </c>
      <c r="Z225" s="136">
        <f>+R225+Y225</f>
        <v>0</v>
      </c>
      <c r="AA225" s="137">
        <f>+D225-Z225</f>
        <v>0</v>
      </c>
    </row>
    <row r="226" spans="1:27" s="138" customFormat="1" ht="13.5" customHeight="1">
      <c r="A226" s="215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140">
        <f t="shared" si="42"/>
        <v>0</v>
      </c>
      <c r="S226" s="141">
        <f t="shared" si="43"/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SUM(T226:X226)</f>
        <v>0</v>
      </c>
      <c r="Z226" s="136">
        <f>+R226+Y226</f>
        <v>0</v>
      </c>
      <c r="AA226" s="137">
        <f>+D226-Z226</f>
        <v>0</v>
      </c>
    </row>
    <row r="227" spans="1:27" s="138" customFormat="1" ht="13.5" customHeight="1">
      <c r="A227" s="215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144">
        <f t="shared" si="42"/>
        <v>0</v>
      </c>
      <c r="S227" s="145">
        <f t="shared" si="43"/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SUM(T227:X227)</f>
        <v>0</v>
      </c>
      <c r="Z227" s="136">
        <f>+R227+Y227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Q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O228" si="48">SUBTOTAL(9,H229:H235)</f>
        <v>0</v>
      </c>
      <c r="I228" s="130">
        <f t="shared" si="48"/>
        <v>0</v>
      </c>
      <c r="J228" s="130">
        <f t="shared" si="48"/>
        <v>0</v>
      </c>
      <c r="K228" s="130">
        <f t="shared" si="48"/>
        <v>0</v>
      </c>
      <c r="L228" s="130">
        <f t="shared" si="48"/>
        <v>0</v>
      </c>
      <c r="M228" s="130">
        <f t="shared" si="48"/>
        <v>0</v>
      </c>
      <c r="N228" s="130">
        <f t="shared" si="48"/>
        <v>0</v>
      </c>
      <c r="O228" s="130">
        <f t="shared" si="48"/>
        <v>0</v>
      </c>
      <c r="P228" s="125">
        <f t="shared" si="47"/>
        <v>0</v>
      </c>
      <c r="Q228" s="125">
        <f t="shared" si="47"/>
        <v>0</v>
      </c>
      <c r="R228" s="148">
        <f t="shared" si="42"/>
        <v>0</v>
      </c>
      <c r="S228" s="148">
        <f t="shared" si="43"/>
        <v>0</v>
      </c>
      <c r="T228" s="125">
        <f t="shared" ref="T228:X228" si="49">SUBTOTAL(9,T229:T235)</f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SUM(T228:X228)</f>
        <v>0</v>
      </c>
      <c r="Z228" s="126">
        <f>+R228+Y228</f>
        <v>0</v>
      </c>
      <c r="AA228" s="127">
        <f>+D228-Z228</f>
        <v>0</v>
      </c>
    </row>
    <row r="229" spans="1:27" s="138" customFormat="1" ht="13.5" customHeight="1">
      <c r="A229" s="193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133">
        <f t="shared" si="42"/>
        <v>0</v>
      </c>
      <c r="S229" s="134">
        <f t="shared" si="43"/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SUM(T229:X229)</f>
        <v>0</v>
      </c>
      <c r="Z229" s="136">
        <f>+R229+Y229</f>
        <v>0</v>
      </c>
      <c r="AA229" s="137">
        <f>+D229-Z229</f>
        <v>0</v>
      </c>
    </row>
    <row r="230" spans="1:27" s="138" customFormat="1" ht="13.5" customHeight="1">
      <c r="A230" s="193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140">
        <f t="shared" si="42"/>
        <v>0</v>
      </c>
      <c r="S230" s="141">
        <f t="shared" si="43"/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SUM(T230:X230)</f>
        <v>0</v>
      </c>
      <c r="Z230" s="136">
        <f>+R230+Y230</f>
        <v>0</v>
      </c>
      <c r="AA230" s="137">
        <f>+D230-Z230</f>
        <v>0</v>
      </c>
    </row>
    <row r="231" spans="1:27" s="138" customFormat="1" ht="13.5" customHeight="1">
      <c r="A231" s="193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140">
        <f t="shared" si="42"/>
        <v>0</v>
      </c>
      <c r="S231" s="141">
        <f t="shared" si="43"/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SUM(T231:X231)</f>
        <v>0</v>
      </c>
      <c r="Z231" s="136">
        <f>+R231+Y231</f>
        <v>0</v>
      </c>
      <c r="AA231" s="137">
        <f>+D231-Z231</f>
        <v>0</v>
      </c>
    </row>
    <row r="232" spans="1:27" s="138" customFormat="1" ht="13.5" customHeight="1">
      <c r="A232" s="193" t="s">
        <v>75</v>
      </c>
      <c r="B232" s="194" t="s">
        <v>45</v>
      </c>
      <c r="C232" s="195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140">
        <f t="shared" si="42"/>
        <v>0</v>
      </c>
      <c r="S232" s="141">
        <f t="shared" si="43"/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SUM(T232:X232)</f>
        <v>0</v>
      </c>
      <c r="Z232" s="136">
        <f>+R232+Y232</f>
        <v>0</v>
      </c>
      <c r="AA232" s="137">
        <f>+D232-Z232</f>
        <v>0</v>
      </c>
    </row>
    <row r="233" spans="1:27" s="138" customFormat="1" ht="13.5" customHeight="1">
      <c r="A233" s="193" t="s">
        <v>75</v>
      </c>
      <c r="B233" s="194" t="s">
        <v>47</v>
      </c>
      <c r="C233" s="195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140">
        <f t="shared" si="42"/>
        <v>0</v>
      </c>
      <c r="S233" s="141">
        <f t="shared" si="43"/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SUM(T233:X233)</f>
        <v>0</v>
      </c>
      <c r="Z233" s="136">
        <f>+R233+Y233</f>
        <v>0</v>
      </c>
      <c r="AA233" s="137">
        <f>+D233-Z233</f>
        <v>0</v>
      </c>
    </row>
    <row r="234" spans="1:27" s="138" customFormat="1" ht="13.5" customHeight="1">
      <c r="A234" s="193" t="s">
        <v>75</v>
      </c>
      <c r="B234" s="194" t="s">
        <v>55</v>
      </c>
      <c r="C234" s="195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140">
        <f t="shared" si="42"/>
        <v>0</v>
      </c>
      <c r="S234" s="141">
        <f t="shared" si="43"/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SUM(T234:X234)</f>
        <v>0</v>
      </c>
      <c r="Z234" s="136">
        <f>+R234+Y234</f>
        <v>0</v>
      </c>
      <c r="AA234" s="137">
        <f>+D234-Z234</f>
        <v>0</v>
      </c>
    </row>
    <row r="235" spans="1:27" s="138" customFormat="1" ht="13.5" customHeight="1">
      <c r="A235" s="193" t="s">
        <v>75</v>
      </c>
      <c r="B235" s="196" t="s">
        <v>59</v>
      </c>
      <c r="C235" s="197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144">
        <f t="shared" si="42"/>
        <v>0</v>
      </c>
      <c r="S235" s="145">
        <f t="shared" si="43"/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SUM(T235:X235)</f>
        <v>0</v>
      </c>
      <c r="Z235" s="136">
        <f>+R235+Y235</f>
        <v>0</v>
      </c>
      <c r="AA235" s="137">
        <f>+D235-Z235</f>
        <v>0</v>
      </c>
    </row>
    <row r="236" spans="1:27" s="108" customFormat="1" ht="13.5" customHeight="1">
      <c r="A236" s="192" t="s">
        <v>76</v>
      </c>
      <c r="B236" s="198"/>
      <c r="C236" s="199"/>
      <c r="D236" s="129">
        <f t="shared" ref="D236:Q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O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1"/>
        <v>0</v>
      </c>
      <c r="L236" s="130">
        <f t="shared" si="51"/>
        <v>0</v>
      </c>
      <c r="M236" s="130">
        <f t="shared" si="51"/>
        <v>0</v>
      </c>
      <c r="N236" s="130">
        <f t="shared" si="51"/>
        <v>0</v>
      </c>
      <c r="O236" s="130">
        <f t="shared" si="51"/>
        <v>0</v>
      </c>
      <c r="P236" s="130">
        <f t="shared" si="50"/>
        <v>0</v>
      </c>
      <c r="Q236" s="130">
        <f t="shared" si="50"/>
        <v>0</v>
      </c>
      <c r="R236" s="107">
        <f t="shared" si="42"/>
        <v>0</v>
      </c>
      <c r="S236" s="107">
        <f t="shared" si="43"/>
        <v>0</v>
      </c>
      <c r="T236" s="130">
        <f t="shared" ref="T236:X236" si="52">SUBTOTAL(9,T237:T252)</f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SUM(T236:X236)</f>
        <v>0</v>
      </c>
      <c r="Z236" s="56">
        <f>+R236+Y236</f>
        <v>0</v>
      </c>
      <c r="AA236" s="131">
        <f>+D236-Z236</f>
        <v>0</v>
      </c>
    </row>
    <row r="237" spans="1:27" s="138" customFormat="1" ht="13.5" customHeight="1">
      <c r="A237" s="200" t="s">
        <v>76</v>
      </c>
      <c r="B237" s="201" t="s">
        <v>29</v>
      </c>
      <c r="C237" s="202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133">
        <f t="shared" si="42"/>
        <v>0</v>
      </c>
      <c r="S237" s="134">
        <f t="shared" si="43"/>
        <v>0</v>
      </c>
      <c r="T237" s="132"/>
      <c r="U237" s="135">
        <v>0</v>
      </c>
      <c r="V237" s="135">
        <v>0</v>
      </c>
      <c r="W237" s="135"/>
      <c r="X237" s="132"/>
      <c r="Y237" s="136">
        <f>SUM(T237:X237)</f>
        <v>0</v>
      </c>
      <c r="Z237" s="136">
        <f>+R237+Y237</f>
        <v>0</v>
      </c>
      <c r="AA237" s="137">
        <f>+D237-Z237</f>
        <v>0</v>
      </c>
    </row>
    <row r="238" spans="1:27" s="138" customFormat="1" ht="13.5" customHeight="1">
      <c r="A238" s="200" t="s">
        <v>76</v>
      </c>
      <c r="B238" s="203" t="s">
        <v>31</v>
      </c>
      <c r="C238" s="195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140">
        <f t="shared" si="42"/>
        <v>0</v>
      </c>
      <c r="S238" s="141">
        <f t="shared" si="43"/>
        <v>0</v>
      </c>
      <c r="T238" s="139"/>
      <c r="U238" s="142">
        <v>0</v>
      </c>
      <c r="V238" s="142">
        <v>0</v>
      </c>
      <c r="W238" s="142"/>
      <c r="X238" s="139"/>
      <c r="Y238" s="136">
        <f>SUM(T238:X238)</f>
        <v>0</v>
      </c>
      <c r="Z238" s="136">
        <f>+R238+Y238</f>
        <v>0</v>
      </c>
      <c r="AA238" s="137">
        <f>+D238-Z238</f>
        <v>0</v>
      </c>
    </row>
    <row r="239" spans="1:27" s="138" customFormat="1" ht="13.5" customHeight="1">
      <c r="A239" s="200" t="s">
        <v>76</v>
      </c>
      <c r="B239" s="203" t="s">
        <v>33</v>
      </c>
      <c r="C239" s="195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140">
        <f t="shared" si="42"/>
        <v>0</v>
      </c>
      <c r="S239" s="141">
        <f t="shared" si="43"/>
        <v>0</v>
      </c>
      <c r="T239" s="139"/>
      <c r="U239" s="142">
        <v>0</v>
      </c>
      <c r="V239" s="142">
        <v>0</v>
      </c>
      <c r="W239" s="142"/>
      <c r="X239" s="139"/>
      <c r="Y239" s="136">
        <f>SUM(T239:X239)</f>
        <v>0</v>
      </c>
      <c r="Z239" s="136">
        <f>+R239+Y239</f>
        <v>0</v>
      </c>
      <c r="AA239" s="137">
        <f>+D239-Z239</f>
        <v>0</v>
      </c>
    </row>
    <row r="240" spans="1:27" s="138" customFormat="1" ht="13.5" customHeight="1">
      <c r="A240" s="200" t="s">
        <v>76</v>
      </c>
      <c r="B240" s="203" t="s">
        <v>35</v>
      </c>
      <c r="C240" s="195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140">
        <f t="shared" si="42"/>
        <v>0</v>
      </c>
      <c r="S240" s="141">
        <f t="shared" si="43"/>
        <v>0</v>
      </c>
      <c r="T240" s="139"/>
      <c r="U240" s="142">
        <v>0</v>
      </c>
      <c r="V240" s="142">
        <v>0</v>
      </c>
      <c r="W240" s="142"/>
      <c r="X240" s="139"/>
      <c r="Y240" s="136">
        <f>SUM(T240:X240)</f>
        <v>0</v>
      </c>
      <c r="Z240" s="136">
        <f>+R240+Y240</f>
        <v>0</v>
      </c>
      <c r="AA240" s="137">
        <f>+D240-Z240</f>
        <v>0</v>
      </c>
    </row>
    <row r="241" spans="1:27" s="138" customFormat="1" ht="13.5" customHeight="1">
      <c r="A241" s="200" t="s">
        <v>76</v>
      </c>
      <c r="B241" s="203" t="s">
        <v>37</v>
      </c>
      <c r="C241" s="195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140">
        <f t="shared" si="42"/>
        <v>0</v>
      </c>
      <c r="S241" s="141">
        <f t="shared" si="43"/>
        <v>0</v>
      </c>
      <c r="T241" s="139"/>
      <c r="U241" s="142">
        <v>0</v>
      </c>
      <c r="V241" s="142">
        <v>0</v>
      </c>
      <c r="W241" s="142"/>
      <c r="X241" s="139"/>
      <c r="Y241" s="136">
        <f>SUM(T241:X241)</f>
        <v>0</v>
      </c>
      <c r="Z241" s="136">
        <f>+R241+Y241</f>
        <v>0</v>
      </c>
      <c r="AA241" s="137">
        <f>+D241-Z241</f>
        <v>0</v>
      </c>
    </row>
    <row r="242" spans="1:27" s="138" customFormat="1" ht="13.5" customHeight="1">
      <c r="A242" s="200" t="s">
        <v>76</v>
      </c>
      <c r="B242" s="203" t="s">
        <v>39</v>
      </c>
      <c r="C242" s="195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140">
        <f t="shared" si="42"/>
        <v>0</v>
      </c>
      <c r="S242" s="141">
        <f t="shared" si="43"/>
        <v>0</v>
      </c>
      <c r="T242" s="139"/>
      <c r="U242" s="142">
        <v>0</v>
      </c>
      <c r="V242" s="142">
        <v>0</v>
      </c>
      <c r="W242" s="142"/>
      <c r="X242" s="139"/>
      <c r="Y242" s="136">
        <f>SUM(T242:X242)</f>
        <v>0</v>
      </c>
      <c r="Z242" s="136">
        <f>+R242+Y242</f>
        <v>0</v>
      </c>
      <c r="AA242" s="137">
        <f>+D242-Z242</f>
        <v>0</v>
      </c>
    </row>
    <row r="243" spans="1:27" s="138" customFormat="1" ht="13.5" customHeight="1">
      <c r="A243" s="200" t="s">
        <v>76</v>
      </c>
      <c r="B243" s="203" t="s">
        <v>41</v>
      </c>
      <c r="C243" s="195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140">
        <f t="shared" si="42"/>
        <v>0</v>
      </c>
      <c r="S243" s="141">
        <f t="shared" si="43"/>
        <v>0</v>
      </c>
      <c r="T243" s="139"/>
      <c r="U243" s="142">
        <v>0</v>
      </c>
      <c r="V243" s="142">
        <v>0</v>
      </c>
      <c r="W243" s="142"/>
      <c r="X243" s="139"/>
      <c r="Y243" s="136">
        <f>SUM(T243:X243)</f>
        <v>0</v>
      </c>
      <c r="Z243" s="136">
        <f>+R243+Y243</f>
        <v>0</v>
      </c>
      <c r="AA243" s="137">
        <f>+D243-Z243</f>
        <v>0</v>
      </c>
    </row>
    <row r="244" spans="1:27" s="138" customFormat="1" ht="13.5" customHeight="1">
      <c r="A244" s="200" t="s">
        <v>76</v>
      </c>
      <c r="B244" s="203" t="s">
        <v>43</v>
      </c>
      <c r="C244" s="195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140">
        <f t="shared" si="42"/>
        <v>0</v>
      </c>
      <c r="S244" s="141">
        <f t="shared" si="43"/>
        <v>0</v>
      </c>
      <c r="T244" s="139"/>
      <c r="U244" s="142">
        <v>0</v>
      </c>
      <c r="V244" s="142">
        <v>0</v>
      </c>
      <c r="W244" s="142"/>
      <c r="X244" s="139"/>
      <c r="Y244" s="136">
        <f>SUM(T244:X244)</f>
        <v>0</v>
      </c>
      <c r="Z244" s="136">
        <f>+R244+Y244</f>
        <v>0</v>
      </c>
      <c r="AA244" s="137">
        <f>+D244-Z244</f>
        <v>0</v>
      </c>
    </row>
    <row r="245" spans="1:27" s="138" customFormat="1" ht="13.5" customHeight="1">
      <c r="A245" s="200" t="s">
        <v>76</v>
      </c>
      <c r="B245" s="203" t="s">
        <v>45</v>
      </c>
      <c r="C245" s="195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140">
        <f t="shared" si="42"/>
        <v>0</v>
      </c>
      <c r="S245" s="141">
        <f t="shared" si="43"/>
        <v>0</v>
      </c>
      <c r="T245" s="139"/>
      <c r="U245" s="142">
        <v>0</v>
      </c>
      <c r="V245" s="142">
        <v>0</v>
      </c>
      <c r="W245" s="142"/>
      <c r="X245" s="139"/>
      <c r="Y245" s="136">
        <f>SUM(T245:X245)</f>
        <v>0</v>
      </c>
      <c r="Z245" s="136">
        <f>+R245+Y245</f>
        <v>0</v>
      </c>
      <c r="AA245" s="137">
        <f>+D245-Z245</f>
        <v>0</v>
      </c>
    </row>
    <row r="246" spans="1:27" s="138" customFormat="1" ht="13.5" customHeight="1">
      <c r="A246" s="200" t="s">
        <v>76</v>
      </c>
      <c r="B246" s="203" t="s">
        <v>47</v>
      </c>
      <c r="C246" s="195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140">
        <f t="shared" si="42"/>
        <v>0</v>
      </c>
      <c r="S246" s="141">
        <f t="shared" si="43"/>
        <v>0</v>
      </c>
      <c r="T246" s="139"/>
      <c r="U246" s="142">
        <v>0</v>
      </c>
      <c r="V246" s="142">
        <v>0</v>
      </c>
      <c r="W246" s="142"/>
      <c r="X246" s="139"/>
      <c r="Y246" s="136">
        <f>SUM(T246:X246)</f>
        <v>0</v>
      </c>
      <c r="Z246" s="136">
        <f>+R246+Y246</f>
        <v>0</v>
      </c>
      <c r="AA246" s="137">
        <f>+D246-Z246</f>
        <v>0</v>
      </c>
    </row>
    <row r="247" spans="1:27" s="138" customFormat="1" ht="13.5" customHeight="1">
      <c r="A247" s="200" t="s">
        <v>76</v>
      </c>
      <c r="B247" s="203" t="s">
        <v>49</v>
      </c>
      <c r="C247" s="195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140">
        <f t="shared" si="42"/>
        <v>0</v>
      </c>
      <c r="S247" s="141">
        <f t="shared" si="43"/>
        <v>0</v>
      </c>
      <c r="T247" s="139"/>
      <c r="U247" s="142">
        <v>0</v>
      </c>
      <c r="V247" s="142">
        <v>0</v>
      </c>
      <c r="W247" s="142"/>
      <c r="X247" s="139"/>
      <c r="Y247" s="136">
        <f>SUM(T247:X247)</f>
        <v>0</v>
      </c>
      <c r="Z247" s="136">
        <f>+R247+Y247</f>
        <v>0</v>
      </c>
      <c r="AA247" s="137">
        <f>+D247-Z247</f>
        <v>0</v>
      </c>
    </row>
    <row r="248" spans="1:27" s="138" customFormat="1" ht="13.5" customHeight="1">
      <c r="A248" s="200" t="s">
        <v>76</v>
      </c>
      <c r="B248" s="203" t="s">
        <v>51</v>
      </c>
      <c r="C248" s="195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140">
        <f t="shared" si="42"/>
        <v>0</v>
      </c>
      <c r="S248" s="141">
        <f t="shared" si="43"/>
        <v>0</v>
      </c>
      <c r="T248" s="139"/>
      <c r="U248" s="142">
        <v>0</v>
      </c>
      <c r="V248" s="142">
        <v>0</v>
      </c>
      <c r="W248" s="142"/>
      <c r="X248" s="139"/>
      <c r="Y248" s="136">
        <f>SUM(T248:X248)</f>
        <v>0</v>
      </c>
      <c r="Z248" s="136">
        <f>+R248+Y248</f>
        <v>0</v>
      </c>
      <c r="AA248" s="137">
        <f>+D248-Z248</f>
        <v>0</v>
      </c>
    </row>
    <row r="249" spans="1:27" s="138" customFormat="1" ht="13.5" customHeight="1">
      <c r="A249" s="200" t="s">
        <v>76</v>
      </c>
      <c r="B249" s="203" t="s">
        <v>53</v>
      </c>
      <c r="C249" s="195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140">
        <f t="shared" si="42"/>
        <v>0</v>
      </c>
      <c r="S249" s="141">
        <f t="shared" si="43"/>
        <v>0</v>
      </c>
      <c r="T249" s="139"/>
      <c r="U249" s="142">
        <v>0</v>
      </c>
      <c r="V249" s="142">
        <v>0</v>
      </c>
      <c r="W249" s="142"/>
      <c r="X249" s="139"/>
      <c r="Y249" s="136">
        <f>SUM(T249:X249)</f>
        <v>0</v>
      </c>
      <c r="Z249" s="136">
        <f>+R249+Y249</f>
        <v>0</v>
      </c>
      <c r="AA249" s="137">
        <f>+D249-Z249</f>
        <v>0</v>
      </c>
    </row>
    <row r="250" spans="1:27" s="138" customFormat="1" ht="13.5" customHeight="1">
      <c r="A250" s="200" t="s">
        <v>76</v>
      </c>
      <c r="B250" s="203" t="s">
        <v>55</v>
      </c>
      <c r="C250" s="195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140">
        <f t="shared" si="42"/>
        <v>0</v>
      </c>
      <c r="S250" s="141">
        <f t="shared" si="43"/>
        <v>0</v>
      </c>
      <c r="T250" s="139"/>
      <c r="U250" s="142">
        <v>0</v>
      </c>
      <c r="V250" s="142">
        <v>0</v>
      </c>
      <c r="W250" s="142"/>
      <c r="X250" s="139"/>
      <c r="Y250" s="136">
        <f>SUM(T250:X250)</f>
        <v>0</v>
      </c>
      <c r="Z250" s="136">
        <f>+R250+Y250</f>
        <v>0</v>
      </c>
      <c r="AA250" s="137">
        <f>+D250-Z250</f>
        <v>0</v>
      </c>
    </row>
    <row r="251" spans="1:27" s="138" customFormat="1" ht="13.5" customHeight="1">
      <c r="A251" s="200" t="s">
        <v>76</v>
      </c>
      <c r="B251" s="203" t="s">
        <v>57</v>
      </c>
      <c r="C251" s="195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140">
        <f t="shared" si="42"/>
        <v>0</v>
      </c>
      <c r="S251" s="141">
        <f t="shared" si="43"/>
        <v>0</v>
      </c>
      <c r="T251" s="139"/>
      <c r="U251" s="142">
        <v>0</v>
      </c>
      <c r="V251" s="142">
        <v>0</v>
      </c>
      <c r="W251" s="142"/>
      <c r="X251" s="139"/>
      <c r="Y251" s="136">
        <f>SUM(T251:X251)</f>
        <v>0</v>
      </c>
      <c r="Z251" s="136">
        <f>+R251+Y251</f>
        <v>0</v>
      </c>
      <c r="AA251" s="137">
        <f>+D251-Z251</f>
        <v>0</v>
      </c>
    </row>
    <row r="252" spans="1:27" s="138" customFormat="1" ht="13.5" customHeight="1">
      <c r="A252" s="200" t="s">
        <v>76</v>
      </c>
      <c r="B252" s="204" t="s">
        <v>59</v>
      </c>
      <c r="C252" s="197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144">
        <f t="shared" si="42"/>
        <v>0</v>
      </c>
      <c r="S252" s="145">
        <f t="shared" si="43"/>
        <v>0</v>
      </c>
      <c r="T252" s="143"/>
      <c r="U252" s="146">
        <v>0</v>
      </c>
      <c r="V252" s="146">
        <v>0</v>
      </c>
      <c r="W252" s="146"/>
      <c r="X252" s="143"/>
      <c r="Y252" s="136">
        <f>SUM(T252:X252)</f>
        <v>0</v>
      </c>
      <c r="Z252" s="136">
        <f>+R252+Y252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5"/>
      <c r="C253" s="174"/>
      <c r="D253" s="129">
        <f t="shared" ref="D253:Q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O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4"/>
        <v>0</v>
      </c>
      <c r="L253" s="130">
        <f t="shared" si="54"/>
        <v>0</v>
      </c>
      <c r="M253" s="130">
        <f t="shared" si="54"/>
        <v>0</v>
      </c>
      <c r="N253" s="130">
        <f t="shared" si="54"/>
        <v>0</v>
      </c>
      <c r="O253" s="130">
        <f t="shared" si="54"/>
        <v>0</v>
      </c>
      <c r="P253" s="130">
        <f t="shared" si="53"/>
        <v>0</v>
      </c>
      <c r="Q253" s="130">
        <f t="shared" si="53"/>
        <v>0</v>
      </c>
      <c r="R253" s="107">
        <f t="shared" si="42"/>
        <v>0</v>
      </c>
      <c r="S253" s="107">
        <f t="shared" si="43"/>
        <v>0</v>
      </c>
      <c r="T253" s="130">
        <f t="shared" ref="T253:X253" si="55">SUBTOTAL(9,T254:T269)</f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SUM(T253:X253)</f>
        <v>0</v>
      </c>
      <c r="Z253" s="56">
        <f>+R253+Y253</f>
        <v>0</v>
      </c>
      <c r="AA253" s="131">
        <f>+D253-Z253</f>
        <v>0</v>
      </c>
    </row>
    <row r="254" spans="1:27" s="138" customFormat="1" ht="13.5" customHeight="1">
      <c r="A254" s="193" t="s">
        <v>77</v>
      </c>
      <c r="B254" s="206" t="s">
        <v>29</v>
      </c>
      <c r="C254" s="202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133">
        <f t="shared" si="42"/>
        <v>0</v>
      </c>
      <c r="S254" s="134">
        <f t="shared" si="43"/>
        <v>0</v>
      </c>
      <c r="T254" s="132"/>
      <c r="U254" s="135">
        <v>0</v>
      </c>
      <c r="V254" s="135">
        <v>0</v>
      </c>
      <c r="W254" s="135"/>
      <c r="X254" s="132"/>
      <c r="Y254" s="136">
        <f>SUM(T254:X254)</f>
        <v>0</v>
      </c>
      <c r="Z254" s="136">
        <f>+R254+Y254</f>
        <v>0</v>
      </c>
      <c r="AA254" s="137">
        <f>+D254-Z254</f>
        <v>0</v>
      </c>
    </row>
    <row r="255" spans="1:27" s="138" customFormat="1" ht="13.5" customHeight="1">
      <c r="A255" s="193" t="s">
        <v>77</v>
      </c>
      <c r="B255" s="194" t="s">
        <v>31</v>
      </c>
      <c r="C255" s="195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140">
        <f t="shared" si="42"/>
        <v>0</v>
      </c>
      <c r="S255" s="141">
        <f t="shared" si="43"/>
        <v>0</v>
      </c>
      <c r="T255" s="139"/>
      <c r="U255" s="142">
        <v>0</v>
      </c>
      <c r="V255" s="142">
        <v>0</v>
      </c>
      <c r="W255" s="142"/>
      <c r="X255" s="139"/>
      <c r="Y255" s="136">
        <f>SUM(T255:X255)</f>
        <v>0</v>
      </c>
      <c r="Z255" s="136">
        <f>+R255+Y255</f>
        <v>0</v>
      </c>
      <c r="AA255" s="137">
        <f>+D255-Z255</f>
        <v>0</v>
      </c>
    </row>
    <row r="256" spans="1:27" s="138" customFormat="1" ht="13.5" customHeight="1">
      <c r="A256" s="193" t="s">
        <v>77</v>
      </c>
      <c r="B256" s="194" t="s">
        <v>33</v>
      </c>
      <c r="C256" s="195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140">
        <f t="shared" si="42"/>
        <v>0</v>
      </c>
      <c r="S256" s="141">
        <f t="shared" si="43"/>
        <v>0</v>
      </c>
      <c r="T256" s="139"/>
      <c r="U256" s="142">
        <v>0</v>
      </c>
      <c r="V256" s="142">
        <v>0</v>
      </c>
      <c r="W256" s="142"/>
      <c r="X256" s="139"/>
      <c r="Y256" s="136">
        <f>SUM(T256:X256)</f>
        <v>0</v>
      </c>
      <c r="Z256" s="136">
        <f>+R256+Y256</f>
        <v>0</v>
      </c>
      <c r="AA256" s="137">
        <f>+D256-Z256</f>
        <v>0</v>
      </c>
    </row>
    <row r="257" spans="1:27" s="138" customFormat="1" ht="13.5" customHeight="1">
      <c r="A257" s="193" t="s">
        <v>77</v>
      </c>
      <c r="B257" s="194" t="s">
        <v>35</v>
      </c>
      <c r="C257" s="195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140">
        <f t="shared" si="42"/>
        <v>0</v>
      </c>
      <c r="S257" s="141">
        <f t="shared" si="43"/>
        <v>0</v>
      </c>
      <c r="T257" s="139"/>
      <c r="U257" s="142">
        <v>0</v>
      </c>
      <c r="V257" s="142">
        <v>0</v>
      </c>
      <c r="W257" s="142"/>
      <c r="X257" s="139"/>
      <c r="Y257" s="136">
        <f>SUM(T257:X257)</f>
        <v>0</v>
      </c>
      <c r="Z257" s="136">
        <f>+R257+Y257</f>
        <v>0</v>
      </c>
      <c r="AA257" s="137">
        <f>+D257-Z257</f>
        <v>0</v>
      </c>
    </row>
    <row r="258" spans="1:27" s="138" customFormat="1" ht="13.5" customHeight="1">
      <c r="A258" s="193" t="s">
        <v>77</v>
      </c>
      <c r="B258" s="194" t="s">
        <v>37</v>
      </c>
      <c r="C258" s="195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140">
        <f t="shared" si="42"/>
        <v>0</v>
      </c>
      <c r="S258" s="141">
        <f t="shared" si="43"/>
        <v>0</v>
      </c>
      <c r="T258" s="139"/>
      <c r="U258" s="142">
        <v>0</v>
      </c>
      <c r="V258" s="142">
        <v>0</v>
      </c>
      <c r="W258" s="142"/>
      <c r="X258" s="139"/>
      <c r="Y258" s="136">
        <f>SUM(T258:X258)</f>
        <v>0</v>
      </c>
      <c r="Z258" s="136">
        <f>+R258+Y258</f>
        <v>0</v>
      </c>
      <c r="AA258" s="137">
        <f>+D258-Z258</f>
        <v>0</v>
      </c>
    </row>
    <row r="259" spans="1:27" s="138" customFormat="1" ht="13.5" customHeight="1">
      <c r="A259" s="193" t="s">
        <v>77</v>
      </c>
      <c r="B259" s="194" t="s">
        <v>39</v>
      </c>
      <c r="C259" s="195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140">
        <f t="shared" si="42"/>
        <v>0</v>
      </c>
      <c r="S259" s="141">
        <f t="shared" si="43"/>
        <v>0</v>
      </c>
      <c r="T259" s="139"/>
      <c r="U259" s="142">
        <v>0</v>
      </c>
      <c r="V259" s="142">
        <v>0</v>
      </c>
      <c r="W259" s="142"/>
      <c r="X259" s="139"/>
      <c r="Y259" s="136">
        <f>SUM(T259:X259)</f>
        <v>0</v>
      </c>
      <c r="Z259" s="136">
        <f>+R259+Y259</f>
        <v>0</v>
      </c>
      <c r="AA259" s="137">
        <f>+D259-Z259</f>
        <v>0</v>
      </c>
    </row>
    <row r="260" spans="1:27" s="138" customFormat="1" ht="13.5" customHeight="1">
      <c r="A260" s="193" t="s">
        <v>77</v>
      </c>
      <c r="B260" s="194" t="s">
        <v>41</v>
      </c>
      <c r="C260" s="195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140">
        <f t="shared" si="42"/>
        <v>0</v>
      </c>
      <c r="S260" s="141">
        <f t="shared" si="43"/>
        <v>0</v>
      </c>
      <c r="T260" s="139"/>
      <c r="U260" s="142">
        <v>0</v>
      </c>
      <c r="V260" s="142">
        <v>0</v>
      </c>
      <c r="W260" s="142"/>
      <c r="X260" s="139"/>
      <c r="Y260" s="136">
        <f>SUM(T260:X260)</f>
        <v>0</v>
      </c>
      <c r="Z260" s="136">
        <f>+R260+Y260</f>
        <v>0</v>
      </c>
      <c r="AA260" s="137">
        <f>+D260-Z260</f>
        <v>0</v>
      </c>
    </row>
    <row r="261" spans="1:27" s="138" customFormat="1" ht="13.5" customHeight="1">
      <c r="A261" s="193" t="s">
        <v>77</v>
      </c>
      <c r="B261" s="194" t="s">
        <v>43</v>
      </c>
      <c r="C261" s="195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140">
        <f t="shared" si="42"/>
        <v>0</v>
      </c>
      <c r="S261" s="141">
        <f t="shared" si="43"/>
        <v>0</v>
      </c>
      <c r="T261" s="139"/>
      <c r="U261" s="142">
        <v>0</v>
      </c>
      <c r="V261" s="142">
        <v>0</v>
      </c>
      <c r="W261" s="142"/>
      <c r="X261" s="139"/>
      <c r="Y261" s="136">
        <f>SUM(T261:X261)</f>
        <v>0</v>
      </c>
      <c r="Z261" s="136">
        <f>+R261+Y261</f>
        <v>0</v>
      </c>
      <c r="AA261" s="137">
        <f>+D261-Z261</f>
        <v>0</v>
      </c>
    </row>
    <row r="262" spans="1:27" s="138" customFormat="1" ht="13.5" customHeight="1">
      <c r="A262" s="193" t="s">
        <v>77</v>
      </c>
      <c r="B262" s="194" t="s">
        <v>45</v>
      </c>
      <c r="C262" s="195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140">
        <f t="shared" ref="R262:R325" si="56">SUM(G262:Q262)</f>
        <v>0</v>
      </c>
      <c r="S262" s="141">
        <f t="shared" ref="S262:S325" si="57">D262-R262</f>
        <v>0</v>
      </c>
      <c r="T262" s="139"/>
      <c r="U262" s="142">
        <v>0</v>
      </c>
      <c r="V262" s="142">
        <v>0</v>
      </c>
      <c r="W262" s="142"/>
      <c r="X262" s="139"/>
      <c r="Y262" s="136">
        <f>SUM(T262:X262)</f>
        <v>0</v>
      </c>
      <c r="Z262" s="136">
        <f>+R262+Y262</f>
        <v>0</v>
      </c>
      <c r="AA262" s="137">
        <f>+D262-Z262</f>
        <v>0</v>
      </c>
    </row>
    <row r="263" spans="1:27" s="138" customFormat="1" ht="13.5" customHeight="1">
      <c r="A263" s="193" t="s">
        <v>77</v>
      </c>
      <c r="B263" s="194" t="s">
        <v>47</v>
      </c>
      <c r="C263" s="195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140">
        <f t="shared" si="56"/>
        <v>0</v>
      </c>
      <c r="S263" s="141">
        <f t="shared" si="57"/>
        <v>0</v>
      </c>
      <c r="T263" s="139"/>
      <c r="U263" s="142">
        <v>0</v>
      </c>
      <c r="V263" s="142">
        <v>0</v>
      </c>
      <c r="W263" s="142"/>
      <c r="X263" s="139"/>
      <c r="Y263" s="136">
        <f>SUM(T263:X263)</f>
        <v>0</v>
      </c>
      <c r="Z263" s="136">
        <f>+R263+Y263</f>
        <v>0</v>
      </c>
      <c r="AA263" s="137">
        <f>+D263-Z263</f>
        <v>0</v>
      </c>
    </row>
    <row r="264" spans="1:27" s="138" customFormat="1" ht="13.5" customHeight="1">
      <c r="A264" s="193" t="s">
        <v>77</v>
      </c>
      <c r="B264" s="194" t="s">
        <v>49</v>
      </c>
      <c r="C264" s="195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140">
        <f t="shared" si="56"/>
        <v>0</v>
      </c>
      <c r="S264" s="141">
        <f t="shared" si="57"/>
        <v>0</v>
      </c>
      <c r="T264" s="139"/>
      <c r="U264" s="142">
        <v>0</v>
      </c>
      <c r="V264" s="142">
        <v>0</v>
      </c>
      <c r="W264" s="142"/>
      <c r="X264" s="139"/>
      <c r="Y264" s="136">
        <f>SUM(T264:X264)</f>
        <v>0</v>
      </c>
      <c r="Z264" s="136">
        <f>+R264+Y264</f>
        <v>0</v>
      </c>
      <c r="AA264" s="137">
        <f>+D264-Z264</f>
        <v>0</v>
      </c>
    </row>
    <row r="265" spans="1:27" s="138" customFormat="1" ht="13.5" customHeight="1">
      <c r="A265" s="193" t="s">
        <v>77</v>
      </c>
      <c r="B265" s="203" t="s">
        <v>51</v>
      </c>
      <c r="C265" s="195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140">
        <f t="shared" si="56"/>
        <v>0</v>
      </c>
      <c r="S265" s="141">
        <f t="shared" si="57"/>
        <v>0</v>
      </c>
      <c r="T265" s="139"/>
      <c r="U265" s="142">
        <v>0</v>
      </c>
      <c r="V265" s="142">
        <v>0</v>
      </c>
      <c r="W265" s="142"/>
      <c r="X265" s="139"/>
      <c r="Y265" s="136">
        <f>SUM(T265:X265)</f>
        <v>0</v>
      </c>
      <c r="Z265" s="136">
        <f>+R265+Y265</f>
        <v>0</v>
      </c>
      <c r="AA265" s="137">
        <f>+D265-Z265</f>
        <v>0</v>
      </c>
    </row>
    <row r="266" spans="1:27" s="138" customFormat="1" ht="13.5" customHeight="1">
      <c r="A266" s="193" t="s">
        <v>77</v>
      </c>
      <c r="B266" s="194" t="s">
        <v>53</v>
      </c>
      <c r="C266" s="195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140">
        <f t="shared" si="56"/>
        <v>0</v>
      </c>
      <c r="S266" s="141">
        <f t="shared" si="57"/>
        <v>0</v>
      </c>
      <c r="T266" s="139"/>
      <c r="U266" s="142">
        <v>0</v>
      </c>
      <c r="V266" s="142">
        <v>0</v>
      </c>
      <c r="W266" s="142"/>
      <c r="X266" s="139"/>
      <c r="Y266" s="136">
        <f>SUM(T266:X266)</f>
        <v>0</v>
      </c>
      <c r="Z266" s="136">
        <f>+R266+Y266</f>
        <v>0</v>
      </c>
      <c r="AA266" s="137">
        <f>+D266-Z266</f>
        <v>0</v>
      </c>
    </row>
    <row r="267" spans="1:27" s="138" customFormat="1" ht="13.5" customHeight="1">
      <c r="A267" s="193" t="s">
        <v>77</v>
      </c>
      <c r="B267" s="194" t="s">
        <v>55</v>
      </c>
      <c r="C267" s="195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40">
        <f t="shared" si="56"/>
        <v>0</v>
      </c>
      <c r="S267" s="141">
        <f t="shared" si="57"/>
        <v>0</v>
      </c>
      <c r="T267" s="139"/>
      <c r="U267" s="142">
        <v>0</v>
      </c>
      <c r="V267" s="142">
        <v>0</v>
      </c>
      <c r="W267" s="142"/>
      <c r="X267" s="139"/>
      <c r="Y267" s="136">
        <f>SUM(T267:X267)</f>
        <v>0</v>
      </c>
      <c r="Z267" s="136">
        <f>+R267+Y267</f>
        <v>0</v>
      </c>
      <c r="AA267" s="137">
        <f>+D267-Z267</f>
        <v>0</v>
      </c>
    </row>
    <row r="268" spans="1:27" s="138" customFormat="1" ht="13.5" customHeight="1">
      <c r="A268" s="193" t="s">
        <v>77</v>
      </c>
      <c r="B268" s="203" t="s">
        <v>57</v>
      </c>
      <c r="C268" s="195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140">
        <f t="shared" si="56"/>
        <v>0</v>
      </c>
      <c r="S268" s="141">
        <f t="shared" si="57"/>
        <v>0</v>
      </c>
      <c r="T268" s="139"/>
      <c r="U268" s="142">
        <v>0</v>
      </c>
      <c r="V268" s="142">
        <v>0</v>
      </c>
      <c r="W268" s="142"/>
      <c r="X268" s="139"/>
      <c r="Y268" s="136">
        <f>SUM(T268:X268)</f>
        <v>0</v>
      </c>
      <c r="Z268" s="136">
        <f>+R268+Y268</f>
        <v>0</v>
      </c>
      <c r="AA268" s="137">
        <f>+D268-Z268</f>
        <v>0</v>
      </c>
    </row>
    <row r="269" spans="1:27" s="138" customFormat="1" ht="13.5" customHeight="1">
      <c r="A269" s="193" t="s">
        <v>77</v>
      </c>
      <c r="B269" s="196" t="s">
        <v>59</v>
      </c>
      <c r="C269" s="197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144">
        <f t="shared" si="56"/>
        <v>0</v>
      </c>
      <c r="S269" s="145">
        <f t="shared" si="57"/>
        <v>0</v>
      </c>
      <c r="T269" s="143"/>
      <c r="U269" s="146">
        <v>0</v>
      </c>
      <c r="V269" s="146">
        <v>0</v>
      </c>
      <c r="W269" s="146"/>
      <c r="X269" s="143"/>
      <c r="Y269" s="136">
        <f>SUM(T269:X269)</f>
        <v>0</v>
      </c>
      <c r="Z269" s="136">
        <f>+R269+Y269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5"/>
      <c r="C270" s="174"/>
      <c r="D270" s="129">
        <f t="shared" ref="D270:Q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O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9"/>
        <v>0</v>
      </c>
      <c r="L270" s="130">
        <f t="shared" si="59"/>
        <v>0</v>
      </c>
      <c r="M270" s="130">
        <f t="shared" si="59"/>
        <v>0</v>
      </c>
      <c r="N270" s="130">
        <f t="shared" si="59"/>
        <v>0</v>
      </c>
      <c r="O270" s="130">
        <f t="shared" si="59"/>
        <v>0</v>
      </c>
      <c r="P270" s="130">
        <f t="shared" si="58"/>
        <v>0</v>
      </c>
      <c r="Q270" s="130">
        <f t="shared" si="58"/>
        <v>0</v>
      </c>
      <c r="R270" s="107">
        <f t="shared" si="56"/>
        <v>0</v>
      </c>
      <c r="S270" s="107">
        <f t="shared" si="57"/>
        <v>0</v>
      </c>
      <c r="T270" s="130">
        <f t="shared" ref="T270:X270" si="60">SUBTOTAL(9,T271:T286)</f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SUM(T270:X270)</f>
        <v>0</v>
      </c>
      <c r="Z270" s="56">
        <f>+R270+Y270</f>
        <v>0</v>
      </c>
      <c r="AA270" s="131">
        <f>+D270-Z270</f>
        <v>0</v>
      </c>
    </row>
    <row r="271" spans="1:27" s="138" customFormat="1" ht="13.5" customHeight="1">
      <c r="A271" s="207" t="s">
        <v>78</v>
      </c>
      <c r="B271" s="206" t="s">
        <v>29</v>
      </c>
      <c r="C271" s="202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133">
        <f t="shared" si="56"/>
        <v>0</v>
      </c>
      <c r="S271" s="134">
        <f t="shared" si="57"/>
        <v>0</v>
      </c>
      <c r="T271" s="132"/>
      <c r="U271" s="135">
        <v>0</v>
      </c>
      <c r="V271" s="135">
        <v>0</v>
      </c>
      <c r="W271" s="135"/>
      <c r="X271" s="132"/>
      <c r="Y271" s="136">
        <f>SUM(T271:X271)</f>
        <v>0</v>
      </c>
      <c r="Z271" s="136">
        <f>+R271+Y271</f>
        <v>0</v>
      </c>
      <c r="AA271" s="137">
        <f>+D271-Z271</f>
        <v>0</v>
      </c>
    </row>
    <row r="272" spans="1:27" s="138" customFormat="1" ht="13.5" customHeight="1">
      <c r="A272" s="207" t="s">
        <v>78</v>
      </c>
      <c r="B272" s="208" t="s">
        <v>31</v>
      </c>
      <c r="C272" s="209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159">
        <f t="shared" si="56"/>
        <v>0</v>
      </c>
      <c r="S272" s="160">
        <f t="shared" si="57"/>
        <v>0</v>
      </c>
      <c r="T272" s="158"/>
      <c r="U272" s="161">
        <v>0</v>
      </c>
      <c r="V272" s="161">
        <v>0</v>
      </c>
      <c r="W272" s="161"/>
      <c r="X272" s="158"/>
      <c r="Y272" s="162">
        <f>SUM(T272:X272)</f>
        <v>0</v>
      </c>
      <c r="Z272" s="162">
        <f>+R272+Y272</f>
        <v>0</v>
      </c>
      <c r="AA272" s="163">
        <f>+D272-Z272</f>
        <v>0</v>
      </c>
    </row>
    <row r="273" spans="1:27" s="138" customFormat="1" ht="13.5" customHeight="1">
      <c r="A273" s="207" t="s">
        <v>78</v>
      </c>
      <c r="B273" s="194" t="s">
        <v>33</v>
      </c>
      <c r="C273" s="195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140">
        <f t="shared" si="56"/>
        <v>0</v>
      </c>
      <c r="S273" s="141">
        <f t="shared" si="57"/>
        <v>0</v>
      </c>
      <c r="T273" s="139"/>
      <c r="U273" s="142">
        <v>0</v>
      </c>
      <c r="V273" s="142">
        <v>0</v>
      </c>
      <c r="W273" s="142"/>
      <c r="X273" s="139"/>
      <c r="Y273" s="136">
        <f>SUM(T273:X273)</f>
        <v>0</v>
      </c>
      <c r="Z273" s="136">
        <f>+R273+Y273</f>
        <v>0</v>
      </c>
      <c r="AA273" s="137">
        <f>+D273-Z273</f>
        <v>0</v>
      </c>
    </row>
    <row r="274" spans="1:27" s="138" customFormat="1" ht="13.5" customHeight="1">
      <c r="A274" s="207" t="s">
        <v>78</v>
      </c>
      <c r="B274" s="194" t="s">
        <v>35</v>
      </c>
      <c r="C274" s="195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140">
        <f t="shared" si="56"/>
        <v>0</v>
      </c>
      <c r="S274" s="141">
        <f t="shared" si="57"/>
        <v>0</v>
      </c>
      <c r="T274" s="139"/>
      <c r="U274" s="142">
        <v>0</v>
      </c>
      <c r="V274" s="142">
        <v>0</v>
      </c>
      <c r="W274" s="142"/>
      <c r="X274" s="139"/>
      <c r="Y274" s="136">
        <f>SUM(T274:X274)</f>
        <v>0</v>
      </c>
      <c r="Z274" s="136">
        <f>+R274+Y274</f>
        <v>0</v>
      </c>
      <c r="AA274" s="137">
        <f>+D274-Z274</f>
        <v>0</v>
      </c>
    </row>
    <row r="275" spans="1:27" s="138" customFormat="1" ht="13.5" customHeight="1">
      <c r="A275" s="207" t="s">
        <v>78</v>
      </c>
      <c r="B275" s="210" t="s">
        <v>37</v>
      </c>
      <c r="C275" s="211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159">
        <f t="shared" si="56"/>
        <v>0</v>
      </c>
      <c r="S275" s="166">
        <f t="shared" si="57"/>
        <v>0</v>
      </c>
      <c r="T275" s="164"/>
      <c r="U275" s="167">
        <v>0</v>
      </c>
      <c r="V275" s="167">
        <v>0</v>
      </c>
      <c r="W275" s="167"/>
      <c r="X275" s="164"/>
      <c r="Y275" s="162">
        <f>SUM(T275:X275)</f>
        <v>0</v>
      </c>
      <c r="Z275" s="162">
        <f>+R275+Y275</f>
        <v>0</v>
      </c>
      <c r="AA275" s="175">
        <f>+D275-Z275</f>
        <v>0</v>
      </c>
    </row>
    <row r="276" spans="1:27" s="138" customFormat="1" ht="13.5" customHeight="1">
      <c r="A276" s="207" t="s">
        <v>78</v>
      </c>
      <c r="B276" s="210" t="s">
        <v>39</v>
      </c>
      <c r="C276" s="211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159">
        <f t="shared" si="56"/>
        <v>0</v>
      </c>
      <c r="S276" s="166">
        <f t="shared" si="57"/>
        <v>0</v>
      </c>
      <c r="T276" s="164"/>
      <c r="U276" s="167">
        <v>0</v>
      </c>
      <c r="V276" s="167">
        <v>0</v>
      </c>
      <c r="W276" s="167"/>
      <c r="X276" s="164"/>
      <c r="Y276" s="162">
        <f>SUM(T276:X276)</f>
        <v>0</v>
      </c>
      <c r="Z276" s="162">
        <f>+R276+Y276</f>
        <v>0</v>
      </c>
      <c r="AA276" s="175">
        <f>+D276-Z276</f>
        <v>0</v>
      </c>
    </row>
    <row r="277" spans="1:27" s="138" customFormat="1" ht="13.5" customHeight="1">
      <c r="A277" s="207" t="s">
        <v>78</v>
      </c>
      <c r="B277" s="210" t="s">
        <v>41</v>
      </c>
      <c r="C277" s="211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159">
        <f t="shared" si="56"/>
        <v>0</v>
      </c>
      <c r="S277" s="166">
        <f t="shared" si="57"/>
        <v>0</v>
      </c>
      <c r="T277" s="164"/>
      <c r="U277" s="167">
        <v>0</v>
      </c>
      <c r="V277" s="167">
        <v>0</v>
      </c>
      <c r="W277" s="167"/>
      <c r="X277" s="164"/>
      <c r="Y277" s="162">
        <f>SUM(T277:X277)</f>
        <v>0</v>
      </c>
      <c r="Z277" s="162">
        <f>+R277+Y277</f>
        <v>0</v>
      </c>
      <c r="AA277" s="175">
        <f>+D277-Z277</f>
        <v>0</v>
      </c>
    </row>
    <row r="278" spans="1:27" s="138" customFormat="1" ht="13.5" customHeight="1">
      <c r="A278" s="207" t="s">
        <v>78</v>
      </c>
      <c r="B278" s="210" t="s">
        <v>43</v>
      </c>
      <c r="C278" s="211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159">
        <f t="shared" si="56"/>
        <v>0</v>
      </c>
      <c r="S278" s="166">
        <f t="shared" si="57"/>
        <v>0</v>
      </c>
      <c r="T278" s="164"/>
      <c r="U278" s="167">
        <v>0</v>
      </c>
      <c r="V278" s="167">
        <v>0</v>
      </c>
      <c r="W278" s="167"/>
      <c r="X278" s="164"/>
      <c r="Y278" s="162">
        <f>SUM(T278:X278)</f>
        <v>0</v>
      </c>
      <c r="Z278" s="162">
        <f>+R278+Y278</f>
        <v>0</v>
      </c>
      <c r="AA278" s="175">
        <f>+D278-Z278</f>
        <v>0</v>
      </c>
    </row>
    <row r="279" spans="1:27" s="138" customFormat="1" ht="13.5" customHeight="1">
      <c r="A279" s="207" t="s">
        <v>78</v>
      </c>
      <c r="B279" s="210" t="s">
        <v>45</v>
      </c>
      <c r="C279" s="211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159">
        <f t="shared" si="56"/>
        <v>0</v>
      </c>
      <c r="S279" s="166">
        <f t="shared" si="57"/>
        <v>0</v>
      </c>
      <c r="T279" s="164"/>
      <c r="U279" s="167">
        <v>0</v>
      </c>
      <c r="V279" s="167">
        <v>0</v>
      </c>
      <c r="W279" s="167"/>
      <c r="X279" s="164"/>
      <c r="Y279" s="162">
        <f>SUM(T279:X279)</f>
        <v>0</v>
      </c>
      <c r="Z279" s="162">
        <f>+R279+Y279</f>
        <v>0</v>
      </c>
      <c r="AA279" s="175">
        <f>+D279-Z279</f>
        <v>0</v>
      </c>
    </row>
    <row r="280" spans="1:27" s="138" customFormat="1" ht="13.5" customHeight="1">
      <c r="A280" s="207" t="s">
        <v>78</v>
      </c>
      <c r="B280" s="210" t="s">
        <v>47</v>
      </c>
      <c r="C280" s="211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159">
        <f t="shared" si="56"/>
        <v>0</v>
      </c>
      <c r="S280" s="166">
        <f t="shared" si="57"/>
        <v>0</v>
      </c>
      <c r="T280" s="164"/>
      <c r="U280" s="167">
        <v>0</v>
      </c>
      <c r="V280" s="167">
        <v>0</v>
      </c>
      <c r="W280" s="167"/>
      <c r="X280" s="164"/>
      <c r="Y280" s="162">
        <f>SUM(T280:X280)</f>
        <v>0</v>
      </c>
      <c r="Z280" s="162">
        <f>+R280+Y280</f>
        <v>0</v>
      </c>
      <c r="AA280" s="175">
        <f>+D280-Z280</f>
        <v>0</v>
      </c>
    </row>
    <row r="281" spans="1:27" s="138" customFormat="1" ht="13.5" customHeight="1">
      <c r="A281" s="207" t="s">
        <v>78</v>
      </c>
      <c r="B281" s="210" t="s">
        <v>49</v>
      </c>
      <c r="C281" s="211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159">
        <f t="shared" si="56"/>
        <v>0</v>
      </c>
      <c r="S281" s="166">
        <f t="shared" si="57"/>
        <v>0</v>
      </c>
      <c r="T281" s="164"/>
      <c r="U281" s="167">
        <v>0</v>
      </c>
      <c r="V281" s="167">
        <v>0</v>
      </c>
      <c r="W281" s="167"/>
      <c r="X281" s="164"/>
      <c r="Y281" s="162">
        <f>SUM(T281:X281)</f>
        <v>0</v>
      </c>
      <c r="Z281" s="162">
        <f>+R281+Y281</f>
        <v>0</v>
      </c>
      <c r="AA281" s="175">
        <f>+D281-Z281</f>
        <v>0</v>
      </c>
    </row>
    <row r="282" spans="1:27" s="138" customFormat="1" ht="13.5" customHeight="1">
      <c r="A282" s="207" t="s">
        <v>78</v>
      </c>
      <c r="B282" s="203" t="s">
        <v>51</v>
      </c>
      <c r="C282" s="195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140">
        <f t="shared" si="56"/>
        <v>0</v>
      </c>
      <c r="S282" s="141">
        <f t="shared" si="57"/>
        <v>0</v>
      </c>
      <c r="T282" s="139"/>
      <c r="U282" s="142">
        <v>0</v>
      </c>
      <c r="V282" s="142">
        <v>0</v>
      </c>
      <c r="W282" s="142"/>
      <c r="X282" s="139"/>
      <c r="Y282" s="136">
        <f>SUM(T282:X282)</f>
        <v>0</v>
      </c>
      <c r="Z282" s="136">
        <f>+R282+Y282</f>
        <v>0</v>
      </c>
      <c r="AA282" s="137">
        <f>+D282-Z282</f>
        <v>0</v>
      </c>
    </row>
    <row r="283" spans="1:27" s="138" customFormat="1" ht="13.5" customHeight="1">
      <c r="A283" s="207" t="s">
        <v>78</v>
      </c>
      <c r="B283" s="210" t="s">
        <v>53</v>
      </c>
      <c r="C283" s="211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159">
        <f t="shared" si="56"/>
        <v>0</v>
      </c>
      <c r="S283" s="166">
        <f t="shared" si="57"/>
        <v>0</v>
      </c>
      <c r="T283" s="164"/>
      <c r="U283" s="167">
        <v>0</v>
      </c>
      <c r="V283" s="167">
        <v>0</v>
      </c>
      <c r="W283" s="167"/>
      <c r="X283" s="164"/>
      <c r="Y283" s="162">
        <f>SUM(T283:X283)</f>
        <v>0</v>
      </c>
      <c r="Z283" s="162">
        <f>+R283+Y283</f>
        <v>0</v>
      </c>
      <c r="AA283" s="175">
        <f>+D283-Z283</f>
        <v>0</v>
      </c>
    </row>
    <row r="284" spans="1:27" s="138" customFormat="1" ht="13.5" customHeight="1">
      <c r="A284" s="207" t="s">
        <v>78</v>
      </c>
      <c r="B284" s="210" t="s">
        <v>55</v>
      </c>
      <c r="C284" s="211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159">
        <f t="shared" si="56"/>
        <v>0</v>
      </c>
      <c r="S284" s="166">
        <f t="shared" si="57"/>
        <v>0</v>
      </c>
      <c r="T284" s="164"/>
      <c r="U284" s="167">
        <v>0</v>
      </c>
      <c r="V284" s="167">
        <v>0</v>
      </c>
      <c r="W284" s="167"/>
      <c r="X284" s="164"/>
      <c r="Y284" s="162">
        <f>SUM(T284:X284)</f>
        <v>0</v>
      </c>
      <c r="Z284" s="162">
        <f>+R284+Y284</f>
        <v>0</v>
      </c>
      <c r="AA284" s="175">
        <f>+D284-Z284</f>
        <v>0</v>
      </c>
    </row>
    <row r="285" spans="1:27" s="138" customFormat="1" ht="13.5" customHeight="1">
      <c r="A285" s="207" t="s">
        <v>78</v>
      </c>
      <c r="B285" s="203" t="s">
        <v>57</v>
      </c>
      <c r="C285" s="195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140">
        <f t="shared" si="56"/>
        <v>0</v>
      </c>
      <c r="S285" s="141">
        <f t="shared" si="57"/>
        <v>0</v>
      </c>
      <c r="T285" s="139"/>
      <c r="U285" s="142">
        <v>0</v>
      </c>
      <c r="V285" s="142">
        <v>0</v>
      </c>
      <c r="W285" s="142"/>
      <c r="X285" s="139"/>
      <c r="Y285" s="136">
        <f>SUM(T285:X285)</f>
        <v>0</v>
      </c>
      <c r="Z285" s="136">
        <f>+R285+Y285</f>
        <v>0</v>
      </c>
      <c r="AA285" s="137">
        <f>+D285-Z285</f>
        <v>0</v>
      </c>
    </row>
    <row r="286" spans="1:27" s="138" customFormat="1" ht="13.5" customHeight="1">
      <c r="A286" s="207" t="s">
        <v>78</v>
      </c>
      <c r="B286" s="212" t="s">
        <v>59</v>
      </c>
      <c r="C286" s="213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159">
        <f t="shared" si="56"/>
        <v>0</v>
      </c>
      <c r="S286" s="170">
        <f t="shared" si="57"/>
        <v>0</v>
      </c>
      <c r="T286" s="168"/>
      <c r="U286" s="171">
        <v>0</v>
      </c>
      <c r="V286" s="171">
        <v>0</v>
      </c>
      <c r="W286" s="171"/>
      <c r="X286" s="168"/>
      <c r="Y286" s="162">
        <f>SUM(T286:X286)</f>
        <v>0</v>
      </c>
      <c r="Z286" s="162">
        <f>+R286+Y286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5"/>
      <c r="C287" s="174"/>
      <c r="D287" s="129">
        <f t="shared" ref="D287:Q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O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2"/>
        <v>0</v>
      </c>
      <c r="L287" s="130">
        <f t="shared" si="62"/>
        <v>0</v>
      </c>
      <c r="M287" s="130">
        <f t="shared" si="62"/>
        <v>0</v>
      </c>
      <c r="N287" s="130">
        <f t="shared" si="62"/>
        <v>0</v>
      </c>
      <c r="O287" s="130">
        <f t="shared" si="62"/>
        <v>0</v>
      </c>
      <c r="P287" s="130">
        <f t="shared" si="61"/>
        <v>0</v>
      </c>
      <c r="Q287" s="130">
        <f t="shared" si="61"/>
        <v>0</v>
      </c>
      <c r="R287" s="107">
        <f t="shared" si="56"/>
        <v>0</v>
      </c>
      <c r="S287" s="107">
        <f t="shared" si="57"/>
        <v>0</v>
      </c>
      <c r="T287" s="130">
        <f t="shared" ref="T287:X287" si="63">SUBTOTAL(9,T288:T303)</f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SUM(T287:X287)</f>
        <v>0</v>
      </c>
      <c r="Z287" s="56">
        <f>+R287+Y287</f>
        <v>0</v>
      </c>
      <c r="AA287" s="131">
        <f>+D287-Z287</f>
        <v>0</v>
      </c>
    </row>
    <row r="288" spans="1:27" s="138" customFormat="1" ht="13.5" customHeight="1">
      <c r="A288" s="207" t="s">
        <v>79</v>
      </c>
      <c r="B288" s="206" t="s">
        <v>29</v>
      </c>
      <c r="C288" s="202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133">
        <f t="shared" si="56"/>
        <v>0</v>
      </c>
      <c r="S288" s="134">
        <f t="shared" si="57"/>
        <v>0</v>
      </c>
      <c r="T288" s="132"/>
      <c r="U288" s="135">
        <v>0</v>
      </c>
      <c r="V288" s="135">
        <v>0</v>
      </c>
      <c r="W288" s="135"/>
      <c r="X288" s="132"/>
      <c r="Y288" s="136">
        <f>SUM(T288:X288)</f>
        <v>0</v>
      </c>
      <c r="Z288" s="136">
        <f>+R288+Y288</f>
        <v>0</v>
      </c>
      <c r="AA288" s="137">
        <f>+D288-Z288</f>
        <v>0</v>
      </c>
    </row>
    <row r="289" spans="1:27" s="138" customFormat="1" ht="13.5" customHeight="1">
      <c r="A289" s="207" t="s">
        <v>79</v>
      </c>
      <c r="B289" s="208" t="s">
        <v>31</v>
      </c>
      <c r="C289" s="209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159">
        <f t="shared" si="56"/>
        <v>0</v>
      </c>
      <c r="S289" s="160">
        <f t="shared" si="57"/>
        <v>0</v>
      </c>
      <c r="T289" s="158"/>
      <c r="U289" s="161">
        <v>0</v>
      </c>
      <c r="V289" s="161">
        <v>0</v>
      </c>
      <c r="W289" s="161"/>
      <c r="X289" s="158"/>
      <c r="Y289" s="162">
        <f>SUM(T289:X289)</f>
        <v>0</v>
      </c>
      <c r="Z289" s="162">
        <f>+R289+Y289</f>
        <v>0</v>
      </c>
      <c r="AA289" s="163">
        <f>+D289-Z289</f>
        <v>0</v>
      </c>
    </row>
    <row r="290" spans="1:27" s="138" customFormat="1" ht="13.5" customHeight="1">
      <c r="A290" s="207" t="s">
        <v>79</v>
      </c>
      <c r="B290" s="208" t="s">
        <v>33</v>
      </c>
      <c r="C290" s="209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159">
        <f t="shared" si="56"/>
        <v>0</v>
      </c>
      <c r="S290" s="160">
        <f t="shared" si="57"/>
        <v>0</v>
      </c>
      <c r="T290" s="158"/>
      <c r="U290" s="161">
        <v>0</v>
      </c>
      <c r="V290" s="161">
        <v>0</v>
      </c>
      <c r="W290" s="161"/>
      <c r="X290" s="158"/>
      <c r="Y290" s="162">
        <f>SUM(T290:X290)</f>
        <v>0</v>
      </c>
      <c r="Z290" s="162">
        <f>+R290+Y290</f>
        <v>0</v>
      </c>
      <c r="AA290" s="163">
        <f>+D290-Z290</f>
        <v>0</v>
      </c>
    </row>
    <row r="291" spans="1:27" s="138" customFormat="1" ht="13.5" customHeight="1">
      <c r="A291" s="207" t="s">
        <v>79</v>
      </c>
      <c r="B291" s="194" t="s">
        <v>35</v>
      </c>
      <c r="C291" s="195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140">
        <f t="shared" si="56"/>
        <v>0</v>
      </c>
      <c r="S291" s="141">
        <f t="shared" si="57"/>
        <v>0</v>
      </c>
      <c r="T291" s="139"/>
      <c r="U291" s="142">
        <v>0</v>
      </c>
      <c r="V291" s="142">
        <v>0</v>
      </c>
      <c r="W291" s="142"/>
      <c r="X291" s="139"/>
      <c r="Y291" s="136">
        <f>SUM(T291:X291)</f>
        <v>0</v>
      </c>
      <c r="Z291" s="136">
        <f>+R291+Y291</f>
        <v>0</v>
      </c>
      <c r="AA291" s="137">
        <f>+D291-Z291</f>
        <v>0</v>
      </c>
    </row>
    <row r="292" spans="1:27" s="138" customFormat="1" ht="13.5" customHeight="1">
      <c r="A292" s="207" t="s">
        <v>79</v>
      </c>
      <c r="B292" s="210" t="s">
        <v>37</v>
      </c>
      <c r="C292" s="211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165">
        <f t="shared" si="56"/>
        <v>0</v>
      </c>
      <c r="S292" s="166">
        <f t="shared" si="57"/>
        <v>0</v>
      </c>
      <c r="T292" s="164"/>
      <c r="U292" s="167">
        <v>0</v>
      </c>
      <c r="V292" s="167">
        <v>0</v>
      </c>
      <c r="W292" s="167"/>
      <c r="X292" s="164"/>
      <c r="Y292" s="162">
        <f>SUM(T292:X292)</f>
        <v>0</v>
      </c>
      <c r="Z292" s="162">
        <f>+R292+Y292</f>
        <v>0</v>
      </c>
      <c r="AA292" s="175">
        <f>+D292-Z292</f>
        <v>0</v>
      </c>
    </row>
    <row r="293" spans="1:27" s="138" customFormat="1" ht="13.5" customHeight="1">
      <c r="A293" s="207" t="s">
        <v>79</v>
      </c>
      <c r="B293" s="210" t="s">
        <v>39</v>
      </c>
      <c r="C293" s="211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165">
        <f t="shared" si="56"/>
        <v>0</v>
      </c>
      <c r="S293" s="166">
        <f t="shared" si="57"/>
        <v>0</v>
      </c>
      <c r="T293" s="177"/>
      <c r="U293" s="178"/>
      <c r="V293" s="178"/>
      <c r="W293" s="178"/>
      <c r="X293" s="177"/>
      <c r="Y293" s="162">
        <f>SUM(T293:X293)</f>
        <v>0</v>
      </c>
      <c r="Z293" s="162">
        <f>+R293+Y293</f>
        <v>0</v>
      </c>
      <c r="AA293" s="175">
        <f>+D293-Z293</f>
        <v>0</v>
      </c>
    </row>
    <row r="294" spans="1:27" s="138" customFormat="1" ht="13.5" customHeight="1">
      <c r="A294" s="207" t="s">
        <v>79</v>
      </c>
      <c r="B294" s="210" t="s">
        <v>41</v>
      </c>
      <c r="C294" s="211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165">
        <f t="shared" si="56"/>
        <v>0</v>
      </c>
      <c r="S294" s="166">
        <f t="shared" si="57"/>
        <v>0</v>
      </c>
      <c r="T294" s="164"/>
      <c r="U294" s="167">
        <v>0</v>
      </c>
      <c r="V294" s="167">
        <v>0</v>
      </c>
      <c r="W294" s="167"/>
      <c r="X294" s="164"/>
      <c r="Y294" s="162">
        <f>SUM(T294:X294)</f>
        <v>0</v>
      </c>
      <c r="Z294" s="162">
        <f>+R294+Y294</f>
        <v>0</v>
      </c>
      <c r="AA294" s="175">
        <f>+D294-Z294</f>
        <v>0</v>
      </c>
    </row>
    <row r="295" spans="1:27" s="138" customFormat="1" ht="13.5" customHeight="1">
      <c r="A295" s="207" t="s">
        <v>79</v>
      </c>
      <c r="B295" s="210" t="s">
        <v>43</v>
      </c>
      <c r="C295" s="211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165">
        <f t="shared" si="56"/>
        <v>0</v>
      </c>
      <c r="S295" s="166">
        <f t="shared" si="57"/>
        <v>0</v>
      </c>
      <c r="T295" s="164"/>
      <c r="U295" s="167">
        <v>0</v>
      </c>
      <c r="V295" s="167">
        <v>0</v>
      </c>
      <c r="W295" s="167"/>
      <c r="X295" s="164"/>
      <c r="Y295" s="162">
        <f>SUM(T295:X295)</f>
        <v>0</v>
      </c>
      <c r="Z295" s="162">
        <f>+R295+Y295</f>
        <v>0</v>
      </c>
      <c r="AA295" s="175">
        <f>+D295-Z295</f>
        <v>0</v>
      </c>
    </row>
    <row r="296" spans="1:27" s="138" customFormat="1" ht="13.5" customHeight="1">
      <c r="A296" s="207" t="s">
        <v>79</v>
      </c>
      <c r="B296" s="210" t="s">
        <v>45</v>
      </c>
      <c r="C296" s="211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165">
        <f t="shared" si="56"/>
        <v>0</v>
      </c>
      <c r="S296" s="166">
        <f t="shared" si="57"/>
        <v>0</v>
      </c>
      <c r="T296" s="164"/>
      <c r="U296" s="167">
        <v>0</v>
      </c>
      <c r="V296" s="167">
        <v>0</v>
      </c>
      <c r="W296" s="167"/>
      <c r="X296" s="164"/>
      <c r="Y296" s="162">
        <f>SUM(T296:X296)</f>
        <v>0</v>
      </c>
      <c r="Z296" s="162">
        <f>+R296+Y296</f>
        <v>0</v>
      </c>
      <c r="AA296" s="175">
        <f>+D296-Z296</f>
        <v>0</v>
      </c>
    </row>
    <row r="297" spans="1:27" s="138" customFormat="1" ht="13.5" customHeight="1">
      <c r="A297" s="207" t="s">
        <v>79</v>
      </c>
      <c r="B297" s="210" t="s">
        <v>47</v>
      </c>
      <c r="C297" s="211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165">
        <f t="shared" si="56"/>
        <v>0</v>
      </c>
      <c r="S297" s="166">
        <f t="shared" si="57"/>
        <v>0</v>
      </c>
      <c r="T297" s="164"/>
      <c r="U297" s="167">
        <v>0</v>
      </c>
      <c r="V297" s="167">
        <v>0</v>
      </c>
      <c r="W297" s="167"/>
      <c r="X297" s="164"/>
      <c r="Y297" s="162">
        <f>SUM(T297:X297)</f>
        <v>0</v>
      </c>
      <c r="Z297" s="162">
        <f>+R297+Y297</f>
        <v>0</v>
      </c>
      <c r="AA297" s="175">
        <f>+D297-Z297</f>
        <v>0</v>
      </c>
    </row>
    <row r="298" spans="1:27" s="138" customFormat="1" ht="13.5" customHeight="1">
      <c r="A298" s="207" t="s">
        <v>79</v>
      </c>
      <c r="B298" s="210" t="s">
        <v>49</v>
      </c>
      <c r="C298" s="211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165">
        <f t="shared" si="56"/>
        <v>0</v>
      </c>
      <c r="S298" s="166">
        <f t="shared" si="57"/>
        <v>0</v>
      </c>
      <c r="T298" s="164"/>
      <c r="U298" s="167">
        <v>0</v>
      </c>
      <c r="V298" s="167">
        <v>0</v>
      </c>
      <c r="W298" s="167"/>
      <c r="X298" s="164"/>
      <c r="Y298" s="162">
        <f>SUM(T298:X298)</f>
        <v>0</v>
      </c>
      <c r="Z298" s="162">
        <f>+R298+Y298</f>
        <v>0</v>
      </c>
      <c r="AA298" s="175">
        <f>+D298-Z298</f>
        <v>0</v>
      </c>
    </row>
    <row r="299" spans="1:27" s="138" customFormat="1" ht="13.5" customHeight="1">
      <c r="A299" s="207" t="s">
        <v>79</v>
      </c>
      <c r="B299" s="203" t="s">
        <v>51</v>
      </c>
      <c r="C299" s="195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140">
        <f t="shared" si="56"/>
        <v>0</v>
      </c>
      <c r="S299" s="141">
        <f t="shared" si="57"/>
        <v>0</v>
      </c>
      <c r="T299" s="139"/>
      <c r="U299" s="142">
        <v>0</v>
      </c>
      <c r="V299" s="142">
        <v>0</v>
      </c>
      <c r="W299" s="142"/>
      <c r="X299" s="139"/>
      <c r="Y299" s="136">
        <f>SUM(T299:X299)</f>
        <v>0</v>
      </c>
      <c r="Z299" s="136">
        <f>+R299+Y299</f>
        <v>0</v>
      </c>
      <c r="AA299" s="137">
        <f>+D299-Z299</f>
        <v>0</v>
      </c>
    </row>
    <row r="300" spans="1:27" s="138" customFormat="1" ht="13.5" customHeight="1">
      <c r="A300" s="207" t="s">
        <v>79</v>
      </c>
      <c r="B300" s="210" t="s">
        <v>53</v>
      </c>
      <c r="C300" s="211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165">
        <f t="shared" si="56"/>
        <v>0</v>
      </c>
      <c r="S300" s="166">
        <f t="shared" si="57"/>
        <v>0</v>
      </c>
      <c r="T300" s="164"/>
      <c r="U300" s="167">
        <v>0</v>
      </c>
      <c r="V300" s="167">
        <v>0</v>
      </c>
      <c r="W300" s="167"/>
      <c r="X300" s="164"/>
      <c r="Y300" s="162">
        <f>SUM(T300:X300)</f>
        <v>0</v>
      </c>
      <c r="Z300" s="162">
        <f>+R300+Y300</f>
        <v>0</v>
      </c>
      <c r="AA300" s="175">
        <f>+D300-Z300</f>
        <v>0</v>
      </c>
    </row>
    <row r="301" spans="1:27" s="138" customFormat="1" ht="13.5" customHeight="1">
      <c r="A301" s="207" t="s">
        <v>79</v>
      </c>
      <c r="B301" s="210" t="s">
        <v>55</v>
      </c>
      <c r="C301" s="211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165">
        <f t="shared" si="56"/>
        <v>0</v>
      </c>
      <c r="S301" s="166">
        <f t="shared" si="57"/>
        <v>0</v>
      </c>
      <c r="T301" s="164"/>
      <c r="U301" s="167">
        <v>0</v>
      </c>
      <c r="V301" s="167">
        <v>0</v>
      </c>
      <c r="W301" s="167"/>
      <c r="X301" s="164"/>
      <c r="Y301" s="162">
        <f>SUM(T301:X301)</f>
        <v>0</v>
      </c>
      <c r="Z301" s="162">
        <f>+R301+Y301</f>
        <v>0</v>
      </c>
      <c r="AA301" s="175">
        <f>+D301-Z301</f>
        <v>0</v>
      </c>
    </row>
    <row r="302" spans="1:27" s="138" customFormat="1" ht="13.5" customHeight="1">
      <c r="A302" s="207" t="s">
        <v>79</v>
      </c>
      <c r="B302" s="203" t="s">
        <v>57</v>
      </c>
      <c r="C302" s="195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140">
        <f t="shared" si="56"/>
        <v>0</v>
      </c>
      <c r="S302" s="141">
        <f t="shared" si="57"/>
        <v>0</v>
      </c>
      <c r="T302" s="139"/>
      <c r="U302" s="142">
        <v>0</v>
      </c>
      <c r="V302" s="142">
        <v>0</v>
      </c>
      <c r="W302" s="142"/>
      <c r="X302" s="139"/>
      <c r="Y302" s="136">
        <f>SUM(T302:X302)</f>
        <v>0</v>
      </c>
      <c r="Z302" s="136">
        <f>+R302+Y302</f>
        <v>0</v>
      </c>
      <c r="AA302" s="137">
        <f>+D302-Z302</f>
        <v>0</v>
      </c>
    </row>
    <row r="303" spans="1:27" s="138" customFormat="1" ht="13.5" customHeight="1">
      <c r="A303" s="207" t="s">
        <v>79</v>
      </c>
      <c r="B303" s="212" t="s">
        <v>59</v>
      </c>
      <c r="C303" s="213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169">
        <f t="shared" si="56"/>
        <v>0</v>
      </c>
      <c r="S303" s="170">
        <f t="shared" si="57"/>
        <v>0</v>
      </c>
      <c r="T303" s="168"/>
      <c r="U303" s="171">
        <v>0</v>
      </c>
      <c r="V303" s="171">
        <v>0</v>
      </c>
      <c r="W303" s="171"/>
      <c r="X303" s="168"/>
      <c r="Y303" s="162">
        <f>SUM(T303:X303)</f>
        <v>0</v>
      </c>
      <c r="Z303" s="162">
        <f>+R303+Y303</f>
        <v>0</v>
      </c>
      <c r="AA303" s="176">
        <f>+D303-Z303</f>
        <v>0</v>
      </c>
    </row>
    <row r="304" spans="1:27" s="108" customFormat="1" ht="13.5" customHeight="1">
      <c r="A304" s="192" t="s">
        <v>80</v>
      </c>
      <c r="B304" s="198"/>
      <c r="C304" s="199"/>
      <c r="D304" s="129">
        <f t="shared" ref="D304:Q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O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5"/>
        <v>0</v>
      </c>
      <c r="L304" s="130">
        <f t="shared" si="65"/>
        <v>0</v>
      </c>
      <c r="M304" s="130">
        <f t="shared" si="65"/>
        <v>0</v>
      </c>
      <c r="N304" s="130">
        <f t="shared" si="65"/>
        <v>0</v>
      </c>
      <c r="O304" s="130">
        <f t="shared" si="65"/>
        <v>0</v>
      </c>
      <c r="P304" s="130">
        <f t="shared" si="64"/>
        <v>0</v>
      </c>
      <c r="Q304" s="130">
        <f t="shared" si="64"/>
        <v>0</v>
      </c>
      <c r="R304" s="107">
        <f t="shared" si="56"/>
        <v>0</v>
      </c>
      <c r="S304" s="107">
        <f t="shared" si="57"/>
        <v>0</v>
      </c>
      <c r="T304" s="130">
        <f t="shared" ref="T304:X304" si="66">SUBTOTAL(9,T305:T320)</f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SUM(T304:X304)</f>
        <v>0</v>
      </c>
      <c r="Z304" s="56">
        <f>+R304+Y304</f>
        <v>0</v>
      </c>
      <c r="AA304" s="131">
        <f>+D304-Z304</f>
        <v>0</v>
      </c>
    </row>
    <row r="305" spans="1:27" s="138" customFormat="1" ht="13.5" customHeight="1">
      <c r="A305" s="200" t="s">
        <v>80</v>
      </c>
      <c r="B305" s="201" t="s">
        <v>29</v>
      </c>
      <c r="C305" s="202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133">
        <f t="shared" si="56"/>
        <v>0</v>
      </c>
      <c r="S305" s="134">
        <f t="shared" si="57"/>
        <v>0</v>
      </c>
      <c r="T305" s="132"/>
      <c r="U305" s="135">
        <v>0</v>
      </c>
      <c r="V305" s="135">
        <v>0</v>
      </c>
      <c r="W305" s="135"/>
      <c r="X305" s="132"/>
      <c r="Y305" s="136">
        <f>SUM(T305:X305)</f>
        <v>0</v>
      </c>
      <c r="Z305" s="136">
        <f>+R305+Y305</f>
        <v>0</v>
      </c>
      <c r="AA305" s="137">
        <f>+D305-Z305</f>
        <v>0</v>
      </c>
    </row>
    <row r="306" spans="1:27" s="138" customFormat="1" ht="13.5" customHeight="1">
      <c r="A306" s="200" t="s">
        <v>80</v>
      </c>
      <c r="B306" s="203" t="s">
        <v>31</v>
      </c>
      <c r="C306" s="195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140">
        <f t="shared" si="56"/>
        <v>0</v>
      </c>
      <c r="S306" s="141">
        <f t="shared" si="57"/>
        <v>0</v>
      </c>
      <c r="T306" s="139"/>
      <c r="U306" s="142">
        <v>0</v>
      </c>
      <c r="V306" s="142">
        <v>0</v>
      </c>
      <c r="W306" s="142"/>
      <c r="X306" s="139"/>
      <c r="Y306" s="136">
        <f>SUM(T306:X306)</f>
        <v>0</v>
      </c>
      <c r="Z306" s="136">
        <f>+R306+Y306</f>
        <v>0</v>
      </c>
      <c r="AA306" s="137">
        <f>+D306-Z306</f>
        <v>0</v>
      </c>
    </row>
    <row r="307" spans="1:27" s="138" customFormat="1" ht="13.5" customHeight="1">
      <c r="A307" s="200" t="s">
        <v>80</v>
      </c>
      <c r="B307" s="203" t="s">
        <v>33</v>
      </c>
      <c r="C307" s="195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140">
        <f t="shared" si="56"/>
        <v>0</v>
      </c>
      <c r="S307" s="141">
        <f t="shared" si="57"/>
        <v>0</v>
      </c>
      <c r="T307" s="139"/>
      <c r="U307" s="142">
        <v>0</v>
      </c>
      <c r="V307" s="142">
        <v>0</v>
      </c>
      <c r="W307" s="142"/>
      <c r="X307" s="139"/>
      <c r="Y307" s="136">
        <f>SUM(T307:X307)</f>
        <v>0</v>
      </c>
      <c r="Z307" s="136">
        <f>+R307+Y307</f>
        <v>0</v>
      </c>
      <c r="AA307" s="137">
        <f>+D307-Z307</f>
        <v>0</v>
      </c>
    </row>
    <row r="308" spans="1:27" s="138" customFormat="1" ht="13.5" customHeight="1">
      <c r="A308" s="200" t="s">
        <v>80</v>
      </c>
      <c r="B308" s="203" t="s">
        <v>35</v>
      </c>
      <c r="C308" s="195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140">
        <f t="shared" si="56"/>
        <v>0</v>
      </c>
      <c r="S308" s="141">
        <f t="shared" si="57"/>
        <v>0</v>
      </c>
      <c r="T308" s="139"/>
      <c r="U308" s="142">
        <v>0</v>
      </c>
      <c r="V308" s="142">
        <v>0</v>
      </c>
      <c r="W308" s="142"/>
      <c r="X308" s="139"/>
      <c r="Y308" s="136">
        <f>SUM(T308:X308)</f>
        <v>0</v>
      </c>
      <c r="Z308" s="136">
        <f>+R308+Y308</f>
        <v>0</v>
      </c>
      <c r="AA308" s="137">
        <f>+D308-Z308</f>
        <v>0</v>
      </c>
    </row>
    <row r="309" spans="1:27" s="138" customFormat="1" ht="13.5" customHeight="1">
      <c r="A309" s="200" t="s">
        <v>80</v>
      </c>
      <c r="B309" s="203" t="s">
        <v>37</v>
      </c>
      <c r="C309" s="195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140">
        <f t="shared" si="56"/>
        <v>0</v>
      </c>
      <c r="S309" s="141">
        <f t="shared" si="57"/>
        <v>0</v>
      </c>
      <c r="T309" s="139"/>
      <c r="U309" s="142">
        <v>0</v>
      </c>
      <c r="V309" s="142">
        <v>0</v>
      </c>
      <c r="W309" s="142"/>
      <c r="X309" s="139"/>
      <c r="Y309" s="136">
        <f>SUM(T309:X309)</f>
        <v>0</v>
      </c>
      <c r="Z309" s="136">
        <f>+R309+Y309</f>
        <v>0</v>
      </c>
      <c r="AA309" s="137">
        <f>+D309-Z309</f>
        <v>0</v>
      </c>
    </row>
    <row r="310" spans="1:27" s="138" customFormat="1" ht="13.5" customHeight="1">
      <c r="A310" s="200" t="s">
        <v>80</v>
      </c>
      <c r="B310" s="203" t="s">
        <v>39</v>
      </c>
      <c r="C310" s="195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140">
        <f t="shared" si="56"/>
        <v>0</v>
      </c>
      <c r="S310" s="141">
        <f t="shared" si="57"/>
        <v>0</v>
      </c>
      <c r="T310" s="139"/>
      <c r="U310" s="142">
        <v>0</v>
      </c>
      <c r="V310" s="142">
        <v>0</v>
      </c>
      <c r="W310" s="142"/>
      <c r="X310" s="139"/>
      <c r="Y310" s="136">
        <f>SUM(T310:X310)</f>
        <v>0</v>
      </c>
      <c r="Z310" s="136">
        <f>+R310+Y310</f>
        <v>0</v>
      </c>
      <c r="AA310" s="137">
        <f>+D310-Z310</f>
        <v>0</v>
      </c>
    </row>
    <row r="311" spans="1:27" s="138" customFormat="1" ht="13.5" customHeight="1">
      <c r="A311" s="200" t="s">
        <v>80</v>
      </c>
      <c r="B311" s="203" t="s">
        <v>41</v>
      </c>
      <c r="C311" s="195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140">
        <f t="shared" si="56"/>
        <v>0</v>
      </c>
      <c r="S311" s="141">
        <f t="shared" si="57"/>
        <v>0</v>
      </c>
      <c r="T311" s="139"/>
      <c r="U311" s="142">
        <v>0</v>
      </c>
      <c r="V311" s="142">
        <v>0</v>
      </c>
      <c r="W311" s="142"/>
      <c r="X311" s="139"/>
      <c r="Y311" s="136">
        <f>SUM(T311:X311)</f>
        <v>0</v>
      </c>
      <c r="Z311" s="136">
        <f>+R311+Y311</f>
        <v>0</v>
      </c>
      <c r="AA311" s="137">
        <f>+D311-Z311</f>
        <v>0</v>
      </c>
    </row>
    <row r="312" spans="1:27" s="138" customFormat="1" ht="13.5" customHeight="1">
      <c r="A312" s="200" t="s">
        <v>80</v>
      </c>
      <c r="B312" s="203" t="s">
        <v>43</v>
      </c>
      <c r="C312" s="195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140">
        <f t="shared" si="56"/>
        <v>0</v>
      </c>
      <c r="S312" s="141">
        <f t="shared" si="57"/>
        <v>0</v>
      </c>
      <c r="T312" s="139"/>
      <c r="U312" s="142">
        <v>0</v>
      </c>
      <c r="V312" s="142">
        <v>0</v>
      </c>
      <c r="W312" s="142"/>
      <c r="X312" s="139"/>
      <c r="Y312" s="136">
        <f>SUM(T312:X312)</f>
        <v>0</v>
      </c>
      <c r="Z312" s="136">
        <f>+R312+Y312</f>
        <v>0</v>
      </c>
      <c r="AA312" s="137">
        <f>+D312-Z312</f>
        <v>0</v>
      </c>
    </row>
    <row r="313" spans="1:27" s="138" customFormat="1" ht="13.5" customHeight="1">
      <c r="A313" s="200" t="s">
        <v>80</v>
      </c>
      <c r="B313" s="203" t="s">
        <v>45</v>
      </c>
      <c r="C313" s="195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140">
        <f t="shared" si="56"/>
        <v>0</v>
      </c>
      <c r="S313" s="141">
        <f t="shared" si="57"/>
        <v>0</v>
      </c>
      <c r="T313" s="139"/>
      <c r="U313" s="142">
        <v>0</v>
      </c>
      <c r="V313" s="142">
        <v>0</v>
      </c>
      <c r="W313" s="142"/>
      <c r="X313" s="139"/>
      <c r="Y313" s="136">
        <f>SUM(T313:X313)</f>
        <v>0</v>
      </c>
      <c r="Z313" s="136">
        <f>+R313+Y313</f>
        <v>0</v>
      </c>
      <c r="AA313" s="137">
        <f>+D313-Z313</f>
        <v>0</v>
      </c>
    </row>
    <row r="314" spans="1:27" s="138" customFormat="1" ht="13.5" customHeight="1">
      <c r="A314" s="200" t="s">
        <v>80</v>
      </c>
      <c r="B314" s="203" t="s">
        <v>47</v>
      </c>
      <c r="C314" s="195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140">
        <f t="shared" si="56"/>
        <v>0</v>
      </c>
      <c r="S314" s="141">
        <f t="shared" si="57"/>
        <v>0</v>
      </c>
      <c r="T314" s="139"/>
      <c r="U314" s="142">
        <v>0</v>
      </c>
      <c r="V314" s="142">
        <v>0</v>
      </c>
      <c r="W314" s="142"/>
      <c r="X314" s="139"/>
      <c r="Y314" s="136">
        <f>SUM(T314:X314)</f>
        <v>0</v>
      </c>
      <c r="Z314" s="136">
        <f>+R314+Y314</f>
        <v>0</v>
      </c>
      <c r="AA314" s="137">
        <f>+D314-Z314</f>
        <v>0</v>
      </c>
    </row>
    <row r="315" spans="1:27" s="138" customFormat="1" ht="13.5" customHeight="1">
      <c r="A315" s="200" t="s">
        <v>80</v>
      </c>
      <c r="B315" s="203" t="s">
        <v>49</v>
      </c>
      <c r="C315" s="195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140">
        <f t="shared" si="56"/>
        <v>0</v>
      </c>
      <c r="S315" s="141">
        <f t="shared" si="57"/>
        <v>0</v>
      </c>
      <c r="T315" s="139"/>
      <c r="U315" s="142">
        <v>0</v>
      </c>
      <c r="V315" s="142">
        <v>0</v>
      </c>
      <c r="W315" s="142"/>
      <c r="X315" s="139"/>
      <c r="Y315" s="136">
        <f>SUM(T315:X315)</f>
        <v>0</v>
      </c>
      <c r="Z315" s="136">
        <f>+R315+Y315</f>
        <v>0</v>
      </c>
      <c r="AA315" s="137">
        <f>+D315-Z315</f>
        <v>0</v>
      </c>
    </row>
    <row r="316" spans="1:27" s="138" customFormat="1" ht="13.5" customHeight="1">
      <c r="A316" s="200" t="s">
        <v>80</v>
      </c>
      <c r="B316" s="203" t="s">
        <v>51</v>
      </c>
      <c r="C316" s="195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140">
        <f t="shared" si="56"/>
        <v>0</v>
      </c>
      <c r="S316" s="141">
        <f t="shared" si="57"/>
        <v>0</v>
      </c>
      <c r="T316" s="139"/>
      <c r="U316" s="142">
        <v>0</v>
      </c>
      <c r="V316" s="142">
        <v>0</v>
      </c>
      <c r="W316" s="142"/>
      <c r="X316" s="139"/>
      <c r="Y316" s="136">
        <f>SUM(T316:X316)</f>
        <v>0</v>
      </c>
      <c r="Z316" s="136">
        <f>+R316+Y316</f>
        <v>0</v>
      </c>
      <c r="AA316" s="137">
        <f>+D316-Z316</f>
        <v>0</v>
      </c>
    </row>
    <row r="317" spans="1:27" s="138" customFormat="1" ht="13.5" customHeight="1">
      <c r="A317" s="200" t="s">
        <v>80</v>
      </c>
      <c r="B317" s="203" t="s">
        <v>53</v>
      </c>
      <c r="C317" s="195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140">
        <f t="shared" si="56"/>
        <v>0</v>
      </c>
      <c r="S317" s="141">
        <f t="shared" si="57"/>
        <v>0</v>
      </c>
      <c r="T317" s="139"/>
      <c r="U317" s="142">
        <v>0</v>
      </c>
      <c r="V317" s="142">
        <v>0</v>
      </c>
      <c r="W317" s="142"/>
      <c r="X317" s="139"/>
      <c r="Y317" s="136">
        <f>SUM(T317:X317)</f>
        <v>0</v>
      </c>
      <c r="Z317" s="136">
        <f>+R317+Y317</f>
        <v>0</v>
      </c>
      <c r="AA317" s="137">
        <f>+D317-Z317</f>
        <v>0</v>
      </c>
    </row>
    <row r="318" spans="1:27" s="138" customFormat="1" ht="13.5" customHeight="1">
      <c r="A318" s="200" t="s">
        <v>80</v>
      </c>
      <c r="B318" s="203" t="s">
        <v>55</v>
      </c>
      <c r="C318" s="195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140">
        <f t="shared" si="56"/>
        <v>0</v>
      </c>
      <c r="S318" s="141">
        <f t="shared" si="57"/>
        <v>0</v>
      </c>
      <c r="T318" s="139"/>
      <c r="U318" s="142">
        <v>0</v>
      </c>
      <c r="V318" s="142">
        <v>0</v>
      </c>
      <c r="W318" s="142"/>
      <c r="X318" s="139"/>
      <c r="Y318" s="136">
        <f>SUM(T318:X318)</f>
        <v>0</v>
      </c>
      <c r="Z318" s="136">
        <f>+R318+Y318</f>
        <v>0</v>
      </c>
      <c r="AA318" s="137">
        <f>+D318-Z318</f>
        <v>0</v>
      </c>
    </row>
    <row r="319" spans="1:27" s="138" customFormat="1" ht="13.5" customHeight="1">
      <c r="A319" s="200" t="s">
        <v>80</v>
      </c>
      <c r="B319" s="203" t="s">
        <v>57</v>
      </c>
      <c r="C319" s="195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140">
        <f t="shared" si="56"/>
        <v>0</v>
      </c>
      <c r="S319" s="141">
        <f t="shared" si="57"/>
        <v>0</v>
      </c>
      <c r="T319" s="139"/>
      <c r="U319" s="142">
        <v>0</v>
      </c>
      <c r="V319" s="142">
        <v>0</v>
      </c>
      <c r="W319" s="142"/>
      <c r="X319" s="139"/>
      <c r="Y319" s="136">
        <f>SUM(T319:X319)</f>
        <v>0</v>
      </c>
      <c r="Z319" s="136">
        <f>+R319+Y319</f>
        <v>0</v>
      </c>
      <c r="AA319" s="137">
        <f>+D319-Z319</f>
        <v>0</v>
      </c>
    </row>
    <row r="320" spans="1:27" s="138" customFormat="1" ht="13.5" customHeight="1">
      <c r="A320" s="200" t="s">
        <v>80</v>
      </c>
      <c r="B320" s="204" t="s">
        <v>59</v>
      </c>
      <c r="C320" s="197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144">
        <f t="shared" si="56"/>
        <v>0</v>
      </c>
      <c r="S320" s="145">
        <f t="shared" si="57"/>
        <v>0</v>
      </c>
      <c r="T320" s="143"/>
      <c r="U320" s="146">
        <v>0</v>
      </c>
      <c r="V320" s="146">
        <v>0</v>
      </c>
      <c r="W320" s="146"/>
      <c r="X320" s="143"/>
      <c r="Y320" s="136">
        <f>SUM(T320:X320)</f>
        <v>0</v>
      </c>
      <c r="Z320" s="136">
        <f>+R320+Y320</f>
        <v>0</v>
      </c>
      <c r="AA320" s="137">
        <f>+D320-Z320</f>
        <v>0</v>
      </c>
    </row>
    <row r="321" spans="1:27" s="108" customFormat="1" ht="13.5" customHeight="1">
      <c r="A321" s="192" t="s">
        <v>81</v>
      </c>
      <c r="B321" s="198"/>
      <c r="C321" s="199"/>
      <c r="D321" s="129">
        <f t="shared" ref="D321:Q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O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8"/>
        <v>0</v>
      </c>
      <c r="L321" s="130">
        <f t="shared" si="68"/>
        <v>0</v>
      </c>
      <c r="M321" s="130">
        <f t="shared" si="68"/>
        <v>0</v>
      </c>
      <c r="N321" s="130">
        <f t="shared" si="68"/>
        <v>0</v>
      </c>
      <c r="O321" s="130">
        <f t="shared" si="68"/>
        <v>0</v>
      </c>
      <c r="P321" s="130">
        <f t="shared" si="67"/>
        <v>0</v>
      </c>
      <c r="Q321" s="130">
        <f t="shared" si="67"/>
        <v>0</v>
      </c>
      <c r="R321" s="107">
        <f t="shared" si="56"/>
        <v>0</v>
      </c>
      <c r="S321" s="107">
        <f t="shared" si="57"/>
        <v>0</v>
      </c>
      <c r="T321" s="130">
        <f t="shared" ref="T321:X321" si="69">SUBTOTAL(9,T322:T337)</f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SUM(T321:X321)</f>
        <v>0</v>
      </c>
      <c r="Z321" s="56">
        <f>+R321+Y321</f>
        <v>0</v>
      </c>
      <c r="AA321" s="131">
        <f>+D321-Z321</f>
        <v>0</v>
      </c>
    </row>
    <row r="322" spans="1:27" s="138" customFormat="1" ht="13.5" customHeight="1">
      <c r="A322" s="200" t="s">
        <v>81</v>
      </c>
      <c r="B322" s="201" t="s">
        <v>29</v>
      </c>
      <c r="C322" s="202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133">
        <f t="shared" si="56"/>
        <v>0</v>
      </c>
      <c r="S322" s="134">
        <f t="shared" si="57"/>
        <v>0</v>
      </c>
      <c r="T322" s="132"/>
      <c r="U322" s="135">
        <v>0</v>
      </c>
      <c r="V322" s="135">
        <v>0</v>
      </c>
      <c r="W322" s="135"/>
      <c r="X322" s="132"/>
      <c r="Y322" s="136">
        <f>SUM(T322:X322)</f>
        <v>0</v>
      </c>
      <c r="Z322" s="136">
        <f>+R322+Y322</f>
        <v>0</v>
      </c>
      <c r="AA322" s="137">
        <f>+D322-Z322</f>
        <v>0</v>
      </c>
    </row>
    <row r="323" spans="1:27" s="138" customFormat="1" ht="13.5" customHeight="1">
      <c r="A323" s="200" t="s">
        <v>81</v>
      </c>
      <c r="B323" s="203" t="s">
        <v>31</v>
      </c>
      <c r="C323" s="195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140">
        <f t="shared" si="56"/>
        <v>0</v>
      </c>
      <c r="S323" s="141">
        <f t="shared" si="57"/>
        <v>0</v>
      </c>
      <c r="T323" s="139"/>
      <c r="U323" s="142">
        <v>0</v>
      </c>
      <c r="V323" s="142">
        <v>0</v>
      </c>
      <c r="W323" s="142"/>
      <c r="X323" s="139"/>
      <c r="Y323" s="136">
        <f>SUM(T323:X323)</f>
        <v>0</v>
      </c>
      <c r="Z323" s="136">
        <f>+R323+Y323</f>
        <v>0</v>
      </c>
      <c r="AA323" s="137">
        <f>+D323-Z323</f>
        <v>0</v>
      </c>
    </row>
    <row r="324" spans="1:27" s="138" customFormat="1" ht="13.5" customHeight="1">
      <c r="A324" s="200" t="s">
        <v>81</v>
      </c>
      <c r="B324" s="203" t="s">
        <v>33</v>
      </c>
      <c r="C324" s="195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140">
        <f t="shared" si="56"/>
        <v>0</v>
      </c>
      <c r="S324" s="141">
        <f t="shared" si="57"/>
        <v>0</v>
      </c>
      <c r="T324" s="139"/>
      <c r="U324" s="142">
        <v>0</v>
      </c>
      <c r="V324" s="142">
        <v>0</v>
      </c>
      <c r="W324" s="142"/>
      <c r="X324" s="139"/>
      <c r="Y324" s="136">
        <f>SUM(T324:X324)</f>
        <v>0</v>
      </c>
      <c r="Z324" s="136">
        <f>+R324+Y324</f>
        <v>0</v>
      </c>
      <c r="AA324" s="137">
        <f>+D324-Z324</f>
        <v>0</v>
      </c>
    </row>
    <row r="325" spans="1:27" s="138" customFormat="1" ht="13.5" customHeight="1">
      <c r="A325" s="200" t="s">
        <v>81</v>
      </c>
      <c r="B325" s="203" t="s">
        <v>35</v>
      </c>
      <c r="C325" s="195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140">
        <f t="shared" si="56"/>
        <v>0</v>
      </c>
      <c r="S325" s="141">
        <f t="shared" si="57"/>
        <v>0</v>
      </c>
      <c r="T325" s="139"/>
      <c r="U325" s="142">
        <v>0</v>
      </c>
      <c r="V325" s="142">
        <v>0</v>
      </c>
      <c r="W325" s="142"/>
      <c r="X325" s="139"/>
      <c r="Y325" s="136">
        <f>SUM(T325:X325)</f>
        <v>0</v>
      </c>
      <c r="Z325" s="136">
        <f>+R325+Y325</f>
        <v>0</v>
      </c>
      <c r="AA325" s="137">
        <f>+D325-Z325</f>
        <v>0</v>
      </c>
    </row>
    <row r="326" spans="1:27" s="138" customFormat="1" ht="13.5" customHeight="1">
      <c r="A326" s="200" t="s">
        <v>81</v>
      </c>
      <c r="B326" s="203" t="s">
        <v>37</v>
      </c>
      <c r="C326" s="195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140">
        <f t="shared" ref="R326:R338" si="70">SUM(G326:Q326)</f>
        <v>0</v>
      </c>
      <c r="S326" s="141">
        <f t="shared" ref="S326:S337" si="71">D326-R326</f>
        <v>0</v>
      </c>
      <c r="T326" s="139"/>
      <c r="U326" s="142">
        <v>0</v>
      </c>
      <c r="V326" s="142">
        <v>0</v>
      </c>
      <c r="W326" s="142"/>
      <c r="X326" s="139"/>
      <c r="Y326" s="136">
        <f>SUM(T326:X326)</f>
        <v>0</v>
      </c>
      <c r="Z326" s="136">
        <f>+R326+Y326</f>
        <v>0</v>
      </c>
      <c r="AA326" s="137">
        <f>+D326-Z326</f>
        <v>0</v>
      </c>
    </row>
    <row r="327" spans="1:27" s="138" customFormat="1" ht="13.5" customHeight="1">
      <c r="A327" s="200" t="s">
        <v>81</v>
      </c>
      <c r="B327" s="203" t="s">
        <v>39</v>
      </c>
      <c r="C327" s="195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140">
        <f t="shared" si="70"/>
        <v>0</v>
      </c>
      <c r="S327" s="141">
        <f t="shared" si="71"/>
        <v>0</v>
      </c>
      <c r="T327" s="139"/>
      <c r="U327" s="142">
        <v>0</v>
      </c>
      <c r="V327" s="142">
        <v>0</v>
      </c>
      <c r="W327" s="142"/>
      <c r="X327" s="139"/>
      <c r="Y327" s="136">
        <f>SUM(T327:X327)</f>
        <v>0</v>
      </c>
      <c r="Z327" s="136">
        <f>+R327+Y327</f>
        <v>0</v>
      </c>
      <c r="AA327" s="137">
        <f>+D327-Z327</f>
        <v>0</v>
      </c>
    </row>
    <row r="328" spans="1:27" s="138" customFormat="1" ht="13.5" customHeight="1">
      <c r="A328" s="200" t="s">
        <v>81</v>
      </c>
      <c r="B328" s="203" t="s">
        <v>41</v>
      </c>
      <c r="C328" s="195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140">
        <f t="shared" si="70"/>
        <v>0</v>
      </c>
      <c r="S328" s="141">
        <f t="shared" si="71"/>
        <v>0</v>
      </c>
      <c r="T328" s="139"/>
      <c r="U328" s="142">
        <v>0</v>
      </c>
      <c r="V328" s="142">
        <v>0</v>
      </c>
      <c r="W328" s="142"/>
      <c r="X328" s="139"/>
      <c r="Y328" s="136">
        <f>SUM(T328:X328)</f>
        <v>0</v>
      </c>
      <c r="Z328" s="136">
        <f>+R328+Y328</f>
        <v>0</v>
      </c>
      <c r="AA328" s="137">
        <f>+D328-Z328</f>
        <v>0</v>
      </c>
    </row>
    <row r="329" spans="1:27" s="138" customFormat="1" ht="13.5" customHeight="1">
      <c r="A329" s="200" t="s">
        <v>81</v>
      </c>
      <c r="B329" s="203" t="s">
        <v>43</v>
      </c>
      <c r="C329" s="195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140">
        <f t="shared" si="70"/>
        <v>0</v>
      </c>
      <c r="S329" s="141">
        <f t="shared" si="71"/>
        <v>0</v>
      </c>
      <c r="T329" s="139"/>
      <c r="U329" s="142">
        <v>0</v>
      </c>
      <c r="V329" s="142">
        <v>0</v>
      </c>
      <c r="W329" s="142"/>
      <c r="X329" s="139"/>
      <c r="Y329" s="136">
        <f>SUM(T329:X329)</f>
        <v>0</v>
      </c>
      <c r="Z329" s="136">
        <f>+R329+Y329</f>
        <v>0</v>
      </c>
      <c r="AA329" s="137">
        <f>+D329-Z329</f>
        <v>0</v>
      </c>
    </row>
    <row r="330" spans="1:27" s="138" customFormat="1" ht="13.5" customHeight="1">
      <c r="A330" s="200" t="s">
        <v>81</v>
      </c>
      <c r="B330" s="203" t="s">
        <v>45</v>
      </c>
      <c r="C330" s="195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140">
        <f t="shared" si="70"/>
        <v>0</v>
      </c>
      <c r="S330" s="141">
        <f t="shared" si="71"/>
        <v>0</v>
      </c>
      <c r="T330" s="139"/>
      <c r="U330" s="142">
        <v>0</v>
      </c>
      <c r="V330" s="142">
        <v>0</v>
      </c>
      <c r="W330" s="142"/>
      <c r="X330" s="139"/>
      <c r="Y330" s="136">
        <f>SUM(T330:X330)</f>
        <v>0</v>
      </c>
      <c r="Z330" s="136">
        <f>+R330+Y330</f>
        <v>0</v>
      </c>
      <c r="AA330" s="137">
        <f>+D330-Z330</f>
        <v>0</v>
      </c>
    </row>
    <row r="331" spans="1:27" s="138" customFormat="1" ht="13.5" customHeight="1">
      <c r="A331" s="200" t="s">
        <v>81</v>
      </c>
      <c r="B331" s="203" t="s">
        <v>47</v>
      </c>
      <c r="C331" s="195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140">
        <f t="shared" si="70"/>
        <v>0</v>
      </c>
      <c r="S331" s="141">
        <f t="shared" si="71"/>
        <v>0</v>
      </c>
      <c r="T331" s="139"/>
      <c r="U331" s="142">
        <v>0</v>
      </c>
      <c r="V331" s="142">
        <v>0</v>
      </c>
      <c r="W331" s="142"/>
      <c r="X331" s="139"/>
      <c r="Y331" s="136">
        <f>SUM(T331:X331)</f>
        <v>0</v>
      </c>
      <c r="Z331" s="136">
        <f>+R331+Y331</f>
        <v>0</v>
      </c>
      <c r="AA331" s="137">
        <f>+D331-Z331</f>
        <v>0</v>
      </c>
    </row>
    <row r="332" spans="1:27" s="138" customFormat="1" ht="13.5" customHeight="1">
      <c r="A332" s="200" t="s">
        <v>81</v>
      </c>
      <c r="B332" s="203" t="s">
        <v>49</v>
      </c>
      <c r="C332" s="195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140">
        <f t="shared" si="70"/>
        <v>0</v>
      </c>
      <c r="S332" s="141">
        <f t="shared" si="71"/>
        <v>0</v>
      </c>
      <c r="T332" s="139"/>
      <c r="U332" s="142">
        <v>0</v>
      </c>
      <c r="V332" s="142">
        <v>0</v>
      </c>
      <c r="W332" s="142"/>
      <c r="X332" s="139"/>
      <c r="Y332" s="136">
        <f>SUM(T332:X332)</f>
        <v>0</v>
      </c>
      <c r="Z332" s="136">
        <f>+R332+Y332</f>
        <v>0</v>
      </c>
      <c r="AA332" s="137">
        <f>+D332-Z332</f>
        <v>0</v>
      </c>
    </row>
    <row r="333" spans="1:27" s="138" customFormat="1" ht="13.5" customHeight="1">
      <c r="A333" s="200" t="s">
        <v>81</v>
      </c>
      <c r="B333" s="203" t="s">
        <v>51</v>
      </c>
      <c r="C333" s="195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140">
        <f t="shared" si="70"/>
        <v>0</v>
      </c>
      <c r="S333" s="141">
        <f t="shared" si="71"/>
        <v>0</v>
      </c>
      <c r="T333" s="139"/>
      <c r="U333" s="142">
        <v>0</v>
      </c>
      <c r="V333" s="142">
        <v>0</v>
      </c>
      <c r="W333" s="142"/>
      <c r="X333" s="139"/>
      <c r="Y333" s="136">
        <f>SUM(T333:X333)</f>
        <v>0</v>
      </c>
      <c r="Z333" s="136">
        <f>+R333+Y333</f>
        <v>0</v>
      </c>
      <c r="AA333" s="137">
        <f>+D333-Z333</f>
        <v>0</v>
      </c>
    </row>
    <row r="334" spans="1:27" s="138" customFormat="1" ht="13.5" customHeight="1">
      <c r="A334" s="200" t="s">
        <v>81</v>
      </c>
      <c r="B334" s="203" t="s">
        <v>53</v>
      </c>
      <c r="C334" s="195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140">
        <f t="shared" si="70"/>
        <v>0</v>
      </c>
      <c r="S334" s="141">
        <f t="shared" si="71"/>
        <v>0</v>
      </c>
      <c r="T334" s="139"/>
      <c r="U334" s="142">
        <v>0</v>
      </c>
      <c r="V334" s="142">
        <v>0</v>
      </c>
      <c r="W334" s="142"/>
      <c r="X334" s="139"/>
      <c r="Y334" s="136">
        <f>SUM(T334:X334)</f>
        <v>0</v>
      </c>
      <c r="Z334" s="136">
        <f>+R334+Y334</f>
        <v>0</v>
      </c>
      <c r="AA334" s="137">
        <f>+D334-Z334</f>
        <v>0</v>
      </c>
    </row>
    <row r="335" spans="1:27" s="138" customFormat="1" ht="13.5" customHeight="1">
      <c r="A335" s="200" t="s">
        <v>81</v>
      </c>
      <c r="B335" s="203" t="s">
        <v>55</v>
      </c>
      <c r="C335" s="195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140">
        <f t="shared" si="70"/>
        <v>0</v>
      </c>
      <c r="S335" s="141">
        <f t="shared" si="71"/>
        <v>0</v>
      </c>
      <c r="T335" s="139"/>
      <c r="U335" s="142">
        <v>0</v>
      </c>
      <c r="V335" s="142">
        <v>0</v>
      </c>
      <c r="W335" s="142"/>
      <c r="X335" s="139"/>
      <c r="Y335" s="136">
        <f>SUM(T335:X335)</f>
        <v>0</v>
      </c>
      <c r="Z335" s="136">
        <f>+R335+Y335</f>
        <v>0</v>
      </c>
      <c r="AA335" s="137">
        <f>+D335-Z335</f>
        <v>0</v>
      </c>
    </row>
    <row r="336" spans="1:27" s="138" customFormat="1" ht="13.5" customHeight="1">
      <c r="A336" s="200" t="s">
        <v>81</v>
      </c>
      <c r="B336" s="203" t="s">
        <v>57</v>
      </c>
      <c r="C336" s="195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140">
        <f t="shared" si="70"/>
        <v>0</v>
      </c>
      <c r="S336" s="141">
        <f t="shared" si="71"/>
        <v>0</v>
      </c>
      <c r="T336" s="139"/>
      <c r="U336" s="142">
        <v>0</v>
      </c>
      <c r="V336" s="142">
        <v>0</v>
      </c>
      <c r="W336" s="142"/>
      <c r="X336" s="139"/>
      <c r="Y336" s="136">
        <f>SUM(T336:X336)</f>
        <v>0</v>
      </c>
      <c r="Z336" s="136">
        <f>+R336+Y336</f>
        <v>0</v>
      </c>
      <c r="AA336" s="137">
        <f>+D336-Z336</f>
        <v>0</v>
      </c>
    </row>
    <row r="337" spans="1:27" s="138" customFormat="1" ht="13.5" customHeight="1">
      <c r="A337" s="200" t="s">
        <v>81</v>
      </c>
      <c r="B337" s="204" t="s">
        <v>59</v>
      </c>
      <c r="C337" s="197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144">
        <f t="shared" si="70"/>
        <v>0</v>
      </c>
      <c r="S337" s="145">
        <f t="shared" si="71"/>
        <v>0</v>
      </c>
      <c r="T337" s="143"/>
      <c r="U337" s="146">
        <v>0</v>
      </c>
      <c r="V337" s="146">
        <v>0</v>
      </c>
      <c r="W337" s="146"/>
      <c r="X337" s="143"/>
      <c r="Y337" s="136">
        <f>SUM(T337:X337)</f>
        <v>0</v>
      </c>
      <c r="Z337" s="136">
        <f>+R337+Y337</f>
        <v>0</v>
      </c>
      <c r="AA337" s="137">
        <f>+D337-Z337</f>
        <v>0</v>
      </c>
    </row>
    <row r="338" spans="1:27" s="58" customFormat="1" ht="13.5" customHeight="1">
      <c r="A338" s="220" t="s">
        <v>82</v>
      </c>
      <c r="B338" s="221"/>
      <c r="C338" s="222"/>
      <c r="D338" s="54">
        <f t="shared" ref="D338:Q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O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3"/>
        <v>0</v>
      </c>
      <c r="L338" s="54">
        <f t="shared" si="73"/>
        <v>0</v>
      </c>
      <c r="M338" s="54">
        <f t="shared" si="73"/>
        <v>0</v>
      </c>
      <c r="N338" s="54">
        <f t="shared" si="73"/>
        <v>0</v>
      </c>
      <c r="O338" s="54">
        <f t="shared" si="73"/>
        <v>0</v>
      </c>
      <c r="P338" s="54">
        <f t="shared" si="72"/>
        <v>0</v>
      </c>
      <c r="Q338" s="54">
        <f t="shared" si="72"/>
        <v>0</v>
      </c>
      <c r="R338" s="55">
        <f t="shared" si="70"/>
        <v>0</v>
      </c>
      <c r="S338" s="55"/>
      <c r="T338" s="54">
        <f t="shared" ref="T338:X338" si="74">SUBTOTAL(9,T6:T337)</f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SUM(T338:X338)</f>
        <v>0</v>
      </c>
      <c r="Z338" s="126">
        <f>+R338+Y338</f>
        <v>0</v>
      </c>
      <c r="AA338" s="127">
        <f>+D338-Z338</f>
        <v>0</v>
      </c>
    </row>
    <row r="340" spans="1:27">
      <c r="D340" s="29"/>
      <c r="E340" s="30"/>
      <c r="F340" s="31"/>
      <c r="R340" s="32"/>
      <c r="S340" s="33"/>
      <c r="AA340" s="32"/>
    </row>
    <row r="341" spans="1:27">
      <c r="D341" s="34"/>
      <c r="S341" s="35"/>
    </row>
    <row r="342" spans="1:27">
      <c r="D342" s="62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</row>
    <row r="343" spans="1:27">
      <c r="D343" s="34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38:C338"/>
    <mergeCell ref="Y4:Y5"/>
    <mergeCell ref="S4:S5"/>
    <mergeCell ref="Z4:Z5"/>
    <mergeCell ref="AA4:AA5"/>
    <mergeCell ref="A4:A5"/>
    <mergeCell ref="B4:B5"/>
    <mergeCell ref="C4:C5"/>
    <mergeCell ref="D4:D5"/>
    <mergeCell ref="E4:E5"/>
    <mergeCell ref="F4:F5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P4" sqref="P4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6" max="16" width="10" customWidth="1"/>
    <col min="18" max="18" width="0" hidden="1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Q1" s="1"/>
      <c r="R1" s="1"/>
      <c r="Z1" s="1"/>
    </row>
    <row r="2" spans="1:26">
      <c r="Q2" s="1"/>
      <c r="R2" s="1"/>
      <c r="Z2" s="1"/>
    </row>
    <row r="3" spans="1:26" ht="33" customHeight="1">
      <c r="A3" s="229" t="s">
        <v>84</v>
      </c>
      <c r="B3" s="240"/>
      <c r="C3" s="233" t="s">
        <v>85</v>
      </c>
      <c r="D3" s="233" t="s">
        <v>5</v>
      </c>
      <c r="E3" s="233" t="s">
        <v>6</v>
      </c>
      <c r="F3" s="247" t="s">
        <v>7</v>
      </c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33" t="s">
        <v>82</v>
      </c>
      <c r="R3" s="225" t="s">
        <v>8</v>
      </c>
      <c r="S3" s="219"/>
      <c r="T3" s="236" t="s">
        <v>9</v>
      </c>
      <c r="U3" s="235"/>
      <c r="V3" s="238" t="s">
        <v>10</v>
      </c>
      <c r="W3" s="245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1"/>
      <c r="B4" s="242"/>
      <c r="C4" s="234"/>
      <c r="D4" s="234"/>
      <c r="E4" s="234"/>
      <c r="F4" s="83" t="s">
        <v>89</v>
      </c>
      <c r="G4" s="83" t="s">
        <v>90</v>
      </c>
      <c r="H4" s="217" t="s">
        <v>91</v>
      </c>
      <c r="I4" s="217" t="s">
        <v>92</v>
      </c>
      <c r="J4" s="217" t="s">
        <v>93</v>
      </c>
      <c r="K4" s="217" t="s">
        <v>94</v>
      </c>
      <c r="L4" s="217" t="s">
        <v>95</v>
      </c>
      <c r="M4" s="217" t="s">
        <v>96</v>
      </c>
      <c r="N4" s="217" t="s">
        <v>97</v>
      </c>
      <c r="O4" s="217" t="s">
        <v>98</v>
      </c>
      <c r="P4" s="217" t="s">
        <v>129</v>
      </c>
      <c r="Q4" s="243"/>
      <c r="R4" s="226"/>
      <c r="S4" s="112" t="s">
        <v>130</v>
      </c>
      <c r="T4" s="81">
        <v>276</v>
      </c>
      <c r="U4" s="81">
        <v>728</v>
      </c>
      <c r="V4" s="239"/>
      <c r="W4" s="246"/>
      <c r="X4" s="243"/>
      <c r="Y4" s="243"/>
      <c r="Z4" s="243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Q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N5" si="1">SUBTOTAL(9,G6:G22)</f>
        <v>0</v>
      </c>
      <c r="H5" s="85">
        <f t="shared" si="1"/>
        <v>0</v>
      </c>
      <c r="I5" s="85">
        <f t="shared" si="1"/>
        <v>0</v>
      </c>
      <c r="J5" s="85">
        <f t="shared" si="1"/>
        <v>0</v>
      </c>
      <c r="K5" s="85">
        <f t="shared" si="1"/>
        <v>0</v>
      </c>
      <c r="L5" s="85">
        <f t="shared" si="1"/>
        <v>0</v>
      </c>
      <c r="M5" s="85">
        <f t="shared" si="1"/>
        <v>0</v>
      </c>
      <c r="N5" s="85">
        <f t="shared" si="1"/>
        <v>0</v>
      </c>
      <c r="O5" s="85">
        <f t="shared" si="0"/>
        <v>0</v>
      </c>
      <c r="P5" s="85">
        <f t="shared" si="0"/>
        <v>0</v>
      </c>
      <c r="Q5" s="85">
        <f t="shared" si="0"/>
        <v>0</v>
      </c>
      <c r="R5" s="64">
        <f t="shared" ref="R5:R36" si="2">C5-Q5</f>
        <v>0</v>
      </c>
      <c r="S5" s="85">
        <f t="shared" ref="S5:Z5" si="3">SUBTOTAL(9,S6:S22)</f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9">
        <f t="shared" ref="Q6:Q22" si="4">SUM(F6:P6)</f>
        <v>0</v>
      </c>
      <c r="R6" s="111">
        <f>C6-Q6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SUM(S6:W6)</f>
        <v>0</v>
      </c>
      <c r="Y6" s="91">
        <f>Q6+X6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9">
        <f t="shared" si="4"/>
        <v>0</v>
      </c>
      <c r="R7" s="111">
        <f t="shared" si="2"/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SUM(S7:W7)</f>
        <v>0</v>
      </c>
      <c r="Y7" s="91">
        <f>Q7+X7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9">
        <f t="shared" si="4"/>
        <v>0</v>
      </c>
      <c r="R8" s="111">
        <f t="shared" si="2"/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SUM(S8:W8)</f>
        <v>0</v>
      </c>
      <c r="Y8" s="91">
        <f>Q8+X8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9">
        <f t="shared" si="4"/>
        <v>0</v>
      </c>
      <c r="R9" s="111">
        <f t="shared" si="2"/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SUM(S9:W9)</f>
        <v>0</v>
      </c>
      <c r="Y9" s="91">
        <f>Q9+X9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8">
        <f>'2.1meta'!M62</f>
        <v>0</v>
      </c>
      <c r="M10" s="88">
        <f>'2.1meta'!N62</f>
        <v>0</v>
      </c>
      <c r="N10" s="88">
        <f>'2.1meta'!O62</f>
        <v>0</v>
      </c>
      <c r="O10" s="88">
        <f>'2.1meta'!P62</f>
        <v>0</v>
      </c>
      <c r="P10" s="88">
        <f>'2.1meta'!Q62</f>
        <v>0</v>
      </c>
      <c r="Q10" s="89">
        <f t="shared" si="4"/>
        <v>0</v>
      </c>
      <c r="R10" s="111">
        <f t="shared" si="2"/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SUM(S10:W10)</f>
        <v>0</v>
      </c>
      <c r="Y10" s="91">
        <f>Q10+X10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9">
        <f t="shared" si="4"/>
        <v>0</v>
      </c>
      <c r="R11" s="111">
        <f t="shared" si="2"/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SUM(S11:W11)</f>
        <v>0</v>
      </c>
      <c r="Y11" s="91">
        <f>Q11+X11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9">
        <f t="shared" si="4"/>
        <v>0</v>
      </c>
      <c r="R12" s="111">
        <f t="shared" si="2"/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SUM(S12:W12)</f>
        <v>0</v>
      </c>
      <c r="Y12" s="91">
        <f>Q12+X12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9">
        <f t="shared" si="4"/>
        <v>0</v>
      </c>
      <c r="R13" s="111">
        <f t="shared" si="2"/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SUM(S13:W13)</f>
        <v>0</v>
      </c>
      <c r="Y13" s="91">
        <f>Q13+X13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9">
        <f t="shared" si="4"/>
        <v>0</v>
      </c>
      <c r="R14" s="111">
        <f t="shared" si="2"/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SUM(S14:W14)</f>
        <v>0</v>
      </c>
      <c r="Y14" s="91">
        <f>Q14+X14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9">
        <f t="shared" si="4"/>
        <v>0</v>
      </c>
      <c r="R15" s="111">
        <f t="shared" si="2"/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SUM(S15:W15)</f>
        <v>0</v>
      </c>
      <c r="Y15" s="91">
        <f>Q15+X15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9">
        <f t="shared" si="4"/>
        <v>0</v>
      </c>
      <c r="R16" s="111">
        <f t="shared" si="2"/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SUM(S16:W16)</f>
        <v>0</v>
      </c>
      <c r="Y16" s="91">
        <f>Q16+X16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9">
        <f t="shared" si="4"/>
        <v>0</v>
      </c>
      <c r="R17" s="111">
        <f t="shared" si="2"/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SUM(S17:W17)</f>
        <v>0</v>
      </c>
      <c r="Y17" s="91">
        <f>Q17+X17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9">
        <f t="shared" si="4"/>
        <v>0</v>
      </c>
      <c r="R18" s="111">
        <f t="shared" si="2"/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SUM(S18:W18)</f>
        <v>0</v>
      </c>
      <c r="Y18" s="91">
        <f>Q18+X18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9">
        <f t="shared" si="4"/>
        <v>0</v>
      </c>
      <c r="R19" s="111">
        <f t="shared" si="2"/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SUM(S19:W19)</f>
        <v>0</v>
      </c>
      <c r="Y19" s="91">
        <f>Q19+X19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9">
        <f t="shared" si="4"/>
        <v>0</v>
      </c>
      <c r="R20" s="111">
        <f t="shared" si="2"/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SUM(S20:W20)</f>
        <v>0</v>
      </c>
      <c r="Y20" s="91">
        <f>Q20+X20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9">
        <f t="shared" si="4"/>
        <v>0</v>
      </c>
      <c r="R21" s="111">
        <f t="shared" si="2"/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SUM(S21:W21)</f>
        <v>0</v>
      </c>
      <c r="Y21" s="91">
        <f>Q21+X21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9">
        <f t="shared" si="4"/>
        <v>0</v>
      </c>
      <c r="R22" s="111">
        <f t="shared" si="2"/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SUM(S22:W22)</f>
        <v>0</v>
      </c>
      <c r="Y22" s="91">
        <f>Q22+X22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Q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ref="J23:N23" si="6">SUBTOTAL(9,J24:J37)</f>
        <v>0</v>
      </c>
      <c r="K23" s="85">
        <f t="shared" si="6"/>
        <v>0</v>
      </c>
      <c r="L23" s="85">
        <f t="shared" si="6"/>
        <v>0</v>
      </c>
      <c r="M23" s="85">
        <f t="shared" si="6"/>
        <v>0</v>
      </c>
      <c r="N23" s="85">
        <f t="shared" si="6"/>
        <v>0</v>
      </c>
      <c r="O23" s="85">
        <f t="shared" si="5"/>
        <v>0</v>
      </c>
      <c r="P23" s="85">
        <f t="shared" si="5"/>
        <v>0</v>
      </c>
      <c r="Q23" s="85">
        <f t="shared" si="5"/>
        <v>0</v>
      </c>
      <c r="R23" s="64">
        <f t="shared" si="2"/>
        <v>0</v>
      </c>
      <c r="S23" s="85">
        <f t="shared" ref="S23:Z23" si="7">SUBTOTAL(9,S24:S37)</f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8">
        <f>'2.1meta'!M271</f>
        <v>0</v>
      </c>
      <c r="M24" s="88">
        <f>'2.1meta'!N271</f>
        <v>0</v>
      </c>
      <c r="N24" s="88">
        <f>'2.1meta'!O271</f>
        <v>0</v>
      </c>
      <c r="O24" s="88">
        <f>'2.1meta'!P271</f>
        <v>0</v>
      </c>
      <c r="P24" s="88">
        <f>'2.1meta'!Q271</f>
        <v>0</v>
      </c>
      <c r="Q24" s="89">
        <f t="shared" ref="Q24:Q37" si="8">SUM(F24:P24)</f>
        <v>0</v>
      </c>
      <c r="R24" s="111">
        <f t="shared" si="2"/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SUM(S24:W24)</f>
        <v>0</v>
      </c>
      <c r="Y24" s="94">
        <f>Q24+X24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8">
        <f>'2.1meta'!M272</f>
        <v>0</v>
      </c>
      <c r="M25" s="88">
        <f>'2.1meta'!N272</f>
        <v>0</v>
      </c>
      <c r="N25" s="88">
        <f>'2.1meta'!O272</f>
        <v>0</v>
      </c>
      <c r="O25" s="88">
        <f>'2.1meta'!P272</f>
        <v>0</v>
      </c>
      <c r="P25" s="88">
        <f>'2.1meta'!Q272</f>
        <v>0</v>
      </c>
      <c r="Q25" s="89">
        <f t="shared" si="8"/>
        <v>0</v>
      </c>
      <c r="R25" s="111">
        <f t="shared" si="2"/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SUM(S25:W25)</f>
        <v>0</v>
      </c>
      <c r="Y25" s="94">
        <f>Q25+X25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8">
        <f>'2.1meta'!M273</f>
        <v>0</v>
      </c>
      <c r="M26" s="88">
        <f>'2.1meta'!N273</f>
        <v>0</v>
      </c>
      <c r="N26" s="88">
        <f>'2.1meta'!O273</f>
        <v>0</v>
      </c>
      <c r="O26" s="88">
        <f>'2.1meta'!P273</f>
        <v>0</v>
      </c>
      <c r="P26" s="88">
        <f>'2.1meta'!Q273</f>
        <v>0</v>
      </c>
      <c r="Q26" s="89">
        <f t="shared" si="8"/>
        <v>0</v>
      </c>
      <c r="R26" s="111">
        <f t="shared" si="2"/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SUM(S26:W26)</f>
        <v>0</v>
      </c>
      <c r="Y26" s="94">
        <f>Q26+X26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8">
        <f>'2.1meta'!M274</f>
        <v>0</v>
      </c>
      <c r="M27" s="88">
        <f>'2.1meta'!N274</f>
        <v>0</v>
      </c>
      <c r="N27" s="88">
        <f>'2.1meta'!O274</f>
        <v>0</v>
      </c>
      <c r="O27" s="88">
        <f>'2.1meta'!P274</f>
        <v>0</v>
      </c>
      <c r="P27" s="88">
        <f>'2.1meta'!Q274</f>
        <v>0</v>
      </c>
      <c r="Q27" s="89">
        <f t="shared" si="8"/>
        <v>0</v>
      </c>
      <c r="R27" s="111">
        <f t="shared" si="2"/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SUM(S27:W27)</f>
        <v>0</v>
      </c>
      <c r="Y27" s="94">
        <f>Q27+X27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8">
        <f>'2.1meta'!M275</f>
        <v>0</v>
      </c>
      <c r="M28" s="88">
        <f>'2.1meta'!N275</f>
        <v>0</v>
      </c>
      <c r="N28" s="88">
        <f>'2.1meta'!O275</f>
        <v>0</v>
      </c>
      <c r="O28" s="88">
        <f>'2.1meta'!P275</f>
        <v>0</v>
      </c>
      <c r="P28" s="88">
        <f>'2.1meta'!Q275</f>
        <v>0</v>
      </c>
      <c r="Q28" s="89">
        <f t="shared" si="8"/>
        <v>0</v>
      </c>
      <c r="R28" s="111">
        <f t="shared" si="2"/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SUM(S28:W28)</f>
        <v>0</v>
      </c>
      <c r="Y28" s="94">
        <f>Q28+X28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8">
        <f>'2.1meta'!M276</f>
        <v>0</v>
      </c>
      <c r="M29" s="88">
        <f>'2.1meta'!N276</f>
        <v>0</v>
      </c>
      <c r="N29" s="88">
        <f>'2.1meta'!O276</f>
        <v>0</v>
      </c>
      <c r="O29" s="88">
        <f>'2.1meta'!P276</f>
        <v>0</v>
      </c>
      <c r="P29" s="88">
        <f>'2.1meta'!Q276</f>
        <v>0</v>
      </c>
      <c r="Q29" s="89">
        <f t="shared" si="8"/>
        <v>0</v>
      </c>
      <c r="R29" s="111">
        <f t="shared" si="2"/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SUM(S29:W29)</f>
        <v>0</v>
      </c>
      <c r="Y29" s="94">
        <f>Q29+X29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8">
        <f>'2.1meta'!M277</f>
        <v>0</v>
      </c>
      <c r="M30" s="88">
        <f>'2.1meta'!N277</f>
        <v>0</v>
      </c>
      <c r="N30" s="88">
        <f>'2.1meta'!O277</f>
        <v>0</v>
      </c>
      <c r="O30" s="88">
        <f>'2.1meta'!P277</f>
        <v>0</v>
      </c>
      <c r="P30" s="88">
        <f>'2.1meta'!Q277</f>
        <v>0</v>
      </c>
      <c r="Q30" s="89">
        <f t="shared" si="8"/>
        <v>0</v>
      </c>
      <c r="R30" s="111">
        <f t="shared" si="2"/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SUM(S30:W30)</f>
        <v>0</v>
      </c>
      <c r="Y30" s="94">
        <f>Q30+X30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8">
        <f>'2.1meta'!M278</f>
        <v>0</v>
      </c>
      <c r="M31" s="88">
        <f>'2.1meta'!N278</f>
        <v>0</v>
      </c>
      <c r="N31" s="88">
        <f>'2.1meta'!O278</f>
        <v>0</v>
      </c>
      <c r="O31" s="88">
        <f>'2.1meta'!P278</f>
        <v>0</v>
      </c>
      <c r="P31" s="88">
        <f>'2.1meta'!Q278</f>
        <v>0</v>
      </c>
      <c r="Q31" s="89">
        <f t="shared" si="8"/>
        <v>0</v>
      </c>
      <c r="R31" s="111">
        <f t="shared" si="2"/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SUM(S31:W31)</f>
        <v>0</v>
      </c>
      <c r="Y31" s="94">
        <f>Q31+X31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8">
        <f>'2.1meta'!M279</f>
        <v>0</v>
      </c>
      <c r="M32" s="88">
        <f>'2.1meta'!N279</f>
        <v>0</v>
      </c>
      <c r="N32" s="88">
        <f>'2.1meta'!O279</f>
        <v>0</v>
      </c>
      <c r="O32" s="88">
        <f>'2.1meta'!P279</f>
        <v>0</v>
      </c>
      <c r="P32" s="88">
        <f>'2.1meta'!Q279</f>
        <v>0</v>
      </c>
      <c r="Q32" s="89">
        <f t="shared" si="8"/>
        <v>0</v>
      </c>
      <c r="R32" s="111">
        <f t="shared" si="2"/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SUM(S32:W32)</f>
        <v>0</v>
      </c>
      <c r="Y32" s="94">
        <f>Q32+X32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8">
        <f>'2.1meta'!M280</f>
        <v>0</v>
      </c>
      <c r="M33" s="88">
        <f>'2.1meta'!N280</f>
        <v>0</v>
      </c>
      <c r="N33" s="88">
        <f>'2.1meta'!O280</f>
        <v>0</v>
      </c>
      <c r="O33" s="88">
        <f>'2.1meta'!P280</f>
        <v>0</v>
      </c>
      <c r="P33" s="88">
        <f>'2.1meta'!Q280</f>
        <v>0</v>
      </c>
      <c r="Q33" s="89">
        <f t="shared" si="8"/>
        <v>0</v>
      </c>
      <c r="R33" s="111">
        <f t="shared" si="2"/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SUM(S33:W33)</f>
        <v>0</v>
      </c>
      <c r="Y33" s="94">
        <f>Q33+X33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8">
        <f>'2.1meta'!M281</f>
        <v>0</v>
      </c>
      <c r="M34" s="88">
        <f>'2.1meta'!N281</f>
        <v>0</v>
      </c>
      <c r="N34" s="88">
        <f>'2.1meta'!O281</f>
        <v>0</v>
      </c>
      <c r="O34" s="88">
        <f>'2.1meta'!P281</f>
        <v>0</v>
      </c>
      <c r="P34" s="88">
        <f>'2.1meta'!Q281</f>
        <v>0</v>
      </c>
      <c r="Q34" s="89">
        <f t="shared" si="8"/>
        <v>0</v>
      </c>
      <c r="R34" s="111">
        <f t="shared" si="2"/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SUM(S34:W34)</f>
        <v>0</v>
      </c>
      <c r="Y34" s="94">
        <f>Q34+X34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8">
        <f>'2.1meta'!M283</f>
        <v>0</v>
      </c>
      <c r="M35" s="88">
        <f>'2.1meta'!N283</f>
        <v>0</v>
      </c>
      <c r="N35" s="88">
        <f>'2.1meta'!O283</f>
        <v>0</v>
      </c>
      <c r="O35" s="88">
        <f>'2.1meta'!P283</f>
        <v>0</v>
      </c>
      <c r="P35" s="88">
        <f>'2.1meta'!Q283</f>
        <v>0</v>
      </c>
      <c r="Q35" s="89">
        <f t="shared" si="8"/>
        <v>0</v>
      </c>
      <c r="R35" s="111">
        <f t="shared" si="2"/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SUM(S35:W35)</f>
        <v>0</v>
      </c>
      <c r="Y35" s="94">
        <f>Q35+X35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8">
        <f>'2.1meta'!M284</f>
        <v>0</v>
      </c>
      <c r="M36" s="88">
        <f>'2.1meta'!N284</f>
        <v>0</v>
      </c>
      <c r="N36" s="88">
        <f>'2.1meta'!O284</f>
        <v>0</v>
      </c>
      <c r="O36" s="88">
        <f>'2.1meta'!P284</f>
        <v>0</v>
      </c>
      <c r="P36" s="88">
        <f>'2.1meta'!Q284</f>
        <v>0</v>
      </c>
      <c r="Q36" s="89">
        <f t="shared" si="8"/>
        <v>0</v>
      </c>
      <c r="R36" s="111">
        <f t="shared" si="2"/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SUM(S36:W36)</f>
        <v>0</v>
      </c>
      <c r="Y36" s="94">
        <f>Q36+X36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8">
        <f>'2.1meta'!M286</f>
        <v>0</v>
      </c>
      <c r="M37" s="88">
        <f>'2.1meta'!N286</f>
        <v>0</v>
      </c>
      <c r="N37" s="88">
        <f>'2.1meta'!O286</f>
        <v>0</v>
      </c>
      <c r="O37" s="88">
        <f>'2.1meta'!P286</f>
        <v>0</v>
      </c>
      <c r="P37" s="88">
        <f>'2.1meta'!Q286</f>
        <v>0</v>
      </c>
      <c r="Q37" s="89">
        <f t="shared" si="8"/>
        <v>0</v>
      </c>
      <c r="R37" s="111">
        <f t="shared" ref="R37:R67" si="9">C37-Q37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SUM(S37:W37)</f>
        <v>0</v>
      </c>
      <c r="Y37" s="94">
        <f>Q37+X37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Q38" si="10">SUBTOTAL(9,F39:F50)</f>
        <v>0</v>
      </c>
      <c r="G38" s="85">
        <f t="shared" si="10"/>
        <v>0</v>
      </c>
      <c r="H38" s="85">
        <f t="shared" si="10"/>
        <v>0</v>
      </c>
      <c r="I38" s="85">
        <f t="shared" si="10"/>
        <v>0</v>
      </c>
      <c r="J38" s="85">
        <f t="shared" ref="J38:N38" si="11">SUBTOTAL(9,J39:J50)</f>
        <v>0</v>
      </c>
      <c r="K38" s="85">
        <f t="shared" si="11"/>
        <v>0</v>
      </c>
      <c r="L38" s="85">
        <f t="shared" si="11"/>
        <v>0</v>
      </c>
      <c r="M38" s="85">
        <f t="shared" si="11"/>
        <v>0</v>
      </c>
      <c r="N38" s="85">
        <f t="shared" si="11"/>
        <v>0</v>
      </c>
      <c r="O38" s="85">
        <f t="shared" si="10"/>
        <v>0</v>
      </c>
      <c r="P38" s="85">
        <f t="shared" si="10"/>
        <v>0</v>
      </c>
      <c r="Q38" s="85">
        <f t="shared" si="10"/>
        <v>0</v>
      </c>
      <c r="R38" s="64">
        <f t="shared" si="9"/>
        <v>0</v>
      </c>
      <c r="S38" s="85">
        <f t="shared" ref="S38:Z38" si="12">SUBTOTAL(9,S39:S50)</f>
        <v>0</v>
      </c>
      <c r="T38" s="85">
        <f t="shared" si="12"/>
        <v>0</v>
      </c>
      <c r="U38" s="85">
        <f t="shared" si="12"/>
        <v>0</v>
      </c>
      <c r="V38" s="85">
        <f t="shared" si="12"/>
        <v>0</v>
      </c>
      <c r="W38" s="85">
        <f t="shared" si="12"/>
        <v>0</v>
      </c>
      <c r="X38" s="85">
        <f t="shared" si="12"/>
        <v>0</v>
      </c>
      <c r="Y38" s="85">
        <f t="shared" si="12"/>
        <v>0</v>
      </c>
      <c r="Z38" s="99">
        <f t="shared" si="12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8">
        <f>'2.1meta'!M195+'2.1meta'!M212</f>
        <v>0</v>
      </c>
      <c r="M39" s="88">
        <f>'2.1meta'!N195+'2.1meta'!N212</f>
        <v>0</v>
      </c>
      <c r="N39" s="88">
        <f>'2.1meta'!O195+'2.1meta'!O212</f>
        <v>0</v>
      </c>
      <c r="O39" s="88">
        <f>'2.1meta'!P195+'2.1meta'!P212</f>
        <v>0</v>
      </c>
      <c r="P39" s="88">
        <f>'2.1meta'!Q195+'2.1meta'!Q212</f>
        <v>0</v>
      </c>
      <c r="Q39" s="89">
        <f t="shared" ref="Q39:Q50" si="13">SUM(F39:P39)</f>
        <v>0</v>
      </c>
      <c r="R39" s="111">
        <f t="shared" si="9"/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SUM(S39:W39)</f>
        <v>0</v>
      </c>
      <c r="Y39" s="94">
        <f>Q39+X39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8">
        <f>'2.1meta'!M196+'2.1meta'!M213</f>
        <v>0</v>
      </c>
      <c r="M40" s="88">
        <f>'2.1meta'!N196+'2.1meta'!N213</f>
        <v>0</v>
      </c>
      <c r="N40" s="88">
        <f>'2.1meta'!O196+'2.1meta'!O213</f>
        <v>0</v>
      </c>
      <c r="O40" s="88">
        <f>'2.1meta'!P196+'2.1meta'!P213</f>
        <v>0</v>
      </c>
      <c r="P40" s="88">
        <f>'2.1meta'!Q196+'2.1meta'!Q213</f>
        <v>0</v>
      </c>
      <c r="Q40" s="89">
        <f t="shared" si="13"/>
        <v>0</v>
      </c>
      <c r="R40" s="111">
        <f t="shared" si="9"/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SUM(S40:W40)</f>
        <v>0</v>
      </c>
      <c r="Y40" s="94">
        <f>Q40+X40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8">
        <f>'2.1meta'!M197+'2.1meta'!M214</f>
        <v>0</v>
      </c>
      <c r="M41" s="88">
        <f>'2.1meta'!N197+'2.1meta'!N214</f>
        <v>0</v>
      </c>
      <c r="N41" s="88">
        <f>'2.1meta'!O197+'2.1meta'!O214</f>
        <v>0</v>
      </c>
      <c r="O41" s="88">
        <f>'2.1meta'!P197+'2.1meta'!P214</f>
        <v>0</v>
      </c>
      <c r="P41" s="88">
        <f>'2.1meta'!Q197+'2.1meta'!Q214</f>
        <v>0</v>
      </c>
      <c r="Q41" s="89">
        <f t="shared" si="13"/>
        <v>0</v>
      </c>
      <c r="R41" s="111">
        <f t="shared" si="9"/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SUM(S41:W41)</f>
        <v>0</v>
      </c>
      <c r="Y41" s="94">
        <f>Q41+X41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8">
        <f>'2.1meta'!M198+'2.1meta'!M215</f>
        <v>0</v>
      </c>
      <c r="M42" s="88">
        <f>'2.1meta'!N198+'2.1meta'!N215</f>
        <v>0</v>
      </c>
      <c r="N42" s="88">
        <f>'2.1meta'!O198+'2.1meta'!O215</f>
        <v>0</v>
      </c>
      <c r="O42" s="88">
        <f>'2.1meta'!P198+'2.1meta'!P215</f>
        <v>0</v>
      </c>
      <c r="P42" s="88">
        <f>'2.1meta'!Q198+'2.1meta'!Q215</f>
        <v>0</v>
      </c>
      <c r="Q42" s="89">
        <f t="shared" si="13"/>
        <v>0</v>
      </c>
      <c r="R42" s="111">
        <f t="shared" si="9"/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SUM(S42:W42)</f>
        <v>0</v>
      </c>
      <c r="Y42" s="94">
        <f>Q42+X42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8">
        <f>'2.1meta'!M202+'2.1meta'!M219</f>
        <v>0</v>
      </c>
      <c r="M43" s="88">
        <f>'2.1meta'!N202+'2.1meta'!N219</f>
        <v>0</v>
      </c>
      <c r="N43" s="88">
        <f>'2.1meta'!O202+'2.1meta'!O219</f>
        <v>0</v>
      </c>
      <c r="O43" s="88">
        <f>'2.1meta'!P202+'2.1meta'!P219</f>
        <v>0</v>
      </c>
      <c r="P43" s="88">
        <f>'2.1meta'!Q202+'2.1meta'!Q219</f>
        <v>0</v>
      </c>
      <c r="Q43" s="89">
        <f t="shared" si="13"/>
        <v>0</v>
      </c>
      <c r="R43" s="111">
        <f t="shared" si="9"/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SUM(S43:W43)</f>
        <v>0</v>
      </c>
      <c r="Y43" s="94">
        <f>Q43+X43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8">
        <f>'2.1meta'!M203+'2.1meta'!M220</f>
        <v>0</v>
      </c>
      <c r="M44" s="88">
        <f>'2.1meta'!N203+'2.1meta'!N220</f>
        <v>0</v>
      </c>
      <c r="N44" s="88">
        <f>'2.1meta'!O203+'2.1meta'!O220</f>
        <v>0</v>
      </c>
      <c r="O44" s="88">
        <f>'2.1meta'!P203+'2.1meta'!P220</f>
        <v>0</v>
      </c>
      <c r="P44" s="88">
        <f>'2.1meta'!Q203+'2.1meta'!Q220</f>
        <v>0</v>
      </c>
      <c r="Q44" s="89">
        <f t="shared" si="13"/>
        <v>0</v>
      </c>
      <c r="R44" s="111">
        <f t="shared" si="9"/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SUM(S44:W44)</f>
        <v>0</v>
      </c>
      <c r="Y44" s="94">
        <f>Q44+X44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8">
        <f>'2.1meta'!M204+'2.1meta'!M221</f>
        <v>0</v>
      </c>
      <c r="M45" s="88">
        <f>'2.1meta'!N204+'2.1meta'!N221</f>
        <v>0</v>
      </c>
      <c r="N45" s="88">
        <f>'2.1meta'!O204+'2.1meta'!O221</f>
        <v>0</v>
      </c>
      <c r="O45" s="88">
        <f>'2.1meta'!P204+'2.1meta'!P221</f>
        <v>0</v>
      </c>
      <c r="P45" s="88">
        <f>'2.1meta'!Q204+'2.1meta'!Q221</f>
        <v>0</v>
      </c>
      <c r="Q45" s="89">
        <f t="shared" si="13"/>
        <v>0</v>
      </c>
      <c r="R45" s="111">
        <f t="shared" si="9"/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SUM(S45:W45)</f>
        <v>0</v>
      </c>
      <c r="Y45" s="94">
        <f>Q45+X45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8">
        <f>'2.1meta'!M205+'2.1meta'!M222</f>
        <v>0</v>
      </c>
      <c r="M46" s="88">
        <f>'2.1meta'!N205+'2.1meta'!N222</f>
        <v>0</v>
      </c>
      <c r="N46" s="88">
        <f>'2.1meta'!O205+'2.1meta'!O222</f>
        <v>0</v>
      </c>
      <c r="O46" s="88">
        <f>'2.1meta'!P205+'2.1meta'!P222</f>
        <v>0</v>
      </c>
      <c r="P46" s="88">
        <f>'2.1meta'!Q205+'2.1meta'!Q222</f>
        <v>0</v>
      </c>
      <c r="Q46" s="89">
        <f t="shared" si="13"/>
        <v>0</v>
      </c>
      <c r="R46" s="111">
        <f t="shared" si="9"/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SUM(S46:W46)</f>
        <v>0</v>
      </c>
      <c r="Y46" s="94">
        <f>Q46+X46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8">
        <f>'2.1meta'!M206+'2.1meta'!M223</f>
        <v>0</v>
      </c>
      <c r="M47" s="88">
        <f>'2.1meta'!N206+'2.1meta'!N223</f>
        <v>0</v>
      </c>
      <c r="N47" s="88">
        <f>'2.1meta'!O206+'2.1meta'!O223</f>
        <v>0</v>
      </c>
      <c r="O47" s="88">
        <f>'2.1meta'!P206+'2.1meta'!P223</f>
        <v>0</v>
      </c>
      <c r="P47" s="88">
        <f>'2.1meta'!Q206+'2.1meta'!Q223</f>
        <v>0</v>
      </c>
      <c r="Q47" s="89">
        <f t="shared" si="13"/>
        <v>0</v>
      </c>
      <c r="R47" s="111">
        <f t="shared" si="9"/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SUM(S47:W47)</f>
        <v>0</v>
      </c>
      <c r="Y47" s="94">
        <f>Q47+X47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8">
        <f>'2.1meta'!M207+'2.1meta'!M224</f>
        <v>0</v>
      </c>
      <c r="M48" s="88">
        <f>'2.1meta'!N207+'2.1meta'!N224</f>
        <v>0</v>
      </c>
      <c r="N48" s="88">
        <f>'2.1meta'!O207+'2.1meta'!O224</f>
        <v>0</v>
      </c>
      <c r="O48" s="88">
        <f>'2.1meta'!P207+'2.1meta'!P224</f>
        <v>0</v>
      </c>
      <c r="P48" s="88">
        <f>'2.1meta'!Q207+'2.1meta'!Q224</f>
        <v>0</v>
      </c>
      <c r="Q48" s="89">
        <f t="shared" si="13"/>
        <v>0</v>
      </c>
      <c r="R48" s="111">
        <f t="shared" si="9"/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SUM(S48:W48)</f>
        <v>0</v>
      </c>
      <c r="Y48" s="94">
        <f>Q48+X48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8">
        <f>'2.1meta'!M208+'2.1meta'!M225</f>
        <v>0</v>
      </c>
      <c r="M49" s="88">
        <f>'2.1meta'!N208+'2.1meta'!N225</f>
        <v>0</v>
      </c>
      <c r="N49" s="88">
        <f>'2.1meta'!O208+'2.1meta'!O225</f>
        <v>0</v>
      </c>
      <c r="O49" s="88">
        <f>'2.1meta'!P208+'2.1meta'!P225</f>
        <v>0</v>
      </c>
      <c r="P49" s="88">
        <f>'2.1meta'!Q208+'2.1meta'!Q225</f>
        <v>0</v>
      </c>
      <c r="Q49" s="89">
        <f t="shared" si="13"/>
        <v>0</v>
      </c>
      <c r="R49" s="111">
        <f t="shared" si="9"/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SUM(S49:W49)</f>
        <v>0</v>
      </c>
      <c r="Y49" s="94">
        <f>Q49+X49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8">
        <f>'2.1meta'!M210+'2.1meta'!M227</f>
        <v>0</v>
      </c>
      <c r="M50" s="88">
        <f>'2.1meta'!N210+'2.1meta'!N227</f>
        <v>0</v>
      </c>
      <c r="N50" s="88">
        <f>'2.1meta'!O210+'2.1meta'!O227</f>
        <v>0</v>
      </c>
      <c r="O50" s="88">
        <f>'2.1meta'!P210+'2.1meta'!P227</f>
        <v>0</v>
      </c>
      <c r="P50" s="88">
        <f>'2.1meta'!Q210+'2.1meta'!Q227</f>
        <v>0</v>
      </c>
      <c r="Q50" s="89">
        <f t="shared" si="13"/>
        <v>0</v>
      </c>
      <c r="R50" s="111">
        <f t="shared" si="9"/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SUM(S50:W50)</f>
        <v>0</v>
      </c>
      <c r="Y50" s="94">
        <f>Q50+X50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Q51" si="14">SUBTOTAL(9,F52:F66)</f>
        <v>0</v>
      </c>
      <c r="G51" s="85">
        <f t="shared" si="14"/>
        <v>0</v>
      </c>
      <c r="H51" s="85">
        <f t="shared" si="14"/>
        <v>0</v>
      </c>
      <c r="I51" s="85">
        <f t="shared" si="14"/>
        <v>0</v>
      </c>
      <c r="J51" s="85">
        <f t="shared" ref="J51:N51" si="15">SUBTOTAL(9,J52:J66)</f>
        <v>0</v>
      </c>
      <c r="K51" s="85">
        <f t="shared" si="15"/>
        <v>0</v>
      </c>
      <c r="L51" s="85">
        <f t="shared" si="15"/>
        <v>0</v>
      </c>
      <c r="M51" s="85">
        <f t="shared" si="15"/>
        <v>0</v>
      </c>
      <c r="N51" s="85">
        <f t="shared" si="15"/>
        <v>0</v>
      </c>
      <c r="O51" s="85">
        <f t="shared" si="14"/>
        <v>0</v>
      </c>
      <c r="P51" s="85">
        <f t="shared" si="14"/>
        <v>0</v>
      </c>
      <c r="Q51" s="85">
        <f t="shared" si="14"/>
        <v>0</v>
      </c>
      <c r="R51" s="64">
        <f t="shared" si="9"/>
        <v>0</v>
      </c>
      <c r="S51" s="85">
        <f t="shared" ref="S51:Z51" si="16">SUBTOTAL(9,S52:S66)</f>
        <v>0</v>
      </c>
      <c r="T51" s="85">
        <f t="shared" si="16"/>
        <v>0</v>
      </c>
      <c r="U51" s="85">
        <f t="shared" si="16"/>
        <v>0</v>
      </c>
      <c r="V51" s="85">
        <f t="shared" si="16"/>
        <v>0</v>
      </c>
      <c r="W51" s="85">
        <f t="shared" si="16"/>
        <v>0</v>
      </c>
      <c r="X51" s="85">
        <f t="shared" si="16"/>
        <v>0</v>
      </c>
      <c r="Y51" s="85">
        <f t="shared" si="16"/>
        <v>0</v>
      </c>
      <c r="Z51" s="99">
        <f t="shared" si="16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8">
        <f>'2.1meta'!M237+'2.1meta'!M254</f>
        <v>0</v>
      </c>
      <c r="M52" s="88">
        <f>'2.1meta'!N237+'2.1meta'!N254</f>
        <v>0</v>
      </c>
      <c r="N52" s="88">
        <f>'2.1meta'!O237+'2.1meta'!O254</f>
        <v>0</v>
      </c>
      <c r="O52" s="88">
        <f>'2.1meta'!P237+'2.1meta'!P254</f>
        <v>0</v>
      </c>
      <c r="P52" s="88">
        <f>'2.1meta'!Q237+'2.1meta'!Q254</f>
        <v>0</v>
      </c>
      <c r="Q52" s="89">
        <f t="shared" ref="Q52:Q66" si="17">SUM(F52:P52)</f>
        <v>0</v>
      </c>
      <c r="R52" s="111">
        <f t="shared" si="9"/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SUM(S52:W52)</f>
        <v>0</v>
      </c>
      <c r="Y52" s="94">
        <f>Q52+X52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8">
        <f>'2.1meta'!M238+'2.1meta'!M255</f>
        <v>0</v>
      </c>
      <c r="M53" s="88">
        <f>'2.1meta'!N238+'2.1meta'!N255</f>
        <v>0</v>
      </c>
      <c r="N53" s="88">
        <f>'2.1meta'!O238+'2.1meta'!O255</f>
        <v>0</v>
      </c>
      <c r="O53" s="88">
        <f>'2.1meta'!P238+'2.1meta'!P255</f>
        <v>0</v>
      </c>
      <c r="P53" s="88">
        <f>'2.1meta'!Q238+'2.1meta'!Q255</f>
        <v>0</v>
      </c>
      <c r="Q53" s="89">
        <f t="shared" si="17"/>
        <v>0</v>
      </c>
      <c r="R53" s="111">
        <f t="shared" si="9"/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SUM(S53:W53)</f>
        <v>0</v>
      </c>
      <c r="Y53" s="94">
        <f>Q53+X53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8">
        <f>'2.1meta'!M239+'2.1meta'!M256</f>
        <v>0</v>
      </c>
      <c r="M54" s="88">
        <f>'2.1meta'!N239+'2.1meta'!N256</f>
        <v>0</v>
      </c>
      <c r="N54" s="88">
        <f>'2.1meta'!O239+'2.1meta'!O256</f>
        <v>0</v>
      </c>
      <c r="O54" s="88">
        <f>'2.1meta'!P239+'2.1meta'!P256</f>
        <v>0</v>
      </c>
      <c r="P54" s="88">
        <f>'2.1meta'!Q239+'2.1meta'!Q256</f>
        <v>0</v>
      </c>
      <c r="Q54" s="89">
        <f t="shared" si="17"/>
        <v>0</v>
      </c>
      <c r="R54" s="111">
        <f t="shared" si="9"/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SUM(S54:W54)</f>
        <v>0</v>
      </c>
      <c r="Y54" s="94">
        <f>Q54+X54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8">
        <f>'2.1meta'!M240+'2.1meta'!M257</f>
        <v>0</v>
      </c>
      <c r="M55" s="88">
        <f>'2.1meta'!N240+'2.1meta'!N257</f>
        <v>0</v>
      </c>
      <c r="N55" s="88">
        <f>'2.1meta'!O240+'2.1meta'!O257</f>
        <v>0</v>
      </c>
      <c r="O55" s="88">
        <f>'2.1meta'!P240+'2.1meta'!P257</f>
        <v>0</v>
      </c>
      <c r="P55" s="88">
        <f>'2.1meta'!Q240+'2.1meta'!Q257</f>
        <v>0</v>
      </c>
      <c r="Q55" s="89">
        <f t="shared" si="17"/>
        <v>0</v>
      </c>
      <c r="R55" s="111">
        <f t="shared" si="9"/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SUM(S55:W55)</f>
        <v>0</v>
      </c>
      <c r="Y55" s="94">
        <f>Q55+X55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8">
        <f>'2.1meta'!M229+'2.1meta'!M241+'2.1meta'!M258</f>
        <v>0</v>
      </c>
      <c r="M56" s="88">
        <f>'2.1meta'!N229+'2.1meta'!N241+'2.1meta'!N258</f>
        <v>0</v>
      </c>
      <c r="N56" s="88">
        <f>'2.1meta'!O229+'2.1meta'!O241+'2.1meta'!O258</f>
        <v>0</v>
      </c>
      <c r="O56" s="88">
        <f>'2.1meta'!P229+'2.1meta'!P241+'2.1meta'!P258</f>
        <v>0</v>
      </c>
      <c r="P56" s="88">
        <f>'2.1meta'!Q229+'2.1meta'!Q241+'2.1meta'!Q258</f>
        <v>0</v>
      </c>
      <c r="Q56" s="89">
        <f t="shared" si="17"/>
        <v>0</v>
      </c>
      <c r="R56" s="111">
        <f t="shared" si="9"/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SUM(S56:W56)</f>
        <v>0</v>
      </c>
      <c r="Y56" s="94">
        <f>Q56+X56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8">
        <f>'2.1meta'!M230+'2.1meta'!M242+'2.1meta'!M259</f>
        <v>0</v>
      </c>
      <c r="M57" s="88">
        <f>'2.1meta'!N230+'2.1meta'!N242+'2.1meta'!N259</f>
        <v>0</v>
      </c>
      <c r="N57" s="88">
        <f>'2.1meta'!O230+'2.1meta'!O242+'2.1meta'!O259</f>
        <v>0</v>
      </c>
      <c r="O57" s="88">
        <f>'2.1meta'!P230+'2.1meta'!P242+'2.1meta'!P259</f>
        <v>0</v>
      </c>
      <c r="P57" s="88">
        <f>'2.1meta'!Q230+'2.1meta'!Q242+'2.1meta'!Q259</f>
        <v>0</v>
      </c>
      <c r="Q57" s="89">
        <f t="shared" si="17"/>
        <v>0</v>
      </c>
      <c r="R57" s="111">
        <f t="shared" si="9"/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SUM(S57:W57)</f>
        <v>0</v>
      </c>
      <c r="Y57" s="94">
        <f>Q57+X57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8">
        <f>'2.1meta'!M231+'2.1meta'!M243+'2.1meta'!M260</f>
        <v>0</v>
      </c>
      <c r="M58" s="88">
        <f>'2.1meta'!N231+'2.1meta'!N243+'2.1meta'!N260</f>
        <v>0</v>
      </c>
      <c r="N58" s="88">
        <f>'2.1meta'!O231+'2.1meta'!O243+'2.1meta'!O260</f>
        <v>0</v>
      </c>
      <c r="O58" s="88">
        <f>'2.1meta'!P231+'2.1meta'!P243+'2.1meta'!P260</f>
        <v>0</v>
      </c>
      <c r="P58" s="88">
        <f>'2.1meta'!Q231+'2.1meta'!Q243+'2.1meta'!Q260</f>
        <v>0</v>
      </c>
      <c r="Q58" s="89">
        <f t="shared" si="17"/>
        <v>0</v>
      </c>
      <c r="R58" s="111">
        <f t="shared" si="9"/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SUM(S58:W58)</f>
        <v>0</v>
      </c>
      <c r="Y58" s="94">
        <f>Q58+X58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8">
        <f>'2.1meta'!M244+'2.1meta'!M261</f>
        <v>0</v>
      </c>
      <c r="M59" s="88">
        <f>'2.1meta'!N244+'2.1meta'!N261</f>
        <v>0</v>
      </c>
      <c r="N59" s="88">
        <f>'2.1meta'!O244+'2.1meta'!O261</f>
        <v>0</v>
      </c>
      <c r="O59" s="88">
        <f>'2.1meta'!P244+'2.1meta'!P261</f>
        <v>0</v>
      </c>
      <c r="P59" s="88">
        <f>'2.1meta'!Q244+'2.1meta'!Q261</f>
        <v>0</v>
      </c>
      <c r="Q59" s="89">
        <f t="shared" si="17"/>
        <v>0</v>
      </c>
      <c r="R59" s="111">
        <f t="shared" si="9"/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SUM(S59:W59)</f>
        <v>0</v>
      </c>
      <c r="Y59" s="94">
        <f>Q59+X59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8">
        <f>'2.1meta'!M232+'2.1meta'!M245+'2.1meta'!M262</f>
        <v>0</v>
      </c>
      <c r="M60" s="88">
        <f>'2.1meta'!N232+'2.1meta'!N245+'2.1meta'!N262</f>
        <v>0</v>
      </c>
      <c r="N60" s="88">
        <f>'2.1meta'!O232+'2.1meta'!O245+'2.1meta'!O262</f>
        <v>0</v>
      </c>
      <c r="O60" s="88">
        <f>'2.1meta'!P232+'2.1meta'!P245+'2.1meta'!P262</f>
        <v>0</v>
      </c>
      <c r="P60" s="88">
        <f>'2.1meta'!Q232+'2.1meta'!Q245+'2.1meta'!Q262</f>
        <v>0</v>
      </c>
      <c r="Q60" s="89">
        <f t="shared" si="17"/>
        <v>0</v>
      </c>
      <c r="R60" s="111">
        <f t="shared" si="9"/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SUM(S60:W60)</f>
        <v>0</v>
      </c>
      <c r="Y60" s="94">
        <f>Q60+X60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8">
        <f>'2.1meta'!M233+'2.1meta'!M246+'2.1meta'!M263</f>
        <v>0</v>
      </c>
      <c r="M61" s="88">
        <f>'2.1meta'!N233+'2.1meta'!N246+'2.1meta'!N263</f>
        <v>0</v>
      </c>
      <c r="N61" s="88">
        <f>'2.1meta'!O233+'2.1meta'!O246+'2.1meta'!O263</f>
        <v>0</v>
      </c>
      <c r="O61" s="88">
        <f>'2.1meta'!P233+'2.1meta'!P246+'2.1meta'!P263</f>
        <v>0</v>
      </c>
      <c r="P61" s="88">
        <f>'2.1meta'!Q233+'2.1meta'!Q246+'2.1meta'!Q263</f>
        <v>0</v>
      </c>
      <c r="Q61" s="89">
        <f t="shared" si="17"/>
        <v>0</v>
      </c>
      <c r="R61" s="111">
        <f t="shared" si="9"/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SUM(S61:W61)</f>
        <v>0</v>
      </c>
      <c r="Y61" s="94">
        <f>Q61+X61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8">
        <f>'2.1meta'!M247+'2.1meta'!M264</f>
        <v>0</v>
      </c>
      <c r="M62" s="88">
        <f>'2.1meta'!N247+'2.1meta'!N264</f>
        <v>0</v>
      </c>
      <c r="N62" s="88">
        <f>'2.1meta'!O247+'2.1meta'!O264</f>
        <v>0</v>
      </c>
      <c r="O62" s="88">
        <f>'2.1meta'!P247+'2.1meta'!P264</f>
        <v>0</v>
      </c>
      <c r="P62" s="88">
        <f>'2.1meta'!Q247+'2.1meta'!Q264</f>
        <v>0</v>
      </c>
      <c r="Q62" s="89">
        <f t="shared" si="17"/>
        <v>0</v>
      </c>
      <c r="R62" s="111">
        <f t="shared" si="9"/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SUM(S62:W62)</f>
        <v>0</v>
      </c>
      <c r="Y62" s="94">
        <f>Q62+X62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8">
        <f>'2.1meta'!M249+'2.1meta'!M266</f>
        <v>0</v>
      </c>
      <c r="M63" s="88">
        <f>'2.1meta'!N249+'2.1meta'!N266</f>
        <v>0</v>
      </c>
      <c r="N63" s="88">
        <f>'2.1meta'!O249+'2.1meta'!O266</f>
        <v>0</v>
      </c>
      <c r="O63" s="88">
        <f>'2.1meta'!P249+'2.1meta'!P266</f>
        <v>0</v>
      </c>
      <c r="P63" s="88">
        <f>'2.1meta'!Q249+'2.1meta'!Q266</f>
        <v>0</v>
      </c>
      <c r="Q63" s="89">
        <f t="shared" si="17"/>
        <v>0</v>
      </c>
      <c r="R63" s="111">
        <f t="shared" si="9"/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SUM(S63:W63)</f>
        <v>0</v>
      </c>
      <c r="Y63" s="94">
        <f>Q63+X63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8">
        <f>'2.1meta'!M234+'2.1meta'!M250+'2.1meta'!M267</f>
        <v>0</v>
      </c>
      <c r="M64" s="88">
        <f>'2.1meta'!N234+'2.1meta'!N250+'2.1meta'!N267</f>
        <v>0</v>
      </c>
      <c r="N64" s="88">
        <f>'2.1meta'!O234+'2.1meta'!O250+'2.1meta'!O267</f>
        <v>0</v>
      </c>
      <c r="O64" s="88">
        <f>'2.1meta'!P234+'2.1meta'!P250+'2.1meta'!P267</f>
        <v>0</v>
      </c>
      <c r="P64" s="88">
        <f>'2.1meta'!Q234+'2.1meta'!Q250+'2.1meta'!Q267</f>
        <v>0</v>
      </c>
      <c r="Q64" s="89">
        <f t="shared" si="17"/>
        <v>0</v>
      </c>
      <c r="R64" s="111">
        <f t="shared" si="9"/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SUM(S64:W64)</f>
        <v>0</v>
      </c>
      <c r="Y64" s="94">
        <f>Q64+X64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8">
        <f>'2.1meta'!M251+'2.1meta'!M268</f>
        <v>0</v>
      </c>
      <c r="M65" s="88">
        <f>'2.1meta'!N251+'2.1meta'!N268</f>
        <v>0</v>
      </c>
      <c r="N65" s="88">
        <f>'2.1meta'!O251+'2.1meta'!O268</f>
        <v>0</v>
      </c>
      <c r="O65" s="88">
        <f>'2.1meta'!P251+'2.1meta'!P268</f>
        <v>0</v>
      </c>
      <c r="P65" s="88">
        <f>'2.1meta'!Q251+'2.1meta'!Q268</f>
        <v>0</v>
      </c>
      <c r="Q65" s="89">
        <f t="shared" si="17"/>
        <v>0</v>
      </c>
      <c r="R65" s="111">
        <f t="shared" si="9"/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SUM(S65:W65)</f>
        <v>0</v>
      </c>
      <c r="Y65" s="94">
        <f>Q65+X65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8">
        <f>'2.1meta'!M235+'2.1meta'!M252+'2.1meta'!M269</f>
        <v>0</v>
      </c>
      <c r="M66" s="88">
        <f>'2.1meta'!N235+'2.1meta'!N252+'2.1meta'!N269</f>
        <v>0</v>
      </c>
      <c r="N66" s="88">
        <f>'2.1meta'!O235+'2.1meta'!O252+'2.1meta'!O269</f>
        <v>0</v>
      </c>
      <c r="O66" s="88">
        <f>'2.1meta'!P235+'2.1meta'!P252+'2.1meta'!P269</f>
        <v>0</v>
      </c>
      <c r="P66" s="88">
        <f>'2.1meta'!Q235+'2.1meta'!Q252+'2.1meta'!Q269</f>
        <v>0</v>
      </c>
      <c r="Q66" s="89">
        <f t="shared" si="17"/>
        <v>0</v>
      </c>
      <c r="R66" s="111">
        <f t="shared" si="9"/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SUM(S66:W66)</f>
        <v>0</v>
      </c>
      <c r="Y66" s="94">
        <f>Q66+X66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Q67" si="18">SUBTOTAL(9,F5:F66)</f>
        <v>0</v>
      </c>
      <c r="G67" s="103">
        <f t="shared" si="18"/>
        <v>0</v>
      </c>
      <c r="H67" s="103">
        <f t="shared" si="18"/>
        <v>0</v>
      </c>
      <c r="I67" s="103">
        <f t="shared" si="18"/>
        <v>0</v>
      </c>
      <c r="J67" s="103">
        <f t="shared" ref="J67:N67" si="19">SUBTOTAL(9,J5:J66)</f>
        <v>0</v>
      </c>
      <c r="K67" s="103">
        <f t="shared" si="19"/>
        <v>0</v>
      </c>
      <c r="L67" s="103">
        <f t="shared" si="19"/>
        <v>0</v>
      </c>
      <c r="M67" s="103">
        <f t="shared" si="19"/>
        <v>0</v>
      </c>
      <c r="N67" s="103">
        <f t="shared" si="19"/>
        <v>0</v>
      </c>
      <c r="O67" s="103">
        <f t="shared" si="18"/>
        <v>0</v>
      </c>
      <c r="P67" s="103">
        <f t="shared" si="18"/>
        <v>0</v>
      </c>
      <c r="Q67" s="103">
        <f t="shared" si="18"/>
        <v>0</v>
      </c>
      <c r="R67" s="64">
        <f t="shared" si="9"/>
        <v>0</v>
      </c>
      <c r="S67" s="103">
        <f t="shared" ref="S67:Z67" si="20">SUBTOTAL(9,S5:S66)</f>
        <v>0</v>
      </c>
      <c r="T67" s="103">
        <f t="shared" si="20"/>
        <v>0</v>
      </c>
      <c r="U67" s="103">
        <f t="shared" si="20"/>
        <v>0</v>
      </c>
      <c r="V67" s="103">
        <f t="shared" si="20"/>
        <v>0</v>
      </c>
      <c r="W67" s="103">
        <f t="shared" si="20"/>
        <v>0</v>
      </c>
      <c r="X67" s="103">
        <f t="shared" si="20"/>
        <v>0</v>
      </c>
      <c r="Y67" s="104">
        <f t="shared" si="20"/>
        <v>0</v>
      </c>
      <c r="Z67" s="105">
        <f t="shared" si="20"/>
        <v>0</v>
      </c>
    </row>
    <row r="69" spans="1:26">
      <c r="C69" s="106"/>
      <c r="D69" s="106"/>
      <c r="E69" s="106"/>
      <c r="Q69" s="32"/>
      <c r="R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3">
    <mergeCell ref="Z3:Z4"/>
    <mergeCell ref="D3:D4"/>
    <mergeCell ref="E3:E4"/>
    <mergeCell ref="T3:U3"/>
    <mergeCell ref="V3:V4"/>
    <mergeCell ref="W3:W4"/>
    <mergeCell ref="F3:P3"/>
    <mergeCell ref="R3:R4"/>
    <mergeCell ref="A3:B4"/>
    <mergeCell ref="C3:C4"/>
    <mergeCell ref="Q3:Q4"/>
    <mergeCell ref="X3:X4"/>
    <mergeCell ref="Y3:Y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M5" sqref="M5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5" width="11.140625" customWidth="1"/>
    <col min="16" max="16" width="10.42578125" customWidth="1"/>
    <col min="18" max="18" width="0" hidden="1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Q1" s="1"/>
      <c r="R1" s="1"/>
      <c r="Z1" s="1"/>
    </row>
    <row r="2" spans="1:26">
      <c r="Q2" s="1"/>
      <c r="R2" s="1"/>
      <c r="Z2" s="1"/>
    </row>
    <row r="3" spans="1:26" ht="27.75" customHeight="1">
      <c r="A3" s="229" t="s">
        <v>84</v>
      </c>
      <c r="B3" s="240"/>
      <c r="C3" s="233" t="s">
        <v>85</v>
      </c>
      <c r="D3" s="233" t="s">
        <v>5</v>
      </c>
      <c r="E3" s="233" t="s">
        <v>6</v>
      </c>
      <c r="F3" s="247" t="s">
        <v>7</v>
      </c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33" t="s">
        <v>82</v>
      </c>
      <c r="R3" s="225" t="s">
        <v>8</v>
      </c>
      <c r="S3" s="219"/>
      <c r="T3" s="236" t="s">
        <v>9</v>
      </c>
      <c r="U3" s="235"/>
      <c r="V3" s="238" t="s">
        <v>10</v>
      </c>
      <c r="W3" s="237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1"/>
      <c r="B4" s="242"/>
      <c r="C4" s="234"/>
      <c r="D4" s="234"/>
      <c r="E4" s="234"/>
      <c r="F4" s="83" t="s">
        <v>89</v>
      </c>
      <c r="G4" s="83" t="s">
        <v>90</v>
      </c>
      <c r="H4" s="217" t="s">
        <v>91</v>
      </c>
      <c r="I4" s="217" t="s">
        <v>92</v>
      </c>
      <c r="J4" s="217" t="s">
        <v>93</v>
      </c>
      <c r="K4" s="217" t="s">
        <v>94</v>
      </c>
      <c r="L4" s="217" t="s">
        <v>95</v>
      </c>
      <c r="M4" s="217" t="s">
        <v>96</v>
      </c>
      <c r="N4" s="217" t="s">
        <v>97</v>
      </c>
      <c r="O4" s="217" t="s">
        <v>98</v>
      </c>
      <c r="P4" s="217" t="s">
        <v>129</v>
      </c>
      <c r="Q4" s="243"/>
      <c r="R4" s="226"/>
      <c r="S4" s="112" t="s">
        <v>130</v>
      </c>
      <c r="T4" s="81">
        <v>276</v>
      </c>
      <c r="U4" s="81">
        <v>728</v>
      </c>
      <c r="V4" s="239"/>
      <c r="W4" s="237"/>
      <c r="X4" s="243"/>
      <c r="Y4" s="243"/>
      <c r="Z4" s="243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9">
        <f t="shared" ref="Q5:Q21" si="0">SUM(F5:P5)</f>
        <v>0</v>
      </c>
      <c r="R5" s="111">
        <f t="shared" ref="R5:R22" si="1">C5-Q5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SUM(S5:W5)</f>
        <v>0</v>
      </c>
      <c r="Y5" s="91">
        <f>Q5+X5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9">
        <f t="shared" si="0"/>
        <v>0</v>
      </c>
      <c r="R6" s="111">
        <f t="shared" si="1"/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SUM(S6:W6)</f>
        <v>0</v>
      </c>
      <c r="Y6" s="91">
        <f>Q6+X6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9">
        <f t="shared" si="0"/>
        <v>0</v>
      </c>
      <c r="R7" s="111">
        <f t="shared" si="1"/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SUM(S7:W7)</f>
        <v>0</v>
      </c>
      <c r="Y7" s="91">
        <f>Q7+X7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9">
        <f t="shared" si="0"/>
        <v>0</v>
      </c>
      <c r="R8" s="111">
        <f t="shared" si="1"/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SUM(S8:W8)</f>
        <v>0</v>
      </c>
      <c r="Y8" s="91">
        <f>Q8+X8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8">
        <f>'2.1meta'!M62</f>
        <v>0</v>
      </c>
      <c r="M9" s="88">
        <f>'2.1meta'!N62</f>
        <v>0</v>
      </c>
      <c r="N9" s="88">
        <f>'2.1meta'!O62</f>
        <v>0</v>
      </c>
      <c r="O9" s="88">
        <f>'2.1meta'!P62</f>
        <v>0</v>
      </c>
      <c r="P9" s="88">
        <f>'2.1meta'!Q62</f>
        <v>0</v>
      </c>
      <c r="Q9" s="89">
        <f t="shared" si="0"/>
        <v>0</v>
      </c>
      <c r="R9" s="111">
        <f t="shared" si="1"/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SUM(S9:W9)</f>
        <v>0</v>
      </c>
      <c r="Y9" s="91">
        <f>Q9+X9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9">
        <f t="shared" si="0"/>
        <v>0</v>
      </c>
      <c r="R10" s="111">
        <f t="shared" si="1"/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SUM(S10:W10)</f>
        <v>0</v>
      </c>
      <c r="Y10" s="91">
        <f>Q10+X10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9">
        <f t="shared" si="0"/>
        <v>0</v>
      </c>
      <c r="R11" s="111">
        <f t="shared" si="1"/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SUM(S11:W11)</f>
        <v>0</v>
      </c>
      <c r="Y11" s="91">
        <f>Q11+X11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9">
        <f t="shared" si="0"/>
        <v>0</v>
      </c>
      <c r="R12" s="111">
        <f t="shared" si="1"/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SUM(S12:W12)</f>
        <v>0</v>
      </c>
      <c r="Y12" s="91">
        <f>Q12+X12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9">
        <f t="shared" si="0"/>
        <v>0</v>
      </c>
      <c r="R13" s="111">
        <f t="shared" si="1"/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SUM(S13:W13)</f>
        <v>0</v>
      </c>
      <c r="Y13" s="91">
        <f>Q13+X13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9">
        <f t="shared" si="0"/>
        <v>0</v>
      </c>
      <c r="R14" s="111">
        <f t="shared" si="1"/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SUM(S14:W14)</f>
        <v>0</v>
      </c>
      <c r="Y14" s="91">
        <f>Q14+X14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9">
        <f t="shared" si="0"/>
        <v>0</v>
      </c>
      <c r="R15" s="111">
        <f t="shared" si="1"/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SUM(S15:W15)</f>
        <v>0</v>
      </c>
      <c r="Y15" s="91">
        <f>Q15+X15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9">
        <f t="shared" si="0"/>
        <v>0</v>
      </c>
      <c r="R16" s="111">
        <f t="shared" si="1"/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SUM(S16:W16)</f>
        <v>0</v>
      </c>
      <c r="Y16" s="91">
        <f>Q16+X16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9">
        <f t="shared" si="0"/>
        <v>0</v>
      </c>
      <c r="R17" s="111">
        <f t="shared" si="1"/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SUM(S17:W17)</f>
        <v>0</v>
      </c>
      <c r="Y17" s="91">
        <f>Q17+X17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9">
        <f t="shared" si="0"/>
        <v>0</v>
      </c>
      <c r="R18" s="111">
        <f t="shared" si="1"/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SUM(S18:W18)</f>
        <v>0</v>
      </c>
      <c r="Y18" s="91">
        <f>Q18+X18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9">
        <f t="shared" si="0"/>
        <v>0</v>
      </c>
      <c r="R19" s="111">
        <f t="shared" si="1"/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SUM(S19:W19)</f>
        <v>0</v>
      </c>
      <c r="Y19" s="91">
        <f>Q19+X19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9">
        <f t="shared" si="0"/>
        <v>0</v>
      </c>
      <c r="R20" s="111">
        <f t="shared" si="1"/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SUM(S20:W20)</f>
        <v>0</v>
      </c>
      <c r="Y20" s="91">
        <f>Q20+X20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9">
        <f t="shared" si="0"/>
        <v>0</v>
      </c>
      <c r="R21" s="111">
        <f t="shared" si="1"/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SUM(S21:W21)</f>
        <v>0</v>
      </c>
      <c r="Y21" s="91">
        <f>Q21+X21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Q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N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3"/>
        <v>0</v>
      </c>
      <c r="K22" s="103">
        <f t="shared" si="3"/>
        <v>0</v>
      </c>
      <c r="L22" s="103">
        <f t="shared" si="3"/>
        <v>0</v>
      </c>
      <c r="M22" s="103">
        <f t="shared" si="3"/>
        <v>0</v>
      </c>
      <c r="N22" s="103">
        <f t="shared" si="3"/>
        <v>0</v>
      </c>
      <c r="O22" s="103">
        <f t="shared" si="2"/>
        <v>0</v>
      </c>
      <c r="P22" s="103">
        <f t="shared" si="2"/>
        <v>0</v>
      </c>
      <c r="Q22" s="103">
        <f t="shared" si="2"/>
        <v>0</v>
      </c>
      <c r="R22" s="64">
        <f t="shared" si="1"/>
        <v>0</v>
      </c>
      <c r="S22" s="103">
        <f t="shared" ref="S22:Z22" si="4">SUBTOTAL(9,S5:S21)</f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Q24" s="32"/>
      <c r="R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3">
    <mergeCell ref="Y3:Y4"/>
    <mergeCell ref="Z3:Z4"/>
    <mergeCell ref="R3:R4"/>
    <mergeCell ref="T3:U3"/>
    <mergeCell ref="V3:V4"/>
    <mergeCell ref="W3:W4"/>
    <mergeCell ref="X3:X4"/>
    <mergeCell ref="Q3:Q4"/>
    <mergeCell ref="A3:B4"/>
    <mergeCell ref="C3:C4"/>
    <mergeCell ref="D3:D4"/>
    <mergeCell ref="E3:E4"/>
    <mergeCell ref="F3:P3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48" t="s">
        <v>84</v>
      </c>
      <c r="B3" s="249"/>
      <c r="C3" s="233" t="s">
        <v>4</v>
      </c>
      <c r="D3" s="2" t="s">
        <v>7</v>
      </c>
      <c r="E3" s="2"/>
      <c r="F3" s="2"/>
      <c r="G3" s="2"/>
      <c r="H3" s="2"/>
      <c r="I3" s="2"/>
      <c r="J3" s="2"/>
      <c r="K3" s="225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3" t="s">
        <v>13</v>
      </c>
      <c r="U3" s="227" t="s">
        <v>14</v>
      </c>
    </row>
    <row r="4" spans="1:21" ht="33" customHeight="1">
      <c r="A4" s="250"/>
      <c r="B4" s="251"/>
      <c r="C4" s="234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6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4"/>
      <c r="U4" s="228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48" t="s">
        <v>84</v>
      </c>
      <c r="B26" s="249"/>
      <c r="C26" s="233" t="s">
        <v>4</v>
      </c>
      <c r="D26" s="2" t="s">
        <v>7</v>
      </c>
      <c r="E26" s="2"/>
      <c r="F26" s="2"/>
      <c r="G26" s="2"/>
      <c r="H26" s="2"/>
      <c r="I26" s="2"/>
      <c r="J26" s="2"/>
      <c r="K26" s="225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3" t="s">
        <v>13</v>
      </c>
      <c r="U26" s="227" t="s">
        <v>14</v>
      </c>
    </row>
    <row r="27" spans="1:21" ht="33" customHeight="1">
      <c r="A27" s="250"/>
      <c r="B27" s="251"/>
      <c r="C27" s="234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6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4"/>
      <c r="U27" s="228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48" t="s">
        <v>84</v>
      </c>
      <c r="B44" s="249"/>
      <c r="C44" s="233" t="s">
        <v>4</v>
      </c>
      <c r="D44" s="2" t="s">
        <v>7</v>
      </c>
      <c r="E44" s="2"/>
      <c r="F44" s="2"/>
      <c r="G44" s="2"/>
      <c r="H44" s="2"/>
      <c r="I44" s="2"/>
      <c r="J44" s="2"/>
      <c r="K44" s="225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3" t="s">
        <v>13</v>
      </c>
      <c r="U44" s="227" t="s">
        <v>14</v>
      </c>
    </row>
    <row r="45" spans="1:21" ht="25.5" customHeight="1">
      <c r="A45" s="250"/>
      <c r="B45" s="251"/>
      <c r="C45" s="234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6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4"/>
      <c r="U45" s="228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48" t="s">
        <v>84</v>
      </c>
      <c r="B51" s="249"/>
      <c r="C51" s="233" t="s">
        <v>4</v>
      </c>
      <c r="D51" s="2" t="s">
        <v>7</v>
      </c>
      <c r="E51" s="2"/>
      <c r="F51" s="2"/>
      <c r="G51" s="2"/>
      <c r="H51" s="2"/>
      <c r="I51" s="2"/>
      <c r="J51" s="2"/>
      <c r="K51" s="225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3" t="s">
        <v>13</v>
      </c>
      <c r="U51" s="227" t="s">
        <v>14</v>
      </c>
    </row>
    <row r="52" spans="1:21" ht="25.5" customHeight="1">
      <c r="A52" s="250"/>
      <c r="B52" s="251"/>
      <c r="C52" s="234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6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4"/>
      <c r="U52" s="228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51:B52"/>
    <mergeCell ref="C51:C52"/>
    <mergeCell ref="K51:K52"/>
    <mergeCell ref="T51:T52"/>
    <mergeCell ref="U51:U52"/>
    <mergeCell ref="A3:B4"/>
    <mergeCell ref="C3:C4"/>
    <mergeCell ref="K3:K4"/>
    <mergeCell ref="T3:T4"/>
    <mergeCell ref="U3:U4"/>
    <mergeCell ref="A44:B45"/>
    <mergeCell ref="C44:C45"/>
    <mergeCell ref="K44:K45"/>
    <mergeCell ref="T44:T45"/>
    <mergeCell ref="U44:U45"/>
    <mergeCell ref="A26:B27"/>
    <mergeCell ref="C26:C27"/>
    <mergeCell ref="K26:K27"/>
    <mergeCell ref="T26:T27"/>
    <mergeCell ref="U26:U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48" t="s">
        <v>84</v>
      </c>
      <c r="B2" s="249"/>
      <c r="C2" s="233" t="s">
        <v>4</v>
      </c>
      <c r="D2" s="2" t="s">
        <v>7</v>
      </c>
      <c r="E2" s="2"/>
      <c r="F2" s="2"/>
      <c r="G2" s="2"/>
      <c r="H2" s="2"/>
      <c r="I2" s="2"/>
      <c r="J2" s="2"/>
      <c r="K2" s="225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3" t="s">
        <v>13</v>
      </c>
      <c r="U2" s="227" t="s">
        <v>14</v>
      </c>
    </row>
    <row r="3" spans="1:21" ht="33" customHeight="1">
      <c r="A3" s="250"/>
      <c r="B3" s="251"/>
      <c r="C3" s="234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6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4"/>
      <c r="U3" s="228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2022-04-11T15:41:43Z</dcterms:modified>
  <cp:category/>
</cp:coreProperties>
</file>