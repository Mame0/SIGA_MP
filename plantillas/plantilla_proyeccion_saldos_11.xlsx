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240" yWindow="555" windowWidth="19815" windowHeight="7110"/>
  </bookViews>
  <sheets>
    <sheet name="2.1meta" sheetId="1" r:id="rId1"/>
    <sheet name="CATEGORIA PRESUPUESTAL" sheetId="2" r:id="rId2"/>
    <sheet name="ESPECIFICA DE GASTO" sheetId="3" r:id="rId3"/>
    <sheet name="CAS x categ.ptal" sheetId="4" state="hidden" r:id="rId4"/>
    <sheet name="2.1 x categ.pptal" sheetId="5" state="hidden" r:id="rId5"/>
  </sheets>
  <definedNames>
    <definedName name="_xlnm._FilterDatabase" localSheetId="4" hidden="1">'2.1 x categ.pptal'!$A$3:$U$65</definedName>
    <definedName name="_xlnm.Print_Titles" localSheetId="0">'2.1meta'!$1:$5</definedName>
  </definedNames>
  <calcPr calcId="124519"/>
</workbook>
</file>

<file path=xl/calcChain.xml><?xml version="1.0" encoding="utf-8"?>
<calcChain xmlns="http://schemas.openxmlformats.org/spreadsheetml/2006/main">
  <c r="M21" i="3"/>
  <c r="M20"/>
  <c r="M19"/>
  <c r="M18"/>
  <c r="M17"/>
  <c r="M16"/>
  <c r="M15"/>
  <c r="M14"/>
  <c r="M13"/>
  <c r="M12"/>
  <c r="M11"/>
  <c r="M10"/>
  <c r="M9"/>
  <c r="M8"/>
  <c r="M7"/>
  <c r="M6"/>
  <c r="M22" s="1"/>
  <c r="M5"/>
  <c r="M66" i="2"/>
  <c r="M65"/>
  <c r="M64"/>
  <c r="M63"/>
  <c r="M62"/>
  <c r="M61"/>
  <c r="M60"/>
  <c r="M59"/>
  <c r="M58"/>
  <c r="M57"/>
  <c r="M56"/>
  <c r="M55"/>
  <c r="M54"/>
  <c r="M53"/>
  <c r="M52"/>
  <c r="M50"/>
  <c r="M49"/>
  <c r="M48"/>
  <c r="M47"/>
  <c r="M46"/>
  <c r="M45"/>
  <c r="M44"/>
  <c r="M43"/>
  <c r="M42"/>
  <c r="M41"/>
  <c r="M40"/>
  <c r="M39"/>
  <c r="M37"/>
  <c r="M36"/>
  <c r="M35"/>
  <c r="M34"/>
  <c r="M33"/>
  <c r="M32"/>
  <c r="M31"/>
  <c r="M30"/>
  <c r="M29"/>
  <c r="M28"/>
  <c r="M27"/>
  <c r="M26"/>
  <c r="M25"/>
  <c r="M23" s="1"/>
  <c r="M24"/>
  <c r="M22"/>
  <c r="M21"/>
  <c r="M20"/>
  <c r="M19"/>
  <c r="M18"/>
  <c r="M17"/>
  <c r="M16"/>
  <c r="M15"/>
  <c r="M14"/>
  <c r="M13"/>
  <c r="M12"/>
  <c r="M11"/>
  <c r="M10"/>
  <c r="M9"/>
  <c r="M8"/>
  <c r="M7"/>
  <c r="M6"/>
  <c r="M5" s="1"/>
  <c r="N321" i="1"/>
  <c r="N304"/>
  <c r="N287"/>
  <c r="N270"/>
  <c r="N253"/>
  <c r="N236"/>
  <c r="N228"/>
  <c r="N211"/>
  <c r="N194"/>
  <c r="N177"/>
  <c r="N160"/>
  <c r="N143"/>
  <c r="N126"/>
  <c r="N109"/>
  <c r="N92"/>
  <c r="N75"/>
  <c r="N57"/>
  <c r="N40"/>
  <c r="N23"/>
  <c r="N6"/>
  <c r="N338" s="1"/>
  <c r="L21" i="3"/>
  <c r="L20"/>
  <c r="L19"/>
  <c r="L18"/>
  <c r="L17"/>
  <c r="L16"/>
  <c r="L15"/>
  <c r="L14"/>
  <c r="L13"/>
  <c r="L12"/>
  <c r="L11"/>
  <c r="L10"/>
  <c r="L9"/>
  <c r="L8"/>
  <c r="L7"/>
  <c r="L6"/>
  <c r="L5"/>
  <c r="L66" i="2"/>
  <c r="L65"/>
  <c r="L64"/>
  <c r="L63"/>
  <c r="L62"/>
  <c r="L61"/>
  <c r="L60"/>
  <c r="L59"/>
  <c r="L58"/>
  <c r="L57"/>
  <c r="L56"/>
  <c r="L55"/>
  <c r="L54"/>
  <c r="L53"/>
  <c r="L52"/>
  <c r="L50"/>
  <c r="L49"/>
  <c r="L48"/>
  <c r="L47"/>
  <c r="L46"/>
  <c r="L45"/>
  <c r="L44"/>
  <c r="L43"/>
  <c r="L42"/>
  <c r="L41"/>
  <c r="L40"/>
  <c r="L39"/>
  <c r="L37"/>
  <c r="L36"/>
  <c r="L35"/>
  <c r="L34"/>
  <c r="L33"/>
  <c r="L32"/>
  <c r="L31"/>
  <c r="L30"/>
  <c r="L29"/>
  <c r="L28"/>
  <c r="L27"/>
  <c r="L26"/>
  <c r="L25"/>
  <c r="L24"/>
  <c r="L22"/>
  <c r="L21"/>
  <c r="L20"/>
  <c r="L19"/>
  <c r="L18"/>
  <c r="L17"/>
  <c r="L16"/>
  <c r="L15"/>
  <c r="L14"/>
  <c r="L13"/>
  <c r="L12"/>
  <c r="L11"/>
  <c r="L10"/>
  <c r="L9"/>
  <c r="L8"/>
  <c r="L7"/>
  <c r="L6"/>
  <c r="M321" i="1"/>
  <c r="M304"/>
  <c r="M287"/>
  <c r="M270"/>
  <c r="M253"/>
  <c r="M236"/>
  <c r="M228"/>
  <c r="M211"/>
  <c r="M194"/>
  <c r="M177"/>
  <c r="M160"/>
  <c r="M143"/>
  <c r="M126"/>
  <c r="M109"/>
  <c r="M92"/>
  <c r="M75"/>
  <c r="M57"/>
  <c r="M40"/>
  <c r="M23"/>
  <c r="M6"/>
  <c r="M338" s="1"/>
  <c r="K21" i="3"/>
  <c r="K20"/>
  <c r="K19"/>
  <c r="K18"/>
  <c r="K17"/>
  <c r="K16"/>
  <c r="K15"/>
  <c r="K14"/>
  <c r="K13"/>
  <c r="K12"/>
  <c r="K11"/>
  <c r="K10"/>
  <c r="K9"/>
  <c r="K8"/>
  <c r="K7"/>
  <c r="K6"/>
  <c r="K5"/>
  <c r="K66" i="2"/>
  <c r="K65"/>
  <c r="K64"/>
  <c r="K63"/>
  <c r="K62"/>
  <c r="K61"/>
  <c r="K60"/>
  <c r="K59"/>
  <c r="K58"/>
  <c r="K57"/>
  <c r="K56"/>
  <c r="K55"/>
  <c r="K54"/>
  <c r="K53"/>
  <c r="K52"/>
  <c r="K50"/>
  <c r="K49"/>
  <c r="K48"/>
  <c r="K47"/>
  <c r="K46"/>
  <c r="K45"/>
  <c r="K44"/>
  <c r="K43"/>
  <c r="K42"/>
  <c r="K41"/>
  <c r="K40"/>
  <c r="K39"/>
  <c r="K37"/>
  <c r="K36"/>
  <c r="K35"/>
  <c r="K34"/>
  <c r="K33"/>
  <c r="K32"/>
  <c r="K31"/>
  <c r="K30"/>
  <c r="K29"/>
  <c r="K28"/>
  <c r="K27"/>
  <c r="K26"/>
  <c r="K25"/>
  <c r="K24"/>
  <c r="K22"/>
  <c r="K21"/>
  <c r="K20"/>
  <c r="K19"/>
  <c r="K18"/>
  <c r="K17"/>
  <c r="K16"/>
  <c r="K15"/>
  <c r="K14"/>
  <c r="K13"/>
  <c r="K12"/>
  <c r="K11"/>
  <c r="K10"/>
  <c r="K9"/>
  <c r="K8"/>
  <c r="K7"/>
  <c r="K6"/>
  <c r="L321" i="1"/>
  <c r="L304"/>
  <c r="L287"/>
  <c r="L270"/>
  <c r="L253"/>
  <c r="L236"/>
  <c r="L228"/>
  <c r="L211"/>
  <c r="L194"/>
  <c r="L177"/>
  <c r="L160"/>
  <c r="L143"/>
  <c r="L126"/>
  <c r="L109"/>
  <c r="L92"/>
  <c r="L75"/>
  <c r="L57"/>
  <c r="L40"/>
  <c r="L23"/>
  <c r="L6"/>
  <c r="J21" i="3"/>
  <c r="J20"/>
  <c r="J19"/>
  <c r="J18"/>
  <c r="J17"/>
  <c r="J16"/>
  <c r="J15"/>
  <c r="J14"/>
  <c r="J13"/>
  <c r="J12"/>
  <c r="J11"/>
  <c r="J10"/>
  <c r="J9"/>
  <c r="J8"/>
  <c r="J7"/>
  <c r="J6"/>
  <c r="J5"/>
  <c r="J66" i="2"/>
  <c r="J65"/>
  <c r="J64"/>
  <c r="J63"/>
  <c r="J62"/>
  <c r="J61"/>
  <c r="J60"/>
  <c r="J59"/>
  <c r="J58"/>
  <c r="J57"/>
  <c r="J56"/>
  <c r="J55"/>
  <c r="J54"/>
  <c r="J53"/>
  <c r="J52"/>
  <c r="J50"/>
  <c r="J49"/>
  <c r="J48"/>
  <c r="J47"/>
  <c r="J46"/>
  <c r="J45"/>
  <c r="J44"/>
  <c r="J43"/>
  <c r="J42"/>
  <c r="J41"/>
  <c r="J40"/>
  <c r="J39"/>
  <c r="J37"/>
  <c r="J36"/>
  <c r="J35"/>
  <c r="J34"/>
  <c r="J33"/>
  <c r="J32"/>
  <c r="J31"/>
  <c r="J30"/>
  <c r="J29"/>
  <c r="J28"/>
  <c r="J27"/>
  <c r="J26"/>
  <c r="J25"/>
  <c r="J24"/>
  <c r="J22"/>
  <c r="J21"/>
  <c r="J20"/>
  <c r="J19"/>
  <c r="J18"/>
  <c r="J17"/>
  <c r="J16"/>
  <c r="J15"/>
  <c r="J14"/>
  <c r="J13"/>
  <c r="J12"/>
  <c r="J11"/>
  <c r="J10"/>
  <c r="J9"/>
  <c r="J8"/>
  <c r="J7"/>
  <c r="J6"/>
  <c r="K321" i="1"/>
  <c r="K304"/>
  <c r="K287"/>
  <c r="K270"/>
  <c r="K253"/>
  <c r="K236"/>
  <c r="K228"/>
  <c r="K211"/>
  <c r="K194"/>
  <c r="K177"/>
  <c r="K160"/>
  <c r="K143"/>
  <c r="K126"/>
  <c r="K109"/>
  <c r="K92"/>
  <c r="K75"/>
  <c r="K57"/>
  <c r="K40"/>
  <c r="K23"/>
  <c r="K6"/>
  <c r="I21" i="3"/>
  <c r="I20"/>
  <c r="I19"/>
  <c r="I18"/>
  <c r="I17"/>
  <c r="I16"/>
  <c r="I15"/>
  <c r="I14"/>
  <c r="I13"/>
  <c r="I12"/>
  <c r="I11"/>
  <c r="I10"/>
  <c r="I9"/>
  <c r="I8"/>
  <c r="I7"/>
  <c r="I6"/>
  <c r="I5"/>
  <c r="I66" i="2"/>
  <c r="I65"/>
  <c r="I64"/>
  <c r="I63"/>
  <c r="I62"/>
  <c r="I61"/>
  <c r="I60"/>
  <c r="I59"/>
  <c r="I58"/>
  <c r="I57"/>
  <c r="I56"/>
  <c r="I55"/>
  <c r="I54"/>
  <c r="I53"/>
  <c r="I52"/>
  <c r="I50"/>
  <c r="I49"/>
  <c r="I48"/>
  <c r="I47"/>
  <c r="I46"/>
  <c r="I45"/>
  <c r="I44"/>
  <c r="I43"/>
  <c r="I42"/>
  <c r="I41"/>
  <c r="I40"/>
  <c r="I39"/>
  <c r="I37"/>
  <c r="I36"/>
  <c r="I35"/>
  <c r="I34"/>
  <c r="I33"/>
  <c r="I32"/>
  <c r="I31"/>
  <c r="I30"/>
  <c r="I29"/>
  <c r="I28"/>
  <c r="I27"/>
  <c r="I26"/>
  <c r="I25"/>
  <c r="I24"/>
  <c r="I22"/>
  <c r="I21"/>
  <c r="I20"/>
  <c r="I19"/>
  <c r="I18"/>
  <c r="I17"/>
  <c r="I16"/>
  <c r="I15"/>
  <c r="I14"/>
  <c r="I13"/>
  <c r="I12"/>
  <c r="I11"/>
  <c r="I10"/>
  <c r="I9"/>
  <c r="I8"/>
  <c r="I7"/>
  <c r="I6"/>
  <c r="J321" i="1"/>
  <c r="J304"/>
  <c r="J287"/>
  <c r="J270"/>
  <c r="J253"/>
  <c r="J236"/>
  <c r="J228"/>
  <c r="J211"/>
  <c r="J194"/>
  <c r="J177"/>
  <c r="J160"/>
  <c r="J143"/>
  <c r="J126"/>
  <c r="J109"/>
  <c r="J92"/>
  <c r="J75"/>
  <c r="J57"/>
  <c r="J40"/>
  <c r="J23"/>
  <c r="J6"/>
  <c r="H21" i="3"/>
  <c r="H20"/>
  <c r="H19"/>
  <c r="H18"/>
  <c r="H17"/>
  <c r="H16"/>
  <c r="H15"/>
  <c r="H14"/>
  <c r="H13"/>
  <c r="H12"/>
  <c r="H11"/>
  <c r="H10"/>
  <c r="H9"/>
  <c r="H8"/>
  <c r="H7"/>
  <c r="H6"/>
  <c r="H5"/>
  <c r="H66" i="2"/>
  <c r="H65"/>
  <c r="H64"/>
  <c r="H63"/>
  <c r="H62"/>
  <c r="H61"/>
  <c r="H60"/>
  <c r="H59"/>
  <c r="H58"/>
  <c r="H57"/>
  <c r="H56"/>
  <c r="H55"/>
  <c r="H54"/>
  <c r="H53"/>
  <c r="H52"/>
  <c r="H50"/>
  <c r="H49"/>
  <c r="H48"/>
  <c r="H47"/>
  <c r="H46"/>
  <c r="H45"/>
  <c r="H44"/>
  <c r="H43"/>
  <c r="H42"/>
  <c r="H41"/>
  <c r="H40"/>
  <c r="H39"/>
  <c r="H37"/>
  <c r="H36"/>
  <c r="H35"/>
  <c r="H34"/>
  <c r="H33"/>
  <c r="H32"/>
  <c r="H31"/>
  <c r="H30"/>
  <c r="H29"/>
  <c r="H28"/>
  <c r="H27"/>
  <c r="H26"/>
  <c r="H25"/>
  <c r="H24"/>
  <c r="H22"/>
  <c r="H21"/>
  <c r="H20"/>
  <c r="H19"/>
  <c r="H18"/>
  <c r="H17"/>
  <c r="H16"/>
  <c r="H15"/>
  <c r="H14"/>
  <c r="H13"/>
  <c r="H12"/>
  <c r="H11"/>
  <c r="H10"/>
  <c r="H9"/>
  <c r="H8"/>
  <c r="H7"/>
  <c r="H6"/>
  <c r="I321" i="1"/>
  <c r="I304"/>
  <c r="I287"/>
  <c r="I270"/>
  <c r="I253"/>
  <c r="I236"/>
  <c r="I228"/>
  <c r="I211"/>
  <c r="I194"/>
  <c r="I177"/>
  <c r="I160"/>
  <c r="I143"/>
  <c r="I126"/>
  <c r="I109"/>
  <c r="I92"/>
  <c r="I75"/>
  <c r="I57"/>
  <c r="I40"/>
  <c r="I23"/>
  <c r="I6"/>
  <c r="G21" i="3"/>
  <c r="G20"/>
  <c r="G19"/>
  <c r="G18"/>
  <c r="G17"/>
  <c r="G16"/>
  <c r="G15"/>
  <c r="G14"/>
  <c r="G13"/>
  <c r="G12"/>
  <c r="G11"/>
  <c r="G10"/>
  <c r="G9"/>
  <c r="G8"/>
  <c r="G7"/>
  <c r="G6"/>
  <c r="G5"/>
  <c r="G66" i="2"/>
  <c r="G65"/>
  <c r="G64"/>
  <c r="G63"/>
  <c r="G62"/>
  <c r="G61"/>
  <c r="G60"/>
  <c r="G59"/>
  <c r="G58"/>
  <c r="G57"/>
  <c r="G56"/>
  <c r="G55"/>
  <c r="G54"/>
  <c r="G53"/>
  <c r="G52"/>
  <c r="G50"/>
  <c r="G49"/>
  <c r="G48"/>
  <c r="G47"/>
  <c r="G46"/>
  <c r="G45"/>
  <c r="G44"/>
  <c r="G43"/>
  <c r="G42"/>
  <c r="G41"/>
  <c r="G40"/>
  <c r="G39"/>
  <c r="G37"/>
  <c r="G36"/>
  <c r="G35"/>
  <c r="G34"/>
  <c r="G33"/>
  <c r="G32"/>
  <c r="G31"/>
  <c r="G30"/>
  <c r="G29"/>
  <c r="G28"/>
  <c r="G27"/>
  <c r="G26"/>
  <c r="G25"/>
  <c r="G24"/>
  <c r="G22"/>
  <c r="G21"/>
  <c r="G20"/>
  <c r="G19"/>
  <c r="G18"/>
  <c r="G17"/>
  <c r="G16"/>
  <c r="G15"/>
  <c r="G14"/>
  <c r="G13"/>
  <c r="G12"/>
  <c r="G11"/>
  <c r="G10"/>
  <c r="G9"/>
  <c r="G8"/>
  <c r="G7"/>
  <c r="G6"/>
  <c r="H321" i="1"/>
  <c r="H304"/>
  <c r="H287"/>
  <c r="H270"/>
  <c r="H253"/>
  <c r="H236"/>
  <c r="H228"/>
  <c r="H211"/>
  <c r="H194"/>
  <c r="H177"/>
  <c r="H160"/>
  <c r="H143"/>
  <c r="H126"/>
  <c r="H109"/>
  <c r="H92"/>
  <c r="H75"/>
  <c r="H57"/>
  <c r="H40"/>
  <c r="H23"/>
  <c r="H6"/>
  <c r="W21" i="3"/>
  <c r="V21"/>
  <c r="U21"/>
  <c r="T21"/>
  <c r="S21"/>
  <c r="R21"/>
  <c r="O21"/>
  <c r="N21"/>
  <c r="F21"/>
  <c r="E21"/>
  <c r="D21"/>
  <c r="C21"/>
  <c r="W20"/>
  <c r="V20"/>
  <c r="U20"/>
  <c r="T20"/>
  <c r="S20"/>
  <c r="R20"/>
  <c r="O20"/>
  <c r="N20"/>
  <c r="F20"/>
  <c r="E20"/>
  <c r="D20"/>
  <c r="C20"/>
  <c r="W19"/>
  <c r="V19"/>
  <c r="U19"/>
  <c r="T19"/>
  <c r="S19"/>
  <c r="R19"/>
  <c r="O19"/>
  <c r="N19"/>
  <c r="F19"/>
  <c r="E19"/>
  <c r="D19"/>
  <c r="C19"/>
  <c r="W18"/>
  <c r="V18"/>
  <c r="U18"/>
  <c r="T18"/>
  <c r="S18"/>
  <c r="R18"/>
  <c r="O18"/>
  <c r="N18"/>
  <c r="F18"/>
  <c r="E18"/>
  <c r="D18"/>
  <c r="C18"/>
  <c r="W17"/>
  <c r="V17"/>
  <c r="U17"/>
  <c r="T17"/>
  <c r="S17"/>
  <c r="R17"/>
  <c r="O17"/>
  <c r="N17"/>
  <c r="F17"/>
  <c r="E17"/>
  <c r="D17"/>
  <c r="C17"/>
  <c r="W16"/>
  <c r="V16"/>
  <c r="U16"/>
  <c r="T16"/>
  <c r="S16"/>
  <c r="R16"/>
  <c r="O16"/>
  <c r="N16"/>
  <c r="F16"/>
  <c r="E16"/>
  <c r="D16"/>
  <c r="C16"/>
  <c r="W15"/>
  <c r="V15"/>
  <c r="U15"/>
  <c r="T15"/>
  <c r="S15"/>
  <c r="R15"/>
  <c r="O15"/>
  <c r="N15"/>
  <c r="F15"/>
  <c r="E15"/>
  <c r="D15"/>
  <c r="C15"/>
  <c r="W14"/>
  <c r="V14"/>
  <c r="U14"/>
  <c r="T14"/>
  <c r="S14"/>
  <c r="R14"/>
  <c r="W13"/>
  <c r="V13"/>
  <c r="U13"/>
  <c r="T13"/>
  <c r="S13"/>
  <c r="R13"/>
  <c r="W12"/>
  <c r="V12"/>
  <c r="U12"/>
  <c r="T12"/>
  <c r="S12"/>
  <c r="R12"/>
  <c r="W11"/>
  <c r="V11"/>
  <c r="U11"/>
  <c r="T11"/>
  <c r="S11"/>
  <c r="R11"/>
  <c r="W10"/>
  <c r="V10"/>
  <c r="U10"/>
  <c r="T10"/>
  <c r="S10"/>
  <c r="R10"/>
  <c r="O14"/>
  <c r="N14"/>
  <c r="F14"/>
  <c r="E14"/>
  <c r="D14"/>
  <c r="C14"/>
  <c r="O13"/>
  <c r="N13"/>
  <c r="F13"/>
  <c r="E13"/>
  <c r="D13"/>
  <c r="C13"/>
  <c r="O12"/>
  <c r="N12"/>
  <c r="F12"/>
  <c r="E12"/>
  <c r="D12"/>
  <c r="C12"/>
  <c r="O11"/>
  <c r="N11"/>
  <c r="F11"/>
  <c r="E11"/>
  <c r="D11"/>
  <c r="C11"/>
  <c r="O10"/>
  <c r="N10"/>
  <c r="F10"/>
  <c r="E10"/>
  <c r="D10"/>
  <c r="C10"/>
  <c r="W8"/>
  <c r="V8"/>
  <c r="U8"/>
  <c r="T8"/>
  <c r="S8"/>
  <c r="R8"/>
  <c r="O8"/>
  <c r="N8"/>
  <c r="F8"/>
  <c r="E8"/>
  <c r="D8"/>
  <c r="C8"/>
  <c r="W7"/>
  <c r="V7"/>
  <c r="U7"/>
  <c r="T7"/>
  <c r="S7"/>
  <c r="R7"/>
  <c r="O7"/>
  <c r="N7"/>
  <c r="F7"/>
  <c r="E7"/>
  <c r="D7"/>
  <c r="C7"/>
  <c r="W6"/>
  <c r="V6"/>
  <c r="U6"/>
  <c r="T6"/>
  <c r="S6"/>
  <c r="R6"/>
  <c r="O6"/>
  <c r="N6"/>
  <c r="F6"/>
  <c r="E6"/>
  <c r="D6"/>
  <c r="C6"/>
  <c r="W5"/>
  <c r="V5"/>
  <c r="U5"/>
  <c r="T5"/>
  <c r="S5"/>
  <c r="R5"/>
  <c r="O5"/>
  <c r="N5"/>
  <c r="F5"/>
  <c r="E5"/>
  <c r="D5"/>
  <c r="C5"/>
  <c r="W15" i="2"/>
  <c r="V15"/>
  <c r="U15"/>
  <c r="T15"/>
  <c r="S15"/>
  <c r="R15"/>
  <c r="O15"/>
  <c r="N15"/>
  <c r="F15"/>
  <c r="C15"/>
  <c r="W22"/>
  <c r="V22"/>
  <c r="U22"/>
  <c r="T22"/>
  <c r="S22"/>
  <c r="R22"/>
  <c r="O22"/>
  <c r="N22"/>
  <c r="F22"/>
  <c r="C22"/>
  <c r="W10"/>
  <c r="V10"/>
  <c r="U10"/>
  <c r="T10"/>
  <c r="S10"/>
  <c r="R10"/>
  <c r="O10"/>
  <c r="N10"/>
  <c r="F10"/>
  <c r="C10"/>
  <c r="W9"/>
  <c r="V9"/>
  <c r="U9"/>
  <c r="T9"/>
  <c r="S9"/>
  <c r="R9"/>
  <c r="O9"/>
  <c r="N9"/>
  <c r="F9"/>
  <c r="C9"/>
  <c r="W8"/>
  <c r="V8"/>
  <c r="U8"/>
  <c r="T8"/>
  <c r="S8"/>
  <c r="R8"/>
  <c r="O8"/>
  <c r="N8"/>
  <c r="F8"/>
  <c r="C8"/>
  <c r="W7"/>
  <c r="V7"/>
  <c r="U7"/>
  <c r="T7"/>
  <c r="S7"/>
  <c r="R7"/>
  <c r="O7"/>
  <c r="N7"/>
  <c r="F7"/>
  <c r="E7"/>
  <c r="D7"/>
  <c r="C7"/>
  <c r="W6"/>
  <c r="V6"/>
  <c r="U6"/>
  <c r="T6"/>
  <c r="S6"/>
  <c r="R6"/>
  <c r="O6"/>
  <c r="N6"/>
  <c r="F6"/>
  <c r="E6"/>
  <c r="D6"/>
  <c r="C6"/>
  <c r="X211" i="1"/>
  <c r="W211"/>
  <c r="V211"/>
  <c r="U211"/>
  <c r="T211"/>
  <c r="S211"/>
  <c r="P211"/>
  <c r="O211"/>
  <c r="G211"/>
  <c r="F211"/>
  <c r="E211"/>
  <c r="D211"/>
  <c r="E8" i="2"/>
  <c r="D8"/>
  <c r="E9"/>
  <c r="D9"/>
  <c r="E10"/>
  <c r="D10"/>
  <c r="W11"/>
  <c r="V11"/>
  <c r="U11"/>
  <c r="T11"/>
  <c r="S11"/>
  <c r="R11"/>
  <c r="O11"/>
  <c r="N11"/>
  <c r="F11"/>
  <c r="E11"/>
  <c r="D11"/>
  <c r="C11"/>
  <c r="V12"/>
  <c r="U12"/>
  <c r="T12"/>
  <c r="S12"/>
  <c r="R12"/>
  <c r="O12"/>
  <c r="N12"/>
  <c r="F12"/>
  <c r="E12"/>
  <c r="D12"/>
  <c r="C12"/>
  <c r="W13"/>
  <c r="V13"/>
  <c r="U13"/>
  <c r="T13"/>
  <c r="S13"/>
  <c r="R13"/>
  <c r="O13"/>
  <c r="N13"/>
  <c r="F13"/>
  <c r="E13"/>
  <c r="D13"/>
  <c r="C13"/>
  <c r="W14"/>
  <c r="V14"/>
  <c r="U14"/>
  <c r="T14"/>
  <c r="S14"/>
  <c r="R14"/>
  <c r="O14"/>
  <c r="N14"/>
  <c r="F14"/>
  <c r="E14"/>
  <c r="D14"/>
  <c r="C14"/>
  <c r="W12"/>
  <c r="E15"/>
  <c r="D15"/>
  <c r="W16"/>
  <c r="V16"/>
  <c r="U16"/>
  <c r="T16"/>
  <c r="S16"/>
  <c r="R16"/>
  <c r="O16"/>
  <c r="N16"/>
  <c r="F16"/>
  <c r="E16"/>
  <c r="D16"/>
  <c r="C16"/>
  <c r="W17"/>
  <c r="V17"/>
  <c r="U17"/>
  <c r="T17"/>
  <c r="S17"/>
  <c r="R17"/>
  <c r="O17"/>
  <c r="N17"/>
  <c r="F17"/>
  <c r="E17"/>
  <c r="D17"/>
  <c r="C17"/>
  <c r="W18"/>
  <c r="V18"/>
  <c r="U18"/>
  <c r="T18"/>
  <c r="S18"/>
  <c r="R18"/>
  <c r="O18"/>
  <c r="N18"/>
  <c r="F18"/>
  <c r="E18"/>
  <c r="D18"/>
  <c r="C18"/>
  <c r="W19"/>
  <c r="V19"/>
  <c r="U19"/>
  <c r="T19"/>
  <c r="S19"/>
  <c r="R19"/>
  <c r="O19"/>
  <c r="N19"/>
  <c r="F19"/>
  <c r="E19"/>
  <c r="D19"/>
  <c r="C19"/>
  <c r="W20"/>
  <c r="V20"/>
  <c r="U20"/>
  <c r="T20"/>
  <c r="S20"/>
  <c r="R20"/>
  <c r="O20"/>
  <c r="N20"/>
  <c r="F20"/>
  <c r="E20"/>
  <c r="D20"/>
  <c r="C20"/>
  <c r="W21"/>
  <c r="V21"/>
  <c r="U21"/>
  <c r="T21"/>
  <c r="S21"/>
  <c r="R21"/>
  <c r="O21"/>
  <c r="N21"/>
  <c r="F21"/>
  <c r="E21"/>
  <c r="D21"/>
  <c r="C21"/>
  <c r="M38" l="1"/>
  <c r="M51"/>
  <c r="M67"/>
  <c r="L51"/>
  <c r="L38"/>
  <c r="L23"/>
  <c r="L22" i="3"/>
  <c r="L5" i="2"/>
  <c r="L67" s="1"/>
  <c r="K38"/>
  <c r="K51"/>
  <c r="K22" i="3"/>
  <c r="J51" i="2"/>
  <c r="K5"/>
  <c r="J22" i="3"/>
  <c r="K23" i="2"/>
  <c r="J23"/>
  <c r="J38"/>
  <c r="K338" i="1"/>
  <c r="L338"/>
  <c r="I51" i="2"/>
  <c r="J5"/>
  <c r="I23"/>
  <c r="I38"/>
  <c r="I22" i="3"/>
  <c r="I5" i="2"/>
  <c r="H51"/>
  <c r="H38"/>
  <c r="J338" i="1"/>
  <c r="G51" i="2"/>
  <c r="H5"/>
  <c r="H22" i="3"/>
  <c r="H23" i="2"/>
  <c r="G22" i="3"/>
  <c r="G23" i="2"/>
  <c r="G38"/>
  <c r="H338" i="1"/>
  <c r="I338"/>
  <c r="G5" i="2"/>
  <c r="U66" i="5"/>
  <c r="T66"/>
  <c r="S66"/>
  <c r="R66"/>
  <c r="Q66"/>
  <c r="P66"/>
  <c r="O66"/>
  <c r="N66"/>
  <c r="M66"/>
  <c r="L66"/>
  <c r="K66"/>
  <c r="J66"/>
  <c r="I66"/>
  <c r="H66"/>
  <c r="G66"/>
  <c r="F66"/>
  <c r="E66"/>
  <c r="D66"/>
  <c r="C66"/>
  <c r="U65"/>
  <c r="T65"/>
  <c r="S65"/>
  <c r="K65"/>
  <c r="J65"/>
  <c r="U64"/>
  <c r="T64"/>
  <c r="S64"/>
  <c r="K64"/>
  <c r="J64"/>
  <c r="U63"/>
  <c r="T63"/>
  <c r="S63"/>
  <c r="K63"/>
  <c r="J63"/>
  <c r="U62"/>
  <c r="T62"/>
  <c r="S62"/>
  <c r="K62"/>
  <c r="J62"/>
  <c r="U61"/>
  <c r="T61"/>
  <c r="S61"/>
  <c r="K61"/>
  <c r="J61"/>
  <c r="U60"/>
  <c r="T60"/>
  <c r="S60"/>
  <c r="K60"/>
  <c r="J60"/>
  <c r="U59"/>
  <c r="T59"/>
  <c r="S59"/>
  <c r="K59"/>
  <c r="J59"/>
  <c r="U58"/>
  <c r="T58"/>
  <c r="S58"/>
  <c r="K58"/>
  <c r="J58"/>
  <c r="U57"/>
  <c r="T57"/>
  <c r="S57"/>
  <c r="K57"/>
  <c r="J57"/>
  <c r="U56"/>
  <c r="T56"/>
  <c r="S56"/>
  <c r="K56"/>
  <c r="J56"/>
  <c r="U55"/>
  <c r="T55"/>
  <c r="S55"/>
  <c r="K55"/>
  <c r="J55"/>
  <c r="U54"/>
  <c r="T54"/>
  <c r="S54"/>
  <c r="K54"/>
  <c r="J54"/>
  <c r="U53"/>
  <c r="T53"/>
  <c r="S53"/>
  <c r="K53"/>
  <c r="J53"/>
  <c r="U52"/>
  <c r="T52"/>
  <c r="S52"/>
  <c r="K52"/>
  <c r="J52"/>
  <c r="U51"/>
  <c r="T51"/>
  <c r="S51"/>
  <c r="K51"/>
  <c r="J51"/>
  <c r="U50"/>
  <c r="T50"/>
  <c r="S50"/>
  <c r="R50"/>
  <c r="Q50"/>
  <c r="P50"/>
  <c r="O50"/>
  <c r="N50"/>
  <c r="M50"/>
  <c r="L50"/>
  <c r="K50"/>
  <c r="J50"/>
  <c r="I50"/>
  <c r="H50"/>
  <c r="G50"/>
  <c r="F50"/>
  <c r="E50"/>
  <c r="D50"/>
  <c r="C50"/>
  <c r="U49"/>
  <c r="T49"/>
  <c r="S49"/>
  <c r="K49"/>
  <c r="J49"/>
  <c r="U48"/>
  <c r="T48"/>
  <c r="S48"/>
  <c r="L48"/>
  <c r="K48"/>
  <c r="J48"/>
  <c r="U47"/>
  <c r="T47"/>
  <c r="S47"/>
  <c r="K47"/>
  <c r="J47"/>
  <c r="U46"/>
  <c r="T46"/>
  <c r="S46"/>
  <c r="K46"/>
  <c r="J46"/>
  <c r="U45"/>
  <c r="T45"/>
  <c r="S45"/>
  <c r="K45"/>
  <c r="J45"/>
  <c r="U44"/>
  <c r="T44"/>
  <c r="S44"/>
  <c r="K44"/>
  <c r="J44"/>
  <c r="U43"/>
  <c r="T43"/>
  <c r="S43"/>
  <c r="K43"/>
  <c r="J43"/>
  <c r="U42"/>
  <c r="T42"/>
  <c r="S42"/>
  <c r="K42"/>
  <c r="J42"/>
  <c r="U41"/>
  <c r="T41"/>
  <c r="S41"/>
  <c r="K41"/>
  <c r="J41"/>
  <c r="U40"/>
  <c r="T40"/>
  <c r="S40"/>
  <c r="K40"/>
  <c r="J40"/>
  <c r="U39"/>
  <c r="T39"/>
  <c r="S39"/>
  <c r="K39"/>
  <c r="J39"/>
  <c r="U38"/>
  <c r="T38"/>
  <c r="S38"/>
  <c r="K38"/>
  <c r="J38"/>
  <c r="U37"/>
  <c r="T37"/>
  <c r="S37"/>
  <c r="R37"/>
  <c r="Q37"/>
  <c r="P37"/>
  <c r="O37"/>
  <c r="N37"/>
  <c r="M37"/>
  <c r="L37"/>
  <c r="K37"/>
  <c r="J37"/>
  <c r="I37"/>
  <c r="H37"/>
  <c r="G37"/>
  <c r="F37"/>
  <c r="E37"/>
  <c r="D37"/>
  <c r="C37"/>
  <c r="U36"/>
  <c r="T36"/>
  <c r="S36"/>
  <c r="K36"/>
  <c r="J36"/>
  <c r="U35"/>
  <c r="T35"/>
  <c r="S35"/>
  <c r="K35"/>
  <c r="J35"/>
  <c r="U34"/>
  <c r="T34"/>
  <c r="S34"/>
  <c r="U33"/>
  <c r="T33"/>
  <c r="S33"/>
  <c r="K33"/>
  <c r="J33"/>
  <c r="U32"/>
  <c r="T32"/>
  <c r="S32"/>
  <c r="K32"/>
  <c r="J32"/>
  <c r="U31"/>
  <c r="T31"/>
  <c r="S31"/>
  <c r="U30"/>
  <c r="T30"/>
  <c r="S30"/>
  <c r="U29"/>
  <c r="T29"/>
  <c r="S29"/>
  <c r="K29"/>
  <c r="J29"/>
  <c r="U28"/>
  <c r="T28"/>
  <c r="S28"/>
  <c r="K28"/>
  <c r="J28"/>
  <c r="U27"/>
  <c r="T27"/>
  <c r="S27"/>
  <c r="K27"/>
  <c r="J27"/>
  <c r="U26"/>
  <c r="T26"/>
  <c r="S26"/>
  <c r="K26"/>
  <c r="J26"/>
  <c r="U25"/>
  <c r="T25"/>
  <c r="S25"/>
  <c r="K25"/>
  <c r="J25"/>
  <c r="U24"/>
  <c r="T24"/>
  <c r="S24"/>
  <c r="K24"/>
  <c r="J24"/>
  <c r="U23"/>
  <c r="T23"/>
  <c r="S23"/>
  <c r="K23"/>
  <c r="J23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U21"/>
  <c r="T21"/>
  <c r="S21"/>
  <c r="K21"/>
  <c r="J21"/>
  <c r="U20"/>
  <c r="T20"/>
  <c r="S20"/>
  <c r="K20"/>
  <c r="J20"/>
  <c r="U19"/>
  <c r="T19"/>
  <c r="S19"/>
  <c r="K19"/>
  <c r="J19"/>
  <c r="U18"/>
  <c r="T18"/>
  <c r="S18"/>
  <c r="K18"/>
  <c r="J18"/>
  <c r="U17"/>
  <c r="T17"/>
  <c r="S17"/>
  <c r="K17"/>
  <c r="J17"/>
  <c r="U16"/>
  <c r="T16"/>
  <c r="S16"/>
  <c r="K16"/>
  <c r="J16"/>
  <c r="U15"/>
  <c r="T15"/>
  <c r="S15"/>
  <c r="K15"/>
  <c r="J15"/>
  <c r="U14"/>
  <c r="T14"/>
  <c r="S14"/>
  <c r="K14"/>
  <c r="J14"/>
  <c r="U13"/>
  <c r="T13"/>
  <c r="S13"/>
  <c r="K13"/>
  <c r="J13"/>
  <c r="U12"/>
  <c r="T12"/>
  <c r="S12"/>
  <c r="K12"/>
  <c r="J12"/>
  <c r="U11"/>
  <c r="T11"/>
  <c r="S11"/>
  <c r="K11"/>
  <c r="J11"/>
  <c r="U10"/>
  <c r="T10"/>
  <c r="S10"/>
  <c r="K10"/>
  <c r="J10"/>
  <c r="U9"/>
  <c r="T9"/>
  <c r="S9"/>
  <c r="K9"/>
  <c r="J9"/>
  <c r="U8"/>
  <c r="T8"/>
  <c r="S8"/>
  <c r="K8"/>
  <c r="J8"/>
  <c r="U7"/>
  <c r="T7"/>
  <c r="S7"/>
  <c r="K7"/>
  <c r="J7"/>
  <c r="U6"/>
  <c r="T6"/>
  <c r="S6"/>
  <c r="K6"/>
  <c r="J6"/>
  <c r="U5"/>
  <c r="T5"/>
  <c r="S5"/>
  <c r="K5"/>
  <c r="J5"/>
  <c r="U4"/>
  <c r="T4"/>
  <c r="S4"/>
  <c r="R4"/>
  <c r="Q4"/>
  <c r="P4"/>
  <c r="O4"/>
  <c r="N4"/>
  <c r="M4"/>
  <c r="L4"/>
  <c r="K4"/>
  <c r="J4"/>
  <c r="I4"/>
  <c r="H4"/>
  <c r="G4"/>
  <c r="F4"/>
  <c r="E4"/>
  <c r="D4"/>
  <c r="C4"/>
  <c r="U55" i="4"/>
  <c r="T55"/>
  <c r="S55"/>
  <c r="R55"/>
  <c r="Q55"/>
  <c r="P55"/>
  <c r="O55"/>
  <c r="N55"/>
  <c r="M55"/>
  <c r="L55"/>
  <c r="K55"/>
  <c r="J55"/>
  <c r="I55"/>
  <c r="H55"/>
  <c r="G55"/>
  <c r="F55"/>
  <c r="E55"/>
  <c r="D55"/>
  <c r="C55"/>
  <c r="U54"/>
  <c r="T54"/>
  <c r="S54"/>
  <c r="K54"/>
  <c r="J54"/>
  <c r="U53"/>
  <c r="T53"/>
  <c r="S53"/>
  <c r="R53"/>
  <c r="Q53"/>
  <c r="P53"/>
  <c r="O53"/>
  <c r="N53"/>
  <c r="M53"/>
  <c r="L53"/>
  <c r="K53"/>
  <c r="J53"/>
  <c r="I53"/>
  <c r="H53"/>
  <c r="G53"/>
  <c r="F53"/>
  <c r="E53"/>
  <c r="D53"/>
  <c r="C53"/>
  <c r="U48"/>
  <c r="T48"/>
  <c r="S48"/>
  <c r="R48"/>
  <c r="Q48"/>
  <c r="P48"/>
  <c r="O48"/>
  <c r="N48"/>
  <c r="M48"/>
  <c r="L48"/>
  <c r="K48"/>
  <c r="J48"/>
  <c r="I48"/>
  <c r="H48"/>
  <c r="G48"/>
  <c r="F48"/>
  <c r="E48"/>
  <c r="D48"/>
  <c r="C48"/>
  <c r="U47"/>
  <c r="T47"/>
  <c r="S47"/>
  <c r="K47"/>
  <c r="J47"/>
  <c r="U46"/>
  <c r="T46"/>
  <c r="S46"/>
  <c r="R46"/>
  <c r="Q46"/>
  <c r="P46"/>
  <c r="O46"/>
  <c r="N46"/>
  <c r="M46"/>
  <c r="L46"/>
  <c r="K46"/>
  <c r="J46"/>
  <c r="I46"/>
  <c r="H46"/>
  <c r="G46"/>
  <c r="F46"/>
  <c r="E46"/>
  <c r="D46"/>
  <c r="C46"/>
  <c r="U40"/>
  <c r="T40"/>
  <c r="S40"/>
  <c r="R40"/>
  <c r="Q40"/>
  <c r="P40"/>
  <c r="O40"/>
  <c r="N40"/>
  <c r="M40"/>
  <c r="L40"/>
  <c r="K40"/>
  <c r="J40"/>
  <c r="I40"/>
  <c r="H40"/>
  <c r="G40"/>
  <c r="F40"/>
  <c r="E40"/>
  <c r="D40"/>
  <c r="C40"/>
  <c r="U36"/>
  <c r="T36"/>
  <c r="S36"/>
  <c r="R36"/>
  <c r="Q36"/>
  <c r="P36"/>
  <c r="O36"/>
  <c r="N36"/>
  <c r="M36"/>
  <c r="L36"/>
  <c r="K36"/>
  <c r="J36"/>
  <c r="I36"/>
  <c r="H36"/>
  <c r="G36"/>
  <c r="F36"/>
  <c r="E36"/>
  <c r="D36"/>
  <c r="C36"/>
  <c r="U35"/>
  <c r="T35"/>
  <c r="S35"/>
  <c r="K35"/>
  <c r="J35"/>
  <c r="U34"/>
  <c r="T34"/>
  <c r="S34"/>
  <c r="K34"/>
  <c r="J34"/>
  <c r="U33"/>
  <c r="T33"/>
  <c r="S33"/>
  <c r="K33"/>
  <c r="J33"/>
  <c r="U32"/>
  <c r="T32"/>
  <c r="S32"/>
  <c r="R32"/>
  <c r="Q32"/>
  <c r="P32"/>
  <c r="O32"/>
  <c r="N32"/>
  <c r="M32"/>
  <c r="L32"/>
  <c r="K32"/>
  <c r="J32"/>
  <c r="I32"/>
  <c r="H32"/>
  <c r="G32"/>
  <c r="F32"/>
  <c r="E32"/>
  <c r="D32"/>
  <c r="C32"/>
  <c r="U31"/>
  <c r="T31"/>
  <c r="S31"/>
  <c r="K31"/>
  <c r="J31"/>
  <c r="U30"/>
  <c r="T30"/>
  <c r="S30"/>
  <c r="L30"/>
  <c r="K30"/>
  <c r="J30"/>
  <c r="U29"/>
  <c r="T29"/>
  <c r="S29"/>
  <c r="L29"/>
  <c r="K29"/>
  <c r="J29"/>
  <c r="U28"/>
  <c r="T28"/>
  <c r="S28"/>
  <c r="R28"/>
  <c r="Q28"/>
  <c r="P28"/>
  <c r="O28"/>
  <c r="N28"/>
  <c r="M28"/>
  <c r="L28"/>
  <c r="K28"/>
  <c r="J28"/>
  <c r="I28"/>
  <c r="H28"/>
  <c r="G28"/>
  <c r="F28"/>
  <c r="E28"/>
  <c r="D28"/>
  <c r="C28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U20"/>
  <c r="T20"/>
  <c r="S20"/>
  <c r="K20"/>
  <c r="J20"/>
  <c r="U19"/>
  <c r="T19"/>
  <c r="S19"/>
  <c r="K19"/>
  <c r="J19"/>
  <c r="U18"/>
  <c r="T18"/>
  <c r="S18"/>
  <c r="K18"/>
  <c r="J18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U16"/>
  <c r="T16"/>
  <c r="S16"/>
  <c r="K16"/>
  <c r="J16"/>
  <c r="U15"/>
  <c r="T15"/>
  <c r="S15"/>
  <c r="K15"/>
  <c r="J15"/>
  <c r="U14"/>
  <c r="T14"/>
  <c r="S14"/>
  <c r="K14"/>
  <c r="J14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U12"/>
  <c r="T12"/>
  <c r="S12"/>
  <c r="K12"/>
  <c r="J12"/>
  <c r="U11"/>
  <c r="T11"/>
  <c r="S11"/>
  <c r="K11"/>
  <c r="J11"/>
  <c r="U10"/>
  <c r="T10"/>
  <c r="S10"/>
  <c r="K10"/>
  <c r="J10"/>
  <c r="U9"/>
  <c r="T9"/>
  <c r="S9"/>
  <c r="R9"/>
  <c r="Q9"/>
  <c r="P9"/>
  <c r="O9"/>
  <c r="N9"/>
  <c r="M9"/>
  <c r="L9"/>
  <c r="K9"/>
  <c r="J9"/>
  <c r="I9"/>
  <c r="H9"/>
  <c r="G9"/>
  <c r="F9"/>
  <c r="E9"/>
  <c r="D9"/>
  <c r="C9"/>
  <c r="U8"/>
  <c r="T8"/>
  <c r="S8"/>
  <c r="K8"/>
  <c r="J8"/>
  <c r="U7"/>
  <c r="T7"/>
  <c r="S7"/>
  <c r="K7"/>
  <c r="J7"/>
  <c r="U6"/>
  <c r="T6"/>
  <c r="S6"/>
  <c r="K6"/>
  <c r="J6"/>
  <c r="U5"/>
  <c r="T5"/>
  <c r="S5"/>
  <c r="R5"/>
  <c r="Q5"/>
  <c r="P5"/>
  <c r="O5"/>
  <c r="N5"/>
  <c r="M5"/>
  <c r="L5"/>
  <c r="K5"/>
  <c r="J5"/>
  <c r="I5"/>
  <c r="H5"/>
  <c r="G5"/>
  <c r="F5"/>
  <c r="E5"/>
  <c r="D5"/>
  <c r="C5"/>
  <c r="X21" i="3"/>
  <c r="P21"/>
  <c r="Q21" s="1"/>
  <c r="X20"/>
  <c r="P20"/>
  <c r="Q20" s="1"/>
  <c r="X19"/>
  <c r="P19"/>
  <c r="Q19" s="1"/>
  <c r="X18"/>
  <c r="P18"/>
  <c r="Q18" s="1"/>
  <c r="X17"/>
  <c r="P17"/>
  <c r="Q17" s="1"/>
  <c r="X16"/>
  <c r="P16"/>
  <c r="Q16" s="1"/>
  <c r="X15"/>
  <c r="P15"/>
  <c r="Q15" s="1"/>
  <c r="X14"/>
  <c r="P14"/>
  <c r="Q14" s="1"/>
  <c r="X13"/>
  <c r="P13"/>
  <c r="Q13" s="1"/>
  <c r="X12"/>
  <c r="P12"/>
  <c r="Q12" s="1"/>
  <c r="X11"/>
  <c r="P11"/>
  <c r="Q11" s="1"/>
  <c r="W9"/>
  <c r="W22" s="1"/>
  <c r="V9"/>
  <c r="V22" s="1"/>
  <c r="U9"/>
  <c r="U22" s="1"/>
  <c r="T9"/>
  <c r="T22" s="1"/>
  <c r="S9"/>
  <c r="S22" s="1"/>
  <c r="R9"/>
  <c r="R22" s="1"/>
  <c r="O9"/>
  <c r="O22" s="1"/>
  <c r="N9"/>
  <c r="N22" s="1"/>
  <c r="F9"/>
  <c r="F22" s="1"/>
  <c r="E9"/>
  <c r="E22" s="1"/>
  <c r="D9"/>
  <c r="D22" s="1"/>
  <c r="C9"/>
  <c r="C22" s="1"/>
  <c r="X8"/>
  <c r="P8"/>
  <c r="Q8" s="1"/>
  <c r="X7"/>
  <c r="P7"/>
  <c r="Q7" s="1"/>
  <c r="X6"/>
  <c r="P6"/>
  <c r="X5"/>
  <c r="P5"/>
  <c r="Q5" s="1"/>
  <c r="W66" i="2"/>
  <c r="V66"/>
  <c r="U66"/>
  <c r="T66"/>
  <c r="S66"/>
  <c r="R66"/>
  <c r="O66"/>
  <c r="N66"/>
  <c r="F66"/>
  <c r="E66"/>
  <c r="D66"/>
  <c r="C66"/>
  <c r="W65"/>
  <c r="V65"/>
  <c r="U65"/>
  <c r="T65"/>
  <c r="S65"/>
  <c r="R65"/>
  <c r="O65"/>
  <c r="N65"/>
  <c r="F65"/>
  <c r="E65"/>
  <c r="D65"/>
  <c r="C65"/>
  <c r="W64"/>
  <c r="V64"/>
  <c r="U64"/>
  <c r="T64"/>
  <c r="S64"/>
  <c r="R64"/>
  <c r="O64"/>
  <c r="N64"/>
  <c r="F64"/>
  <c r="E64"/>
  <c r="D64"/>
  <c r="C64"/>
  <c r="W63"/>
  <c r="V63"/>
  <c r="U63"/>
  <c r="T63"/>
  <c r="S63"/>
  <c r="R63"/>
  <c r="O63"/>
  <c r="N63"/>
  <c r="F63"/>
  <c r="E63"/>
  <c r="D63"/>
  <c r="C63"/>
  <c r="W62"/>
  <c r="V62"/>
  <c r="U62"/>
  <c r="T62"/>
  <c r="S62"/>
  <c r="R62"/>
  <c r="O62"/>
  <c r="N62"/>
  <c r="F62"/>
  <c r="E62"/>
  <c r="D62"/>
  <c r="C62"/>
  <c r="W61"/>
  <c r="V61"/>
  <c r="U61"/>
  <c r="T61"/>
  <c r="S61"/>
  <c r="R61"/>
  <c r="O61"/>
  <c r="N61"/>
  <c r="F61"/>
  <c r="E61"/>
  <c r="D61"/>
  <c r="C61"/>
  <c r="W60"/>
  <c r="V60"/>
  <c r="U60"/>
  <c r="T60"/>
  <c r="S60"/>
  <c r="R60"/>
  <c r="O60"/>
  <c r="N60"/>
  <c r="F60"/>
  <c r="E60"/>
  <c r="D60"/>
  <c r="C60"/>
  <c r="W59"/>
  <c r="V59"/>
  <c r="U59"/>
  <c r="T59"/>
  <c r="S59"/>
  <c r="R59"/>
  <c r="O59"/>
  <c r="N59"/>
  <c r="F59"/>
  <c r="E59"/>
  <c r="D59"/>
  <c r="C59"/>
  <c r="W58"/>
  <c r="V58"/>
  <c r="U58"/>
  <c r="T58"/>
  <c r="S58"/>
  <c r="R58"/>
  <c r="O58"/>
  <c r="N58"/>
  <c r="F58"/>
  <c r="E58"/>
  <c r="D58"/>
  <c r="C58"/>
  <c r="W57"/>
  <c r="V57"/>
  <c r="U57"/>
  <c r="T57"/>
  <c r="S57"/>
  <c r="R57"/>
  <c r="O57"/>
  <c r="N57"/>
  <c r="F57"/>
  <c r="E57"/>
  <c r="D57"/>
  <c r="C57"/>
  <c r="W56"/>
  <c r="V56"/>
  <c r="U56"/>
  <c r="T56"/>
  <c r="S56"/>
  <c r="R56"/>
  <c r="O56"/>
  <c r="N56"/>
  <c r="F56"/>
  <c r="E56"/>
  <c r="D56"/>
  <c r="C56"/>
  <c r="W55"/>
  <c r="V55"/>
  <c r="U55"/>
  <c r="T55"/>
  <c r="S55"/>
  <c r="R55"/>
  <c r="O55"/>
  <c r="N55"/>
  <c r="F55"/>
  <c r="E55"/>
  <c r="D55"/>
  <c r="C55"/>
  <c r="W54"/>
  <c r="V54"/>
  <c r="U54"/>
  <c r="T54"/>
  <c r="S54"/>
  <c r="R54"/>
  <c r="O54"/>
  <c r="N54"/>
  <c r="F54"/>
  <c r="E54"/>
  <c r="D54"/>
  <c r="C54"/>
  <c r="W53"/>
  <c r="V53"/>
  <c r="U53"/>
  <c r="T53"/>
  <c r="S53"/>
  <c r="R53"/>
  <c r="O53"/>
  <c r="N53"/>
  <c r="F53"/>
  <c r="E53"/>
  <c r="D53"/>
  <c r="C53"/>
  <c r="W52"/>
  <c r="V52"/>
  <c r="U52"/>
  <c r="T52"/>
  <c r="S52"/>
  <c r="R52"/>
  <c r="O52"/>
  <c r="N52"/>
  <c r="F52"/>
  <c r="E52"/>
  <c r="D52"/>
  <c r="C52"/>
  <c r="W50"/>
  <c r="V50"/>
  <c r="U50"/>
  <c r="T50"/>
  <c r="S50"/>
  <c r="R50"/>
  <c r="O50"/>
  <c r="N50"/>
  <c r="F50"/>
  <c r="E50"/>
  <c r="D50"/>
  <c r="C50"/>
  <c r="W49"/>
  <c r="V49"/>
  <c r="U49"/>
  <c r="T49"/>
  <c r="S49"/>
  <c r="R49"/>
  <c r="O49"/>
  <c r="N49"/>
  <c r="F49"/>
  <c r="E49"/>
  <c r="D49"/>
  <c r="C49"/>
  <c r="W48"/>
  <c r="V48"/>
  <c r="U48"/>
  <c r="T48"/>
  <c r="S48"/>
  <c r="R48"/>
  <c r="O48"/>
  <c r="N48"/>
  <c r="F48"/>
  <c r="E48"/>
  <c r="D48"/>
  <c r="C48"/>
  <c r="W47"/>
  <c r="V47"/>
  <c r="U47"/>
  <c r="T47"/>
  <c r="S47"/>
  <c r="R47"/>
  <c r="O47"/>
  <c r="N47"/>
  <c r="F47"/>
  <c r="E47"/>
  <c r="D47"/>
  <c r="C47"/>
  <c r="W46"/>
  <c r="V46"/>
  <c r="U46"/>
  <c r="T46"/>
  <c r="S46"/>
  <c r="R46"/>
  <c r="O46"/>
  <c r="N46"/>
  <c r="F46"/>
  <c r="E46"/>
  <c r="D46"/>
  <c r="C46"/>
  <c r="W45"/>
  <c r="V45"/>
  <c r="U45"/>
  <c r="T45"/>
  <c r="S45"/>
  <c r="R45"/>
  <c r="O45"/>
  <c r="N45"/>
  <c r="F45"/>
  <c r="E45"/>
  <c r="D45"/>
  <c r="C45"/>
  <c r="W44"/>
  <c r="V44"/>
  <c r="U44"/>
  <c r="T44"/>
  <c r="S44"/>
  <c r="R44"/>
  <c r="O44"/>
  <c r="N44"/>
  <c r="F44"/>
  <c r="E44"/>
  <c r="D44"/>
  <c r="C44"/>
  <c r="W43"/>
  <c r="V43"/>
  <c r="U43"/>
  <c r="T43"/>
  <c r="S43"/>
  <c r="R43"/>
  <c r="O43"/>
  <c r="N43"/>
  <c r="F43"/>
  <c r="E43"/>
  <c r="D43"/>
  <c r="C43"/>
  <c r="W42"/>
  <c r="V42"/>
  <c r="U42"/>
  <c r="T42"/>
  <c r="S42"/>
  <c r="R42"/>
  <c r="O42"/>
  <c r="N42"/>
  <c r="F42"/>
  <c r="E42"/>
  <c r="D42"/>
  <c r="C42"/>
  <c r="W41"/>
  <c r="V41"/>
  <c r="U41"/>
  <c r="T41"/>
  <c r="S41"/>
  <c r="R41"/>
  <c r="O41"/>
  <c r="N41"/>
  <c r="F41"/>
  <c r="E41"/>
  <c r="D41"/>
  <c r="C41"/>
  <c r="W40"/>
  <c r="V40"/>
  <c r="U40"/>
  <c r="T40"/>
  <c r="S40"/>
  <c r="R40"/>
  <c r="O40"/>
  <c r="N40"/>
  <c r="F40"/>
  <c r="E40"/>
  <c r="D40"/>
  <c r="C40"/>
  <c r="W39"/>
  <c r="V39"/>
  <c r="U39"/>
  <c r="T39"/>
  <c r="S39"/>
  <c r="R39"/>
  <c r="O39"/>
  <c r="N39"/>
  <c r="F39"/>
  <c r="E39"/>
  <c r="D39"/>
  <c r="C39"/>
  <c r="W37"/>
  <c r="V37"/>
  <c r="U37"/>
  <c r="T37"/>
  <c r="S37"/>
  <c r="R37"/>
  <c r="O37"/>
  <c r="N37"/>
  <c r="F37"/>
  <c r="E37"/>
  <c r="D37"/>
  <c r="C37"/>
  <c r="W36"/>
  <c r="V36"/>
  <c r="U36"/>
  <c r="T36"/>
  <c r="S36"/>
  <c r="R36"/>
  <c r="O36"/>
  <c r="N36"/>
  <c r="F36"/>
  <c r="E36"/>
  <c r="D36"/>
  <c r="C36"/>
  <c r="W35"/>
  <c r="V35"/>
  <c r="U35"/>
  <c r="T35"/>
  <c r="S35"/>
  <c r="R35"/>
  <c r="O35"/>
  <c r="N35"/>
  <c r="F35"/>
  <c r="E35"/>
  <c r="D35"/>
  <c r="C35"/>
  <c r="W34"/>
  <c r="V34"/>
  <c r="U34"/>
  <c r="T34"/>
  <c r="S34"/>
  <c r="R34"/>
  <c r="O34"/>
  <c r="N34"/>
  <c r="F34"/>
  <c r="E34"/>
  <c r="D34"/>
  <c r="C34"/>
  <c r="W33"/>
  <c r="V33"/>
  <c r="U33"/>
  <c r="T33"/>
  <c r="S33"/>
  <c r="R33"/>
  <c r="O33"/>
  <c r="N33"/>
  <c r="F33"/>
  <c r="E33"/>
  <c r="D33"/>
  <c r="C33"/>
  <c r="W32"/>
  <c r="V32"/>
  <c r="U32"/>
  <c r="T32"/>
  <c r="S32"/>
  <c r="R32"/>
  <c r="O32"/>
  <c r="N32"/>
  <c r="F32"/>
  <c r="E32"/>
  <c r="D32"/>
  <c r="C32"/>
  <c r="W31"/>
  <c r="V31"/>
  <c r="U31"/>
  <c r="T31"/>
  <c r="S31"/>
  <c r="R31"/>
  <c r="O31"/>
  <c r="N31"/>
  <c r="F31"/>
  <c r="E31"/>
  <c r="D31"/>
  <c r="C31"/>
  <c r="W30"/>
  <c r="V30"/>
  <c r="U30"/>
  <c r="T30"/>
  <c r="S30"/>
  <c r="R30"/>
  <c r="O30"/>
  <c r="N30"/>
  <c r="F30"/>
  <c r="E30"/>
  <c r="D30"/>
  <c r="C30"/>
  <c r="W29"/>
  <c r="V29"/>
  <c r="U29"/>
  <c r="T29"/>
  <c r="S29"/>
  <c r="R29"/>
  <c r="O29"/>
  <c r="N29"/>
  <c r="F29"/>
  <c r="E29"/>
  <c r="D29"/>
  <c r="C29"/>
  <c r="W28"/>
  <c r="V28"/>
  <c r="U28"/>
  <c r="T28"/>
  <c r="S28"/>
  <c r="R28"/>
  <c r="O28"/>
  <c r="N28"/>
  <c r="F28"/>
  <c r="E28"/>
  <c r="D28"/>
  <c r="C28"/>
  <c r="W27"/>
  <c r="V27"/>
  <c r="U27"/>
  <c r="T27"/>
  <c r="S27"/>
  <c r="R27"/>
  <c r="O27"/>
  <c r="N27"/>
  <c r="F27"/>
  <c r="E27"/>
  <c r="D27"/>
  <c r="C27"/>
  <c r="W26"/>
  <c r="V26"/>
  <c r="U26"/>
  <c r="T26"/>
  <c r="S26"/>
  <c r="R26"/>
  <c r="O26"/>
  <c r="N26"/>
  <c r="F26"/>
  <c r="E26"/>
  <c r="D26"/>
  <c r="C26"/>
  <c r="W25"/>
  <c r="V25"/>
  <c r="U25"/>
  <c r="T25"/>
  <c r="S25"/>
  <c r="R25"/>
  <c r="O25"/>
  <c r="N25"/>
  <c r="F25"/>
  <c r="E25"/>
  <c r="D25"/>
  <c r="C25"/>
  <c r="W24"/>
  <c r="V24"/>
  <c r="U24"/>
  <c r="T24"/>
  <c r="S24"/>
  <c r="R24"/>
  <c r="O24"/>
  <c r="N24"/>
  <c r="F24"/>
  <c r="E24"/>
  <c r="D24"/>
  <c r="C24"/>
  <c r="X22"/>
  <c r="P22"/>
  <c r="Q22" s="1"/>
  <c r="X21"/>
  <c r="P21"/>
  <c r="Q21" s="1"/>
  <c r="X20"/>
  <c r="P20"/>
  <c r="Q20" s="1"/>
  <c r="X19"/>
  <c r="P19"/>
  <c r="Q19" s="1"/>
  <c r="X18"/>
  <c r="P18"/>
  <c r="Q18" s="1"/>
  <c r="X17"/>
  <c r="P17"/>
  <c r="Q17" s="1"/>
  <c r="X16"/>
  <c r="P16"/>
  <c r="Q16" s="1"/>
  <c r="X15"/>
  <c r="P15"/>
  <c r="Q15" s="1"/>
  <c r="X14"/>
  <c r="P14"/>
  <c r="Q14" s="1"/>
  <c r="X13"/>
  <c r="P13"/>
  <c r="Q13" s="1"/>
  <c r="X12"/>
  <c r="P12"/>
  <c r="Q12" s="1"/>
  <c r="X11"/>
  <c r="P11"/>
  <c r="Q11" s="1"/>
  <c r="X10"/>
  <c r="P10"/>
  <c r="Q10" s="1"/>
  <c r="X9"/>
  <c r="P9"/>
  <c r="Q9" s="1"/>
  <c r="X8"/>
  <c r="P8"/>
  <c r="Q8" s="1"/>
  <c r="X7"/>
  <c r="P7"/>
  <c r="Q7" s="1"/>
  <c r="P6"/>
  <c r="Q6" s="1"/>
  <c r="X6" s="1"/>
  <c r="W5"/>
  <c r="V5"/>
  <c r="U5"/>
  <c r="T5"/>
  <c r="S5"/>
  <c r="R5"/>
  <c r="O5"/>
  <c r="N5"/>
  <c r="F5"/>
  <c r="C5"/>
  <c r="Y337" i="1"/>
  <c r="Q337"/>
  <c r="R337" s="1"/>
  <c r="Y336"/>
  <c r="Q336"/>
  <c r="R336" s="1"/>
  <c r="Y335"/>
  <c r="Q335"/>
  <c r="R335" s="1"/>
  <c r="Y334"/>
  <c r="Q334"/>
  <c r="R334" s="1"/>
  <c r="Y333"/>
  <c r="Q333"/>
  <c r="R333" s="1"/>
  <c r="Y332"/>
  <c r="Q332"/>
  <c r="R332" s="1"/>
  <c r="Y331"/>
  <c r="Q331"/>
  <c r="Y330"/>
  <c r="Q330"/>
  <c r="R330" s="1"/>
  <c r="Y329"/>
  <c r="Q329"/>
  <c r="R329" s="1"/>
  <c r="Y328"/>
  <c r="Q328"/>
  <c r="Y327"/>
  <c r="Q327"/>
  <c r="R327" s="1"/>
  <c r="Y326"/>
  <c r="Q326"/>
  <c r="R326" s="1"/>
  <c r="Y325"/>
  <c r="Q325"/>
  <c r="Y324"/>
  <c r="Q324"/>
  <c r="R324" s="1"/>
  <c r="Y323"/>
  <c r="Q323"/>
  <c r="R323" s="1"/>
  <c r="Y322"/>
  <c r="Q322"/>
  <c r="R322" s="1"/>
  <c r="X321"/>
  <c r="W321"/>
  <c r="V321"/>
  <c r="U321"/>
  <c r="T321"/>
  <c r="S321"/>
  <c r="Y321"/>
  <c r="P321"/>
  <c r="O321"/>
  <c r="G321"/>
  <c r="F321"/>
  <c r="E321"/>
  <c r="D321"/>
  <c r="Y320"/>
  <c r="Q320"/>
  <c r="R320" s="1"/>
  <c r="Y319"/>
  <c r="Q319"/>
  <c r="R319" s="1"/>
  <c r="Y318"/>
  <c r="Q318"/>
  <c r="R318" s="1"/>
  <c r="Y317"/>
  <c r="Q317"/>
  <c r="R317" s="1"/>
  <c r="Y316"/>
  <c r="Q316"/>
  <c r="R316" s="1"/>
  <c r="Y315"/>
  <c r="Q315"/>
  <c r="R315" s="1"/>
  <c r="Y314"/>
  <c r="Q314"/>
  <c r="R314" s="1"/>
  <c r="Y313"/>
  <c r="Q313"/>
  <c r="R313" s="1"/>
  <c r="Y312"/>
  <c r="Q312"/>
  <c r="R312" s="1"/>
  <c r="Y311"/>
  <c r="Q311"/>
  <c r="R311" s="1"/>
  <c r="Y310"/>
  <c r="Q310"/>
  <c r="R310" s="1"/>
  <c r="Y309"/>
  <c r="Q309"/>
  <c r="R309" s="1"/>
  <c r="Y308"/>
  <c r="Q308"/>
  <c r="R308" s="1"/>
  <c r="Y307"/>
  <c r="Q307"/>
  <c r="R307" s="1"/>
  <c r="Y306"/>
  <c r="Q306"/>
  <c r="R306" s="1"/>
  <c r="Y305"/>
  <c r="Q305"/>
  <c r="R305" s="1"/>
  <c r="X304"/>
  <c r="W304"/>
  <c r="V304"/>
  <c r="U304"/>
  <c r="T304"/>
  <c r="S304"/>
  <c r="Y304" s="1"/>
  <c r="P304"/>
  <c r="O304"/>
  <c r="G304"/>
  <c r="F304"/>
  <c r="E304"/>
  <c r="D304"/>
  <c r="Y303"/>
  <c r="Q303"/>
  <c r="R303" s="1"/>
  <c r="Y302"/>
  <c r="Q302"/>
  <c r="R302" s="1"/>
  <c r="Y301"/>
  <c r="Q301"/>
  <c r="R301" s="1"/>
  <c r="Y300"/>
  <c r="Q300"/>
  <c r="R300" s="1"/>
  <c r="Y299"/>
  <c r="Q299"/>
  <c r="R299" s="1"/>
  <c r="Y298"/>
  <c r="Q298"/>
  <c r="R298" s="1"/>
  <c r="Y297"/>
  <c r="Q297"/>
  <c r="R297" s="1"/>
  <c r="Y296"/>
  <c r="Q296"/>
  <c r="R296" s="1"/>
  <c r="Y295"/>
  <c r="Q295"/>
  <c r="R295" s="1"/>
  <c r="Y294"/>
  <c r="Q294"/>
  <c r="R294" s="1"/>
  <c r="Y293"/>
  <c r="Q293"/>
  <c r="R293" s="1"/>
  <c r="Y292"/>
  <c r="Q292"/>
  <c r="R292" s="1"/>
  <c r="Y291"/>
  <c r="Q291"/>
  <c r="R291" s="1"/>
  <c r="Y290"/>
  <c r="Q290"/>
  <c r="R290" s="1"/>
  <c r="Y289"/>
  <c r="Q289"/>
  <c r="Y288"/>
  <c r="Q288"/>
  <c r="R288" s="1"/>
  <c r="X287"/>
  <c r="W287"/>
  <c r="V287"/>
  <c r="U287"/>
  <c r="T287"/>
  <c r="S287"/>
  <c r="P287"/>
  <c r="O287"/>
  <c r="G287"/>
  <c r="F287"/>
  <c r="E287"/>
  <c r="D287"/>
  <c r="Y286"/>
  <c r="Q286"/>
  <c r="R286" s="1"/>
  <c r="Y285"/>
  <c r="Q285"/>
  <c r="R285" s="1"/>
  <c r="Y284"/>
  <c r="Q284"/>
  <c r="R284" s="1"/>
  <c r="Y283"/>
  <c r="Q283"/>
  <c r="R283" s="1"/>
  <c r="Y282"/>
  <c r="Q282"/>
  <c r="R282" s="1"/>
  <c r="Y281"/>
  <c r="Q281"/>
  <c r="R281" s="1"/>
  <c r="Y280"/>
  <c r="Q280"/>
  <c r="R280" s="1"/>
  <c r="Y279"/>
  <c r="Q279"/>
  <c r="R279" s="1"/>
  <c r="Y278"/>
  <c r="Q278"/>
  <c r="R278" s="1"/>
  <c r="Y277"/>
  <c r="Q277"/>
  <c r="R277" s="1"/>
  <c r="Y276"/>
  <c r="Q276"/>
  <c r="R276" s="1"/>
  <c r="Y275"/>
  <c r="Q275"/>
  <c r="R275" s="1"/>
  <c r="Y274"/>
  <c r="Q274"/>
  <c r="R274" s="1"/>
  <c r="Y273"/>
  <c r="Q273"/>
  <c r="R273" s="1"/>
  <c r="Y272"/>
  <c r="Q272"/>
  <c r="R272" s="1"/>
  <c r="Y271"/>
  <c r="Q271"/>
  <c r="R271" s="1"/>
  <c r="X270"/>
  <c r="W270"/>
  <c r="V270"/>
  <c r="U270"/>
  <c r="T270"/>
  <c r="S270"/>
  <c r="Y270"/>
  <c r="P270"/>
  <c r="O270"/>
  <c r="G270"/>
  <c r="F270"/>
  <c r="E270"/>
  <c r="D270"/>
  <c r="Y269"/>
  <c r="Q269"/>
  <c r="R269" s="1"/>
  <c r="Y268"/>
  <c r="Q268"/>
  <c r="R268" s="1"/>
  <c r="Y267"/>
  <c r="Q267"/>
  <c r="R267" s="1"/>
  <c r="Y266"/>
  <c r="Q266"/>
  <c r="R266" s="1"/>
  <c r="Y265"/>
  <c r="Q265"/>
  <c r="R265" s="1"/>
  <c r="Y264"/>
  <c r="Q264"/>
  <c r="R264" s="1"/>
  <c r="Y263"/>
  <c r="Q263"/>
  <c r="R263" s="1"/>
  <c r="Y262"/>
  <c r="Q262"/>
  <c r="R262" s="1"/>
  <c r="Y261"/>
  <c r="Q261"/>
  <c r="R261" s="1"/>
  <c r="Y260"/>
  <c r="Q260"/>
  <c r="R260" s="1"/>
  <c r="Y259"/>
  <c r="Q259"/>
  <c r="R259" s="1"/>
  <c r="Y258"/>
  <c r="Q258"/>
  <c r="R258" s="1"/>
  <c r="Y257"/>
  <c r="Q257"/>
  <c r="R257" s="1"/>
  <c r="Y256"/>
  <c r="Q256"/>
  <c r="R256" s="1"/>
  <c r="Y255"/>
  <c r="Q255"/>
  <c r="R255" s="1"/>
  <c r="Y254"/>
  <c r="Q254"/>
  <c r="R254" s="1"/>
  <c r="X253"/>
  <c r="W253"/>
  <c r="V253"/>
  <c r="U253"/>
  <c r="T253"/>
  <c r="S253"/>
  <c r="P253"/>
  <c r="O253"/>
  <c r="G253"/>
  <c r="F253"/>
  <c r="E253"/>
  <c r="D253"/>
  <c r="Y252"/>
  <c r="Q252"/>
  <c r="R252" s="1"/>
  <c r="Y251"/>
  <c r="Q251"/>
  <c r="R251" s="1"/>
  <c r="Y250"/>
  <c r="Q250"/>
  <c r="R250" s="1"/>
  <c r="Y249"/>
  <c r="Q249"/>
  <c r="R249" s="1"/>
  <c r="Y248"/>
  <c r="Q248"/>
  <c r="R248" s="1"/>
  <c r="Y247"/>
  <c r="Q247"/>
  <c r="R247" s="1"/>
  <c r="Y246"/>
  <c r="Q246"/>
  <c r="R246" s="1"/>
  <c r="Y245"/>
  <c r="Q245"/>
  <c r="R245" s="1"/>
  <c r="Y244"/>
  <c r="Q244"/>
  <c r="R244" s="1"/>
  <c r="Y243"/>
  <c r="Q243"/>
  <c r="R243" s="1"/>
  <c r="Y242"/>
  <c r="Q242"/>
  <c r="R242" s="1"/>
  <c r="Y241"/>
  <c r="Q241"/>
  <c r="R241" s="1"/>
  <c r="Y240"/>
  <c r="Q240"/>
  <c r="R240" s="1"/>
  <c r="Y239"/>
  <c r="Q239"/>
  <c r="R239" s="1"/>
  <c r="Y238"/>
  <c r="Q238"/>
  <c r="R238" s="1"/>
  <c r="Y237"/>
  <c r="Q237"/>
  <c r="R237" s="1"/>
  <c r="X236"/>
  <c r="W236"/>
  <c r="V236"/>
  <c r="U236"/>
  <c r="T236"/>
  <c r="S236"/>
  <c r="P236"/>
  <c r="O236"/>
  <c r="G236"/>
  <c r="F236"/>
  <c r="E236"/>
  <c r="D236"/>
  <c r="Y235"/>
  <c r="Q235"/>
  <c r="R235" s="1"/>
  <c r="Y234"/>
  <c r="Q234"/>
  <c r="R234" s="1"/>
  <c r="Y233"/>
  <c r="Q233"/>
  <c r="R233" s="1"/>
  <c r="Y232"/>
  <c r="Q232"/>
  <c r="R232" s="1"/>
  <c r="Y231"/>
  <c r="Q231"/>
  <c r="R231" s="1"/>
  <c r="Y230"/>
  <c r="Q230"/>
  <c r="R230" s="1"/>
  <c r="Y229"/>
  <c r="Q229"/>
  <c r="R229" s="1"/>
  <c r="X228"/>
  <c r="W228"/>
  <c r="V228"/>
  <c r="U228"/>
  <c r="T228"/>
  <c r="S228"/>
  <c r="Y228" s="1"/>
  <c r="P228"/>
  <c r="O228"/>
  <c r="G228"/>
  <c r="F228"/>
  <c r="E228"/>
  <c r="D228"/>
  <c r="Y227"/>
  <c r="Q227"/>
  <c r="R227" s="1"/>
  <c r="Y226"/>
  <c r="Q226"/>
  <c r="R226" s="1"/>
  <c r="Y225"/>
  <c r="Q225"/>
  <c r="R225" s="1"/>
  <c r="Y224"/>
  <c r="Q224"/>
  <c r="R224" s="1"/>
  <c r="Y223"/>
  <c r="Q223"/>
  <c r="R223" s="1"/>
  <c r="Y222"/>
  <c r="Q222"/>
  <c r="R222" s="1"/>
  <c r="Y221"/>
  <c r="Q221"/>
  <c r="R221" s="1"/>
  <c r="Y220"/>
  <c r="Q220"/>
  <c r="R220" s="1"/>
  <c r="Y219"/>
  <c r="Q219"/>
  <c r="R219" s="1"/>
  <c r="Y218"/>
  <c r="Q218"/>
  <c r="R218" s="1"/>
  <c r="Y217"/>
  <c r="Q217"/>
  <c r="R217" s="1"/>
  <c r="Y216"/>
  <c r="Q216"/>
  <c r="R216" s="1"/>
  <c r="Y215"/>
  <c r="Q215"/>
  <c r="R215" s="1"/>
  <c r="Y214"/>
  <c r="Q214"/>
  <c r="R214" s="1"/>
  <c r="Y213"/>
  <c r="Q213"/>
  <c r="R213" s="1"/>
  <c r="Y212"/>
  <c r="Q212"/>
  <c r="R212" s="1"/>
  <c r="Y211"/>
  <c r="Q211"/>
  <c r="R211" s="1"/>
  <c r="Y210"/>
  <c r="Q210"/>
  <c r="R210" s="1"/>
  <c r="Y209"/>
  <c r="Q209"/>
  <c r="R209" s="1"/>
  <c r="Y208"/>
  <c r="Q208"/>
  <c r="R208" s="1"/>
  <c r="Y207"/>
  <c r="Q207"/>
  <c r="R207" s="1"/>
  <c r="Y206"/>
  <c r="Q206"/>
  <c r="R206" s="1"/>
  <c r="Y205"/>
  <c r="Q205"/>
  <c r="R205" s="1"/>
  <c r="Y204"/>
  <c r="Q204"/>
  <c r="R204" s="1"/>
  <c r="Y203"/>
  <c r="Q203"/>
  <c r="R203" s="1"/>
  <c r="Y202"/>
  <c r="Q202"/>
  <c r="R202" s="1"/>
  <c r="Y201"/>
  <c r="Q201"/>
  <c r="R201" s="1"/>
  <c r="Y200"/>
  <c r="Q200"/>
  <c r="R200" s="1"/>
  <c r="Y199"/>
  <c r="Q199"/>
  <c r="R199" s="1"/>
  <c r="Y198"/>
  <c r="Q198"/>
  <c r="R198" s="1"/>
  <c r="Y197"/>
  <c r="Q197"/>
  <c r="R197" s="1"/>
  <c r="Y196"/>
  <c r="Q196"/>
  <c r="R196" s="1"/>
  <c r="Y195"/>
  <c r="Q195"/>
  <c r="R195" s="1"/>
  <c r="X194"/>
  <c r="W194"/>
  <c r="V194"/>
  <c r="U194"/>
  <c r="T194"/>
  <c r="S194"/>
  <c r="P194"/>
  <c r="O194"/>
  <c r="G194"/>
  <c r="F194"/>
  <c r="E194"/>
  <c r="D194"/>
  <c r="Y193"/>
  <c r="Q193"/>
  <c r="R193" s="1"/>
  <c r="Y192"/>
  <c r="Q192"/>
  <c r="R192" s="1"/>
  <c r="Y191"/>
  <c r="Q191"/>
  <c r="R191" s="1"/>
  <c r="Y190"/>
  <c r="Q190"/>
  <c r="R190" s="1"/>
  <c r="Y189"/>
  <c r="Q189"/>
  <c r="R189" s="1"/>
  <c r="Y188"/>
  <c r="Q188"/>
  <c r="R188" s="1"/>
  <c r="Y187"/>
  <c r="Q187"/>
  <c r="R187" s="1"/>
  <c r="Y186"/>
  <c r="Q186"/>
  <c r="R186" s="1"/>
  <c r="Y185"/>
  <c r="Q185"/>
  <c r="R185" s="1"/>
  <c r="Y184"/>
  <c r="Q184"/>
  <c r="R184" s="1"/>
  <c r="Y183"/>
  <c r="Q183"/>
  <c r="R183" s="1"/>
  <c r="Y182"/>
  <c r="Q182"/>
  <c r="R182" s="1"/>
  <c r="Y181"/>
  <c r="Q181"/>
  <c r="R181" s="1"/>
  <c r="Y180"/>
  <c r="Q180"/>
  <c r="R180" s="1"/>
  <c r="Y179"/>
  <c r="Q179"/>
  <c r="R179" s="1"/>
  <c r="Y178"/>
  <c r="Q178"/>
  <c r="R178" s="1"/>
  <c r="X177"/>
  <c r="W177"/>
  <c r="V177"/>
  <c r="U177"/>
  <c r="T177"/>
  <c r="S177"/>
  <c r="Y177" s="1"/>
  <c r="P177"/>
  <c r="O177"/>
  <c r="G177"/>
  <c r="F177"/>
  <c r="E177"/>
  <c r="D177"/>
  <c r="Y176"/>
  <c r="Q176"/>
  <c r="R176" s="1"/>
  <c r="Y175"/>
  <c r="Q175"/>
  <c r="R175" s="1"/>
  <c r="Y174"/>
  <c r="Q174"/>
  <c r="R174" s="1"/>
  <c r="Y173"/>
  <c r="Q173"/>
  <c r="R173" s="1"/>
  <c r="Y172"/>
  <c r="Q172"/>
  <c r="R172" s="1"/>
  <c r="Y171"/>
  <c r="Q171"/>
  <c r="R171" s="1"/>
  <c r="Y170"/>
  <c r="Q170"/>
  <c r="R170" s="1"/>
  <c r="Y169"/>
  <c r="Q169"/>
  <c r="R169" s="1"/>
  <c r="Y168"/>
  <c r="Q168"/>
  <c r="R168" s="1"/>
  <c r="Y167"/>
  <c r="Q167"/>
  <c r="R167" s="1"/>
  <c r="Y166"/>
  <c r="Q166"/>
  <c r="R166" s="1"/>
  <c r="Y165"/>
  <c r="Q165"/>
  <c r="R165" s="1"/>
  <c r="Y164"/>
  <c r="Q164"/>
  <c r="R164" s="1"/>
  <c r="Y163"/>
  <c r="Q163"/>
  <c r="R163" s="1"/>
  <c r="Y162"/>
  <c r="Q162"/>
  <c r="R162" s="1"/>
  <c r="Y161"/>
  <c r="Q161"/>
  <c r="R161" s="1"/>
  <c r="X160"/>
  <c r="W160"/>
  <c r="V160"/>
  <c r="U160"/>
  <c r="T160"/>
  <c r="S160"/>
  <c r="Y160" s="1"/>
  <c r="P160"/>
  <c r="O160"/>
  <c r="G160"/>
  <c r="F160"/>
  <c r="E160"/>
  <c r="D160"/>
  <c r="Y159"/>
  <c r="Q159"/>
  <c r="R159" s="1"/>
  <c r="Y158"/>
  <c r="Q158"/>
  <c r="R158" s="1"/>
  <c r="Y157"/>
  <c r="Q157"/>
  <c r="R157" s="1"/>
  <c r="Y156"/>
  <c r="Q156"/>
  <c r="R156" s="1"/>
  <c r="Y155"/>
  <c r="Q155"/>
  <c r="R155" s="1"/>
  <c r="Y154"/>
  <c r="Q154"/>
  <c r="R154" s="1"/>
  <c r="Y153"/>
  <c r="Q153"/>
  <c r="R153" s="1"/>
  <c r="Y152"/>
  <c r="Q152"/>
  <c r="R152" s="1"/>
  <c r="Y151"/>
  <c r="Q151"/>
  <c r="R151" s="1"/>
  <c r="Y150"/>
  <c r="Q150"/>
  <c r="R150" s="1"/>
  <c r="Y149"/>
  <c r="Q149"/>
  <c r="R149" s="1"/>
  <c r="Y148"/>
  <c r="Q148"/>
  <c r="R148" s="1"/>
  <c r="Y147"/>
  <c r="Q147"/>
  <c r="R147" s="1"/>
  <c r="Y146"/>
  <c r="Q146"/>
  <c r="R146" s="1"/>
  <c r="Y145"/>
  <c r="Q145"/>
  <c r="R145" s="1"/>
  <c r="Y144"/>
  <c r="Q144"/>
  <c r="R144" s="1"/>
  <c r="X143"/>
  <c r="W143"/>
  <c r="V143"/>
  <c r="U143"/>
  <c r="T143"/>
  <c r="S143"/>
  <c r="P143"/>
  <c r="O143"/>
  <c r="G143"/>
  <c r="F143"/>
  <c r="E143"/>
  <c r="D143"/>
  <c r="Y142"/>
  <c r="Q142"/>
  <c r="R142" s="1"/>
  <c r="Y141"/>
  <c r="Q141"/>
  <c r="R141" s="1"/>
  <c r="Y140"/>
  <c r="Q140"/>
  <c r="R140" s="1"/>
  <c r="Y139"/>
  <c r="Q139"/>
  <c r="R139" s="1"/>
  <c r="Y138"/>
  <c r="Q138"/>
  <c r="R138" s="1"/>
  <c r="Y137"/>
  <c r="Q137"/>
  <c r="R137" s="1"/>
  <c r="Y136"/>
  <c r="Q136"/>
  <c r="R136" s="1"/>
  <c r="Y135"/>
  <c r="Q135"/>
  <c r="R135" s="1"/>
  <c r="Y134"/>
  <c r="Q134"/>
  <c r="R134" s="1"/>
  <c r="Y133"/>
  <c r="Q133"/>
  <c r="R133" s="1"/>
  <c r="Y132"/>
  <c r="Q132"/>
  <c r="R132" s="1"/>
  <c r="Y131"/>
  <c r="Q131"/>
  <c r="R131" s="1"/>
  <c r="Y130"/>
  <c r="Q130"/>
  <c r="R130" s="1"/>
  <c r="Y129"/>
  <c r="Q129"/>
  <c r="R129" s="1"/>
  <c r="Y128"/>
  <c r="Q128"/>
  <c r="R128" s="1"/>
  <c r="Y127"/>
  <c r="Q127"/>
  <c r="R127" s="1"/>
  <c r="X126"/>
  <c r="W126"/>
  <c r="V126"/>
  <c r="U126"/>
  <c r="T126"/>
  <c r="S126"/>
  <c r="Y126" s="1"/>
  <c r="P126"/>
  <c r="O126"/>
  <c r="G126"/>
  <c r="F126"/>
  <c r="E126"/>
  <c r="D126"/>
  <c r="Y125"/>
  <c r="Q125"/>
  <c r="R125" s="1"/>
  <c r="Y124"/>
  <c r="Q124"/>
  <c r="R124" s="1"/>
  <c r="Y123"/>
  <c r="Q123"/>
  <c r="R123" s="1"/>
  <c r="Y122"/>
  <c r="Q122"/>
  <c r="R122" s="1"/>
  <c r="Y121"/>
  <c r="Q121"/>
  <c r="R121" s="1"/>
  <c r="Y120"/>
  <c r="Q120"/>
  <c r="R120" s="1"/>
  <c r="Y119"/>
  <c r="Q119"/>
  <c r="R119" s="1"/>
  <c r="Y118"/>
  <c r="Q118"/>
  <c r="R118" s="1"/>
  <c r="Y117"/>
  <c r="Q117"/>
  <c r="R117" s="1"/>
  <c r="Y116"/>
  <c r="Q116"/>
  <c r="R116" s="1"/>
  <c r="Y115"/>
  <c r="Q115"/>
  <c r="R115" s="1"/>
  <c r="Y114"/>
  <c r="Q114"/>
  <c r="R114" s="1"/>
  <c r="Y113"/>
  <c r="Q113"/>
  <c r="R113" s="1"/>
  <c r="Y112"/>
  <c r="Q112"/>
  <c r="R112" s="1"/>
  <c r="Y111"/>
  <c r="Q111"/>
  <c r="R111" s="1"/>
  <c r="Y110"/>
  <c r="Q110"/>
  <c r="R110" s="1"/>
  <c r="X109"/>
  <c r="W109"/>
  <c r="V109"/>
  <c r="U109"/>
  <c r="T109"/>
  <c r="S109"/>
  <c r="P109"/>
  <c r="O109"/>
  <c r="G109"/>
  <c r="F109"/>
  <c r="E109"/>
  <c r="D109"/>
  <c r="Y108"/>
  <c r="Q108"/>
  <c r="R108" s="1"/>
  <c r="Y107"/>
  <c r="Q107"/>
  <c r="R107" s="1"/>
  <c r="Y106"/>
  <c r="Q106"/>
  <c r="R106" s="1"/>
  <c r="Y105"/>
  <c r="Q105"/>
  <c r="R105" s="1"/>
  <c r="Y104"/>
  <c r="Q104"/>
  <c r="R104" s="1"/>
  <c r="Y103"/>
  <c r="Q103"/>
  <c r="R103" s="1"/>
  <c r="Y102"/>
  <c r="Q102"/>
  <c r="R102" s="1"/>
  <c r="Y101"/>
  <c r="Q101"/>
  <c r="R101" s="1"/>
  <c r="Y100"/>
  <c r="Q100"/>
  <c r="R100" s="1"/>
  <c r="Y99"/>
  <c r="Q99"/>
  <c r="R99" s="1"/>
  <c r="Y98"/>
  <c r="Q98"/>
  <c r="R98" s="1"/>
  <c r="Y97"/>
  <c r="Q97"/>
  <c r="R97" s="1"/>
  <c r="Y96"/>
  <c r="Q96"/>
  <c r="R96" s="1"/>
  <c r="Y95"/>
  <c r="Q95"/>
  <c r="R95" s="1"/>
  <c r="Y94"/>
  <c r="Q94"/>
  <c r="R94" s="1"/>
  <c r="Y93"/>
  <c r="Q93"/>
  <c r="R93" s="1"/>
  <c r="X92"/>
  <c r="W92"/>
  <c r="V92"/>
  <c r="U92"/>
  <c r="T92"/>
  <c r="S92"/>
  <c r="P92"/>
  <c r="O92"/>
  <c r="G92"/>
  <c r="F92"/>
  <c r="E22" i="2" s="1"/>
  <c r="E5" s="1"/>
  <c r="E92" i="1"/>
  <c r="D22" i="2" s="1"/>
  <c r="D5" s="1"/>
  <c r="D92" i="1"/>
  <c r="Y91"/>
  <c r="Q91"/>
  <c r="R91" s="1"/>
  <c r="Y90"/>
  <c r="Q90"/>
  <c r="R90" s="1"/>
  <c r="Y89"/>
  <c r="Q89"/>
  <c r="R89" s="1"/>
  <c r="Y88"/>
  <c r="Q88"/>
  <c r="R88" s="1"/>
  <c r="Y87"/>
  <c r="Q87"/>
  <c r="R87" s="1"/>
  <c r="Y86"/>
  <c r="Q86"/>
  <c r="R86" s="1"/>
  <c r="Y85"/>
  <c r="Q85"/>
  <c r="R85" s="1"/>
  <c r="Y84"/>
  <c r="Q84"/>
  <c r="R84" s="1"/>
  <c r="Y83"/>
  <c r="Q83"/>
  <c r="R83" s="1"/>
  <c r="Y82"/>
  <c r="Q82"/>
  <c r="R82" s="1"/>
  <c r="Y81"/>
  <c r="Q81"/>
  <c r="R81" s="1"/>
  <c r="Y80"/>
  <c r="Q80"/>
  <c r="R80" s="1"/>
  <c r="Y79"/>
  <c r="Q79"/>
  <c r="R79" s="1"/>
  <c r="Y78"/>
  <c r="Q78"/>
  <c r="R78" s="1"/>
  <c r="Y77"/>
  <c r="Q77"/>
  <c r="R77" s="1"/>
  <c r="Y76"/>
  <c r="Q76"/>
  <c r="R76" s="1"/>
  <c r="X75"/>
  <c r="W75"/>
  <c r="V75"/>
  <c r="U75"/>
  <c r="T75"/>
  <c r="S75"/>
  <c r="P75"/>
  <c r="O75"/>
  <c r="G75"/>
  <c r="F75"/>
  <c r="E75"/>
  <c r="D75"/>
  <c r="Y74"/>
  <c r="Q74"/>
  <c r="R74" s="1"/>
  <c r="Y73"/>
  <c r="Q73"/>
  <c r="R73" s="1"/>
  <c r="Y72"/>
  <c r="Q72"/>
  <c r="R72" s="1"/>
  <c r="Y71"/>
  <c r="Q71"/>
  <c r="R71" s="1"/>
  <c r="Y70"/>
  <c r="Q70"/>
  <c r="R70" s="1"/>
  <c r="Y69"/>
  <c r="Q69"/>
  <c r="R69" s="1"/>
  <c r="Y68"/>
  <c r="Q68"/>
  <c r="R68" s="1"/>
  <c r="Y67"/>
  <c r="Q67"/>
  <c r="R67" s="1"/>
  <c r="Y66"/>
  <c r="Q66"/>
  <c r="R66" s="1"/>
  <c r="Y65"/>
  <c r="Q65"/>
  <c r="R65" s="1"/>
  <c r="Y64"/>
  <c r="Q64"/>
  <c r="R64" s="1"/>
  <c r="Y63"/>
  <c r="Q63"/>
  <c r="Y62"/>
  <c r="Q62"/>
  <c r="R62" s="1"/>
  <c r="Y61"/>
  <c r="Q61"/>
  <c r="R61" s="1"/>
  <c r="Y60"/>
  <c r="Q60"/>
  <c r="R60" s="1"/>
  <c r="Y59"/>
  <c r="Q59"/>
  <c r="R59" s="1"/>
  <c r="Y58"/>
  <c r="Q58"/>
  <c r="R58" s="1"/>
  <c r="X57"/>
  <c r="W57"/>
  <c r="V57"/>
  <c r="U57"/>
  <c r="T57"/>
  <c r="S57"/>
  <c r="P57"/>
  <c r="O57"/>
  <c r="G57"/>
  <c r="F57"/>
  <c r="E57"/>
  <c r="D57"/>
  <c r="Y56"/>
  <c r="Q56"/>
  <c r="R56" s="1"/>
  <c r="Y55"/>
  <c r="Q55"/>
  <c r="R55" s="1"/>
  <c r="Y54"/>
  <c r="Q54"/>
  <c r="R54" s="1"/>
  <c r="Y53"/>
  <c r="Q53"/>
  <c r="R53" s="1"/>
  <c r="Y52"/>
  <c r="Q52"/>
  <c r="R52" s="1"/>
  <c r="Y51"/>
  <c r="Q51"/>
  <c r="R51" s="1"/>
  <c r="Y50"/>
  <c r="Q50"/>
  <c r="Y49"/>
  <c r="Q49"/>
  <c r="R49" s="1"/>
  <c r="Y48"/>
  <c r="Q48"/>
  <c r="R48" s="1"/>
  <c r="Y47"/>
  <c r="Q47"/>
  <c r="R47" s="1"/>
  <c r="Y46"/>
  <c r="Q46"/>
  <c r="R46" s="1"/>
  <c r="Y45"/>
  <c r="Q45"/>
  <c r="R45" s="1"/>
  <c r="Y44"/>
  <c r="Q44"/>
  <c r="R44" s="1"/>
  <c r="Y43"/>
  <c r="Q43"/>
  <c r="R43" s="1"/>
  <c r="Y42"/>
  <c r="Q42"/>
  <c r="R42" s="1"/>
  <c r="Y41"/>
  <c r="Q41"/>
  <c r="R41" s="1"/>
  <c r="X40"/>
  <c r="W40"/>
  <c r="V40"/>
  <c r="U40"/>
  <c r="T40"/>
  <c r="Y40" s="1"/>
  <c r="S40"/>
  <c r="P40"/>
  <c r="O40"/>
  <c r="G40"/>
  <c r="F40"/>
  <c r="E40"/>
  <c r="D40"/>
  <c r="Y39"/>
  <c r="Q39"/>
  <c r="R39" s="1"/>
  <c r="Y38"/>
  <c r="Q38"/>
  <c r="R38" s="1"/>
  <c r="Y37"/>
  <c r="Q37"/>
  <c r="R37" s="1"/>
  <c r="Y36"/>
  <c r="Q36"/>
  <c r="R36" s="1"/>
  <c r="Y35"/>
  <c r="Q35"/>
  <c r="R35" s="1"/>
  <c r="Y34"/>
  <c r="Q34"/>
  <c r="R34" s="1"/>
  <c r="Y33"/>
  <c r="Q33"/>
  <c r="R33" s="1"/>
  <c r="Y32"/>
  <c r="Q32"/>
  <c r="R32" s="1"/>
  <c r="Y31"/>
  <c r="Q31"/>
  <c r="R31" s="1"/>
  <c r="Y30"/>
  <c r="Q30"/>
  <c r="R30" s="1"/>
  <c r="Y29"/>
  <c r="Q29"/>
  <c r="R29" s="1"/>
  <c r="Y28"/>
  <c r="Q28"/>
  <c r="R28" s="1"/>
  <c r="Y27"/>
  <c r="Q27"/>
  <c r="R27" s="1"/>
  <c r="Y26"/>
  <c r="Q26"/>
  <c r="Y25"/>
  <c r="Q25"/>
  <c r="R25" s="1"/>
  <c r="Y24"/>
  <c r="Q24"/>
  <c r="X23"/>
  <c r="W23"/>
  <c r="V23"/>
  <c r="U23"/>
  <c r="T23"/>
  <c r="S23"/>
  <c r="P23"/>
  <c r="O23"/>
  <c r="G23"/>
  <c r="F23"/>
  <c r="E23"/>
  <c r="D23"/>
  <c r="Y22"/>
  <c r="Q22"/>
  <c r="R22" s="1"/>
  <c r="Y21"/>
  <c r="Q21"/>
  <c r="Y20"/>
  <c r="Q20"/>
  <c r="Y19"/>
  <c r="Q19"/>
  <c r="R19" s="1"/>
  <c r="Y18"/>
  <c r="Q18"/>
  <c r="R18" s="1"/>
  <c r="Y17"/>
  <c r="Q17"/>
  <c r="R17" s="1"/>
  <c r="Y16"/>
  <c r="Q16"/>
  <c r="R16" s="1"/>
  <c r="Y15"/>
  <c r="Q15"/>
  <c r="R15" s="1"/>
  <c r="Y14"/>
  <c r="Q14"/>
  <c r="R14" s="1"/>
  <c r="Y13"/>
  <c r="Q13"/>
  <c r="R13" s="1"/>
  <c r="Y12"/>
  <c r="Q12"/>
  <c r="R12" s="1"/>
  <c r="Y11"/>
  <c r="Q11"/>
  <c r="R11" s="1"/>
  <c r="Y10"/>
  <c r="Q10"/>
  <c r="R10" s="1"/>
  <c r="Y9"/>
  <c r="Q9"/>
  <c r="Y8"/>
  <c r="Q8"/>
  <c r="R8" s="1"/>
  <c r="Y7"/>
  <c r="Q7"/>
  <c r="R7" s="1"/>
  <c r="X6"/>
  <c r="W6"/>
  <c r="V6"/>
  <c r="U6"/>
  <c r="T6"/>
  <c r="S6"/>
  <c r="P6"/>
  <c r="P338" s="1"/>
  <c r="O6"/>
  <c r="G6"/>
  <c r="F6"/>
  <c r="E6"/>
  <c r="E338" s="1"/>
  <c r="D6"/>
  <c r="Y92" l="1"/>
  <c r="Q253"/>
  <c r="J67" i="2"/>
  <c r="K67"/>
  <c r="I67"/>
  <c r="X338" i="1"/>
  <c r="D338"/>
  <c r="O338"/>
  <c r="W338"/>
  <c r="Z20"/>
  <c r="AA20" s="1"/>
  <c r="R253"/>
  <c r="Z247"/>
  <c r="AA247" s="1"/>
  <c r="Z325"/>
  <c r="AA325" s="1"/>
  <c r="Z331"/>
  <c r="AA331" s="1"/>
  <c r="G338"/>
  <c r="Q143"/>
  <c r="Q228"/>
  <c r="R228" s="1"/>
  <c r="Y236"/>
  <c r="Z246"/>
  <c r="AA246" s="1"/>
  <c r="X63" i="2"/>
  <c r="Y6" i="1"/>
  <c r="R20"/>
  <c r="Z47"/>
  <c r="AA47" s="1"/>
  <c r="Z184"/>
  <c r="AA184" s="1"/>
  <c r="Z229"/>
  <c r="AA229" s="1"/>
  <c r="Q236"/>
  <c r="R236" s="1"/>
  <c r="Q287"/>
  <c r="R287" s="1"/>
  <c r="H67" i="2"/>
  <c r="Z9" i="1"/>
  <c r="AA9" s="1"/>
  <c r="Q109"/>
  <c r="R109" s="1"/>
  <c r="Z289"/>
  <c r="AA289" s="1"/>
  <c r="Z73"/>
  <c r="AA73" s="1"/>
  <c r="Z224"/>
  <c r="AA224" s="1"/>
  <c r="Z275"/>
  <c r="AA275" s="1"/>
  <c r="Z285"/>
  <c r="AA285" s="1"/>
  <c r="Z52"/>
  <c r="AA52" s="1"/>
  <c r="Z77"/>
  <c r="AA77" s="1"/>
  <c r="Z153"/>
  <c r="AA153" s="1"/>
  <c r="Z159"/>
  <c r="AA159" s="1"/>
  <c r="Z163"/>
  <c r="AA163" s="1"/>
  <c r="Z167"/>
  <c r="AA167" s="1"/>
  <c r="Z171"/>
  <c r="AA171" s="1"/>
  <c r="Z175"/>
  <c r="AA175" s="1"/>
  <c r="Z235"/>
  <c r="AA235" s="1"/>
  <c r="R289"/>
  <c r="Z305"/>
  <c r="AA305" s="1"/>
  <c r="Z311"/>
  <c r="AA311" s="1"/>
  <c r="Z315"/>
  <c r="AA315" s="1"/>
  <c r="R23" i="2"/>
  <c r="P45"/>
  <c r="Q45" s="1"/>
  <c r="G67"/>
  <c r="Z24" i="1"/>
  <c r="AA24" s="1"/>
  <c r="Z26"/>
  <c r="AA26" s="1"/>
  <c r="Q40"/>
  <c r="R40" s="1"/>
  <c r="Q92"/>
  <c r="R92" s="1"/>
  <c r="Q126"/>
  <c r="R126" s="1"/>
  <c r="Q160"/>
  <c r="R160" s="1"/>
  <c r="Q177"/>
  <c r="Y194"/>
  <c r="Q304"/>
  <c r="R304" s="1"/>
  <c r="W51" i="2"/>
  <c r="F338" i="1"/>
  <c r="Z11"/>
  <c r="AA11" s="1"/>
  <c r="Z21"/>
  <c r="AA21" s="1"/>
  <c r="Q57"/>
  <c r="R57" s="1"/>
  <c r="Z63"/>
  <c r="AA63" s="1"/>
  <c r="Q75"/>
  <c r="R75" s="1"/>
  <c r="Z115"/>
  <c r="AA115" s="1"/>
  <c r="Z117"/>
  <c r="AA117" s="1"/>
  <c r="Z119"/>
  <c r="AA119" s="1"/>
  <c r="Z140"/>
  <c r="AA140" s="1"/>
  <c r="Q194"/>
  <c r="R194" s="1"/>
  <c r="Z220"/>
  <c r="AA220" s="1"/>
  <c r="Z254"/>
  <c r="AA254" s="1"/>
  <c r="Z256"/>
  <c r="AA256" s="1"/>
  <c r="Z262"/>
  <c r="AA262" s="1"/>
  <c r="Q321"/>
  <c r="Z321" s="1"/>
  <c r="AA321" s="1"/>
  <c r="Q23"/>
  <c r="R23" s="1"/>
  <c r="Z34"/>
  <c r="AA34" s="1"/>
  <c r="Z50"/>
  <c r="AA50" s="1"/>
  <c r="Z82"/>
  <c r="AA82" s="1"/>
  <c r="Z90"/>
  <c r="AA90" s="1"/>
  <c r="Z100"/>
  <c r="AA100" s="1"/>
  <c r="Z120"/>
  <c r="AA120" s="1"/>
  <c r="Z124"/>
  <c r="AA124" s="1"/>
  <c r="Z130"/>
  <c r="AA130" s="1"/>
  <c r="Z136"/>
  <c r="AA136" s="1"/>
  <c r="Z144"/>
  <c r="AA144" s="1"/>
  <c r="Z204"/>
  <c r="AA204" s="1"/>
  <c r="Z206"/>
  <c r="AA206" s="1"/>
  <c r="Z234"/>
  <c r="AA234" s="1"/>
  <c r="Q270"/>
  <c r="R270" s="1"/>
  <c r="Z328"/>
  <c r="AA328" s="1"/>
  <c r="Z323"/>
  <c r="AA323" s="1"/>
  <c r="X44" i="2"/>
  <c r="R177" i="1"/>
  <c r="Z7"/>
  <c r="AA7" s="1"/>
  <c r="R9"/>
  <c r="R21"/>
  <c r="R26"/>
  <c r="Z27"/>
  <c r="AA27" s="1"/>
  <c r="Z44"/>
  <c r="AA44" s="1"/>
  <c r="Z53"/>
  <c r="AA53" s="1"/>
  <c r="Z71"/>
  <c r="AA71" s="1"/>
  <c r="Z76"/>
  <c r="AA76" s="1"/>
  <c r="Z95"/>
  <c r="AA95" s="1"/>
  <c r="Z101"/>
  <c r="AA101" s="1"/>
  <c r="Z108"/>
  <c r="AA108" s="1"/>
  <c r="Z116"/>
  <c r="AA116" s="1"/>
  <c r="Z141"/>
  <c r="AA141" s="1"/>
  <c r="Z166"/>
  <c r="AA166" s="1"/>
  <c r="Z170"/>
  <c r="AA170" s="1"/>
  <c r="Z174"/>
  <c r="AA174" s="1"/>
  <c r="Z195"/>
  <c r="AA195" s="1"/>
  <c r="Z201"/>
  <c r="AA201" s="1"/>
  <c r="Z205"/>
  <c r="AA205" s="1"/>
  <c r="Z216"/>
  <c r="AA216" s="1"/>
  <c r="Z230"/>
  <c r="AA230" s="1"/>
  <c r="Z242"/>
  <c r="AA242" s="1"/>
  <c r="Z250"/>
  <c r="AA250" s="1"/>
  <c r="Z299"/>
  <c r="AA299" s="1"/>
  <c r="Z324"/>
  <c r="AA324" s="1"/>
  <c r="R328"/>
  <c r="Z337"/>
  <c r="AA337" s="1"/>
  <c r="X48" i="2"/>
  <c r="F51"/>
  <c r="Z13" i="1"/>
  <c r="AA13" s="1"/>
  <c r="Z28"/>
  <c r="AA28" s="1"/>
  <c r="Z37"/>
  <c r="AA37" s="1"/>
  <c r="Z54"/>
  <c r="AA54" s="1"/>
  <c r="Z67"/>
  <c r="AA67" s="1"/>
  <c r="Z72"/>
  <c r="AA72" s="1"/>
  <c r="Z85"/>
  <c r="AA85" s="1"/>
  <c r="Z91"/>
  <c r="AA91" s="1"/>
  <c r="Z104"/>
  <c r="AA104" s="1"/>
  <c r="Z131"/>
  <c r="AA131" s="1"/>
  <c r="Z150"/>
  <c r="AA150" s="1"/>
  <c r="Z158"/>
  <c r="AA158" s="1"/>
  <c r="Z181"/>
  <c r="AA181" s="1"/>
  <c r="Z212"/>
  <c r="AA212" s="1"/>
  <c r="Z231"/>
  <c r="AA231" s="1"/>
  <c r="Z233"/>
  <c r="AA233" s="1"/>
  <c r="Z245"/>
  <c r="AA245" s="1"/>
  <c r="Z268"/>
  <c r="AA268" s="1"/>
  <c r="Z272"/>
  <c r="AA272" s="1"/>
  <c r="Z286"/>
  <c r="AA286" s="1"/>
  <c r="Z302"/>
  <c r="AA302" s="1"/>
  <c r="Z308"/>
  <c r="AA308" s="1"/>
  <c r="Z318"/>
  <c r="AA318" s="1"/>
  <c r="R331"/>
  <c r="T51" i="2"/>
  <c r="X24"/>
  <c r="C38"/>
  <c r="N38"/>
  <c r="X40"/>
  <c r="N23"/>
  <c r="U38"/>
  <c r="O51"/>
  <c r="F38"/>
  <c r="P49"/>
  <c r="C51"/>
  <c r="N51"/>
  <c r="P66"/>
  <c r="Q66" s="1"/>
  <c r="T38"/>
  <c r="P41"/>
  <c r="Q41" s="1"/>
  <c r="P61"/>
  <c r="Q61" s="1"/>
  <c r="O23"/>
  <c r="V23"/>
  <c r="W23"/>
  <c r="O38"/>
  <c r="R38"/>
  <c r="V38"/>
  <c r="U51"/>
  <c r="P53"/>
  <c r="Q53" s="1"/>
  <c r="R143" i="1"/>
  <c r="Q6"/>
  <c r="R6" s="1"/>
  <c r="Z8"/>
  <c r="AA8" s="1"/>
  <c r="Z14"/>
  <c r="AA14" s="1"/>
  <c r="Z32"/>
  <c r="AA32" s="1"/>
  <c r="Z35"/>
  <c r="AA35" s="1"/>
  <c r="Z42"/>
  <c r="AA42" s="1"/>
  <c r="Z45"/>
  <c r="AA45" s="1"/>
  <c r="Z60"/>
  <c r="AA60" s="1"/>
  <c r="Y75"/>
  <c r="Z75" s="1"/>
  <c r="AA75" s="1"/>
  <c r="Z83"/>
  <c r="AA83" s="1"/>
  <c r="Z86"/>
  <c r="AA86" s="1"/>
  <c r="Z93"/>
  <c r="AA93" s="1"/>
  <c r="Z96"/>
  <c r="AA96" s="1"/>
  <c r="Z102"/>
  <c r="AA102" s="1"/>
  <c r="Z111"/>
  <c r="AA111" s="1"/>
  <c r="Z134"/>
  <c r="AA134" s="1"/>
  <c r="Y143"/>
  <c r="Z143" s="1"/>
  <c r="AA143" s="1"/>
  <c r="Z145"/>
  <c r="AA145" s="1"/>
  <c r="Z151"/>
  <c r="AA151" s="1"/>
  <c r="Z154"/>
  <c r="AA154" s="1"/>
  <c r="Z161"/>
  <c r="AA161" s="1"/>
  <c r="Z164"/>
  <c r="AA164" s="1"/>
  <c r="Z178"/>
  <c r="AA178" s="1"/>
  <c r="Z179"/>
  <c r="AA179" s="1"/>
  <c r="Z182"/>
  <c r="AA182" s="1"/>
  <c r="Z187"/>
  <c r="AA187" s="1"/>
  <c r="Z190"/>
  <c r="AA190" s="1"/>
  <c r="Z197"/>
  <c r="AA197" s="1"/>
  <c r="Z202"/>
  <c r="AA202" s="1"/>
  <c r="Z207"/>
  <c r="AA207" s="1"/>
  <c r="Z208"/>
  <c r="AA208" s="1"/>
  <c r="Z213"/>
  <c r="AA213" s="1"/>
  <c r="Z214"/>
  <c r="AA214" s="1"/>
  <c r="Z217"/>
  <c r="AA217" s="1"/>
  <c r="Z218"/>
  <c r="AA218" s="1"/>
  <c r="Z221"/>
  <c r="AA221" s="1"/>
  <c r="Z222"/>
  <c r="AA222" s="1"/>
  <c r="Z225"/>
  <c r="AA225" s="1"/>
  <c r="Z226"/>
  <c r="AA226" s="1"/>
  <c r="Z248"/>
  <c r="AA248" s="1"/>
  <c r="Z251"/>
  <c r="AA251" s="1"/>
  <c r="Z260"/>
  <c r="AA260" s="1"/>
  <c r="Z263"/>
  <c r="AA263" s="1"/>
  <c r="Z269"/>
  <c r="AA269" s="1"/>
  <c r="Z273"/>
  <c r="AA273" s="1"/>
  <c r="Z278"/>
  <c r="AA278" s="1"/>
  <c r="Z281"/>
  <c r="AA281" s="1"/>
  <c r="Z291"/>
  <c r="AA291" s="1"/>
  <c r="Z294"/>
  <c r="AA294" s="1"/>
  <c r="Z297"/>
  <c r="AA297" s="1"/>
  <c r="Z312"/>
  <c r="AA312" s="1"/>
  <c r="Z313"/>
  <c r="AA313" s="1"/>
  <c r="Z316"/>
  <c r="AA316" s="1"/>
  <c r="Z326"/>
  <c r="AA326" s="1"/>
  <c r="Z333"/>
  <c r="AA333" s="1"/>
  <c r="P24" i="2"/>
  <c r="Q24" s="1"/>
  <c r="T23"/>
  <c r="C23"/>
  <c r="U23"/>
  <c r="P28"/>
  <c r="Q28" s="1"/>
  <c r="P32"/>
  <c r="P36"/>
  <c r="Q36" s="1"/>
  <c r="P54"/>
  <c r="P58"/>
  <c r="Q58" s="1"/>
  <c r="P65"/>
  <c r="Z10" i="1"/>
  <c r="AA10" s="1"/>
  <c r="Z16"/>
  <c r="AA16" s="1"/>
  <c r="R24"/>
  <c r="Z29"/>
  <c r="AA29" s="1"/>
  <c r="Z36"/>
  <c r="AA36" s="1"/>
  <c r="Z46"/>
  <c r="AA46" s="1"/>
  <c r="R50"/>
  <c r="Z55"/>
  <c r="AA55" s="1"/>
  <c r="Z58"/>
  <c r="AA58" s="1"/>
  <c r="Z68"/>
  <c r="AA68" s="1"/>
  <c r="Z70"/>
  <c r="AA70" s="1"/>
  <c r="Z74"/>
  <c r="AA74" s="1"/>
  <c r="Z78"/>
  <c r="AA78" s="1"/>
  <c r="Z84"/>
  <c r="AA84" s="1"/>
  <c r="Z94"/>
  <c r="AA94" s="1"/>
  <c r="Y109"/>
  <c r="Z109" s="1"/>
  <c r="AA109" s="1"/>
  <c r="Z114"/>
  <c r="AA114" s="1"/>
  <c r="Z118"/>
  <c r="AA118" s="1"/>
  <c r="Z121"/>
  <c r="AA121" s="1"/>
  <c r="Z129"/>
  <c r="AA129" s="1"/>
  <c r="Z135"/>
  <c r="AA135" s="1"/>
  <c r="Z142"/>
  <c r="AA142" s="1"/>
  <c r="Z146"/>
  <c r="AA146" s="1"/>
  <c r="Z152"/>
  <c r="AA152" s="1"/>
  <c r="Z165"/>
  <c r="AA165" s="1"/>
  <c r="Z169"/>
  <c r="AA169" s="1"/>
  <c r="Z173"/>
  <c r="AA173" s="1"/>
  <c r="Z180"/>
  <c r="AA180" s="1"/>
  <c r="Z183"/>
  <c r="AA183" s="1"/>
  <c r="Z193"/>
  <c r="AA193" s="1"/>
  <c r="Z200"/>
  <c r="AA200" s="1"/>
  <c r="Z203"/>
  <c r="AA203" s="1"/>
  <c r="Z239"/>
  <c r="AA239" s="1"/>
  <c r="Y253"/>
  <c r="Z253" s="1"/>
  <c r="AA253" s="1"/>
  <c r="Z255"/>
  <c r="AA255" s="1"/>
  <c r="Z261"/>
  <c r="AA261" s="1"/>
  <c r="Z264"/>
  <c r="AA264" s="1"/>
  <c r="Z271"/>
  <c r="AA271" s="1"/>
  <c r="Z274"/>
  <c r="AA274" s="1"/>
  <c r="Z284"/>
  <c r="AA284" s="1"/>
  <c r="Z314"/>
  <c r="AA314" s="1"/>
  <c r="Z317"/>
  <c r="AA317" s="1"/>
  <c r="Z322"/>
  <c r="AA322" s="1"/>
  <c r="R325"/>
  <c r="Z327"/>
  <c r="AA327" s="1"/>
  <c r="Z336"/>
  <c r="AA336" s="1"/>
  <c r="S23" i="2"/>
  <c r="Y7" i="3"/>
  <c r="Z7" s="1"/>
  <c r="Y23" i="1"/>
  <c r="Z23" s="1"/>
  <c r="AA23" s="1"/>
  <c r="Y57"/>
  <c r="Z61"/>
  <c r="AA61" s="1"/>
  <c r="R63"/>
  <c r="Z103"/>
  <c r="AA103" s="1"/>
  <c r="Z249"/>
  <c r="AA249" s="1"/>
  <c r="Z252"/>
  <c r="AA252" s="1"/>
  <c r="W38" i="2"/>
  <c r="Z40" i="1"/>
  <c r="AA40" s="1"/>
  <c r="U338"/>
  <c r="Z177"/>
  <c r="AA177" s="1"/>
  <c r="Z236"/>
  <c r="AA236" s="1"/>
  <c r="V51" i="2"/>
  <c r="V67" s="1"/>
  <c r="P57"/>
  <c r="Q57" s="1"/>
  <c r="Z30" i="1"/>
  <c r="AA30" s="1"/>
  <c r="Z48"/>
  <c r="AA48" s="1"/>
  <c r="P25" i="2"/>
  <c r="Q25" s="1"/>
  <c r="X28"/>
  <c r="Y28" s="1"/>
  <c r="Z28" s="1"/>
  <c r="P29"/>
  <c r="Q29" s="1"/>
  <c r="P33"/>
  <c r="X33"/>
  <c r="P37"/>
  <c r="Q37" s="1"/>
  <c r="X37"/>
  <c r="P42"/>
  <c r="Q42" s="1"/>
  <c r="P46"/>
  <c r="P50"/>
  <c r="Q50" s="1"/>
  <c r="P62"/>
  <c r="Z38" i="1"/>
  <c r="AA38" s="1"/>
  <c r="Z15"/>
  <c r="AA15" s="1"/>
  <c r="Z18"/>
  <c r="AA18" s="1"/>
  <c r="Z31"/>
  <c r="AA31" s="1"/>
  <c r="Z39"/>
  <c r="AA39" s="1"/>
  <c r="Z41"/>
  <c r="AA41" s="1"/>
  <c r="Z49"/>
  <c r="AA49" s="1"/>
  <c r="Z62"/>
  <c r="AA62" s="1"/>
  <c r="Z65"/>
  <c r="AA65" s="1"/>
  <c r="Z79"/>
  <c r="AA79" s="1"/>
  <c r="Z80"/>
  <c r="AA80" s="1"/>
  <c r="Z87"/>
  <c r="AA87" s="1"/>
  <c r="Z88"/>
  <c r="AA88" s="1"/>
  <c r="Z97"/>
  <c r="AA97" s="1"/>
  <c r="Z98"/>
  <c r="AA98" s="1"/>
  <c r="Z105"/>
  <c r="AA105" s="1"/>
  <c r="Z106"/>
  <c r="AA106" s="1"/>
  <c r="Z112"/>
  <c r="AA112" s="1"/>
  <c r="Z122"/>
  <c r="AA122" s="1"/>
  <c r="Z123"/>
  <c r="AA123" s="1"/>
  <c r="Z125"/>
  <c r="AA125" s="1"/>
  <c r="Z127"/>
  <c r="AA127" s="1"/>
  <c r="Z132"/>
  <c r="AA132" s="1"/>
  <c r="Z137"/>
  <c r="AA137" s="1"/>
  <c r="Z138"/>
  <c r="AA138" s="1"/>
  <c r="Z147"/>
  <c r="AA147" s="1"/>
  <c r="Z148"/>
  <c r="AA148" s="1"/>
  <c r="Z155"/>
  <c r="AA155" s="1"/>
  <c r="Z156"/>
  <c r="AA156" s="1"/>
  <c r="Z160"/>
  <c r="AA160" s="1"/>
  <c r="Z162"/>
  <c r="AA162" s="1"/>
  <c r="Z168"/>
  <c r="AA168" s="1"/>
  <c r="Z172"/>
  <c r="AA172" s="1"/>
  <c r="Z176"/>
  <c r="AA176" s="1"/>
  <c r="Z185"/>
  <c r="AA185" s="1"/>
  <c r="Z186"/>
  <c r="AA186" s="1"/>
  <c r="Z188"/>
  <c r="AA188" s="1"/>
  <c r="Z191"/>
  <c r="AA191" s="1"/>
  <c r="Z196"/>
  <c r="AA196" s="1"/>
  <c r="Z198"/>
  <c r="AA198" s="1"/>
  <c r="Z199"/>
  <c r="AA199" s="1"/>
  <c r="Z209"/>
  <c r="AA209" s="1"/>
  <c r="Z215"/>
  <c r="AA215" s="1"/>
  <c r="Z219"/>
  <c r="AA219" s="1"/>
  <c r="Z223"/>
  <c r="AA223" s="1"/>
  <c r="Z227"/>
  <c r="AA227" s="1"/>
  <c r="Z232"/>
  <c r="AA232" s="1"/>
  <c r="Z237"/>
  <c r="AA237" s="1"/>
  <c r="Z238"/>
  <c r="AA238" s="1"/>
  <c r="Z240"/>
  <c r="AA240" s="1"/>
  <c r="Z243"/>
  <c r="AA243" s="1"/>
  <c r="Z257"/>
  <c r="AA257" s="1"/>
  <c r="Z258"/>
  <c r="AA258" s="1"/>
  <c r="Z265"/>
  <c r="AA265" s="1"/>
  <c r="Z266"/>
  <c r="AA266" s="1"/>
  <c r="Z276"/>
  <c r="AA276" s="1"/>
  <c r="Z277"/>
  <c r="AA277" s="1"/>
  <c r="Z279"/>
  <c r="AA279" s="1"/>
  <c r="Z282"/>
  <c r="AA282" s="1"/>
  <c r="Z290"/>
  <c r="AA290" s="1"/>
  <c r="Z292"/>
  <c r="AA292" s="1"/>
  <c r="Z295"/>
  <c r="AA295" s="1"/>
  <c r="Z298"/>
  <c r="AA298" s="1"/>
  <c r="Z300"/>
  <c r="AA300" s="1"/>
  <c r="Z303"/>
  <c r="AA303" s="1"/>
  <c r="Z306"/>
  <c r="AA306" s="1"/>
  <c r="Z309"/>
  <c r="AA309" s="1"/>
  <c r="Z319"/>
  <c r="AA319" s="1"/>
  <c r="Z320"/>
  <c r="AA320" s="1"/>
  <c r="Z329"/>
  <c r="AA329" s="1"/>
  <c r="Z332"/>
  <c r="AA332" s="1"/>
  <c r="Z334"/>
  <c r="AA334" s="1"/>
  <c r="Z335"/>
  <c r="AA335" s="1"/>
  <c r="F23" i="2"/>
  <c r="X25"/>
  <c r="P26"/>
  <c r="P30"/>
  <c r="Q30" s="1"/>
  <c r="X30"/>
  <c r="P34"/>
  <c r="Q34" s="1"/>
  <c r="P39"/>
  <c r="Q39" s="1"/>
  <c r="P43"/>
  <c r="Q43" s="1"/>
  <c r="P47"/>
  <c r="Q47" s="1"/>
  <c r="P55"/>
  <c r="Q55" s="1"/>
  <c r="P59"/>
  <c r="Q59" s="1"/>
  <c r="P63"/>
  <c r="Y63" s="1"/>
  <c r="Z63" s="1"/>
  <c r="P9" i="3"/>
  <c r="Q9" s="1"/>
  <c r="Z12" i="1"/>
  <c r="AA12" s="1"/>
  <c r="Z17"/>
  <c r="AA17" s="1"/>
  <c r="Z56"/>
  <c r="AA56" s="1"/>
  <c r="Z59"/>
  <c r="AA59" s="1"/>
  <c r="Z64"/>
  <c r="AA64" s="1"/>
  <c r="Z6"/>
  <c r="AA6" s="1"/>
  <c r="Z19"/>
  <c r="AA19" s="1"/>
  <c r="Z22"/>
  <c r="AA22" s="1"/>
  <c r="Z25"/>
  <c r="AA25" s="1"/>
  <c r="Z33"/>
  <c r="AA33" s="1"/>
  <c r="Z43"/>
  <c r="AA43" s="1"/>
  <c r="Z51"/>
  <c r="AA51" s="1"/>
  <c r="Z66"/>
  <c r="AA66" s="1"/>
  <c r="Z69"/>
  <c r="AA69" s="1"/>
  <c r="Z81"/>
  <c r="AA81" s="1"/>
  <c r="Z89"/>
  <c r="AA89" s="1"/>
  <c r="Z99"/>
  <c r="AA99" s="1"/>
  <c r="Z107"/>
  <c r="AA107" s="1"/>
  <c r="Z110"/>
  <c r="AA110" s="1"/>
  <c r="Z113"/>
  <c r="AA113" s="1"/>
  <c r="Z128"/>
  <c r="AA128" s="1"/>
  <c r="Z133"/>
  <c r="AA133" s="1"/>
  <c r="Z139"/>
  <c r="AA139" s="1"/>
  <c r="Z149"/>
  <c r="AA149" s="1"/>
  <c r="Z157"/>
  <c r="AA157" s="1"/>
  <c r="Z189"/>
  <c r="AA189" s="1"/>
  <c r="Z192"/>
  <c r="AA192" s="1"/>
  <c r="Z194"/>
  <c r="AA194" s="1"/>
  <c r="Z210"/>
  <c r="AA210" s="1"/>
  <c r="Z241"/>
  <c r="AA241" s="1"/>
  <c r="Z244"/>
  <c r="AA244" s="1"/>
  <c r="Z259"/>
  <c r="AA259" s="1"/>
  <c r="Z267"/>
  <c r="AA267" s="1"/>
  <c r="Z270"/>
  <c r="AA270" s="1"/>
  <c r="Z280"/>
  <c r="AA280" s="1"/>
  <c r="Z283"/>
  <c r="AA283" s="1"/>
  <c r="Z288"/>
  <c r="AA288" s="1"/>
  <c r="Z293"/>
  <c r="AA293" s="1"/>
  <c r="Z296"/>
  <c r="AA296" s="1"/>
  <c r="Z301"/>
  <c r="AA301" s="1"/>
  <c r="Z307"/>
  <c r="AA307" s="1"/>
  <c r="Z310"/>
  <c r="AA310" s="1"/>
  <c r="Z330"/>
  <c r="AA330" s="1"/>
  <c r="P27" i="2"/>
  <c r="Q27" s="1"/>
  <c r="P31"/>
  <c r="Q31" s="1"/>
  <c r="P35"/>
  <c r="Q35" s="1"/>
  <c r="S38"/>
  <c r="P40"/>
  <c r="P44"/>
  <c r="Y44" s="1"/>
  <c r="Z44" s="1"/>
  <c r="P48"/>
  <c r="Q48" s="1"/>
  <c r="P52"/>
  <c r="R51"/>
  <c r="P56"/>
  <c r="Q56" s="1"/>
  <c r="P60"/>
  <c r="Q60" s="1"/>
  <c r="P64"/>
  <c r="X9" i="3"/>
  <c r="V338" i="1"/>
  <c r="X41" i="2"/>
  <c r="X45"/>
  <c r="X49"/>
  <c r="X42"/>
  <c r="X46"/>
  <c r="X50"/>
  <c r="X39"/>
  <c r="X43"/>
  <c r="X47"/>
  <c r="S51"/>
  <c r="X53"/>
  <c r="Y53" s="1"/>
  <c r="Z53" s="1"/>
  <c r="X57"/>
  <c r="X52"/>
  <c r="X56"/>
  <c r="X60"/>
  <c r="X61"/>
  <c r="X64"/>
  <c r="X65"/>
  <c r="Y65" s="1"/>
  <c r="Z65" s="1"/>
  <c r="X66"/>
  <c r="X54"/>
  <c r="X58"/>
  <c r="X62"/>
  <c r="X55"/>
  <c r="X59"/>
  <c r="X32"/>
  <c r="Y32" s="1"/>
  <c r="Z32" s="1"/>
  <c r="X36"/>
  <c r="X29"/>
  <c r="Y29" s="1"/>
  <c r="Z29" s="1"/>
  <c r="X34"/>
  <c r="Y34" s="1"/>
  <c r="Z34" s="1"/>
  <c r="X26"/>
  <c r="X27"/>
  <c r="X31"/>
  <c r="X35"/>
  <c r="Y287" i="1"/>
  <c r="Z287" s="1"/>
  <c r="AA287" s="1"/>
  <c r="T338"/>
  <c r="S338"/>
  <c r="Y21" i="3"/>
  <c r="Z21" s="1"/>
  <c r="Y20"/>
  <c r="Z20" s="1"/>
  <c r="Y19"/>
  <c r="Z19" s="1"/>
  <c r="Y18"/>
  <c r="Z18" s="1"/>
  <c r="Y17"/>
  <c r="Z17" s="1"/>
  <c r="Y16"/>
  <c r="Z16" s="1"/>
  <c r="Y15"/>
  <c r="Z15" s="1"/>
  <c r="Y14"/>
  <c r="Z14" s="1"/>
  <c r="Y13"/>
  <c r="Z13" s="1"/>
  <c r="Y12"/>
  <c r="Z12" s="1"/>
  <c r="Y11"/>
  <c r="Z11" s="1"/>
  <c r="Y8"/>
  <c r="Z8" s="1"/>
  <c r="Y6"/>
  <c r="Z6" s="1"/>
  <c r="Q6"/>
  <c r="Y5"/>
  <c r="Z5" s="1"/>
  <c r="P5" i="2"/>
  <c r="Q5" s="1"/>
  <c r="Q49"/>
  <c r="Q32"/>
  <c r="Q64"/>
  <c r="Q65"/>
  <c r="Q338" i="1"/>
  <c r="Z211"/>
  <c r="AA211" s="1"/>
  <c r="P10" i="3"/>
  <c r="X10"/>
  <c r="Y7" i="2"/>
  <c r="Z7" s="1"/>
  <c r="Y11"/>
  <c r="Z11" s="1"/>
  <c r="Y9"/>
  <c r="Z9" s="1"/>
  <c r="Y13"/>
  <c r="Z13" s="1"/>
  <c r="Y6"/>
  <c r="Z6" s="1"/>
  <c r="Y10"/>
  <c r="Z10" s="1"/>
  <c r="Y14"/>
  <c r="Z14" s="1"/>
  <c r="Y8"/>
  <c r="Z8" s="1"/>
  <c r="Y12"/>
  <c r="Z12" s="1"/>
  <c r="Y15"/>
  <c r="Z15" s="1"/>
  <c r="X5"/>
  <c r="Y16"/>
  <c r="Z16" s="1"/>
  <c r="Y17"/>
  <c r="Z17" s="1"/>
  <c r="Y18"/>
  <c r="Z18" s="1"/>
  <c r="Y19"/>
  <c r="Z19" s="1"/>
  <c r="Y20"/>
  <c r="Z20" s="1"/>
  <c r="Y21"/>
  <c r="Z21" s="1"/>
  <c r="Y22"/>
  <c r="Z22" s="1"/>
  <c r="Z92" i="1" l="1"/>
  <c r="AA92" s="1"/>
  <c r="Z228"/>
  <c r="AA228" s="1"/>
  <c r="Y58" i="2"/>
  <c r="Z58" s="1"/>
  <c r="Y61"/>
  <c r="Z61" s="1"/>
  <c r="C67"/>
  <c r="T67"/>
  <c r="Y40"/>
  <c r="Z40" s="1"/>
  <c r="Z57" i="1"/>
  <c r="AA57" s="1"/>
  <c r="R321"/>
  <c r="Y56" i="2"/>
  <c r="Z56" s="1"/>
  <c r="Y35"/>
  <c r="Z35" s="1"/>
  <c r="W67"/>
  <c r="Y50"/>
  <c r="Z50" s="1"/>
  <c r="Y45"/>
  <c r="Z45" s="1"/>
  <c r="Y41"/>
  <c r="Z41" s="1"/>
  <c r="U67"/>
  <c r="Y52"/>
  <c r="Z52" s="1"/>
  <c r="N67"/>
  <c r="Y46"/>
  <c r="Z46" s="1"/>
  <c r="Q46"/>
  <c r="Y66"/>
  <c r="Z66" s="1"/>
  <c r="F67"/>
  <c r="Q63"/>
  <c r="Y43"/>
  <c r="Z43" s="1"/>
  <c r="Y26"/>
  <c r="Z26" s="1"/>
  <c r="Y33"/>
  <c r="Z33" s="1"/>
  <c r="O67"/>
  <c r="Z304" i="1"/>
  <c r="AA304" s="1"/>
  <c r="Y39" i="2"/>
  <c r="Z39" s="1"/>
  <c r="Y27"/>
  <c r="Z27" s="1"/>
  <c r="Y57"/>
  <c r="Z57" s="1"/>
  <c r="Y54"/>
  <c r="Z54" s="1"/>
  <c r="Y49"/>
  <c r="Z49" s="1"/>
  <c r="Q44"/>
  <c r="Q26"/>
  <c r="Y25"/>
  <c r="Z25" s="1"/>
  <c r="Y30"/>
  <c r="Z30" s="1"/>
  <c r="Q33"/>
  <c r="Y62"/>
  <c r="Z62" s="1"/>
  <c r="Y37"/>
  <c r="Z37" s="1"/>
  <c r="R67"/>
  <c r="Y48"/>
  <c r="Z48" s="1"/>
  <c r="Q62"/>
  <c r="X51"/>
  <c r="Y24"/>
  <c r="Z24" s="1"/>
  <c r="Y47"/>
  <c r="Z47" s="1"/>
  <c r="Q54"/>
  <c r="P23"/>
  <c r="Q23" s="1"/>
  <c r="Y31"/>
  <c r="Z31" s="1"/>
  <c r="X38"/>
  <c r="Q40"/>
  <c r="Y36"/>
  <c r="Z36" s="1"/>
  <c r="Z126" i="1"/>
  <c r="AA126" s="1"/>
  <c r="P51" i="2"/>
  <c r="Q51" s="1"/>
  <c r="Q52"/>
  <c r="Y42"/>
  <c r="Z42" s="1"/>
  <c r="Y9" i="3"/>
  <c r="Z9" s="1"/>
  <c r="P22"/>
  <c r="Q22" s="1"/>
  <c r="Y64" i="2"/>
  <c r="Z64" s="1"/>
  <c r="X23"/>
  <c r="Y60"/>
  <c r="Z60" s="1"/>
  <c r="S67"/>
  <c r="Y59"/>
  <c r="Z59" s="1"/>
  <c r="P38"/>
  <c r="Q38" s="1"/>
  <c r="Y55"/>
  <c r="Z55" s="1"/>
  <c r="Y338" i="1"/>
  <c r="Z338" s="1"/>
  <c r="AA338" s="1"/>
  <c r="Q10" i="3"/>
  <c r="X22"/>
  <c r="Y10"/>
  <c r="Z5" i="2"/>
  <c r="Y5"/>
  <c r="X67" l="1"/>
  <c r="Z23"/>
  <c r="Z38"/>
  <c r="P67"/>
  <c r="Q67" s="1"/>
  <c r="Y38"/>
  <c r="Y23"/>
  <c r="Y51"/>
  <c r="Z51"/>
  <c r="Z10" i="3"/>
  <c r="Z22" s="1"/>
  <c r="Y22"/>
  <c r="Y67" i="2" l="1"/>
  <c r="Z67"/>
</calcChain>
</file>

<file path=xl/sharedStrings.xml><?xml version="1.0" encoding="utf-8"?>
<sst xmlns="http://schemas.openxmlformats.org/spreadsheetml/2006/main" count="1480" uniqueCount="134">
  <si>
    <t>UE: 003 G.A AREQUIPA</t>
  </si>
  <si>
    <t>Meta</t>
  </si>
  <si>
    <t>E.G.</t>
  </si>
  <si>
    <t>Descripción Específica Gasto</t>
  </si>
  <si>
    <t>PIM (1)</t>
  </si>
  <si>
    <t>Certificado</t>
  </si>
  <si>
    <t>Compromiso Anual</t>
  </si>
  <si>
    <t>Ejecución Devengado UE</t>
  </si>
  <si>
    <t>Saldo Presupuestal al 17.09.2021</t>
  </si>
  <si>
    <t>Proyeccion de plazas vacantes</t>
  </si>
  <si>
    <t>PAGO FACTURAS EPS</t>
  </si>
  <si>
    <t>BENEFICIOS</t>
  </si>
  <si>
    <t>TOTAL PROYECCIÓN</t>
  </si>
  <si>
    <t>TOTAL EJECUCION +PROYECCION  (2)</t>
  </si>
  <si>
    <t>Saldo disponible ( 1-2)</t>
  </si>
  <si>
    <t>Enero</t>
  </si>
  <si>
    <t>Febrero</t>
  </si>
  <si>
    <t>Marzo</t>
  </si>
  <si>
    <t>TOTAL EJECUCION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</si>
  <si>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</si>
  <si>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</si>
  <si>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</si>
  <si>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</si>
  <si>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</si>
  <si>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</si>
  <si>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</si>
  <si>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</si>
  <si>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</si>
  <si>
    <t>0001</t>
  </si>
  <si>
    <t>2.1.1.1.1.2</t>
  </si>
  <si>
    <t>PERSONAL ADMINISTRATIVO NOMBRADO (REGIMEN PUBLICO)</t>
  </si>
  <si>
    <t>2.1.1.1.1.4</t>
  </si>
  <si>
    <t xml:space="preserve">PERSONAL CON CONTRATO A PLAZO INDETERMINADO (REGIMEN </t>
  </si>
  <si>
    <t>2.1.1.1.1.5</t>
  </si>
  <si>
    <t xml:space="preserve">PERSONAL CON CONTRATO A PLAZO FIJO (REGIMEN LABORAL </t>
  </si>
  <si>
    <t>2.1.1.1.2.1</t>
  </si>
  <si>
    <t>ASIGNACION A FONDOS PARA PERSONAL</t>
  </si>
  <si>
    <t>2.1.1.4.1.1</t>
  </si>
  <si>
    <t>PERSONAL NOMBRADO</t>
  </si>
  <si>
    <t>2.1.1.4.2.1</t>
  </si>
  <si>
    <t>BONO POR FUNCION JURISDICCIONAL Y FISCAL</t>
  </si>
  <si>
    <t>2.1.1.4.2.2</t>
  </si>
  <si>
    <t>ASIGNACION POR GASTOS OPERATIVOS</t>
  </si>
  <si>
    <t>2.1.1.9.1.1</t>
  </si>
  <si>
    <t>GRATIFICACIONES</t>
  </si>
  <si>
    <t>2.1.1.9.1.2</t>
  </si>
  <si>
    <t>AGUINALDOS</t>
  </si>
  <si>
    <t>2.1.1.9.1.3</t>
  </si>
  <si>
    <t>BONIFICACION POR ESCOLARIDAD</t>
  </si>
  <si>
    <t>2.1.1.9.2.1</t>
  </si>
  <si>
    <t>COMPENSACION POR TIEMPO DE SERVICIOS (CTS)</t>
  </si>
  <si>
    <t>2.1.1.9.3.3</t>
  </si>
  <si>
    <t>COMPENSACION VACACIONAL (VACACIONES TRUNCAS)</t>
  </si>
  <si>
    <t>2.1.1.9.3.99</t>
  </si>
  <si>
    <t>OTRAS OCASIONALES</t>
  </si>
  <si>
    <t>2.1.3.1.1.1</t>
  </si>
  <si>
    <t>APORTES A LOS FONDOS DE SALUD</t>
  </si>
  <si>
    <t>2.1.3.1.1.3</t>
  </si>
  <si>
    <t>APORTES A LOS FONDOS DE PENSIONES</t>
  </si>
  <si>
    <t>2.1.3.1.1.5</t>
  </si>
  <si>
    <t>CONTRIBUCIONES A ESSALUD</t>
  </si>
  <si>
    <t>0002</t>
  </si>
  <si>
    <t>0003</t>
  </si>
  <si>
    <t>0004</t>
  </si>
  <si>
    <t>2.1.1.3.1.2</t>
  </si>
  <si>
    <t>PERSONAL CONTRATADO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</si>
  <si>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</si>
  <si>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</si>
  <si>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</si>
  <si>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</si>
  <si>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</si>
  <si>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</si>
  <si>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</si>
  <si>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</si>
  <si>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</si>
  <si>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0016</t>
  </si>
  <si>
    <t>0017</t>
  </si>
  <si>
    <t>0018</t>
  </si>
  <si>
    <t>0019</t>
  </si>
  <si>
    <t>0020</t>
  </si>
  <si>
    <t>0021</t>
  </si>
  <si>
    <t>0022</t>
  </si>
  <si>
    <t>T O T A L</t>
  </si>
  <si>
    <t>EJECUTORA: 0003 MINISTERIO PUBLICO - GERENCIA ADMINISTRATIVA DE AREQUIPA (1419)</t>
  </si>
  <si>
    <t>Cat pptal/ Detalle Específica de Gasto</t>
  </si>
  <si>
    <t>PIM</t>
  </si>
  <si>
    <t>TOTAL PROYECCION</t>
  </si>
  <si>
    <t>TOTAL EJECUCION +PROYECCION</t>
  </si>
  <si>
    <t>SALDO DISPONIBLE</t>
  </si>
  <si>
    <t>01 ENERO</t>
  </si>
  <si>
    <t>02 FEBRERO</t>
  </si>
  <si>
    <t>03 MARZO</t>
  </si>
  <si>
    <t>04 ABRIL</t>
  </si>
  <si>
    <t>05 MAYO</t>
  </si>
  <si>
    <t>06 JUNIO</t>
  </si>
  <si>
    <t>07 JULIO</t>
  </si>
  <si>
    <t>08 AGOSTO</t>
  </si>
  <si>
    <t>09 SETIEMBRE</t>
  </si>
  <si>
    <t>10 OCTUBRE</t>
  </si>
  <si>
    <t>0086 MEJORA DE LOS SERVICIOS DEL SISTEMA DE JUSTICIA PENAL</t>
  </si>
  <si>
    <t>PERSONAL CON CONTRATO A PLAZO INDETERMINADO (REGIMEN LABORAL PRIVADO)</t>
  </si>
  <si>
    <t>PERSONAL CON CONTRATO A PLAZO FIJO (REGIMEN LABORAL PRIVADO)</t>
  </si>
  <si>
    <t>1002 PRODUCTOS ESPECIFICOS PARA REDUCCION DE LA VIOLENCIA CONTRA LA MUJER</t>
  </si>
  <si>
    <t>9001 ACCIONES CENTRALES</t>
  </si>
  <si>
    <t>9002 ASIGNACIONES PRESUPUESTARIAS QUE NO RESULTAN EN PRODUCTOS</t>
  </si>
  <si>
    <t>TOTAL  2.1 PERSONAL Y OB. SOCIALES</t>
  </si>
  <si>
    <t>TOTAL     2.1 PERSONAL Y OB. SOCIALES</t>
  </si>
  <si>
    <t>RUBRO DE FINANCIAMIENTO: 00 RECURSOS ORDINARIOS</t>
  </si>
  <si>
    <t>Saldo Presupuestal al 08.06.2021</t>
  </si>
  <si>
    <t>Proyección del gasto</t>
  </si>
  <si>
    <t>Junio( 01 al 08)</t>
  </si>
  <si>
    <t>Junio( 09 al 30)</t>
  </si>
  <si>
    <t>2.3.2.8.1.1</t>
  </si>
  <si>
    <t>CONTRATO ADMINISTRATIVO DE SERVICIOS</t>
  </si>
  <si>
    <t>2.3.2.8.1.2</t>
  </si>
  <si>
    <t>CONTRIBUCIONES A ESSALUD DE C.A.S.</t>
  </si>
  <si>
    <t>2.3.2.8.1.4</t>
  </si>
  <si>
    <t>AGUINALDOS DE C.A.S.</t>
  </si>
  <si>
    <t>TOTAL G.G. 2.3 CAS</t>
  </si>
  <si>
    <t>RUBRO DE FINANCIAMIENTO: 09 RECURSOS DIRECTAMENTE RECAUDADOS</t>
  </si>
  <si>
    <t>TOTAL UNIDAD EJECUTORA 003:</t>
  </si>
  <si>
    <t>2.2.2.3.4.2</t>
  </si>
  <si>
    <t>GASTOS DE SEPELIO Y LUTO DEL PERSONAL ACTIVO</t>
  </si>
  <si>
    <t>TOTAL G.G. 2.2 PENSIONES Y PRESTACIONES</t>
  </si>
  <si>
    <t>2.3.2.7.5.1</t>
  </si>
  <si>
    <t>ESTIPENDIO POR SECIGRA</t>
  </si>
  <si>
    <t>TOTAL G.G. 2.3 SECIGRA</t>
  </si>
  <si>
    <t>TOTAL G.G. 2.1 PERSONAL Y OB. SOCIALES</t>
  </si>
  <si>
    <t>2.1.1. 3.1.2</t>
  </si>
  <si>
    <t>11 NOVIEMBRE</t>
  </si>
  <si>
    <t>12 DICIEMBRE</t>
  </si>
  <si>
    <t>CUADRO DE EJECUCION Y PROYECCIÓN DE GASTOS DE LA GG 2.1</t>
  </si>
  <si>
    <t>Saldo Presupuestal</t>
  </si>
  <si>
    <t>10 0CTUBRE</t>
  </si>
</sst>
</file>

<file path=xl/styles.xml><?xml version="1.0" encoding="utf-8"?>
<styleSheet xmlns="http://schemas.openxmlformats.org/spreadsheetml/2006/main">
  <numFmts count="4">
    <numFmt numFmtId="164" formatCode="#,##0.00_ ;\-#,##0.00\ "/>
    <numFmt numFmtId="165" formatCode="#,##0;\-#,##0;&quot;&quot;"/>
    <numFmt numFmtId="166" formatCode="#,##0.00;\-#,##0.00;&quot;&quot;"/>
    <numFmt numFmtId="167" formatCode="#,##0.0000000"/>
  </numFmts>
  <fonts count="24">
    <font>
      <sz val="10"/>
      <color rgb="FF000000"/>
      <name val="Arial"/>
    </font>
    <font>
      <b/>
      <sz val="10"/>
      <color rgb="FF000000"/>
      <name val="Arial Narrow"/>
    </font>
    <font>
      <sz val="10"/>
      <color rgb="FF000000"/>
      <name val="Arial Narrow"/>
    </font>
    <font>
      <sz val="10"/>
      <color rgb="FFC00000"/>
      <name val="Arial"/>
    </font>
    <font>
      <sz val="8"/>
      <color rgb="FF000000"/>
      <name val="Arial"/>
    </font>
    <font>
      <b/>
      <sz val="10"/>
      <color rgb="FF800000"/>
      <name val="Arial Narrow"/>
    </font>
    <font>
      <sz val="10"/>
      <color rgb="FF800000"/>
      <name val="Arial Narrow"/>
    </font>
    <font>
      <b/>
      <sz val="10"/>
      <color rgb="FF000000"/>
      <name val="Arial"/>
    </font>
    <font>
      <b/>
      <u/>
      <sz val="10"/>
      <color rgb="FF000000"/>
      <name val="Arial"/>
    </font>
    <font>
      <b/>
      <sz val="8"/>
      <color rgb="FF000000"/>
      <name val="Arial Narrow"/>
    </font>
    <font>
      <sz val="10"/>
      <color rgb="FFB15D24"/>
      <name val="Arial"/>
    </font>
    <font>
      <b/>
      <sz val="10"/>
      <color rgb="FFB15D24"/>
      <name val="Arial Narrow"/>
    </font>
    <font>
      <b/>
      <sz val="12"/>
      <color rgb="FF000000"/>
      <name val="Arial"/>
    </font>
    <font>
      <b/>
      <sz val="10"/>
      <color rgb="FFC00000"/>
      <name val="Arial Narrow"/>
    </font>
    <font>
      <sz val="11"/>
      <color rgb="FFC00000"/>
      <name val="Calibri"/>
    </font>
    <font>
      <sz val="10"/>
      <color rgb="FFC00000"/>
      <name val="Arial Narrow"/>
    </font>
    <font>
      <b/>
      <sz val="13"/>
      <color rgb="FF000000"/>
      <name val="Arial Narrow"/>
    </font>
    <font>
      <sz val="9"/>
      <color rgb="FF000000"/>
      <name val="Arial Narrow"/>
    </font>
    <font>
      <sz val="10"/>
      <color rgb="FFB15D24"/>
      <name val="Arial Narrow"/>
    </font>
    <font>
      <b/>
      <sz val="9"/>
      <color rgb="FF000000"/>
      <name val="Arial Narrow"/>
    </font>
    <font>
      <b/>
      <sz val="10"/>
      <color rgb="FF7030A0"/>
      <name val="Arial Narrow"/>
    </font>
    <font>
      <b/>
      <sz val="10"/>
      <color rgb="FF223962"/>
      <name val="Arial Narrow"/>
    </font>
    <font>
      <b/>
      <sz val="11"/>
      <color rgb="FF223962"/>
      <name val="Calibri"/>
    </font>
    <font>
      <b/>
      <sz val="11"/>
      <color rgb="FF000000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9CC2E5"/>
        <bgColor rgb="FFFFFFFF"/>
      </patternFill>
    </fill>
    <fill>
      <patternFill patternType="solid">
        <fgColor rgb="FFC5DEB5"/>
        <bgColor rgb="FFFFFFFF"/>
      </patternFill>
    </fill>
    <fill>
      <patternFill patternType="solid">
        <fgColor rgb="FFBFBFBF"/>
        <bgColor rgb="FFFFFFFF"/>
      </patternFill>
    </fill>
    <fill>
      <patternFill patternType="solid">
        <fgColor rgb="FFFFCCFF"/>
        <bgColor rgb="FFFFFFFF"/>
      </patternFill>
    </fill>
    <fill>
      <patternFill patternType="solid">
        <fgColor rgb="FFBF9000"/>
        <bgColor rgb="FFFFFFFF"/>
      </patternFill>
    </fill>
    <fill>
      <patternFill patternType="solid">
        <fgColor rgb="FFD8D8D8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D9E2F3"/>
        <bgColor rgb="FFFFFFFF"/>
      </patternFill>
    </fill>
    <fill>
      <patternFill patternType="solid">
        <fgColor rgb="FFDEEAF6"/>
        <bgColor rgb="FFFFFFFF"/>
      </patternFill>
    </fill>
    <fill>
      <patternFill patternType="solid">
        <fgColor rgb="FFB4C6E7"/>
        <bgColor rgb="FFFFFFFF"/>
      </patternFill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52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Continuous" vertical="center" wrapText="1"/>
    </xf>
    <xf numFmtId="0" fontId="1" fillId="3" borderId="1" xfId="0" applyFont="1" applyFill="1" applyBorder="1" applyAlignment="1">
      <alignment horizontal="centerContinuous" vertical="center" wrapText="1"/>
    </xf>
    <xf numFmtId="0" fontId="1" fillId="2" borderId="2" xfId="0" applyFont="1" applyFill="1" applyBorder="1" applyAlignment="1">
      <alignment horizontal="centerContinuous" vertical="center" wrapText="1"/>
    </xf>
    <xf numFmtId="0" fontId="1" fillId="3" borderId="2" xfId="0" applyFont="1" applyFill="1" applyBorder="1" applyAlignment="1">
      <alignment horizontal="centerContinuous" vertical="center" wrapText="1"/>
    </xf>
    <xf numFmtId="0" fontId="1" fillId="3" borderId="2" xfId="0" applyFont="1" applyFill="1" applyBorder="1" applyAlignment="1">
      <alignment horizontal="centerContinuous" vertical="center"/>
    </xf>
    <xf numFmtId="165" fontId="1" fillId="4" borderId="3" xfId="0" applyNumberFormat="1" applyFont="1" applyFill="1" applyBorder="1" applyAlignment="1">
      <alignment vertical="top"/>
    </xf>
    <xf numFmtId="165" fontId="1" fillId="4" borderId="4" xfId="0" applyNumberFormat="1" applyFont="1" applyFill="1" applyBorder="1" applyAlignment="1">
      <alignment vertical="top"/>
    </xf>
    <xf numFmtId="166" fontId="1" fillId="4" borderId="4" xfId="0" applyNumberFormat="1" applyFont="1" applyFill="1" applyBorder="1" applyAlignment="1">
      <alignment vertical="top"/>
    </xf>
    <xf numFmtId="164" fontId="1" fillId="4" borderId="4" xfId="0" applyNumberFormat="1" applyFont="1" applyFill="1" applyBorder="1" applyAlignment="1">
      <alignment vertical="top"/>
    </xf>
    <xf numFmtId="4" fontId="2" fillId="4" borderId="4" xfId="0" applyNumberFormat="1" applyFont="1" applyFill="1" applyBorder="1" applyAlignment="1">
      <alignment vertical="top"/>
    </xf>
    <xf numFmtId="166" fontId="2" fillId="0" borderId="5" xfId="0" applyNumberFormat="1" applyFont="1" applyBorder="1" applyAlignment="1">
      <alignment vertical="top"/>
    </xf>
    <xf numFmtId="166" fontId="2" fillId="2" borderId="5" xfId="0" applyNumberFormat="1" applyFont="1" applyFill="1" applyBorder="1" applyAlignment="1">
      <alignment vertical="top"/>
    </xf>
    <xf numFmtId="166" fontId="2" fillId="5" borderId="5" xfId="0" applyNumberFormat="1" applyFont="1" applyFill="1" applyBorder="1" applyAlignment="1">
      <alignment vertical="top"/>
    </xf>
    <xf numFmtId="166" fontId="2" fillId="3" borderId="5" xfId="0" applyNumberFormat="1" applyFont="1" applyFill="1" applyBorder="1" applyAlignment="1">
      <alignment vertical="top"/>
    </xf>
    <xf numFmtId="166" fontId="2" fillId="3" borderId="6" xfId="0" applyNumberFormat="1" applyFont="1" applyFill="1" applyBorder="1" applyAlignment="1">
      <alignment vertical="top"/>
    </xf>
    <xf numFmtId="4" fontId="2" fillId="6" borderId="6" xfId="0" applyNumberFormat="1" applyFont="1" applyFill="1" applyBorder="1" applyAlignment="1">
      <alignment vertical="top"/>
    </xf>
    <xf numFmtId="166" fontId="2" fillId="0" borderId="7" xfId="0" applyNumberFormat="1" applyFont="1" applyBorder="1" applyAlignment="1">
      <alignment vertical="top"/>
    </xf>
    <xf numFmtId="166" fontId="2" fillId="2" borderId="7" xfId="0" applyNumberFormat="1" applyFont="1" applyFill="1" applyBorder="1" applyAlignment="1">
      <alignment vertical="top"/>
    </xf>
    <xf numFmtId="166" fontId="2" fillId="5" borderId="7" xfId="0" applyNumberFormat="1" applyFont="1" applyFill="1" applyBorder="1" applyAlignment="1">
      <alignment vertical="top"/>
    </xf>
    <xf numFmtId="166" fontId="2" fillId="3" borderId="7" xfId="0" applyNumberFormat="1" applyFont="1" applyFill="1" applyBorder="1" applyAlignment="1">
      <alignment vertical="top"/>
    </xf>
    <xf numFmtId="166" fontId="2" fillId="2" borderId="8" xfId="0" applyNumberFormat="1" applyFont="1" applyFill="1" applyBorder="1" applyAlignment="1">
      <alignment vertical="top"/>
    </xf>
    <xf numFmtId="166" fontId="2" fillId="5" borderId="8" xfId="0" applyNumberFormat="1" applyFont="1" applyFill="1" applyBorder="1" applyAlignment="1">
      <alignment vertical="top"/>
    </xf>
    <xf numFmtId="0" fontId="1" fillId="7" borderId="9" xfId="0" applyFont="1" applyFill="1" applyBorder="1" applyAlignment="1">
      <alignment horizontal="centerContinuous" vertical="top"/>
    </xf>
    <xf numFmtId="165" fontId="2" fillId="7" borderId="2" xfId="0" applyNumberFormat="1" applyFont="1" applyFill="1" applyBorder="1" applyAlignment="1">
      <alignment vertical="top"/>
    </xf>
    <xf numFmtId="166" fontId="2" fillId="7" borderId="4" xfId="0" applyNumberFormat="1" applyFont="1" applyFill="1" applyBorder="1" applyAlignment="1">
      <alignment vertical="top"/>
    </xf>
    <xf numFmtId="166" fontId="1" fillId="7" borderId="4" xfId="0" applyNumberFormat="1" applyFont="1" applyFill="1" applyBorder="1" applyAlignment="1">
      <alignment vertical="top"/>
    </xf>
    <xf numFmtId="4" fontId="1" fillId="8" borderId="4" xfId="0" applyNumberFormat="1" applyFont="1" applyFill="1" applyBorder="1" applyAlignment="1">
      <alignment vertical="top"/>
    </xf>
    <xf numFmtId="2" fontId="3" fillId="0" borderId="0" xfId="0" applyNumberFormat="1" applyFont="1"/>
    <xf numFmtId="167" fontId="0" fillId="0" borderId="0" xfId="0" applyNumberFormat="1"/>
    <xf numFmtId="4" fontId="0" fillId="0" borderId="0" xfId="0" applyNumberFormat="1"/>
    <xf numFmtId="4" fontId="0" fillId="0" borderId="0" xfId="0" applyNumberFormat="1"/>
    <xf numFmtId="4" fontId="4" fillId="0" borderId="0" xfId="0" applyNumberFormat="1" applyFont="1"/>
    <xf numFmtId="2" fontId="0" fillId="0" borderId="0" xfId="0" applyNumberFormat="1"/>
    <xf numFmtId="165" fontId="0" fillId="0" borderId="0" xfId="0" applyNumberFormat="1"/>
    <xf numFmtId="0" fontId="5" fillId="7" borderId="4" xfId="0" applyFont="1" applyFill="1" applyBorder="1" applyAlignment="1">
      <alignment vertical="top"/>
    </xf>
    <xf numFmtId="0" fontId="2" fillId="7" borderId="4" xfId="0" applyFont="1" applyFill="1" applyBorder="1" applyAlignment="1">
      <alignment vertical="top"/>
    </xf>
    <xf numFmtId="4" fontId="1" fillId="4" borderId="4" xfId="0" applyNumberFormat="1" applyFont="1" applyFill="1" applyBorder="1" applyAlignment="1">
      <alignment vertical="top"/>
    </xf>
    <xf numFmtId="0" fontId="2" fillId="0" borderId="10" xfId="0" applyFont="1" applyBorder="1" applyAlignment="1">
      <alignment vertical="top"/>
    </xf>
    <xf numFmtId="165" fontId="2" fillId="0" borderId="11" xfId="0" applyNumberFormat="1" applyFont="1" applyBorder="1" applyAlignment="1">
      <alignment vertical="top"/>
    </xf>
    <xf numFmtId="166" fontId="2" fillId="0" borderId="7" xfId="0" applyNumberFormat="1" applyFont="1" applyBorder="1" applyAlignment="1">
      <alignment vertical="top"/>
    </xf>
    <xf numFmtId="0" fontId="2" fillId="0" borderId="12" xfId="0" applyFont="1" applyBorder="1" applyAlignment="1">
      <alignment vertical="top"/>
    </xf>
    <xf numFmtId="0" fontId="2" fillId="0" borderId="13" xfId="0" applyFont="1" applyBorder="1" applyAlignment="1">
      <alignment vertical="top"/>
    </xf>
    <xf numFmtId="0" fontId="6" fillId="7" borderId="4" xfId="0" applyFont="1" applyFill="1" applyBorder="1" applyAlignment="1">
      <alignment vertical="top"/>
    </xf>
    <xf numFmtId="0" fontId="1" fillId="7" borderId="9" xfId="0" applyFont="1" applyFill="1" applyBorder="1" applyAlignment="1">
      <alignment horizontal="left" vertical="top"/>
    </xf>
    <xf numFmtId="165" fontId="1" fillId="7" borderId="2" xfId="0" applyNumberFormat="1" applyFont="1" applyFill="1" applyBorder="1" applyAlignment="1">
      <alignment vertical="top"/>
    </xf>
    <xf numFmtId="0" fontId="7" fillId="0" borderId="0" xfId="0" applyFont="1"/>
    <xf numFmtId="0" fontId="2" fillId="0" borderId="0" xfId="0" applyFont="1" applyAlignment="1">
      <alignment vertical="top"/>
    </xf>
    <xf numFmtId="0" fontId="7" fillId="7" borderId="0" xfId="0" applyFont="1" applyFill="1"/>
    <xf numFmtId="165" fontId="7" fillId="7" borderId="0" xfId="0" applyNumberFormat="1" applyFont="1" applyFill="1"/>
    <xf numFmtId="0" fontId="8" fillId="0" borderId="0" xfId="0" quotePrefix="1" applyFont="1"/>
    <xf numFmtId="0" fontId="1" fillId="7" borderId="9" xfId="0" applyFont="1" applyFill="1" applyBorder="1" applyAlignment="1">
      <alignment horizontal="left" vertical="center"/>
    </xf>
    <xf numFmtId="0" fontId="1" fillId="7" borderId="9" xfId="0" applyFont="1" applyFill="1" applyBorder="1" applyAlignment="1">
      <alignment horizontal="center" vertical="center"/>
    </xf>
    <xf numFmtId="165" fontId="1" fillId="7" borderId="2" xfId="0" applyNumberFormat="1" applyFont="1" applyFill="1" applyBorder="1" applyAlignment="1">
      <alignment vertical="center"/>
    </xf>
    <xf numFmtId="166" fontId="1" fillId="7" borderId="4" xfId="0" applyNumberFormat="1" applyFont="1" applyFill="1" applyBorder="1" applyAlignment="1">
      <alignment vertical="center"/>
    </xf>
    <xf numFmtId="164" fontId="1" fillId="4" borderId="4" xfId="0" applyNumberFormat="1" applyFont="1" applyFill="1" applyBorder="1" applyAlignment="1">
      <alignment vertical="center"/>
    </xf>
    <xf numFmtId="4" fontId="1" fillId="8" borderId="4" xfId="0" applyNumberFormat="1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/>
    <xf numFmtId="165" fontId="7" fillId="0" borderId="0" xfId="0" applyNumberFormat="1" applyFont="1"/>
    <xf numFmtId="166" fontId="2" fillId="8" borderId="7" xfId="0" applyNumberFormat="1" applyFont="1" applyFill="1" applyBorder="1" applyAlignment="1">
      <alignment vertical="top"/>
    </xf>
    <xf numFmtId="3" fontId="9" fillId="0" borderId="0" xfId="0" applyNumberFormat="1" applyFont="1" applyAlignment="1">
      <alignment horizontal="right" vertical="center" wrapText="1"/>
    </xf>
    <xf numFmtId="4" fontId="9" fillId="0" borderId="0" xfId="0" applyNumberFormat="1" applyFont="1" applyAlignment="1">
      <alignment horizontal="right" vertical="center" wrapText="1"/>
    </xf>
    <xf numFmtId="166" fontId="1" fillId="4" borderId="4" xfId="0" applyNumberFormat="1" applyFont="1" applyFill="1" applyBorder="1"/>
    <xf numFmtId="3" fontId="2" fillId="0" borderId="14" xfId="0" applyNumberFormat="1" applyFont="1" applyBorder="1" applyAlignment="1">
      <alignment horizontal="right" vertical="center" wrapText="1"/>
    </xf>
    <xf numFmtId="4" fontId="2" fillId="0" borderId="14" xfId="0" applyNumberFormat="1" applyFont="1" applyBorder="1" applyAlignment="1">
      <alignment horizontal="right" vertical="center" wrapText="1"/>
    </xf>
    <xf numFmtId="3" fontId="2" fillId="0" borderId="7" xfId="0" applyNumberFormat="1" applyFont="1" applyBorder="1" applyAlignment="1">
      <alignment horizontal="right" vertical="center" wrapText="1"/>
    </xf>
    <xf numFmtId="4" fontId="2" fillId="0" borderId="7" xfId="0" applyNumberFormat="1" applyFont="1" applyBorder="1" applyAlignment="1">
      <alignment horizontal="right" vertical="center" wrapText="1"/>
    </xf>
    <xf numFmtId="0" fontId="2" fillId="0" borderId="7" xfId="0" applyFont="1" applyBorder="1" applyAlignment="1">
      <alignment horizontal="right" vertical="center" wrapText="1"/>
    </xf>
    <xf numFmtId="3" fontId="2" fillId="0" borderId="15" xfId="0" applyNumberFormat="1" applyFont="1" applyBorder="1" applyAlignment="1">
      <alignment horizontal="right" vertical="center" wrapText="1"/>
    </xf>
    <xf numFmtId="4" fontId="2" fillId="0" borderId="15" xfId="0" applyNumberFormat="1" applyFont="1" applyBorder="1" applyAlignment="1">
      <alignment horizontal="right" vertical="center" wrapText="1"/>
    </xf>
    <xf numFmtId="3" fontId="2" fillId="0" borderId="16" xfId="0" applyNumberFormat="1" applyFont="1" applyBorder="1" applyAlignment="1">
      <alignment horizontal="right" vertical="center" wrapText="1"/>
    </xf>
    <xf numFmtId="4" fontId="2" fillId="0" borderId="16" xfId="0" applyNumberFormat="1" applyFont="1" applyBorder="1" applyAlignment="1">
      <alignment horizontal="right" vertical="center" wrapText="1"/>
    </xf>
    <xf numFmtId="3" fontId="2" fillId="0" borderId="17" xfId="0" applyNumberFormat="1" applyFont="1" applyBorder="1" applyAlignment="1">
      <alignment horizontal="right" vertical="center" wrapText="1"/>
    </xf>
    <xf numFmtId="4" fontId="2" fillId="0" borderId="17" xfId="0" applyNumberFormat="1" applyFont="1" applyBorder="1" applyAlignment="1">
      <alignment horizontal="right" vertical="center" wrapText="1"/>
    </xf>
    <xf numFmtId="0" fontId="2" fillId="0" borderId="17" xfId="0" applyFont="1" applyBorder="1" applyAlignment="1">
      <alignment horizontal="right" vertical="center" wrapText="1"/>
    </xf>
    <xf numFmtId="3" fontId="2" fillId="0" borderId="18" xfId="0" applyNumberFormat="1" applyFont="1" applyBorder="1" applyAlignment="1">
      <alignment horizontal="right" vertical="center" wrapText="1"/>
    </xf>
    <xf numFmtId="4" fontId="2" fillId="0" borderId="18" xfId="0" applyNumberFormat="1" applyFont="1" applyBorder="1" applyAlignment="1">
      <alignment horizontal="right" vertical="center" wrapText="1"/>
    </xf>
    <xf numFmtId="0" fontId="0" fillId="0" borderId="0" xfId="0" applyAlignment="1">
      <alignment horizontal="center"/>
    </xf>
    <xf numFmtId="0" fontId="10" fillId="0" borderId="0" xfId="0" applyFont="1"/>
    <xf numFmtId="0" fontId="11" fillId="3" borderId="4" xfId="0" applyFont="1" applyFill="1" applyBorder="1" applyAlignment="1">
      <alignment horizontal="centerContinuous" vertical="center"/>
    </xf>
    <xf numFmtId="0" fontId="12" fillId="0" borderId="0" xfId="0" applyFont="1" applyAlignment="1">
      <alignment horizontal="left" vertical="center"/>
    </xf>
    <xf numFmtId="0" fontId="1" fillId="9" borderId="2" xfId="0" applyFont="1" applyFill="1" applyBorder="1" applyAlignment="1">
      <alignment horizontal="centerContinuous" vertical="center" wrapText="1"/>
    </xf>
    <xf numFmtId="0" fontId="13" fillId="10" borderId="4" xfId="0" applyFont="1" applyFill="1" applyBorder="1" applyAlignment="1">
      <alignment vertical="top"/>
    </xf>
    <xf numFmtId="4" fontId="13" fillId="10" borderId="3" xfId="0" applyNumberFormat="1" applyFont="1" applyFill="1" applyBorder="1" applyAlignment="1">
      <alignment vertical="top"/>
    </xf>
    <xf numFmtId="0" fontId="14" fillId="0" borderId="0" xfId="0" applyFont="1"/>
    <xf numFmtId="0" fontId="2" fillId="0" borderId="10" xfId="0" applyFont="1" applyBorder="1" applyAlignment="1">
      <alignment vertical="top"/>
    </xf>
    <xf numFmtId="4" fontId="2" fillId="0" borderId="11" xfId="0" applyNumberFormat="1" applyFont="1" applyBorder="1" applyAlignment="1">
      <alignment vertical="top"/>
    </xf>
    <xf numFmtId="4" fontId="2" fillId="11" borderId="7" xfId="0" applyNumberFormat="1" applyFont="1" applyFill="1" applyBorder="1" applyAlignment="1">
      <alignment vertical="top"/>
    </xf>
    <xf numFmtId="4" fontId="2" fillId="0" borderId="5" xfId="0" applyNumberFormat="1" applyFont="1" applyBorder="1" applyAlignment="1">
      <alignment vertical="top"/>
    </xf>
    <xf numFmtId="4" fontId="2" fillId="11" borderId="5" xfId="0" applyNumberFormat="1" applyFont="1" applyFill="1" applyBorder="1"/>
    <xf numFmtId="4" fontId="2" fillId="12" borderId="5" xfId="0" applyNumberFormat="1" applyFont="1" applyFill="1" applyBorder="1"/>
    <xf numFmtId="0" fontId="2" fillId="0" borderId="12" xfId="0" applyFont="1" applyBorder="1" applyAlignment="1">
      <alignment vertical="top"/>
    </xf>
    <xf numFmtId="4" fontId="2" fillId="11" borderId="7" xfId="0" applyNumberFormat="1" applyFont="1" applyFill="1" applyBorder="1"/>
    <xf numFmtId="4" fontId="2" fillId="12" borderId="7" xfId="0" applyNumberFormat="1" applyFont="1" applyFill="1" applyBorder="1"/>
    <xf numFmtId="0" fontId="2" fillId="0" borderId="13" xfId="0" applyFont="1" applyBorder="1" applyAlignment="1">
      <alignment vertical="top"/>
    </xf>
    <xf numFmtId="4" fontId="13" fillId="10" borderId="4" xfId="0" applyNumberFormat="1" applyFont="1" applyFill="1" applyBorder="1" applyAlignment="1">
      <alignment vertical="top"/>
    </xf>
    <xf numFmtId="4" fontId="15" fillId="10" borderId="4" xfId="0" applyNumberFormat="1" applyFont="1" applyFill="1" applyBorder="1" applyAlignment="1">
      <alignment vertical="top"/>
    </xf>
    <xf numFmtId="4" fontId="13" fillId="12" borderId="3" xfId="0" applyNumberFormat="1" applyFont="1" applyFill="1" applyBorder="1" applyAlignment="1">
      <alignment vertical="top"/>
    </xf>
    <xf numFmtId="4" fontId="14" fillId="0" borderId="0" xfId="0" applyNumberFormat="1" applyFont="1"/>
    <xf numFmtId="0" fontId="1" fillId="10" borderId="9" xfId="0" applyFont="1" applyFill="1" applyBorder="1" applyAlignment="1">
      <alignment horizontal="left" vertical="top"/>
    </xf>
    <xf numFmtId="0" fontId="1" fillId="10" borderId="9" xfId="0" applyFont="1" applyFill="1" applyBorder="1" applyAlignment="1">
      <alignment horizontal="centerContinuous" vertical="top"/>
    </xf>
    <xf numFmtId="4" fontId="1" fillId="10" borderId="2" xfId="0" applyNumberFormat="1" applyFont="1" applyFill="1" applyBorder="1" applyAlignment="1">
      <alignment vertical="top"/>
    </xf>
    <xf numFmtId="4" fontId="1" fillId="11" borderId="2" xfId="0" applyNumberFormat="1" applyFont="1" applyFill="1" applyBorder="1" applyAlignment="1">
      <alignment vertical="top"/>
    </xf>
    <xf numFmtId="4" fontId="1" fillId="12" borderId="2" xfId="0" applyNumberFormat="1" applyFont="1" applyFill="1" applyBorder="1" applyAlignment="1">
      <alignment vertical="top"/>
    </xf>
    <xf numFmtId="2" fontId="3" fillId="0" borderId="0" xfId="0" applyNumberFormat="1" applyFont="1"/>
    <xf numFmtId="166" fontId="1" fillId="4" borderId="4" xfId="0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0" fontId="7" fillId="0" borderId="0" xfId="0" applyFont="1" applyAlignment="1">
      <alignment horizontal="left"/>
    </xf>
    <xf numFmtId="0" fontId="16" fillId="13" borderId="0" xfId="0" applyFont="1" applyFill="1" applyAlignment="1">
      <alignment horizontal="left" vertical="center"/>
    </xf>
    <xf numFmtId="166" fontId="2" fillId="4" borderId="4" xfId="0" applyNumberFormat="1" applyFont="1" applyFill="1" applyBorder="1"/>
    <xf numFmtId="0" fontId="1" fillId="9" borderId="4" xfId="0" quotePrefix="1" applyFont="1" applyFill="1" applyBorder="1" applyAlignment="1">
      <alignment horizontal="center" vertical="center" wrapText="1"/>
    </xf>
    <xf numFmtId="0" fontId="2" fillId="0" borderId="10" xfId="0" applyFont="1" applyBorder="1" applyAlignment="1">
      <alignment vertical="top" shrinkToFit="1"/>
    </xf>
    <xf numFmtId="0" fontId="2" fillId="0" borderId="12" xfId="0" applyFont="1" applyBorder="1" applyAlignment="1">
      <alignment vertical="top" shrinkToFit="1"/>
    </xf>
    <xf numFmtId="0" fontId="17" fillId="0" borderId="7" xfId="0" applyFont="1" applyBorder="1" applyAlignment="1">
      <alignment horizontal="left" shrinkToFit="1"/>
    </xf>
    <xf numFmtId="0" fontId="2" fillId="0" borderId="13" xfId="0" applyFont="1" applyBorder="1" applyAlignment="1">
      <alignment vertical="top" shrinkToFit="1"/>
    </xf>
    <xf numFmtId="0" fontId="15" fillId="10" borderId="4" xfId="0" applyFont="1" applyFill="1" applyBorder="1" applyAlignment="1">
      <alignment vertical="top" shrinkToFit="1"/>
    </xf>
    <xf numFmtId="0" fontId="1" fillId="3" borderId="4" xfId="0" applyFont="1" applyFill="1" applyBorder="1" applyAlignment="1">
      <alignment horizontal="center" vertical="center" wrapText="1"/>
    </xf>
    <xf numFmtId="0" fontId="17" fillId="0" borderId="14" xfId="0" applyFont="1" applyBorder="1" applyAlignment="1">
      <alignment horizontal="left" vertical="center" shrinkToFit="1"/>
    </xf>
    <xf numFmtId="0" fontId="17" fillId="0" borderId="7" xfId="0" applyFont="1" applyBorder="1" applyAlignment="1">
      <alignment horizontal="left" vertical="center" shrinkToFit="1"/>
    </xf>
    <xf numFmtId="0" fontId="17" fillId="0" borderId="15" xfId="0" applyFont="1" applyBorder="1" applyAlignment="1">
      <alignment horizontal="left" vertical="center" shrinkToFit="1"/>
    </xf>
    <xf numFmtId="0" fontId="17" fillId="0" borderId="16" xfId="0" applyFont="1" applyBorder="1" applyAlignment="1">
      <alignment horizontal="left" vertical="center" shrinkToFit="1"/>
    </xf>
    <xf numFmtId="0" fontId="17" fillId="0" borderId="17" xfId="0" applyFont="1" applyBorder="1" applyAlignment="1">
      <alignment horizontal="left" vertical="center" shrinkToFit="1"/>
    </xf>
    <xf numFmtId="0" fontId="17" fillId="0" borderId="18" xfId="0" applyFont="1" applyBorder="1" applyAlignment="1">
      <alignment horizontal="left" vertical="center" shrinkToFit="1"/>
    </xf>
    <xf numFmtId="165" fontId="1" fillId="4" borderId="4" xfId="0" applyNumberFormat="1" applyFont="1" applyFill="1" applyBorder="1" applyAlignment="1">
      <alignment vertical="center"/>
    </xf>
    <xf numFmtId="164" fontId="1" fillId="4" borderId="4" xfId="0" applyNumberFormat="1" applyFont="1" applyFill="1" applyBorder="1" applyAlignment="1">
      <alignment vertical="center"/>
    </xf>
    <xf numFmtId="4" fontId="2" fillId="4" borderId="4" xfId="0" applyNumberFormat="1" applyFont="1" applyFill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165" fontId="1" fillId="4" borderId="3" xfId="0" applyNumberFormat="1" applyFont="1" applyFill="1" applyBorder="1" applyAlignment="1">
      <alignment vertical="center"/>
    </xf>
    <xf numFmtId="165" fontId="1" fillId="4" borderId="4" xfId="0" applyNumberFormat="1" applyFont="1" applyFill="1" applyBorder="1" applyAlignment="1">
      <alignment vertical="center"/>
    </xf>
    <xf numFmtId="4" fontId="2" fillId="4" borderId="4" xfId="0" applyNumberFormat="1" applyFont="1" applyFill="1" applyBorder="1" applyAlignment="1">
      <alignment vertical="center"/>
    </xf>
    <xf numFmtId="166" fontId="2" fillId="0" borderId="14" xfId="0" applyNumberFormat="1" applyFont="1" applyBorder="1" applyAlignment="1">
      <alignment vertical="center"/>
    </xf>
    <xf numFmtId="166" fontId="2" fillId="2" borderId="14" xfId="0" applyNumberFormat="1" applyFont="1" applyFill="1" applyBorder="1" applyAlignment="1">
      <alignment vertical="center"/>
    </xf>
    <xf numFmtId="166" fontId="2" fillId="5" borderId="14" xfId="0" applyNumberFormat="1" applyFont="1" applyFill="1" applyBorder="1" applyAlignment="1">
      <alignment vertical="center"/>
    </xf>
    <xf numFmtId="166" fontId="18" fillId="0" borderId="14" xfId="0" applyNumberFormat="1" applyFont="1" applyBorder="1" applyAlignment="1">
      <alignment vertical="center"/>
    </xf>
    <xf numFmtId="166" fontId="2" fillId="3" borderId="14" xfId="0" applyNumberFormat="1" applyFont="1" applyFill="1" applyBorder="1" applyAlignment="1">
      <alignment vertical="center"/>
    </xf>
    <xf numFmtId="4" fontId="2" fillId="6" borderId="14" xfId="0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166" fontId="2" fillId="0" borderId="7" xfId="0" applyNumberFormat="1" applyFont="1" applyBorder="1" applyAlignment="1">
      <alignment vertical="center"/>
    </xf>
    <xf numFmtId="166" fontId="2" fillId="2" borderId="7" xfId="0" applyNumberFormat="1" applyFont="1" applyFill="1" applyBorder="1" applyAlignment="1">
      <alignment vertical="center"/>
    </xf>
    <xf numFmtId="166" fontId="2" fillId="5" borderId="7" xfId="0" applyNumberFormat="1" applyFont="1" applyFill="1" applyBorder="1" applyAlignment="1">
      <alignment vertical="center"/>
    </xf>
    <xf numFmtId="166" fontId="18" fillId="0" borderId="7" xfId="0" applyNumberFormat="1" applyFont="1" applyBorder="1" applyAlignment="1">
      <alignment vertical="center"/>
    </xf>
    <xf numFmtId="166" fontId="2" fillId="0" borderId="15" xfId="0" applyNumberFormat="1" applyFont="1" applyBorder="1" applyAlignment="1">
      <alignment vertical="center"/>
    </xf>
    <xf numFmtId="166" fontId="2" fillId="2" borderId="15" xfId="0" applyNumberFormat="1" applyFont="1" applyFill="1" applyBorder="1" applyAlignment="1">
      <alignment vertical="center"/>
    </xf>
    <xf numFmtId="166" fontId="2" fillId="5" borderId="15" xfId="0" applyNumberFormat="1" applyFont="1" applyFill="1" applyBorder="1" applyAlignment="1">
      <alignment vertical="center"/>
    </xf>
    <xf numFmtId="166" fontId="18" fillId="0" borderId="15" xfId="0" applyNumberFormat="1" applyFont="1" applyBorder="1" applyAlignment="1">
      <alignment vertical="center"/>
    </xf>
    <xf numFmtId="0" fontId="17" fillId="4" borderId="3" xfId="0" applyFont="1" applyFill="1" applyBorder="1" applyAlignment="1">
      <alignment vertical="center"/>
    </xf>
    <xf numFmtId="166" fontId="1" fillId="4" borderId="4" xfId="0" applyNumberFormat="1" applyFont="1" applyFill="1" applyBorder="1" applyAlignment="1">
      <alignment vertical="center"/>
    </xf>
    <xf numFmtId="3" fontId="2" fillId="0" borderId="14" xfId="0" applyNumberFormat="1" applyFont="1" applyBorder="1" applyAlignment="1">
      <alignment horizontal="right" vertical="center"/>
    </xf>
    <xf numFmtId="4" fontId="2" fillId="0" borderId="14" xfId="0" applyNumberFormat="1" applyFont="1" applyBorder="1" applyAlignment="1">
      <alignment horizontal="right" vertical="center"/>
    </xf>
    <xf numFmtId="3" fontId="2" fillId="0" borderId="7" xfId="0" applyNumberFormat="1" applyFont="1" applyBorder="1" applyAlignment="1">
      <alignment horizontal="right" vertical="center"/>
    </xf>
    <xf numFmtId="4" fontId="2" fillId="0" borderId="7" xfId="0" applyNumberFormat="1" applyFont="1" applyBorder="1" applyAlignment="1">
      <alignment horizontal="right" vertical="center"/>
    </xf>
    <xf numFmtId="0" fontId="2" fillId="0" borderId="7" xfId="0" applyFont="1" applyBorder="1" applyAlignment="1">
      <alignment horizontal="right" vertical="center"/>
    </xf>
    <xf numFmtId="3" fontId="2" fillId="0" borderId="15" xfId="0" applyNumberFormat="1" applyFont="1" applyBorder="1" applyAlignment="1">
      <alignment horizontal="right" vertical="center"/>
    </xf>
    <xf numFmtId="4" fontId="2" fillId="0" borderId="15" xfId="0" applyNumberFormat="1" applyFont="1" applyBorder="1" applyAlignment="1">
      <alignment horizontal="right" vertical="center"/>
    </xf>
    <xf numFmtId="0" fontId="19" fillId="4" borderId="3" xfId="0" applyFont="1" applyFill="1" applyBorder="1" applyAlignment="1">
      <alignment vertical="center"/>
    </xf>
    <xf numFmtId="0" fontId="1" fillId="4" borderId="2" xfId="0" applyFont="1" applyFill="1" applyBorder="1" applyAlignment="1">
      <alignment horizontal="center" vertical="center"/>
    </xf>
    <xf numFmtId="166" fontId="2" fillId="0" borderId="16" xfId="0" applyNumberFormat="1" applyFont="1" applyBorder="1" applyAlignment="1">
      <alignment vertical="center"/>
    </xf>
    <xf numFmtId="166" fontId="2" fillId="2" borderId="16" xfId="0" applyNumberFormat="1" applyFont="1" applyFill="1" applyBorder="1" applyAlignment="1">
      <alignment vertical="center"/>
    </xf>
    <xf numFmtId="166" fontId="2" fillId="5" borderId="16" xfId="0" applyNumberFormat="1" applyFont="1" applyFill="1" applyBorder="1" applyAlignment="1">
      <alignment vertical="center"/>
    </xf>
    <xf numFmtId="166" fontId="18" fillId="0" borderId="16" xfId="0" applyNumberFormat="1" applyFont="1" applyBorder="1" applyAlignment="1">
      <alignment vertical="center"/>
    </xf>
    <xf numFmtId="166" fontId="2" fillId="3" borderId="16" xfId="0" applyNumberFormat="1" applyFont="1" applyFill="1" applyBorder="1" applyAlignment="1">
      <alignment vertical="center"/>
    </xf>
    <xf numFmtId="4" fontId="2" fillId="6" borderId="16" xfId="0" applyNumberFormat="1" applyFont="1" applyFill="1" applyBorder="1" applyAlignment="1">
      <alignment vertical="center"/>
    </xf>
    <xf numFmtId="166" fontId="2" fillId="0" borderId="17" xfId="0" applyNumberFormat="1" applyFont="1" applyBorder="1" applyAlignment="1">
      <alignment vertical="center"/>
    </xf>
    <xf numFmtId="166" fontId="2" fillId="2" borderId="17" xfId="0" applyNumberFormat="1" applyFont="1" applyFill="1" applyBorder="1" applyAlignment="1">
      <alignment vertical="center"/>
    </xf>
    <xf numFmtId="166" fontId="2" fillId="5" borderId="17" xfId="0" applyNumberFormat="1" applyFont="1" applyFill="1" applyBorder="1" applyAlignment="1">
      <alignment vertical="center"/>
    </xf>
    <xf numFmtId="166" fontId="18" fillId="0" borderId="17" xfId="0" applyNumberFormat="1" applyFont="1" applyBorder="1" applyAlignment="1">
      <alignment vertical="center"/>
    </xf>
    <xf numFmtId="166" fontId="2" fillId="0" borderId="18" xfId="0" applyNumberFormat="1" applyFont="1" applyBorder="1" applyAlignment="1">
      <alignment vertical="center"/>
    </xf>
    <xf numFmtId="166" fontId="2" fillId="2" borderId="18" xfId="0" applyNumberFormat="1" applyFont="1" applyFill="1" applyBorder="1" applyAlignment="1">
      <alignment vertical="center"/>
    </xf>
    <xf numFmtId="166" fontId="2" fillId="5" borderId="18" xfId="0" applyNumberFormat="1" applyFont="1" applyFill="1" applyBorder="1" applyAlignment="1">
      <alignment vertical="center"/>
    </xf>
    <xf numFmtId="166" fontId="18" fillId="0" borderId="18" xfId="0" applyNumberFormat="1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18" fillId="0" borderId="7" xfId="0" applyFont="1" applyBorder="1" applyAlignment="1">
      <alignment vertical="center"/>
    </xf>
    <xf numFmtId="0" fontId="19" fillId="4" borderId="3" xfId="0" applyFont="1" applyFill="1" applyBorder="1" applyAlignment="1">
      <alignment vertical="center" shrinkToFit="1"/>
    </xf>
    <xf numFmtId="4" fontId="2" fillId="6" borderId="17" xfId="0" applyNumberFormat="1" applyFont="1" applyFill="1" applyBorder="1" applyAlignment="1">
      <alignment vertical="center"/>
    </xf>
    <xf numFmtId="4" fontId="2" fillId="6" borderId="18" xfId="0" applyNumberFormat="1" applyFont="1" applyFill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18" fillId="0" borderId="17" xfId="0" applyFont="1" applyBorder="1" applyAlignment="1">
      <alignment vertical="center"/>
    </xf>
    <xf numFmtId="0" fontId="2" fillId="4" borderId="9" xfId="0" applyFont="1" applyFill="1" applyBorder="1" applyAlignment="1">
      <alignment vertical="center"/>
    </xf>
    <xf numFmtId="0" fontId="2" fillId="0" borderId="14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1" fillId="4" borderId="9" xfId="0" applyFont="1" applyFill="1" applyBorder="1" applyAlignment="1">
      <alignment vertical="center"/>
    </xf>
    <xf numFmtId="0" fontId="2" fillId="0" borderId="16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2" fillId="0" borderId="18" xfId="0" applyFont="1" applyBorder="1" applyAlignment="1">
      <alignment horizontal="left" vertical="center"/>
    </xf>
    <xf numFmtId="49" fontId="20" fillId="4" borderId="2" xfId="0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left" vertical="center" wrapText="1"/>
    </xf>
    <xf numFmtId="49" fontId="1" fillId="4" borderId="2" xfId="0" applyNumberFormat="1" applyFont="1" applyFill="1" applyBorder="1" applyAlignment="1">
      <alignment horizontal="center" vertical="center"/>
    </xf>
    <xf numFmtId="0" fontId="2" fillId="0" borderId="14" xfId="0" quotePrefix="1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17" fillId="0" borderId="7" xfId="0" applyFont="1" applyBorder="1" applyAlignment="1">
      <alignment horizontal="left" vertical="center" shrinkToFit="1"/>
    </xf>
    <xf numFmtId="0" fontId="2" fillId="0" borderId="15" xfId="0" applyFont="1" applyBorder="1" applyAlignment="1">
      <alignment horizontal="left" vertical="center"/>
    </xf>
    <xf numFmtId="0" fontId="17" fillId="0" borderId="15" xfId="0" applyFont="1" applyBorder="1" applyAlignment="1">
      <alignment horizontal="left" vertical="center" shrinkToFit="1"/>
    </xf>
    <xf numFmtId="0" fontId="2" fillId="4" borderId="9" xfId="0" applyFont="1" applyFill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49" fontId="2" fillId="0" borderId="2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left" vertical="center" wrapText="1"/>
    </xf>
    <xf numFmtId="0" fontId="17" fillId="0" borderId="14" xfId="0" applyFont="1" applyBorder="1" applyAlignment="1">
      <alignment horizontal="left" vertical="center" shrinkToFit="1"/>
    </xf>
    <xf numFmtId="0" fontId="2" fillId="0" borderId="7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1" fillId="4" borderId="9" xfId="0" applyFont="1" applyFill="1" applyBorder="1" applyAlignment="1">
      <alignment vertical="center"/>
    </xf>
    <xf numFmtId="0" fontId="2" fillId="0" borderId="14" xfId="0" applyFont="1" applyBorder="1" applyAlignment="1">
      <alignment horizontal="left" vertical="center"/>
    </xf>
    <xf numFmtId="0" fontId="2" fillId="0" borderId="16" xfId="0" quotePrefix="1" applyFont="1" applyBorder="1" applyAlignment="1">
      <alignment horizontal="center" vertical="center"/>
    </xf>
    <xf numFmtId="0" fontId="2" fillId="0" borderId="16" xfId="0" applyFont="1" applyBorder="1" applyAlignment="1">
      <alignment horizontal="left" vertical="center"/>
    </xf>
    <xf numFmtId="0" fontId="17" fillId="0" borderId="16" xfId="0" applyFont="1" applyBorder="1" applyAlignment="1">
      <alignment horizontal="left" vertical="center" shrinkToFit="1"/>
    </xf>
    <xf numFmtId="0" fontId="2" fillId="0" borderId="17" xfId="0" applyFont="1" applyBorder="1" applyAlignment="1">
      <alignment horizontal="left" vertical="center"/>
    </xf>
    <xf numFmtId="0" fontId="17" fillId="0" borderId="17" xfId="0" applyFont="1" applyBorder="1" applyAlignment="1">
      <alignment horizontal="left" vertical="center" shrinkToFit="1"/>
    </xf>
    <xf numFmtId="0" fontId="2" fillId="0" borderId="18" xfId="0" applyFont="1" applyBorder="1" applyAlignment="1">
      <alignment horizontal="left" vertical="center"/>
    </xf>
    <xf numFmtId="0" fontId="17" fillId="0" borderId="18" xfId="0" applyFont="1" applyBorder="1" applyAlignment="1">
      <alignment horizontal="left" vertical="center" shrinkToFit="1"/>
    </xf>
    <xf numFmtId="0" fontId="2" fillId="0" borderId="2" xfId="0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0" fontId="1" fillId="9" borderId="2" xfId="0" quotePrefix="1" applyFont="1" applyFill="1" applyBorder="1" applyAlignment="1">
      <alignment horizontal="centerContinuous" vertical="center" wrapText="1"/>
    </xf>
    <xf numFmtId="0" fontId="1" fillId="7" borderId="2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 wrapText="1"/>
    </xf>
    <xf numFmtId="0" fontId="1" fillId="3" borderId="20" xfId="0" applyFont="1" applyFill="1" applyBorder="1" applyAlignment="1">
      <alignment horizontal="center" vertical="center" wrapText="1"/>
    </xf>
    <xf numFmtId="0" fontId="21" fillId="5" borderId="19" xfId="0" applyFont="1" applyFill="1" applyBorder="1" applyAlignment="1">
      <alignment horizontal="center" vertical="center" wrapText="1"/>
    </xf>
    <xf numFmtId="0" fontId="22" fillId="5" borderId="20" xfId="0" applyFont="1" applyFill="1" applyBorder="1" applyAlignment="1">
      <alignment horizontal="center" vertical="center" wrapText="1"/>
    </xf>
    <xf numFmtId="0" fontId="13" fillId="6" borderId="19" xfId="0" applyFont="1" applyFill="1" applyBorder="1" applyAlignment="1">
      <alignment horizontal="center" vertical="center" wrapText="1"/>
    </xf>
    <xf numFmtId="0" fontId="13" fillId="6" borderId="20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9" borderId="21" xfId="0" applyFont="1" applyFill="1" applyBorder="1" applyAlignment="1">
      <alignment horizontal="center" vertical="center" wrapText="1"/>
    </xf>
    <xf numFmtId="0" fontId="19" fillId="4" borderId="4" xfId="0" applyFont="1" applyFill="1" applyBorder="1" applyAlignment="1">
      <alignment horizontal="center" vertical="center" wrapText="1"/>
    </xf>
    <xf numFmtId="0" fontId="19" fillId="4" borderId="19" xfId="0" applyFont="1" applyFill="1" applyBorder="1" applyAlignment="1">
      <alignment horizontal="center" vertical="center" wrapText="1"/>
    </xf>
    <xf numFmtId="0" fontId="1" fillId="9" borderId="19" xfId="0" applyFont="1" applyFill="1" applyBorder="1" applyAlignment="1">
      <alignment horizontal="center" vertical="center" wrapText="1"/>
    </xf>
    <xf numFmtId="0" fontId="23" fillId="0" borderId="20" xfId="0" applyFont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0" fontId="11" fillId="3" borderId="19" xfId="0" applyFont="1" applyFill="1" applyBorder="1" applyAlignment="1">
      <alignment horizontal="center" vertical="center" wrapText="1"/>
    </xf>
    <xf numFmtId="0" fontId="11" fillId="3" borderId="20" xfId="0" applyFont="1" applyFill="1" applyBorder="1" applyAlignment="1">
      <alignment horizontal="center" vertical="center" wrapText="1"/>
    </xf>
    <xf numFmtId="0" fontId="1" fillId="9" borderId="20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3" borderId="19" xfId="0" applyFont="1" applyFill="1" applyBorder="1" applyAlignment="1">
      <alignment horizontal="center" vertical="center" shrinkToFit="1"/>
    </xf>
    <xf numFmtId="0" fontId="1" fillId="3" borderId="20" xfId="0" applyFont="1" applyFill="1" applyBorder="1" applyAlignment="1">
      <alignment horizontal="center" vertical="center" shrinkToFit="1"/>
    </xf>
    <xf numFmtId="0" fontId="1" fillId="9" borderId="2" xfId="0" applyFont="1" applyFill="1" applyBorder="1" applyAlignment="1">
      <alignment horizontal="center" vertical="center" wrapText="1"/>
    </xf>
    <xf numFmtId="0" fontId="1" fillId="9" borderId="22" xfId="0" applyFont="1" applyFill="1" applyBorder="1" applyAlignment="1">
      <alignment horizontal="center" vertical="center" wrapText="1"/>
    </xf>
    <xf numFmtId="0" fontId="1" fillId="9" borderId="23" xfId="0" applyFont="1" applyFill="1" applyBorder="1" applyAlignment="1">
      <alignment horizontal="center" vertical="center" wrapText="1"/>
    </xf>
    <xf numFmtId="0" fontId="1" fillId="9" borderId="24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22" xfId="0" applyFont="1" applyFill="1" applyBorder="1" applyAlignment="1">
      <alignment horizontal="center" vertical="center" wrapText="1"/>
    </xf>
    <xf numFmtId="0" fontId="1" fillId="4" borderId="21" xfId="0" applyFont="1" applyFill="1" applyBorder="1" applyAlignment="1">
      <alignment horizontal="center" vertical="center" wrapText="1"/>
    </xf>
    <xf numFmtId="0" fontId="1" fillId="4" borderId="2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348"/>
  <sheetViews>
    <sheetView tabSelected="1" topLeftCell="C1" zoomScale="90" zoomScaleNormal="90" workbookViewId="0">
      <pane ySplit="5" topLeftCell="A6" activePane="bottomLeft" state="frozen"/>
      <selection pane="bottomLeft" activeCell="C4" sqref="C4:C5"/>
    </sheetView>
  </sheetViews>
  <sheetFormatPr baseColWidth="10" defaultColWidth="9.140625" defaultRowHeight="12.75"/>
  <cols>
    <col min="1" max="1" width="6.140625" style="79" customWidth="1"/>
    <col min="2" max="2" width="12.140625" customWidth="1"/>
    <col min="3" max="3" width="33.28515625" customWidth="1"/>
    <col min="4" max="4" width="10.7109375" customWidth="1"/>
    <col min="5" max="6" width="11" customWidth="1"/>
    <col min="7" max="16" width="11.42578125" customWidth="1"/>
    <col min="17" max="17" width="12" customWidth="1"/>
    <col min="18" max="18" width="11.85546875" customWidth="1"/>
    <col min="19" max="19" width="11" customWidth="1"/>
    <col min="20" max="20" width="10.140625" customWidth="1"/>
    <col min="21" max="21" width="9.42578125" style="80" customWidth="1"/>
    <col min="22" max="22" width="8.7109375" style="80" customWidth="1"/>
    <col min="23" max="23" width="10.140625" style="80" customWidth="1"/>
    <col min="24" max="24" width="11.7109375" customWidth="1"/>
    <col min="25" max="26" width="12.140625" customWidth="1"/>
    <col min="27" max="27" width="16.5703125" customWidth="1"/>
  </cols>
  <sheetData>
    <row r="1" spans="1:27" ht="17.25" customHeight="1">
      <c r="A1" s="110" t="s">
        <v>131</v>
      </c>
    </row>
    <row r="2" spans="1:27">
      <c r="A2" s="109" t="s">
        <v>0</v>
      </c>
    </row>
    <row r="3" spans="1:27">
      <c r="Q3" s="1"/>
      <c r="Y3" s="1"/>
      <c r="Z3" s="1"/>
      <c r="AA3" s="1"/>
    </row>
    <row r="4" spans="1:27" ht="30" customHeight="1">
      <c r="A4" s="227" t="s">
        <v>1</v>
      </c>
      <c r="B4" s="229" t="s">
        <v>2</v>
      </c>
      <c r="C4" s="229" t="s">
        <v>3</v>
      </c>
      <c r="D4" s="231" t="s">
        <v>4</v>
      </c>
      <c r="E4" s="231" t="s">
        <v>5</v>
      </c>
      <c r="F4" s="231" t="s">
        <v>6</v>
      </c>
      <c r="G4" s="2" t="s">
        <v>7</v>
      </c>
      <c r="H4" s="2"/>
      <c r="I4" s="2"/>
      <c r="J4" s="2"/>
      <c r="K4" s="2"/>
      <c r="L4" s="2"/>
      <c r="M4" s="2"/>
      <c r="N4" s="2"/>
      <c r="O4" s="2"/>
      <c r="P4" s="2"/>
      <c r="Q4" s="2"/>
      <c r="R4" s="223" t="s">
        <v>132</v>
      </c>
      <c r="S4" s="233"/>
      <c r="T4" s="234"/>
      <c r="U4" s="235" t="s">
        <v>9</v>
      </c>
      <c r="V4" s="234"/>
      <c r="W4" s="237" t="s">
        <v>10</v>
      </c>
      <c r="X4" s="236" t="s">
        <v>11</v>
      </c>
      <c r="Y4" s="221" t="s">
        <v>12</v>
      </c>
      <c r="Z4" s="221" t="s">
        <v>13</v>
      </c>
      <c r="AA4" s="225" t="s">
        <v>14</v>
      </c>
    </row>
    <row r="5" spans="1:27" ht="41.25" customHeight="1">
      <c r="A5" s="228"/>
      <c r="B5" s="230"/>
      <c r="C5" s="230"/>
      <c r="D5" s="232"/>
      <c r="E5" s="232"/>
      <c r="F5" s="232"/>
      <c r="G5" s="4" t="s">
        <v>15</v>
      </c>
      <c r="H5" s="4" t="s">
        <v>16</v>
      </c>
      <c r="I5" s="4" t="s">
        <v>17</v>
      </c>
      <c r="J5" s="4" t="s">
        <v>19</v>
      </c>
      <c r="K5" s="4" t="s">
        <v>20</v>
      </c>
      <c r="L5" s="4" t="s">
        <v>21</v>
      </c>
      <c r="M5" s="4" t="s">
        <v>22</v>
      </c>
      <c r="N5" s="4" t="s">
        <v>23</v>
      </c>
      <c r="O5" s="4" t="s">
        <v>24</v>
      </c>
      <c r="P5" s="4" t="s">
        <v>25</v>
      </c>
      <c r="Q5" s="4" t="s">
        <v>18</v>
      </c>
      <c r="R5" s="224"/>
      <c r="S5" s="118" t="s">
        <v>26</v>
      </c>
      <c r="T5" s="118" t="s">
        <v>27</v>
      </c>
      <c r="U5" s="81">
        <v>276</v>
      </c>
      <c r="V5" s="81">
        <v>728</v>
      </c>
      <c r="W5" s="238"/>
      <c r="X5" s="236"/>
      <c r="Y5" s="222"/>
      <c r="Z5" s="222"/>
      <c r="AA5" s="226"/>
    </row>
    <row r="6" spans="1:27" s="108" customFormat="1" ht="13.5" customHeight="1">
      <c r="A6" s="190" t="s">
        <v>28</v>
      </c>
      <c r="B6" s="179"/>
      <c r="C6" s="128"/>
      <c r="D6" s="129">
        <f t="shared" ref="D6:P6" si="0">SUBTOTAL(9,D7:D22)</f>
        <v>0</v>
      </c>
      <c r="E6" s="130">
        <f t="shared" si="0"/>
        <v>0</v>
      </c>
      <c r="F6" s="130">
        <f t="shared" si="0"/>
        <v>0</v>
      </c>
      <c r="G6" s="130">
        <f t="shared" si="0"/>
        <v>0</v>
      </c>
      <c r="H6" s="130">
        <f t="shared" ref="H6:N6" si="1">SUBTOTAL(9,H7:H22)</f>
        <v>0</v>
      </c>
      <c r="I6" s="130">
        <f t="shared" si="1"/>
        <v>0</v>
      </c>
      <c r="J6" s="130">
        <f t="shared" si="1"/>
        <v>0</v>
      </c>
      <c r="K6" s="130">
        <f t="shared" si="1"/>
        <v>0</v>
      </c>
      <c r="L6" s="130">
        <f t="shared" si="1"/>
        <v>0</v>
      </c>
      <c r="M6" s="130">
        <f t="shared" si="1"/>
        <v>0</v>
      </c>
      <c r="N6" s="130">
        <f t="shared" si="1"/>
        <v>0</v>
      </c>
      <c r="O6" s="130">
        <f t="shared" si="0"/>
        <v>0</v>
      </c>
      <c r="P6" s="130">
        <f t="shared" si="0"/>
        <v>0</v>
      </c>
      <c r="Q6" s="107">
        <f t="shared" ref="Q6:Q69" si="2">SUM(G6:P6)</f>
        <v>0</v>
      </c>
      <c r="R6" s="107">
        <f t="shared" ref="R6:R69" si="3">D6-Q6</f>
        <v>0</v>
      </c>
      <c r="S6" s="130">
        <f t="shared" ref="S6:X6" si="4">SUBTOTAL(9,S7:S22)</f>
        <v>0</v>
      </c>
      <c r="T6" s="130">
        <f t="shared" si="4"/>
        <v>0</v>
      </c>
      <c r="U6" s="130">
        <f t="shared" si="4"/>
        <v>0</v>
      </c>
      <c r="V6" s="130">
        <f t="shared" si="4"/>
        <v>0</v>
      </c>
      <c r="W6" s="130">
        <f t="shared" si="4"/>
        <v>0</v>
      </c>
      <c r="X6" s="130">
        <f t="shared" si="4"/>
        <v>0</v>
      </c>
      <c r="Y6" s="125">
        <f>SUM(S6:X6)</f>
        <v>0</v>
      </c>
      <c r="Z6" s="56">
        <f>+Q6+Y6</f>
        <v>0</v>
      </c>
      <c r="AA6" s="131">
        <f>+D6-Z6</f>
        <v>0</v>
      </c>
    </row>
    <row r="7" spans="1:27" s="138" customFormat="1" ht="13.5" customHeight="1">
      <c r="A7" s="216" t="s">
        <v>28</v>
      </c>
      <c r="B7" s="180" t="s">
        <v>29</v>
      </c>
      <c r="C7" s="119" t="s">
        <v>30</v>
      </c>
      <c r="D7" s="65"/>
      <c r="E7" s="132"/>
      <c r="F7" s="132"/>
      <c r="G7" s="66"/>
      <c r="H7" s="66"/>
      <c r="I7" s="66"/>
      <c r="J7" s="66"/>
      <c r="K7" s="66"/>
      <c r="L7" s="66"/>
      <c r="M7" s="66"/>
      <c r="N7" s="66"/>
      <c r="O7" s="66"/>
      <c r="P7" s="66"/>
      <c r="Q7" s="133">
        <f t="shared" si="2"/>
        <v>0</v>
      </c>
      <c r="R7" s="134">
        <f t="shared" si="3"/>
        <v>0</v>
      </c>
      <c r="S7" s="132"/>
      <c r="T7" s="132"/>
      <c r="U7" s="135">
        <v>0</v>
      </c>
      <c r="V7" s="135">
        <v>0</v>
      </c>
      <c r="W7" s="135"/>
      <c r="X7" s="132"/>
      <c r="Y7" s="136">
        <f>SUM(S7:X7)</f>
        <v>0</v>
      </c>
      <c r="Z7" s="136">
        <f>+Q7+Y7</f>
        <v>0</v>
      </c>
      <c r="AA7" s="137">
        <f>+D7-Z7</f>
        <v>0</v>
      </c>
    </row>
    <row r="8" spans="1:27" s="138" customFormat="1" ht="13.5" customHeight="1">
      <c r="A8" s="216" t="s">
        <v>28</v>
      </c>
      <c r="B8" s="181" t="s">
        <v>31</v>
      </c>
      <c r="C8" s="120" t="s">
        <v>32</v>
      </c>
      <c r="D8" s="67"/>
      <c r="E8" s="139"/>
      <c r="F8" s="139"/>
      <c r="G8" s="68"/>
      <c r="H8" s="68"/>
      <c r="I8" s="68"/>
      <c r="J8" s="68"/>
      <c r="K8" s="68"/>
      <c r="L8" s="68"/>
      <c r="M8" s="68"/>
      <c r="N8" s="68"/>
      <c r="O8" s="68"/>
      <c r="P8" s="68"/>
      <c r="Q8" s="140">
        <f t="shared" si="2"/>
        <v>0</v>
      </c>
      <c r="R8" s="141">
        <f t="shared" si="3"/>
        <v>0</v>
      </c>
      <c r="S8" s="139"/>
      <c r="T8" s="139"/>
      <c r="U8" s="142">
        <v>0</v>
      </c>
      <c r="V8" s="142">
        <v>0</v>
      </c>
      <c r="W8" s="142"/>
      <c r="X8" s="139"/>
      <c r="Y8" s="136">
        <f>SUM(S8:X8)</f>
        <v>0</v>
      </c>
      <c r="Z8" s="136">
        <f>+Q8+Y8</f>
        <v>0</v>
      </c>
      <c r="AA8" s="137">
        <f>+D8-Z8</f>
        <v>0</v>
      </c>
    </row>
    <row r="9" spans="1:27" s="138" customFormat="1" ht="13.5" customHeight="1">
      <c r="A9" s="216" t="s">
        <v>28</v>
      </c>
      <c r="B9" s="181" t="s">
        <v>33</v>
      </c>
      <c r="C9" s="120" t="s">
        <v>34</v>
      </c>
      <c r="D9" s="67"/>
      <c r="E9" s="139"/>
      <c r="F9" s="139"/>
      <c r="G9" s="68"/>
      <c r="H9" s="68"/>
      <c r="I9" s="68"/>
      <c r="J9" s="68"/>
      <c r="K9" s="68"/>
      <c r="L9" s="68"/>
      <c r="M9" s="68"/>
      <c r="N9" s="68"/>
      <c r="O9" s="68"/>
      <c r="P9" s="68"/>
      <c r="Q9" s="140">
        <f t="shared" si="2"/>
        <v>0</v>
      </c>
      <c r="R9" s="141">
        <f t="shared" si="3"/>
        <v>0</v>
      </c>
      <c r="S9" s="139"/>
      <c r="T9" s="139"/>
      <c r="U9" s="142">
        <v>0</v>
      </c>
      <c r="V9" s="142">
        <v>0</v>
      </c>
      <c r="W9" s="142"/>
      <c r="X9" s="139"/>
      <c r="Y9" s="136">
        <f>SUM(S9:X9)</f>
        <v>0</v>
      </c>
      <c r="Z9" s="136">
        <f>+Q9+Y9</f>
        <v>0</v>
      </c>
      <c r="AA9" s="137">
        <f>+D9-Z9</f>
        <v>0</v>
      </c>
    </row>
    <row r="10" spans="1:27" s="138" customFormat="1" ht="13.5" customHeight="1">
      <c r="A10" s="216" t="s">
        <v>28</v>
      </c>
      <c r="B10" s="181" t="s">
        <v>35</v>
      </c>
      <c r="C10" s="120" t="s">
        <v>36</v>
      </c>
      <c r="D10" s="67"/>
      <c r="E10" s="139"/>
      <c r="F10" s="139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140">
        <f t="shared" si="2"/>
        <v>0</v>
      </c>
      <c r="R10" s="141">
        <f t="shared" si="3"/>
        <v>0</v>
      </c>
      <c r="S10" s="139"/>
      <c r="T10" s="139"/>
      <c r="U10" s="142">
        <v>0</v>
      </c>
      <c r="V10" s="142">
        <v>0</v>
      </c>
      <c r="W10" s="142"/>
      <c r="X10" s="139"/>
      <c r="Y10" s="136">
        <f>SUM(S10:X10)</f>
        <v>0</v>
      </c>
      <c r="Z10" s="136">
        <f>+Q10+Y10</f>
        <v>0</v>
      </c>
      <c r="AA10" s="137">
        <f>+D10-Z10</f>
        <v>0</v>
      </c>
    </row>
    <row r="11" spans="1:27" s="138" customFormat="1" ht="13.5" customHeight="1">
      <c r="A11" s="216" t="s">
        <v>28</v>
      </c>
      <c r="B11" s="181" t="s">
        <v>37</v>
      </c>
      <c r="C11" s="120" t="s">
        <v>38</v>
      </c>
      <c r="D11" s="67"/>
      <c r="E11" s="139"/>
      <c r="F11" s="139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140">
        <f t="shared" si="2"/>
        <v>0</v>
      </c>
      <c r="R11" s="141">
        <f t="shared" si="3"/>
        <v>0</v>
      </c>
      <c r="S11" s="139"/>
      <c r="T11" s="139"/>
      <c r="U11" s="142">
        <v>0</v>
      </c>
      <c r="V11" s="142">
        <v>0</v>
      </c>
      <c r="W11" s="142"/>
      <c r="X11" s="139"/>
      <c r="Y11" s="136">
        <f>SUM(S11:X11)</f>
        <v>0</v>
      </c>
      <c r="Z11" s="136">
        <f>+Q11+Y11</f>
        <v>0</v>
      </c>
      <c r="AA11" s="137">
        <f>+D11-Z11</f>
        <v>0</v>
      </c>
    </row>
    <row r="12" spans="1:27" s="138" customFormat="1" ht="13.5" customHeight="1">
      <c r="A12" s="216" t="s">
        <v>28</v>
      </c>
      <c r="B12" s="181" t="s">
        <v>39</v>
      </c>
      <c r="C12" s="120" t="s">
        <v>40</v>
      </c>
      <c r="D12" s="67"/>
      <c r="E12" s="139"/>
      <c r="F12" s="139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140">
        <f t="shared" si="2"/>
        <v>0</v>
      </c>
      <c r="R12" s="141">
        <f t="shared" si="3"/>
        <v>0</v>
      </c>
      <c r="S12" s="139"/>
      <c r="T12" s="139"/>
      <c r="U12" s="142">
        <v>0</v>
      </c>
      <c r="V12" s="142">
        <v>0</v>
      </c>
      <c r="W12" s="142"/>
      <c r="X12" s="139"/>
      <c r="Y12" s="136">
        <f>SUM(S12:X12)</f>
        <v>0</v>
      </c>
      <c r="Z12" s="136">
        <f>+Q12+Y12</f>
        <v>0</v>
      </c>
      <c r="AA12" s="137">
        <f>+D12-Z12</f>
        <v>0</v>
      </c>
    </row>
    <row r="13" spans="1:27" s="138" customFormat="1" ht="13.5" customHeight="1">
      <c r="A13" s="216" t="s">
        <v>28</v>
      </c>
      <c r="B13" s="181" t="s">
        <v>41</v>
      </c>
      <c r="C13" s="120" t="s">
        <v>42</v>
      </c>
      <c r="D13" s="67"/>
      <c r="E13" s="139"/>
      <c r="F13" s="139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140">
        <f t="shared" si="2"/>
        <v>0</v>
      </c>
      <c r="R13" s="141">
        <f t="shared" si="3"/>
        <v>0</v>
      </c>
      <c r="S13" s="139"/>
      <c r="T13" s="139"/>
      <c r="U13" s="142">
        <v>0</v>
      </c>
      <c r="V13" s="142">
        <v>0</v>
      </c>
      <c r="W13" s="142"/>
      <c r="X13" s="139"/>
      <c r="Y13" s="136">
        <f>SUM(S13:X13)</f>
        <v>0</v>
      </c>
      <c r="Z13" s="136">
        <f>+Q13+Y13</f>
        <v>0</v>
      </c>
      <c r="AA13" s="137">
        <f>+D13-Z13</f>
        <v>0</v>
      </c>
    </row>
    <row r="14" spans="1:27" s="138" customFormat="1" ht="13.5" customHeight="1">
      <c r="A14" s="216" t="s">
        <v>28</v>
      </c>
      <c r="B14" s="181" t="s">
        <v>43</v>
      </c>
      <c r="C14" s="120" t="s">
        <v>44</v>
      </c>
      <c r="D14" s="67"/>
      <c r="E14" s="139"/>
      <c r="F14" s="13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140">
        <f t="shared" si="2"/>
        <v>0</v>
      </c>
      <c r="R14" s="141">
        <f t="shared" si="3"/>
        <v>0</v>
      </c>
      <c r="S14" s="139"/>
      <c r="T14" s="139"/>
      <c r="U14" s="142">
        <v>0</v>
      </c>
      <c r="V14" s="142">
        <v>0</v>
      </c>
      <c r="W14" s="142"/>
      <c r="X14" s="139"/>
      <c r="Y14" s="136">
        <f>SUM(S14:X14)</f>
        <v>0</v>
      </c>
      <c r="Z14" s="136">
        <f>+Q14+Y14</f>
        <v>0</v>
      </c>
      <c r="AA14" s="137">
        <f>+D14-Z14</f>
        <v>0</v>
      </c>
    </row>
    <row r="15" spans="1:27" s="138" customFormat="1" ht="13.5" customHeight="1">
      <c r="A15" s="216" t="s">
        <v>28</v>
      </c>
      <c r="B15" s="181" t="s">
        <v>45</v>
      </c>
      <c r="C15" s="120" t="s">
        <v>46</v>
      </c>
      <c r="D15" s="67"/>
      <c r="E15" s="139"/>
      <c r="F15" s="13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140">
        <f t="shared" si="2"/>
        <v>0</v>
      </c>
      <c r="R15" s="141">
        <f t="shared" si="3"/>
        <v>0</v>
      </c>
      <c r="S15" s="139"/>
      <c r="T15" s="139"/>
      <c r="U15" s="142">
        <v>0</v>
      </c>
      <c r="V15" s="142">
        <v>0</v>
      </c>
      <c r="W15" s="142"/>
      <c r="X15" s="139"/>
      <c r="Y15" s="136">
        <f>SUM(S15:X15)</f>
        <v>0</v>
      </c>
      <c r="Z15" s="136">
        <f>+Q15+Y15</f>
        <v>0</v>
      </c>
      <c r="AA15" s="137">
        <f>+D15-Z15</f>
        <v>0</v>
      </c>
    </row>
    <row r="16" spans="1:27" s="138" customFormat="1" ht="13.5" customHeight="1">
      <c r="A16" s="216" t="s">
        <v>28</v>
      </c>
      <c r="B16" s="181" t="s">
        <v>47</v>
      </c>
      <c r="C16" s="120" t="s">
        <v>48</v>
      </c>
      <c r="D16" s="67"/>
      <c r="E16" s="139"/>
      <c r="F16" s="139"/>
      <c r="G16" s="68"/>
      <c r="H16" s="69"/>
      <c r="I16" s="69"/>
      <c r="J16" s="69"/>
      <c r="K16" s="69"/>
      <c r="L16" s="69"/>
      <c r="M16" s="69"/>
      <c r="N16" s="69"/>
      <c r="O16" s="69"/>
      <c r="P16" s="69"/>
      <c r="Q16" s="140">
        <f t="shared" si="2"/>
        <v>0</v>
      </c>
      <c r="R16" s="141">
        <f t="shared" si="3"/>
        <v>0</v>
      </c>
      <c r="S16" s="139"/>
      <c r="T16" s="139"/>
      <c r="U16" s="142">
        <v>0</v>
      </c>
      <c r="V16" s="142">
        <v>0</v>
      </c>
      <c r="W16" s="142"/>
      <c r="X16" s="139"/>
      <c r="Y16" s="136">
        <f>SUM(S16:X16)</f>
        <v>0</v>
      </c>
      <c r="Z16" s="136">
        <f>+Q16+Y16</f>
        <v>0</v>
      </c>
      <c r="AA16" s="137">
        <f>+D16-Z16</f>
        <v>0</v>
      </c>
    </row>
    <row r="17" spans="1:27" s="138" customFormat="1" ht="13.5" customHeight="1">
      <c r="A17" s="216" t="s">
        <v>28</v>
      </c>
      <c r="B17" s="181" t="s">
        <v>49</v>
      </c>
      <c r="C17" s="120" t="s">
        <v>50</v>
      </c>
      <c r="D17" s="67"/>
      <c r="E17" s="139"/>
      <c r="F17" s="13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140">
        <f t="shared" si="2"/>
        <v>0</v>
      </c>
      <c r="R17" s="141">
        <f t="shared" si="3"/>
        <v>0</v>
      </c>
      <c r="S17" s="139"/>
      <c r="T17" s="139"/>
      <c r="U17" s="142">
        <v>0</v>
      </c>
      <c r="V17" s="142">
        <v>0</v>
      </c>
      <c r="W17" s="142"/>
      <c r="X17" s="139"/>
      <c r="Y17" s="136">
        <f>SUM(S17:X17)</f>
        <v>0</v>
      </c>
      <c r="Z17" s="136">
        <f>+Q17+Y17</f>
        <v>0</v>
      </c>
      <c r="AA17" s="137">
        <f>+D17-Z17</f>
        <v>0</v>
      </c>
    </row>
    <row r="18" spans="1:27" s="138" customFormat="1" ht="13.5" customHeight="1">
      <c r="A18" s="216" t="s">
        <v>28</v>
      </c>
      <c r="B18" s="191" t="s">
        <v>51</v>
      </c>
      <c r="C18" s="120" t="s">
        <v>52</v>
      </c>
      <c r="D18" s="67"/>
      <c r="E18" s="139"/>
      <c r="F18" s="13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140">
        <f t="shared" si="2"/>
        <v>0</v>
      </c>
      <c r="R18" s="141">
        <f t="shared" si="3"/>
        <v>0</v>
      </c>
      <c r="S18" s="139"/>
      <c r="T18" s="139"/>
      <c r="U18" s="142">
        <v>0</v>
      </c>
      <c r="V18" s="142">
        <v>0</v>
      </c>
      <c r="W18" s="142"/>
      <c r="X18" s="139"/>
      <c r="Y18" s="136">
        <f>SUM(S18:X18)</f>
        <v>0</v>
      </c>
      <c r="Z18" s="136">
        <f>+Q18+Y18</f>
        <v>0</v>
      </c>
      <c r="AA18" s="137">
        <f>+D18-Z18</f>
        <v>0</v>
      </c>
    </row>
    <row r="19" spans="1:27" s="138" customFormat="1" ht="13.5" customHeight="1">
      <c r="A19" s="216" t="s">
        <v>28</v>
      </c>
      <c r="B19" s="181" t="s">
        <v>53</v>
      </c>
      <c r="C19" s="120" t="s">
        <v>54</v>
      </c>
      <c r="D19" s="67"/>
      <c r="E19" s="139"/>
      <c r="F19" s="13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140">
        <f t="shared" si="2"/>
        <v>0</v>
      </c>
      <c r="R19" s="141">
        <f t="shared" si="3"/>
        <v>0</v>
      </c>
      <c r="S19" s="139"/>
      <c r="T19" s="139"/>
      <c r="U19" s="142">
        <v>0</v>
      </c>
      <c r="V19" s="142">
        <v>0</v>
      </c>
      <c r="W19" s="142"/>
      <c r="X19" s="139"/>
      <c r="Y19" s="136">
        <f>SUM(S19:X19)</f>
        <v>0</v>
      </c>
      <c r="Z19" s="136">
        <f>+Q19+Y19</f>
        <v>0</v>
      </c>
      <c r="AA19" s="137">
        <f>+D19-Z19</f>
        <v>0</v>
      </c>
    </row>
    <row r="20" spans="1:27" s="138" customFormat="1" ht="13.5" customHeight="1">
      <c r="A20" s="216" t="s">
        <v>28</v>
      </c>
      <c r="B20" s="181" t="s">
        <v>55</v>
      </c>
      <c r="C20" s="120" t="s">
        <v>56</v>
      </c>
      <c r="D20" s="67"/>
      <c r="E20" s="139"/>
      <c r="F20" s="139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140">
        <f t="shared" si="2"/>
        <v>0</v>
      </c>
      <c r="R20" s="141">
        <f t="shared" si="3"/>
        <v>0</v>
      </c>
      <c r="S20" s="139"/>
      <c r="T20" s="139"/>
      <c r="U20" s="142">
        <v>0</v>
      </c>
      <c r="V20" s="142">
        <v>0</v>
      </c>
      <c r="W20" s="142"/>
      <c r="X20" s="139"/>
      <c r="Y20" s="136">
        <f>SUM(S20:X20)</f>
        <v>0</v>
      </c>
      <c r="Z20" s="136">
        <f>+Q20+Y20</f>
        <v>0</v>
      </c>
      <c r="AA20" s="137">
        <f>+D20-Z20</f>
        <v>0</v>
      </c>
    </row>
    <row r="21" spans="1:27" s="138" customFormat="1" ht="13.5" customHeight="1">
      <c r="A21" s="216" t="s">
        <v>28</v>
      </c>
      <c r="B21" s="181" t="s">
        <v>57</v>
      </c>
      <c r="C21" s="120" t="s">
        <v>58</v>
      </c>
      <c r="D21" s="67"/>
      <c r="E21" s="139"/>
      <c r="F21" s="139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140">
        <f t="shared" si="2"/>
        <v>0</v>
      </c>
      <c r="R21" s="141">
        <f t="shared" si="3"/>
        <v>0</v>
      </c>
      <c r="S21" s="139"/>
      <c r="T21" s="139"/>
      <c r="U21" s="142">
        <v>0</v>
      </c>
      <c r="V21" s="142">
        <v>0</v>
      </c>
      <c r="W21" s="142"/>
      <c r="X21" s="139"/>
      <c r="Y21" s="136">
        <f>SUM(S21:X21)</f>
        <v>0</v>
      </c>
      <c r="Z21" s="136">
        <f>+Q21+Y21</f>
        <v>0</v>
      </c>
      <c r="AA21" s="137">
        <f>+D21-Z21</f>
        <v>0</v>
      </c>
    </row>
    <row r="22" spans="1:27" s="138" customFormat="1" ht="13.5" customHeight="1">
      <c r="A22" s="216" t="s">
        <v>28</v>
      </c>
      <c r="B22" s="182" t="s">
        <v>59</v>
      </c>
      <c r="C22" s="121" t="s">
        <v>60</v>
      </c>
      <c r="D22" s="70"/>
      <c r="E22" s="143"/>
      <c r="F22" s="143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144">
        <f t="shared" si="2"/>
        <v>0</v>
      </c>
      <c r="R22" s="145">
        <f t="shared" si="3"/>
        <v>0</v>
      </c>
      <c r="S22" s="143"/>
      <c r="T22" s="143"/>
      <c r="U22" s="146">
        <v>0</v>
      </c>
      <c r="V22" s="146">
        <v>0</v>
      </c>
      <c r="W22" s="146"/>
      <c r="X22" s="143"/>
      <c r="Y22" s="136">
        <f>SUM(S22:X22)</f>
        <v>0</v>
      </c>
      <c r="Z22" s="136">
        <f>+Q22+Y22</f>
        <v>0</v>
      </c>
      <c r="AA22" s="137">
        <f>+D22-Z22</f>
        <v>0</v>
      </c>
    </row>
    <row r="23" spans="1:27" s="108" customFormat="1" ht="13.5" customHeight="1">
      <c r="A23" s="157" t="s">
        <v>61</v>
      </c>
      <c r="B23" s="179"/>
      <c r="C23" s="128"/>
      <c r="D23" s="129">
        <f t="shared" ref="D23:P23" si="5">SUBTOTAL(9,D24:D39)</f>
        <v>0</v>
      </c>
      <c r="E23" s="130">
        <f t="shared" si="5"/>
        <v>0</v>
      </c>
      <c r="F23" s="130">
        <f t="shared" si="5"/>
        <v>0</v>
      </c>
      <c r="G23" s="130">
        <f t="shared" si="5"/>
        <v>0</v>
      </c>
      <c r="H23" s="130">
        <f t="shared" ref="H23:N23" si="6">SUBTOTAL(9,H24:H39)</f>
        <v>0</v>
      </c>
      <c r="I23" s="130">
        <f t="shared" si="6"/>
        <v>0</v>
      </c>
      <c r="J23" s="130">
        <f t="shared" si="6"/>
        <v>0</v>
      </c>
      <c r="K23" s="130">
        <f t="shared" si="6"/>
        <v>0</v>
      </c>
      <c r="L23" s="130">
        <f t="shared" si="6"/>
        <v>0</v>
      </c>
      <c r="M23" s="130">
        <f t="shared" si="6"/>
        <v>0</v>
      </c>
      <c r="N23" s="130">
        <f t="shared" si="6"/>
        <v>0</v>
      </c>
      <c r="O23" s="130">
        <f t="shared" si="5"/>
        <v>0</v>
      </c>
      <c r="P23" s="130">
        <f t="shared" si="5"/>
        <v>0</v>
      </c>
      <c r="Q23" s="107">
        <f t="shared" si="2"/>
        <v>0</v>
      </c>
      <c r="R23" s="107">
        <f t="shared" si="3"/>
        <v>0</v>
      </c>
      <c r="S23" s="130">
        <f t="shared" ref="S23:X23" si="7">SUBTOTAL(9,S24:S39)</f>
        <v>0</v>
      </c>
      <c r="T23" s="130">
        <f t="shared" si="7"/>
        <v>0</v>
      </c>
      <c r="U23" s="130">
        <f t="shared" si="7"/>
        <v>0</v>
      </c>
      <c r="V23" s="130">
        <f t="shared" si="7"/>
        <v>0</v>
      </c>
      <c r="W23" s="130">
        <f t="shared" si="7"/>
        <v>0</v>
      </c>
      <c r="X23" s="130">
        <f t="shared" si="7"/>
        <v>0</v>
      </c>
      <c r="Y23" s="125">
        <f>SUM(S23:X23)</f>
        <v>0</v>
      </c>
      <c r="Z23" s="56">
        <f>+Q23+Y23</f>
        <v>0</v>
      </c>
      <c r="AA23" s="131">
        <f>+D23-Z23</f>
        <v>0</v>
      </c>
    </row>
    <row r="24" spans="1:27" s="138" customFormat="1" ht="13.5" customHeight="1">
      <c r="A24" s="214" t="s">
        <v>61</v>
      </c>
      <c r="B24" s="180" t="s">
        <v>29</v>
      </c>
      <c r="C24" s="119" t="s">
        <v>30</v>
      </c>
      <c r="D24" s="65"/>
      <c r="E24" s="132"/>
      <c r="F24" s="132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133">
        <f t="shared" si="2"/>
        <v>0</v>
      </c>
      <c r="R24" s="134">
        <f t="shared" si="3"/>
        <v>0</v>
      </c>
      <c r="S24" s="132"/>
      <c r="T24" s="132"/>
      <c r="U24" s="135">
        <v>0</v>
      </c>
      <c r="V24" s="135">
        <v>0</v>
      </c>
      <c r="W24" s="135"/>
      <c r="X24" s="132"/>
      <c r="Y24" s="136">
        <f>SUM(S24:X24)</f>
        <v>0</v>
      </c>
      <c r="Z24" s="136">
        <f>+Q24+Y24</f>
        <v>0</v>
      </c>
      <c r="AA24" s="137">
        <f>+D24-Z24</f>
        <v>0</v>
      </c>
    </row>
    <row r="25" spans="1:27" s="138" customFormat="1" ht="13.5" customHeight="1">
      <c r="A25" s="214" t="s">
        <v>61</v>
      </c>
      <c r="B25" s="181" t="s">
        <v>31</v>
      </c>
      <c r="C25" s="120" t="s">
        <v>32</v>
      </c>
      <c r="D25" s="67"/>
      <c r="E25" s="139"/>
      <c r="F25" s="139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140">
        <f t="shared" si="2"/>
        <v>0</v>
      </c>
      <c r="R25" s="141">
        <f t="shared" si="3"/>
        <v>0</v>
      </c>
      <c r="S25" s="139"/>
      <c r="T25" s="139"/>
      <c r="U25" s="142">
        <v>0</v>
      </c>
      <c r="V25" s="142">
        <v>0</v>
      </c>
      <c r="W25" s="142"/>
      <c r="X25" s="139"/>
      <c r="Y25" s="136">
        <f>SUM(S25:X25)</f>
        <v>0</v>
      </c>
      <c r="Z25" s="136">
        <f>+Q25+Y25</f>
        <v>0</v>
      </c>
      <c r="AA25" s="137">
        <f>+D25-Z25</f>
        <v>0</v>
      </c>
    </row>
    <row r="26" spans="1:27" s="138" customFormat="1" ht="13.5" customHeight="1">
      <c r="A26" s="214" t="s">
        <v>61</v>
      </c>
      <c r="B26" s="181" t="s">
        <v>33</v>
      </c>
      <c r="C26" s="120" t="s">
        <v>34</v>
      </c>
      <c r="D26" s="67"/>
      <c r="E26" s="139"/>
      <c r="F26" s="139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140">
        <f t="shared" si="2"/>
        <v>0</v>
      </c>
      <c r="R26" s="141">
        <f t="shared" si="3"/>
        <v>0</v>
      </c>
      <c r="S26" s="139"/>
      <c r="T26" s="139"/>
      <c r="U26" s="142">
        <v>0</v>
      </c>
      <c r="V26" s="142">
        <v>0</v>
      </c>
      <c r="W26" s="142"/>
      <c r="X26" s="139"/>
      <c r="Y26" s="136">
        <f>SUM(S26:X26)</f>
        <v>0</v>
      </c>
      <c r="Z26" s="136">
        <f>+Q26+Y26</f>
        <v>0</v>
      </c>
      <c r="AA26" s="137">
        <f>+D26-Z26</f>
        <v>0</v>
      </c>
    </row>
    <row r="27" spans="1:27" s="138" customFormat="1" ht="13.5" customHeight="1">
      <c r="A27" s="214" t="s">
        <v>61</v>
      </c>
      <c r="B27" s="181" t="s">
        <v>35</v>
      </c>
      <c r="C27" s="120" t="s">
        <v>36</v>
      </c>
      <c r="D27" s="67"/>
      <c r="E27" s="139"/>
      <c r="F27" s="139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140">
        <f t="shared" si="2"/>
        <v>0</v>
      </c>
      <c r="R27" s="141">
        <f t="shared" si="3"/>
        <v>0</v>
      </c>
      <c r="S27" s="139"/>
      <c r="T27" s="139"/>
      <c r="U27" s="142">
        <v>0</v>
      </c>
      <c r="V27" s="142">
        <v>0</v>
      </c>
      <c r="W27" s="142"/>
      <c r="X27" s="139"/>
      <c r="Y27" s="136">
        <f>SUM(S27:X27)</f>
        <v>0</v>
      </c>
      <c r="Z27" s="136">
        <f>+Q27+Y27</f>
        <v>0</v>
      </c>
      <c r="AA27" s="137">
        <f>+D27-Z27</f>
        <v>0</v>
      </c>
    </row>
    <row r="28" spans="1:27" s="138" customFormat="1" ht="13.5" customHeight="1">
      <c r="A28" s="214" t="s">
        <v>61</v>
      </c>
      <c r="B28" s="181" t="s">
        <v>37</v>
      </c>
      <c r="C28" s="120" t="s">
        <v>38</v>
      </c>
      <c r="D28" s="67"/>
      <c r="E28" s="139"/>
      <c r="F28" s="139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140">
        <f t="shared" si="2"/>
        <v>0</v>
      </c>
      <c r="R28" s="141">
        <f t="shared" si="3"/>
        <v>0</v>
      </c>
      <c r="S28" s="139"/>
      <c r="T28" s="139"/>
      <c r="U28" s="142">
        <v>0</v>
      </c>
      <c r="V28" s="142">
        <v>0</v>
      </c>
      <c r="W28" s="142"/>
      <c r="X28" s="139"/>
      <c r="Y28" s="136">
        <f>SUM(S28:X28)</f>
        <v>0</v>
      </c>
      <c r="Z28" s="136">
        <f>+Q28+Y28</f>
        <v>0</v>
      </c>
      <c r="AA28" s="137">
        <f>+D28-Z28</f>
        <v>0</v>
      </c>
    </row>
    <row r="29" spans="1:27" s="138" customFormat="1" ht="13.5" customHeight="1">
      <c r="A29" s="214" t="s">
        <v>61</v>
      </c>
      <c r="B29" s="181" t="s">
        <v>39</v>
      </c>
      <c r="C29" s="120" t="s">
        <v>40</v>
      </c>
      <c r="D29" s="67"/>
      <c r="E29" s="139"/>
      <c r="F29" s="139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140">
        <f t="shared" si="2"/>
        <v>0</v>
      </c>
      <c r="R29" s="141">
        <f t="shared" si="3"/>
        <v>0</v>
      </c>
      <c r="S29" s="139"/>
      <c r="T29" s="139"/>
      <c r="U29" s="142">
        <v>0</v>
      </c>
      <c r="V29" s="142">
        <v>0</v>
      </c>
      <c r="W29" s="142"/>
      <c r="X29" s="139"/>
      <c r="Y29" s="136">
        <f>SUM(S29:X29)</f>
        <v>0</v>
      </c>
      <c r="Z29" s="136">
        <f>+Q29+Y29</f>
        <v>0</v>
      </c>
      <c r="AA29" s="137">
        <f>+D29-Z29</f>
        <v>0</v>
      </c>
    </row>
    <row r="30" spans="1:27" s="138" customFormat="1" ht="13.5" customHeight="1">
      <c r="A30" s="214" t="s">
        <v>61</v>
      </c>
      <c r="B30" s="181" t="s">
        <v>41</v>
      </c>
      <c r="C30" s="120" t="s">
        <v>42</v>
      </c>
      <c r="D30" s="67"/>
      <c r="E30" s="139"/>
      <c r="F30" s="139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140">
        <f t="shared" si="2"/>
        <v>0</v>
      </c>
      <c r="R30" s="141">
        <f t="shared" si="3"/>
        <v>0</v>
      </c>
      <c r="S30" s="139"/>
      <c r="T30" s="139"/>
      <c r="U30" s="142">
        <v>0</v>
      </c>
      <c r="V30" s="142">
        <v>0</v>
      </c>
      <c r="W30" s="142"/>
      <c r="X30" s="139"/>
      <c r="Y30" s="136">
        <f>SUM(S30:X30)</f>
        <v>0</v>
      </c>
      <c r="Z30" s="136">
        <f>+Q30+Y30</f>
        <v>0</v>
      </c>
      <c r="AA30" s="137">
        <f>+D30-Z30</f>
        <v>0</v>
      </c>
    </row>
    <row r="31" spans="1:27" s="138" customFormat="1" ht="13.5" customHeight="1">
      <c r="A31" s="214" t="s">
        <v>61</v>
      </c>
      <c r="B31" s="181" t="s">
        <v>43</v>
      </c>
      <c r="C31" s="120" t="s">
        <v>44</v>
      </c>
      <c r="D31" s="67"/>
      <c r="E31" s="139"/>
      <c r="F31" s="13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140">
        <f t="shared" si="2"/>
        <v>0</v>
      </c>
      <c r="R31" s="141">
        <f t="shared" si="3"/>
        <v>0</v>
      </c>
      <c r="S31" s="139"/>
      <c r="T31" s="139"/>
      <c r="U31" s="142">
        <v>0</v>
      </c>
      <c r="V31" s="142">
        <v>0</v>
      </c>
      <c r="W31" s="142"/>
      <c r="X31" s="139"/>
      <c r="Y31" s="136">
        <f>SUM(S31:X31)</f>
        <v>0</v>
      </c>
      <c r="Z31" s="136">
        <f>+Q31+Y31</f>
        <v>0</v>
      </c>
      <c r="AA31" s="137">
        <f>+D31-Z31</f>
        <v>0</v>
      </c>
    </row>
    <row r="32" spans="1:27" s="138" customFormat="1" ht="13.5" customHeight="1">
      <c r="A32" s="214" t="s">
        <v>61</v>
      </c>
      <c r="B32" s="181" t="s">
        <v>45</v>
      </c>
      <c r="C32" s="120" t="s">
        <v>46</v>
      </c>
      <c r="D32" s="67"/>
      <c r="E32" s="139"/>
      <c r="F32" s="13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140">
        <f t="shared" si="2"/>
        <v>0</v>
      </c>
      <c r="R32" s="141">
        <f t="shared" si="3"/>
        <v>0</v>
      </c>
      <c r="S32" s="139"/>
      <c r="T32" s="139"/>
      <c r="U32" s="142">
        <v>0</v>
      </c>
      <c r="V32" s="142">
        <v>0</v>
      </c>
      <c r="W32" s="142"/>
      <c r="X32" s="139"/>
      <c r="Y32" s="136">
        <f>SUM(S32:X32)</f>
        <v>0</v>
      </c>
      <c r="Z32" s="136">
        <f>+Q32+Y32</f>
        <v>0</v>
      </c>
      <c r="AA32" s="137">
        <f>+D32-Z32</f>
        <v>0</v>
      </c>
    </row>
    <row r="33" spans="1:27" s="138" customFormat="1" ht="13.5" customHeight="1">
      <c r="A33" s="214" t="s">
        <v>61</v>
      </c>
      <c r="B33" s="181" t="s">
        <v>47</v>
      </c>
      <c r="C33" s="120" t="s">
        <v>48</v>
      </c>
      <c r="D33" s="67"/>
      <c r="E33" s="139"/>
      <c r="F33" s="139"/>
      <c r="G33" s="68"/>
      <c r="H33" s="69"/>
      <c r="I33" s="69"/>
      <c r="J33" s="69"/>
      <c r="K33" s="69"/>
      <c r="L33" s="69"/>
      <c r="M33" s="69"/>
      <c r="N33" s="69"/>
      <c r="O33" s="69"/>
      <c r="P33" s="69"/>
      <c r="Q33" s="140">
        <f t="shared" si="2"/>
        <v>0</v>
      </c>
      <c r="R33" s="141">
        <f t="shared" si="3"/>
        <v>0</v>
      </c>
      <c r="S33" s="139"/>
      <c r="T33" s="139"/>
      <c r="U33" s="142">
        <v>0</v>
      </c>
      <c r="V33" s="142">
        <v>0</v>
      </c>
      <c r="W33" s="142"/>
      <c r="X33" s="139"/>
      <c r="Y33" s="136">
        <f>SUM(S33:X33)</f>
        <v>0</v>
      </c>
      <c r="Z33" s="136">
        <f>+Q33+Y33</f>
        <v>0</v>
      </c>
      <c r="AA33" s="137">
        <f>+D33-Z33</f>
        <v>0</v>
      </c>
    </row>
    <row r="34" spans="1:27" s="138" customFormat="1" ht="13.5" customHeight="1">
      <c r="A34" s="214" t="s">
        <v>61</v>
      </c>
      <c r="B34" s="181" t="s">
        <v>49</v>
      </c>
      <c r="C34" s="120" t="s">
        <v>50</v>
      </c>
      <c r="D34" s="67"/>
      <c r="E34" s="139"/>
      <c r="F34" s="13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140">
        <f t="shared" si="2"/>
        <v>0</v>
      </c>
      <c r="R34" s="141">
        <f t="shared" si="3"/>
        <v>0</v>
      </c>
      <c r="S34" s="139"/>
      <c r="T34" s="139"/>
      <c r="U34" s="142">
        <v>0</v>
      </c>
      <c r="V34" s="142">
        <v>0</v>
      </c>
      <c r="W34" s="142"/>
      <c r="X34" s="139"/>
      <c r="Y34" s="136">
        <f>SUM(S34:X34)</f>
        <v>0</v>
      </c>
      <c r="Z34" s="136">
        <f>+Q34+Y34</f>
        <v>0</v>
      </c>
      <c r="AA34" s="137">
        <f>+D34-Z34</f>
        <v>0</v>
      </c>
    </row>
    <row r="35" spans="1:27" s="138" customFormat="1" ht="13.5" customHeight="1">
      <c r="A35" s="214" t="s">
        <v>61</v>
      </c>
      <c r="B35" s="191" t="s">
        <v>51</v>
      </c>
      <c r="C35" s="120" t="s">
        <v>52</v>
      </c>
      <c r="D35" s="67"/>
      <c r="E35" s="139"/>
      <c r="F35" s="13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140">
        <f t="shared" si="2"/>
        <v>0</v>
      </c>
      <c r="R35" s="141">
        <f t="shared" si="3"/>
        <v>0</v>
      </c>
      <c r="S35" s="139"/>
      <c r="T35" s="139"/>
      <c r="U35" s="142">
        <v>0</v>
      </c>
      <c r="V35" s="142">
        <v>0</v>
      </c>
      <c r="W35" s="142"/>
      <c r="X35" s="139"/>
      <c r="Y35" s="136">
        <f>SUM(S35:X35)</f>
        <v>0</v>
      </c>
      <c r="Z35" s="136">
        <f>+Q35+Y35</f>
        <v>0</v>
      </c>
      <c r="AA35" s="137">
        <f>+D35-Z35</f>
        <v>0</v>
      </c>
    </row>
    <row r="36" spans="1:27" s="138" customFormat="1" ht="13.5" customHeight="1">
      <c r="A36" s="214" t="s">
        <v>61</v>
      </c>
      <c r="B36" s="181" t="s">
        <v>53</v>
      </c>
      <c r="C36" s="120" t="s">
        <v>54</v>
      </c>
      <c r="D36" s="67"/>
      <c r="E36" s="139"/>
      <c r="F36" s="13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140">
        <f t="shared" si="2"/>
        <v>0</v>
      </c>
      <c r="R36" s="141">
        <f t="shared" si="3"/>
        <v>0</v>
      </c>
      <c r="S36" s="139"/>
      <c r="T36" s="139"/>
      <c r="U36" s="142">
        <v>0</v>
      </c>
      <c r="V36" s="142">
        <v>0</v>
      </c>
      <c r="W36" s="142"/>
      <c r="X36" s="139"/>
      <c r="Y36" s="136">
        <f>SUM(S36:X36)</f>
        <v>0</v>
      </c>
      <c r="Z36" s="136">
        <f>+Q36+Y36</f>
        <v>0</v>
      </c>
      <c r="AA36" s="137">
        <f>+D36-Z36</f>
        <v>0</v>
      </c>
    </row>
    <row r="37" spans="1:27" s="138" customFormat="1" ht="13.5" customHeight="1">
      <c r="A37" s="214" t="s">
        <v>61</v>
      </c>
      <c r="B37" s="181" t="s">
        <v>55</v>
      </c>
      <c r="C37" s="120" t="s">
        <v>56</v>
      </c>
      <c r="D37" s="67"/>
      <c r="E37" s="139"/>
      <c r="F37" s="139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140">
        <f t="shared" si="2"/>
        <v>0</v>
      </c>
      <c r="R37" s="141">
        <f t="shared" si="3"/>
        <v>0</v>
      </c>
      <c r="S37" s="139"/>
      <c r="T37" s="139"/>
      <c r="U37" s="142">
        <v>0</v>
      </c>
      <c r="V37" s="142">
        <v>0</v>
      </c>
      <c r="W37" s="142"/>
      <c r="X37" s="139"/>
      <c r="Y37" s="136">
        <f>SUM(S37:X37)</f>
        <v>0</v>
      </c>
      <c r="Z37" s="136">
        <f>+Q37+Y37</f>
        <v>0</v>
      </c>
      <c r="AA37" s="137">
        <f>+D37-Z37</f>
        <v>0</v>
      </c>
    </row>
    <row r="38" spans="1:27" s="138" customFormat="1" ht="13.5" customHeight="1">
      <c r="A38" s="214" t="s">
        <v>61</v>
      </c>
      <c r="B38" s="181" t="s">
        <v>57</v>
      </c>
      <c r="C38" s="120" t="s">
        <v>58</v>
      </c>
      <c r="D38" s="67"/>
      <c r="E38" s="139"/>
      <c r="F38" s="139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140">
        <f t="shared" si="2"/>
        <v>0</v>
      </c>
      <c r="R38" s="141">
        <f t="shared" si="3"/>
        <v>0</v>
      </c>
      <c r="S38" s="139"/>
      <c r="T38" s="139"/>
      <c r="U38" s="142">
        <v>0</v>
      </c>
      <c r="V38" s="142">
        <v>0</v>
      </c>
      <c r="W38" s="142"/>
      <c r="X38" s="139"/>
      <c r="Y38" s="136">
        <f>SUM(S38:X38)</f>
        <v>0</v>
      </c>
      <c r="Z38" s="136">
        <f>+Q38+Y38</f>
        <v>0</v>
      </c>
      <c r="AA38" s="137">
        <f>+D38-Z38</f>
        <v>0</v>
      </c>
    </row>
    <row r="39" spans="1:27" s="138" customFormat="1" ht="13.5" customHeight="1">
      <c r="A39" s="214" t="s">
        <v>61</v>
      </c>
      <c r="B39" s="182" t="s">
        <v>59</v>
      </c>
      <c r="C39" s="121" t="s">
        <v>60</v>
      </c>
      <c r="D39" s="70"/>
      <c r="E39" s="143"/>
      <c r="F39" s="143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144">
        <f t="shared" si="2"/>
        <v>0</v>
      </c>
      <c r="R39" s="145">
        <f t="shared" si="3"/>
        <v>0</v>
      </c>
      <c r="S39" s="143"/>
      <c r="T39" s="143"/>
      <c r="U39" s="146">
        <v>0</v>
      </c>
      <c r="V39" s="146">
        <v>0</v>
      </c>
      <c r="W39" s="146"/>
      <c r="X39" s="143"/>
      <c r="Y39" s="136">
        <f>SUM(S39:X39)</f>
        <v>0</v>
      </c>
      <c r="Z39" s="136">
        <f>+Q39+Y39</f>
        <v>0</v>
      </c>
      <c r="AA39" s="137">
        <f>+D39-Z39</f>
        <v>0</v>
      </c>
    </row>
    <row r="40" spans="1:27" s="138" customFormat="1" ht="13.5" customHeight="1">
      <c r="A40" s="157" t="s">
        <v>62</v>
      </c>
      <c r="B40" s="179"/>
      <c r="C40" s="147"/>
      <c r="D40" s="129">
        <f t="shared" ref="D40:P40" si="8">SUBTOTAL(9,D41:D56)</f>
        <v>0</v>
      </c>
      <c r="E40" s="130">
        <f t="shared" si="8"/>
        <v>0</v>
      </c>
      <c r="F40" s="130">
        <f t="shared" si="8"/>
        <v>0</v>
      </c>
      <c r="G40" s="130">
        <f t="shared" si="8"/>
        <v>0</v>
      </c>
      <c r="H40" s="130">
        <f t="shared" ref="H40:N40" si="9">SUBTOTAL(9,H41:H56)</f>
        <v>0</v>
      </c>
      <c r="I40" s="130">
        <f t="shared" si="9"/>
        <v>0</v>
      </c>
      <c r="J40" s="130">
        <f t="shared" si="9"/>
        <v>0</v>
      </c>
      <c r="K40" s="130">
        <f t="shared" si="9"/>
        <v>0</v>
      </c>
      <c r="L40" s="130">
        <f t="shared" si="9"/>
        <v>0</v>
      </c>
      <c r="M40" s="130">
        <f t="shared" si="9"/>
        <v>0</v>
      </c>
      <c r="N40" s="130">
        <f t="shared" si="9"/>
        <v>0</v>
      </c>
      <c r="O40" s="130">
        <f t="shared" si="8"/>
        <v>0</v>
      </c>
      <c r="P40" s="130">
        <f t="shared" si="8"/>
        <v>0</v>
      </c>
      <c r="Q40" s="107">
        <f t="shared" si="2"/>
        <v>0</v>
      </c>
      <c r="R40" s="107">
        <f t="shared" si="3"/>
        <v>0</v>
      </c>
      <c r="S40" s="130">
        <f t="shared" ref="S40:X40" si="10">SUBTOTAL(9,S41:S56)</f>
        <v>0</v>
      </c>
      <c r="T40" s="130">
        <f t="shared" si="10"/>
        <v>0</v>
      </c>
      <c r="U40" s="130">
        <f t="shared" si="10"/>
        <v>0</v>
      </c>
      <c r="V40" s="130">
        <f t="shared" si="10"/>
        <v>0</v>
      </c>
      <c r="W40" s="130">
        <f t="shared" si="10"/>
        <v>0</v>
      </c>
      <c r="X40" s="130">
        <f t="shared" si="10"/>
        <v>0</v>
      </c>
      <c r="Y40" s="125">
        <f>SUM(S40:X40)</f>
        <v>0</v>
      </c>
      <c r="Z40" s="56">
        <f>+Q40+Y40</f>
        <v>0</v>
      </c>
      <c r="AA40" s="131">
        <f>+D40-Z40</f>
        <v>0</v>
      </c>
    </row>
    <row r="41" spans="1:27" s="138" customFormat="1" ht="13.5" customHeight="1">
      <c r="A41" s="193" t="s">
        <v>62</v>
      </c>
      <c r="B41" s="183" t="s">
        <v>29</v>
      </c>
      <c r="C41" s="119" t="s">
        <v>30</v>
      </c>
      <c r="D41" s="149"/>
      <c r="E41" s="132"/>
      <c r="F41" s="132"/>
      <c r="G41" s="150"/>
      <c r="H41" s="150"/>
      <c r="I41" s="150"/>
      <c r="J41" s="150"/>
      <c r="K41" s="150"/>
      <c r="L41" s="150"/>
      <c r="M41" s="150"/>
      <c r="N41" s="150"/>
      <c r="O41" s="150"/>
      <c r="P41" s="150"/>
      <c r="Q41" s="133">
        <f t="shared" si="2"/>
        <v>0</v>
      </c>
      <c r="R41" s="134">
        <f t="shared" si="3"/>
        <v>0</v>
      </c>
      <c r="S41" s="132"/>
      <c r="T41" s="132"/>
      <c r="U41" s="135">
        <v>0</v>
      </c>
      <c r="V41" s="135">
        <v>0</v>
      </c>
      <c r="W41" s="135"/>
      <c r="X41" s="132"/>
      <c r="Y41" s="136">
        <f>SUM(S41:X41)</f>
        <v>0</v>
      </c>
      <c r="Z41" s="136">
        <f>+Q41+Y41</f>
        <v>0</v>
      </c>
      <c r="AA41" s="137">
        <f>+D41-Z41</f>
        <v>0</v>
      </c>
    </row>
    <row r="42" spans="1:27" s="138" customFormat="1" ht="13.5" customHeight="1">
      <c r="A42" s="193" t="s">
        <v>62</v>
      </c>
      <c r="B42" s="184" t="s">
        <v>31</v>
      </c>
      <c r="C42" s="120" t="s">
        <v>32</v>
      </c>
      <c r="D42" s="151"/>
      <c r="E42" s="139"/>
      <c r="F42" s="139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40">
        <f t="shared" si="2"/>
        <v>0</v>
      </c>
      <c r="R42" s="141">
        <f t="shared" si="3"/>
        <v>0</v>
      </c>
      <c r="S42" s="139"/>
      <c r="T42" s="139"/>
      <c r="U42" s="142">
        <v>0</v>
      </c>
      <c r="V42" s="142">
        <v>0</v>
      </c>
      <c r="W42" s="142"/>
      <c r="X42" s="139"/>
      <c r="Y42" s="136">
        <f>SUM(S42:X42)</f>
        <v>0</v>
      </c>
      <c r="Z42" s="136">
        <f>+Q42+Y42</f>
        <v>0</v>
      </c>
      <c r="AA42" s="137">
        <f>+D42-Z42</f>
        <v>0</v>
      </c>
    </row>
    <row r="43" spans="1:27" s="138" customFormat="1" ht="13.5" customHeight="1">
      <c r="A43" s="193" t="s">
        <v>62</v>
      </c>
      <c r="B43" s="184" t="s">
        <v>33</v>
      </c>
      <c r="C43" s="120" t="s">
        <v>34</v>
      </c>
      <c r="D43" s="151"/>
      <c r="E43" s="139"/>
      <c r="F43" s="139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40">
        <f t="shared" si="2"/>
        <v>0</v>
      </c>
      <c r="R43" s="141">
        <f t="shared" si="3"/>
        <v>0</v>
      </c>
      <c r="S43" s="139"/>
      <c r="T43" s="139"/>
      <c r="U43" s="142">
        <v>0</v>
      </c>
      <c r="V43" s="142">
        <v>0</v>
      </c>
      <c r="W43" s="142"/>
      <c r="X43" s="139"/>
      <c r="Y43" s="136">
        <f>SUM(S43:X43)</f>
        <v>0</v>
      </c>
      <c r="Z43" s="136">
        <f>+Q43+Y43</f>
        <v>0</v>
      </c>
      <c r="AA43" s="137">
        <f>+D43-Z43</f>
        <v>0</v>
      </c>
    </row>
    <row r="44" spans="1:27" s="138" customFormat="1" ht="13.5" customHeight="1">
      <c r="A44" s="193" t="s">
        <v>62</v>
      </c>
      <c r="B44" s="184" t="s">
        <v>35</v>
      </c>
      <c r="C44" s="120" t="s">
        <v>36</v>
      </c>
      <c r="D44" s="151"/>
      <c r="E44" s="139"/>
      <c r="F44" s="139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40">
        <f t="shared" si="2"/>
        <v>0</v>
      </c>
      <c r="R44" s="141">
        <f t="shared" si="3"/>
        <v>0</v>
      </c>
      <c r="S44" s="139"/>
      <c r="T44" s="139"/>
      <c r="U44" s="142">
        <v>0</v>
      </c>
      <c r="V44" s="142">
        <v>0</v>
      </c>
      <c r="W44" s="142"/>
      <c r="X44" s="139"/>
      <c r="Y44" s="136">
        <f>SUM(S44:X44)</f>
        <v>0</v>
      </c>
      <c r="Z44" s="136">
        <f>+Q44+Y44</f>
        <v>0</v>
      </c>
      <c r="AA44" s="137">
        <f>+D44-Z44</f>
        <v>0</v>
      </c>
    </row>
    <row r="45" spans="1:27" s="138" customFormat="1" ht="13.5" customHeight="1">
      <c r="A45" s="193" t="s">
        <v>62</v>
      </c>
      <c r="B45" s="184" t="s">
        <v>37</v>
      </c>
      <c r="C45" s="120" t="s">
        <v>38</v>
      </c>
      <c r="D45" s="151"/>
      <c r="E45" s="139"/>
      <c r="F45" s="139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40">
        <f t="shared" si="2"/>
        <v>0</v>
      </c>
      <c r="R45" s="141">
        <f t="shared" si="3"/>
        <v>0</v>
      </c>
      <c r="S45" s="139"/>
      <c r="T45" s="139"/>
      <c r="U45" s="142">
        <v>0</v>
      </c>
      <c r="V45" s="142">
        <v>0</v>
      </c>
      <c r="W45" s="142"/>
      <c r="X45" s="139"/>
      <c r="Y45" s="136">
        <f>SUM(S45:X45)</f>
        <v>0</v>
      </c>
      <c r="Z45" s="136">
        <f>+Q45+Y45</f>
        <v>0</v>
      </c>
      <c r="AA45" s="137">
        <f>+D45-Z45</f>
        <v>0</v>
      </c>
    </row>
    <row r="46" spans="1:27" s="138" customFormat="1" ht="13.5" customHeight="1">
      <c r="A46" s="193" t="s">
        <v>62</v>
      </c>
      <c r="B46" s="184" t="s">
        <v>39</v>
      </c>
      <c r="C46" s="120" t="s">
        <v>40</v>
      </c>
      <c r="D46" s="151"/>
      <c r="E46" s="139"/>
      <c r="F46" s="139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40">
        <f t="shared" si="2"/>
        <v>0</v>
      </c>
      <c r="R46" s="141">
        <f t="shared" si="3"/>
        <v>0</v>
      </c>
      <c r="S46" s="139"/>
      <c r="T46" s="139"/>
      <c r="U46" s="142">
        <v>0</v>
      </c>
      <c r="V46" s="142">
        <v>0</v>
      </c>
      <c r="W46" s="142"/>
      <c r="X46" s="139"/>
      <c r="Y46" s="136">
        <f>SUM(S46:X46)</f>
        <v>0</v>
      </c>
      <c r="Z46" s="136">
        <f>+Q46+Y46</f>
        <v>0</v>
      </c>
      <c r="AA46" s="137">
        <f>+D46-Z46</f>
        <v>0</v>
      </c>
    </row>
    <row r="47" spans="1:27" s="138" customFormat="1" ht="13.5" customHeight="1">
      <c r="A47" s="193" t="s">
        <v>62</v>
      </c>
      <c r="B47" s="184" t="s">
        <v>41</v>
      </c>
      <c r="C47" s="120" t="s">
        <v>42</v>
      </c>
      <c r="D47" s="151"/>
      <c r="E47" s="139"/>
      <c r="F47" s="139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40">
        <f t="shared" si="2"/>
        <v>0</v>
      </c>
      <c r="R47" s="141">
        <f t="shared" si="3"/>
        <v>0</v>
      </c>
      <c r="S47" s="139"/>
      <c r="T47" s="139"/>
      <c r="U47" s="142">
        <v>0</v>
      </c>
      <c r="V47" s="142">
        <v>0</v>
      </c>
      <c r="W47" s="142"/>
      <c r="X47" s="139"/>
      <c r="Y47" s="136">
        <f>SUM(S47:X47)</f>
        <v>0</v>
      </c>
      <c r="Z47" s="136">
        <f>+Q47+Y47</f>
        <v>0</v>
      </c>
      <c r="AA47" s="137">
        <f>+D47-Z47</f>
        <v>0</v>
      </c>
    </row>
    <row r="48" spans="1:27" s="138" customFormat="1" ht="13.5" customHeight="1">
      <c r="A48" s="193" t="s">
        <v>62</v>
      </c>
      <c r="B48" s="184" t="s">
        <v>43</v>
      </c>
      <c r="C48" s="120" t="s">
        <v>44</v>
      </c>
      <c r="D48" s="151"/>
      <c r="E48" s="139"/>
      <c r="F48" s="139"/>
      <c r="G48" s="153"/>
      <c r="H48" s="153"/>
      <c r="I48" s="153"/>
      <c r="J48" s="153"/>
      <c r="K48" s="153"/>
      <c r="L48" s="153"/>
      <c r="M48" s="153"/>
      <c r="N48" s="153"/>
      <c r="O48" s="153"/>
      <c r="P48" s="153"/>
      <c r="Q48" s="140">
        <f t="shared" si="2"/>
        <v>0</v>
      </c>
      <c r="R48" s="141">
        <f t="shared" si="3"/>
        <v>0</v>
      </c>
      <c r="S48" s="139"/>
      <c r="T48" s="139"/>
      <c r="U48" s="142">
        <v>0</v>
      </c>
      <c r="V48" s="142">
        <v>0</v>
      </c>
      <c r="W48" s="142"/>
      <c r="X48" s="139"/>
      <c r="Y48" s="136">
        <f>SUM(S48:X48)</f>
        <v>0</v>
      </c>
      <c r="Z48" s="136">
        <f>+Q48+Y48</f>
        <v>0</v>
      </c>
      <c r="AA48" s="137">
        <f>+D48-Z48</f>
        <v>0</v>
      </c>
    </row>
    <row r="49" spans="1:27" s="138" customFormat="1" ht="13.5" customHeight="1">
      <c r="A49" s="193" t="s">
        <v>62</v>
      </c>
      <c r="B49" s="184" t="s">
        <v>45</v>
      </c>
      <c r="C49" s="120" t="s">
        <v>46</v>
      </c>
      <c r="D49" s="151"/>
      <c r="E49" s="139"/>
      <c r="F49" s="139"/>
      <c r="G49" s="153"/>
      <c r="H49" s="153"/>
      <c r="I49" s="153"/>
      <c r="J49" s="153"/>
      <c r="K49" s="153"/>
      <c r="L49" s="153"/>
      <c r="M49" s="153"/>
      <c r="N49" s="153"/>
      <c r="O49" s="153"/>
      <c r="P49" s="153"/>
      <c r="Q49" s="140">
        <f t="shared" si="2"/>
        <v>0</v>
      </c>
      <c r="R49" s="141">
        <f t="shared" si="3"/>
        <v>0</v>
      </c>
      <c r="S49" s="139"/>
      <c r="T49" s="139"/>
      <c r="U49" s="142">
        <v>0</v>
      </c>
      <c r="V49" s="142">
        <v>0</v>
      </c>
      <c r="W49" s="142"/>
      <c r="X49" s="139"/>
      <c r="Y49" s="136">
        <f>SUM(S49:X49)</f>
        <v>0</v>
      </c>
      <c r="Z49" s="136">
        <f>+Q49+Y49</f>
        <v>0</v>
      </c>
      <c r="AA49" s="137">
        <f>+D49-Z49</f>
        <v>0</v>
      </c>
    </row>
    <row r="50" spans="1:27" s="138" customFormat="1" ht="13.5" customHeight="1">
      <c r="A50" s="193" t="s">
        <v>62</v>
      </c>
      <c r="B50" s="184" t="s">
        <v>47</v>
      </c>
      <c r="C50" s="120" t="s">
        <v>48</v>
      </c>
      <c r="D50" s="151"/>
      <c r="E50" s="139"/>
      <c r="F50" s="139"/>
      <c r="G50" s="152"/>
      <c r="H50" s="153"/>
      <c r="I50" s="153"/>
      <c r="J50" s="153"/>
      <c r="K50" s="153"/>
      <c r="L50" s="153"/>
      <c r="M50" s="153"/>
      <c r="N50" s="153"/>
      <c r="O50" s="153"/>
      <c r="P50" s="153"/>
      <c r="Q50" s="140">
        <f t="shared" si="2"/>
        <v>0</v>
      </c>
      <c r="R50" s="141">
        <f t="shared" si="3"/>
        <v>0</v>
      </c>
      <c r="S50" s="139"/>
      <c r="T50" s="139"/>
      <c r="U50" s="142">
        <v>0</v>
      </c>
      <c r="V50" s="142">
        <v>0</v>
      </c>
      <c r="W50" s="142"/>
      <c r="X50" s="139"/>
      <c r="Y50" s="136">
        <f>SUM(S50:X50)</f>
        <v>0</v>
      </c>
      <c r="Z50" s="136">
        <f>+Q50+Y50</f>
        <v>0</v>
      </c>
      <c r="AA50" s="137">
        <f>+D50-Z50</f>
        <v>0</v>
      </c>
    </row>
    <row r="51" spans="1:27" s="138" customFormat="1" ht="13.5" customHeight="1">
      <c r="A51" s="193" t="s">
        <v>62</v>
      </c>
      <c r="B51" s="184" t="s">
        <v>49</v>
      </c>
      <c r="C51" s="120" t="s">
        <v>50</v>
      </c>
      <c r="D51" s="151"/>
      <c r="E51" s="139"/>
      <c r="F51" s="139"/>
      <c r="G51" s="153"/>
      <c r="H51" s="153"/>
      <c r="I51" s="153"/>
      <c r="J51" s="153"/>
      <c r="K51" s="153"/>
      <c r="L51" s="153"/>
      <c r="M51" s="153"/>
      <c r="N51" s="153"/>
      <c r="O51" s="153"/>
      <c r="P51" s="153"/>
      <c r="Q51" s="140">
        <f t="shared" si="2"/>
        <v>0</v>
      </c>
      <c r="R51" s="141">
        <f t="shared" si="3"/>
        <v>0</v>
      </c>
      <c r="S51" s="139"/>
      <c r="T51" s="139"/>
      <c r="U51" s="142">
        <v>0</v>
      </c>
      <c r="V51" s="142">
        <v>0</v>
      </c>
      <c r="W51" s="142"/>
      <c r="X51" s="139"/>
      <c r="Y51" s="136">
        <f>SUM(S51:X51)</f>
        <v>0</v>
      </c>
      <c r="Z51" s="136">
        <f>+Q51+Y51</f>
        <v>0</v>
      </c>
      <c r="AA51" s="137">
        <f>+D51-Z51</f>
        <v>0</v>
      </c>
    </row>
    <row r="52" spans="1:27" s="138" customFormat="1" ht="13.5" customHeight="1">
      <c r="A52" s="193" t="s">
        <v>62</v>
      </c>
      <c r="B52" s="184" t="s">
        <v>51</v>
      </c>
      <c r="C52" s="120" t="s">
        <v>52</v>
      </c>
      <c r="D52" s="151"/>
      <c r="E52" s="139"/>
      <c r="F52" s="139"/>
      <c r="G52" s="153"/>
      <c r="H52" s="153"/>
      <c r="I52" s="153"/>
      <c r="J52" s="153"/>
      <c r="K52" s="153"/>
      <c r="L52" s="153"/>
      <c r="M52" s="153"/>
      <c r="N52" s="153"/>
      <c r="O52" s="153"/>
      <c r="P52" s="153"/>
      <c r="Q52" s="140">
        <f t="shared" si="2"/>
        <v>0</v>
      </c>
      <c r="R52" s="141">
        <f t="shared" si="3"/>
        <v>0</v>
      </c>
      <c r="S52" s="139"/>
      <c r="T52" s="139"/>
      <c r="U52" s="142">
        <v>0</v>
      </c>
      <c r="V52" s="142">
        <v>0</v>
      </c>
      <c r="W52" s="142"/>
      <c r="X52" s="139"/>
      <c r="Y52" s="136">
        <f>SUM(S52:X52)</f>
        <v>0</v>
      </c>
      <c r="Z52" s="136">
        <f>+Q52+Y52</f>
        <v>0</v>
      </c>
      <c r="AA52" s="137">
        <f>+D52-Z52</f>
        <v>0</v>
      </c>
    </row>
    <row r="53" spans="1:27" s="138" customFormat="1" ht="13.5" customHeight="1">
      <c r="A53" s="193" t="s">
        <v>62</v>
      </c>
      <c r="B53" s="184" t="s">
        <v>53</v>
      </c>
      <c r="C53" s="120" t="s">
        <v>54</v>
      </c>
      <c r="D53" s="151"/>
      <c r="E53" s="139"/>
      <c r="F53" s="139"/>
      <c r="G53" s="153"/>
      <c r="H53" s="153"/>
      <c r="I53" s="153"/>
      <c r="J53" s="153"/>
      <c r="K53" s="153"/>
      <c r="L53" s="153"/>
      <c r="M53" s="153"/>
      <c r="N53" s="153"/>
      <c r="O53" s="153"/>
      <c r="P53" s="153"/>
      <c r="Q53" s="140">
        <f t="shared" si="2"/>
        <v>0</v>
      </c>
      <c r="R53" s="141">
        <f t="shared" si="3"/>
        <v>0</v>
      </c>
      <c r="S53" s="139"/>
      <c r="T53" s="139"/>
      <c r="U53" s="142">
        <v>0</v>
      </c>
      <c r="V53" s="142">
        <v>0</v>
      </c>
      <c r="W53" s="142"/>
      <c r="X53" s="139"/>
      <c r="Y53" s="136">
        <f>SUM(S53:X53)</f>
        <v>0</v>
      </c>
      <c r="Z53" s="136">
        <f>+Q53+Y53</f>
        <v>0</v>
      </c>
      <c r="AA53" s="137">
        <f>+D53-Z53</f>
        <v>0</v>
      </c>
    </row>
    <row r="54" spans="1:27" s="138" customFormat="1" ht="13.5" customHeight="1">
      <c r="A54" s="193" t="s">
        <v>62</v>
      </c>
      <c r="B54" s="184" t="s">
        <v>55</v>
      </c>
      <c r="C54" s="120" t="s">
        <v>56</v>
      </c>
      <c r="D54" s="151"/>
      <c r="E54" s="139"/>
      <c r="F54" s="139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40">
        <f t="shared" si="2"/>
        <v>0</v>
      </c>
      <c r="R54" s="141">
        <f t="shared" si="3"/>
        <v>0</v>
      </c>
      <c r="S54" s="139"/>
      <c r="T54" s="139"/>
      <c r="U54" s="142">
        <v>0</v>
      </c>
      <c r="V54" s="142">
        <v>0</v>
      </c>
      <c r="W54" s="142"/>
      <c r="X54" s="139"/>
      <c r="Y54" s="136">
        <f>SUM(S54:X54)</f>
        <v>0</v>
      </c>
      <c r="Z54" s="136">
        <f>+Q54+Y54</f>
        <v>0</v>
      </c>
      <c r="AA54" s="137">
        <f>+D54-Z54</f>
        <v>0</v>
      </c>
    </row>
    <row r="55" spans="1:27" s="138" customFormat="1" ht="13.5" customHeight="1">
      <c r="A55" s="193" t="s">
        <v>62</v>
      </c>
      <c r="B55" s="184" t="s">
        <v>57</v>
      </c>
      <c r="C55" s="120" t="s">
        <v>58</v>
      </c>
      <c r="D55" s="151"/>
      <c r="E55" s="139"/>
      <c r="F55" s="139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40">
        <f t="shared" si="2"/>
        <v>0</v>
      </c>
      <c r="R55" s="141">
        <f t="shared" si="3"/>
        <v>0</v>
      </c>
      <c r="S55" s="139"/>
      <c r="T55" s="139"/>
      <c r="U55" s="142">
        <v>0</v>
      </c>
      <c r="V55" s="142">
        <v>0</v>
      </c>
      <c r="W55" s="142"/>
      <c r="X55" s="139"/>
      <c r="Y55" s="136">
        <f>SUM(S55:X55)</f>
        <v>0</v>
      </c>
      <c r="Z55" s="136">
        <f>+Q55+Y55</f>
        <v>0</v>
      </c>
      <c r="AA55" s="137">
        <f>+D55-Z55</f>
        <v>0</v>
      </c>
    </row>
    <row r="56" spans="1:27" s="138" customFormat="1" ht="13.5" customHeight="1">
      <c r="A56" s="193" t="s">
        <v>62</v>
      </c>
      <c r="B56" s="185" t="s">
        <v>59</v>
      </c>
      <c r="C56" s="121" t="s">
        <v>60</v>
      </c>
      <c r="D56" s="154"/>
      <c r="E56" s="143"/>
      <c r="F56" s="143"/>
      <c r="G56" s="155"/>
      <c r="H56" s="155"/>
      <c r="I56" s="155"/>
      <c r="J56" s="155"/>
      <c r="K56" s="155"/>
      <c r="L56" s="155"/>
      <c r="M56" s="155"/>
      <c r="N56" s="155"/>
      <c r="O56" s="155"/>
      <c r="P56" s="155"/>
      <c r="Q56" s="144">
        <f t="shared" si="2"/>
        <v>0</v>
      </c>
      <c r="R56" s="145">
        <f t="shared" si="3"/>
        <v>0</v>
      </c>
      <c r="S56" s="143"/>
      <c r="T56" s="143"/>
      <c r="U56" s="146">
        <v>0</v>
      </c>
      <c r="V56" s="146">
        <v>0</v>
      </c>
      <c r="W56" s="146"/>
      <c r="X56" s="143"/>
      <c r="Y56" s="136">
        <f>SUM(S56:X56)</f>
        <v>0</v>
      </c>
      <c r="Z56" s="136">
        <f>+Q56+Y56</f>
        <v>0</v>
      </c>
      <c r="AA56" s="137">
        <f>+D56-Z56</f>
        <v>0</v>
      </c>
    </row>
    <row r="57" spans="1:27" s="138" customFormat="1" ht="13.5" customHeight="1">
      <c r="A57" s="157" t="s">
        <v>63</v>
      </c>
      <c r="B57" s="186"/>
      <c r="C57" s="156"/>
      <c r="D57" s="129">
        <f t="shared" ref="D57:P57" si="11">SUBTOTAL(9,D58:D74)</f>
        <v>0</v>
      </c>
      <c r="E57" s="130">
        <f t="shared" si="11"/>
        <v>0</v>
      </c>
      <c r="F57" s="130">
        <f t="shared" si="11"/>
        <v>0</v>
      </c>
      <c r="G57" s="130">
        <f t="shared" si="11"/>
        <v>0</v>
      </c>
      <c r="H57" s="130">
        <f t="shared" ref="H57:N57" si="12">SUBTOTAL(9,H58:H74)</f>
        <v>0</v>
      </c>
      <c r="I57" s="130">
        <f t="shared" si="12"/>
        <v>0</v>
      </c>
      <c r="J57" s="130">
        <f t="shared" si="12"/>
        <v>0</v>
      </c>
      <c r="K57" s="130">
        <f t="shared" si="12"/>
        <v>0</v>
      </c>
      <c r="L57" s="130">
        <f t="shared" si="12"/>
        <v>0</v>
      </c>
      <c r="M57" s="130">
        <f t="shared" si="12"/>
        <v>0</v>
      </c>
      <c r="N57" s="130">
        <f t="shared" si="12"/>
        <v>0</v>
      </c>
      <c r="O57" s="130">
        <f t="shared" si="11"/>
        <v>0</v>
      </c>
      <c r="P57" s="130">
        <f t="shared" si="11"/>
        <v>0</v>
      </c>
      <c r="Q57" s="107">
        <f t="shared" si="2"/>
        <v>0</v>
      </c>
      <c r="R57" s="107">
        <f t="shared" si="3"/>
        <v>0</v>
      </c>
      <c r="S57" s="130">
        <f t="shared" ref="S57:X57" si="13">SUBTOTAL(9,S58:S74)</f>
        <v>0</v>
      </c>
      <c r="T57" s="130">
        <f t="shared" si="13"/>
        <v>0</v>
      </c>
      <c r="U57" s="130">
        <f t="shared" si="13"/>
        <v>0</v>
      </c>
      <c r="V57" s="130">
        <f t="shared" si="13"/>
        <v>0</v>
      </c>
      <c r="W57" s="130">
        <f t="shared" si="13"/>
        <v>0</v>
      </c>
      <c r="X57" s="130">
        <f t="shared" si="13"/>
        <v>0</v>
      </c>
      <c r="Y57" s="125">
        <f>SUM(S57:X57)</f>
        <v>0</v>
      </c>
      <c r="Z57" s="56">
        <f>+Q57+Y57</f>
        <v>0</v>
      </c>
      <c r="AA57" s="131">
        <f>+D57-Z57</f>
        <v>0</v>
      </c>
    </row>
    <row r="58" spans="1:27" s="138" customFormat="1" ht="13.5" customHeight="1">
      <c r="A58" s="193" t="s">
        <v>63</v>
      </c>
      <c r="B58" s="183" t="s">
        <v>29</v>
      </c>
      <c r="C58" s="119" t="s">
        <v>30</v>
      </c>
      <c r="D58" s="149"/>
      <c r="E58" s="132"/>
      <c r="F58" s="132"/>
      <c r="G58" s="150"/>
      <c r="H58" s="150"/>
      <c r="I58" s="150"/>
      <c r="J58" s="150"/>
      <c r="K58" s="150"/>
      <c r="L58" s="150"/>
      <c r="M58" s="150"/>
      <c r="N58" s="150"/>
      <c r="O58" s="150"/>
      <c r="P58" s="150"/>
      <c r="Q58" s="133">
        <f t="shared" si="2"/>
        <v>0</v>
      </c>
      <c r="R58" s="134">
        <f t="shared" si="3"/>
        <v>0</v>
      </c>
      <c r="S58" s="132"/>
      <c r="T58" s="132"/>
      <c r="U58" s="135">
        <v>0</v>
      </c>
      <c r="V58" s="135">
        <v>0</v>
      </c>
      <c r="W58" s="135"/>
      <c r="X58" s="132"/>
      <c r="Y58" s="136">
        <f>SUM(S58:X58)</f>
        <v>0</v>
      </c>
      <c r="Z58" s="136">
        <f>+Q58+Y58</f>
        <v>0</v>
      </c>
      <c r="AA58" s="137">
        <f>+D58-Z58</f>
        <v>0</v>
      </c>
    </row>
    <row r="59" spans="1:27" s="138" customFormat="1" ht="13.5" customHeight="1">
      <c r="A59" s="193" t="s">
        <v>63</v>
      </c>
      <c r="B59" s="183" t="s">
        <v>31</v>
      </c>
      <c r="C59" s="119" t="s">
        <v>32</v>
      </c>
      <c r="D59" s="65"/>
      <c r="E59" s="132"/>
      <c r="F59" s="132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133">
        <f t="shared" si="2"/>
        <v>0</v>
      </c>
      <c r="R59" s="134">
        <f t="shared" si="3"/>
        <v>0</v>
      </c>
      <c r="S59" s="132"/>
      <c r="T59" s="132"/>
      <c r="U59" s="135">
        <v>0</v>
      </c>
      <c r="V59" s="135">
        <v>0</v>
      </c>
      <c r="W59" s="135"/>
      <c r="X59" s="132"/>
      <c r="Y59" s="136">
        <f>SUM(S59:X59)</f>
        <v>0</v>
      </c>
      <c r="Z59" s="136">
        <f>+Q59+Y59</f>
        <v>0</v>
      </c>
      <c r="AA59" s="137">
        <f>+D59-Z59</f>
        <v>0</v>
      </c>
    </row>
    <row r="60" spans="1:27" s="138" customFormat="1" ht="13.5" customHeight="1">
      <c r="A60" s="193" t="s">
        <v>63</v>
      </c>
      <c r="B60" s="184" t="s">
        <v>33</v>
      </c>
      <c r="C60" s="120" t="s">
        <v>34</v>
      </c>
      <c r="D60" s="67"/>
      <c r="E60" s="139"/>
      <c r="F60" s="139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140">
        <f t="shared" si="2"/>
        <v>0</v>
      </c>
      <c r="R60" s="141">
        <f t="shared" si="3"/>
        <v>0</v>
      </c>
      <c r="S60" s="139"/>
      <c r="T60" s="139"/>
      <c r="U60" s="142">
        <v>0</v>
      </c>
      <c r="V60" s="142">
        <v>0</v>
      </c>
      <c r="W60" s="142"/>
      <c r="X60" s="139"/>
      <c r="Y60" s="136">
        <f>SUM(S60:X60)</f>
        <v>0</v>
      </c>
      <c r="Z60" s="136">
        <f>+Q60+Y60</f>
        <v>0</v>
      </c>
      <c r="AA60" s="137">
        <f>+D60-Z60</f>
        <v>0</v>
      </c>
    </row>
    <row r="61" spans="1:27" s="138" customFormat="1" ht="13.5" customHeight="1">
      <c r="A61" s="193" t="s">
        <v>63</v>
      </c>
      <c r="B61" s="184" t="s">
        <v>35</v>
      </c>
      <c r="C61" s="120" t="s">
        <v>36</v>
      </c>
      <c r="D61" s="151"/>
      <c r="E61" s="139"/>
      <c r="F61" s="139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40">
        <f t="shared" si="2"/>
        <v>0</v>
      </c>
      <c r="R61" s="141">
        <f t="shared" si="3"/>
        <v>0</v>
      </c>
      <c r="S61" s="139"/>
      <c r="T61" s="139"/>
      <c r="U61" s="142">
        <v>0</v>
      </c>
      <c r="V61" s="142">
        <v>0</v>
      </c>
      <c r="W61" s="142"/>
      <c r="X61" s="139"/>
      <c r="Y61" s="136">
        <f>SUM(S61:X61)</f>
        <v>0</v>
      </c>
      <c r="Z61" s="136">
        <f>+Q61+Y61</f>
        <v>0</v>
      </c>
      <c r="AA61" s="137">
        <f>+D61-Z61</f>
        <v>0</v>
      </c>
    </row>
    <row r="62" spans="1:27" s="138" customFormat="1" ht="13.5" customHeight="1">
      <c r="A62" s="193" t="s">
        <v>63</v>
      </c>
      <c r="B62" s="184" t="s">
        <v>64</v>
      </c>
      <c r="C62" s="120" t="s">
        <v>65</v>
      </c>
      <c r="D62" s="67"/>
      <c r="E62" s="139"/>
      <c r="F62" s="139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140">
        <f t="shared" si="2"/>
        <v>0</v>
      </c>
      <c r="R62" s="141">
        <f t="shared" si="3"/>
        <v>0</v>
      </c>
      <c r="S62" s="139"/>
      <c r="T62" s="139"/>
      <c r="U62" s="142">
        <v>0</v>
      </c>
      <c r="V62" s="142">
        <v>0</v>
      </c>
      <c r="W62" s="142"/>
      <c r="X62" s="139"/>
      <c r="Y62" s="136">
        <f>SUM(S62:X62)</f>
        <v>0</v>
      </c>
      <c r="Z62" s="136">
        <f>+Q62+Y62</f>
        <v>0</v>
      </c>
      <c r="AA62" s="137">
        <f>+D62-Z62</f>
        <v>0</v>
      </c>
    </row>
    <row r="63" spans="1:27" s="138" customFormat="1" ht="13.5" customHeight="1">
      <c r="A63" s="193" t="s">
        <v>63</v>
      </c>
      <c r="B63" s="184" t="s">
        <v>37</v>
      </c>
      <c r="C63" s="120" t="s">
        <v>38</v>
      </c>
      <c r="D63" s="151"/>
      <c r="E63" s="139"/>
      <c r="F63" s="139"/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40">
        <f t="shared" si="2"/>
        <v>0</v>
      </c>
      <c r="R63" s="141">
        <f t="shared" si="3"/>
        <v>0</v>
      </c>
      <c r="S63" s="139"/>
      <c r="T63" s="139"/>
      <c r="U63" s="142">
        <v>0</v>
      </c>
      <c r="V63" s="142">
        <v>0</v>
      </c>
      <c r="W63" s="142"/>
      <c r="X63" s="139"/>
      <c r="Y63" s="136">
        <f>SUM(S63:X63)</f>
        <v>0</v>
      </c>
      <c r="Z63" s="136">
        <f>+Q63+Y63</f>
        <v>0</v>
      </c>
      <c r="AA63" s="137">
        <f>+D63-Z63</f>
        <v>0</v>
      </c>
    </row>
    <row r="64" spans="1:27" s="138" customFormat="1" ht="13.5" customHeight="1">
      <c r="A64" s="193" t="s">
        <v>63</v>
      </c>
      <c r="B64" s="184" t="s">
        <v>39</v>
      </c>
      <c r="C64" s="120" t="s">
        <v>40</v>
      </c>
      <c r="D64" s="151"/>
      <c r="E64" s="139"/>
      <c r="F64" s="139"/>
      <c r="G64" s="152"/>
      <c r="H64" s="152"/>
      <c r="I64" s="152"/>
      <c r="J64" s="152"/>
      <c r="K64" s="152"/>
      <c r="L64" s="152"/>
      <c r="M64" s="152"/>
      <c r="N64" s="152"/>
      <c r="O64" s="152"/>
      <c r="P64" s="152"/>
      <c r="Q64" s="140">
        <f t="shared" si="2"/>
        <v>0</v>
      </c>
      <c r="R64" s="141">
        <f t="shared" si="3"/>
        <v>0</v>
      </c>
      <c r="S64" s="139"/>
      <c r="T64" s="139"/>
      <c r="U64" s="142">
        <v>0</v>
      </c>
      <c r="V64" s="142">
        <v>0</v>
      </c>
      <c r="W64" s="142"/>
      <c r="X64" s="139"/>
      <c r="Y64" s="136">
        <f>SUM(S64:X64)</f>
        <v>0</v>
      </c>
      <c r="Z64" s="136">
        <f>+Q64+Y64</f>
        <v>0</v>
      </c>
      <c r="AA64" s="137">
        <f>+D64-Z64</f>
        <v>0</v>
      </c>
    </row>
    <row r="65" spans="1:27" s="138" customFormat="1" ht="13.5" customHeight="1">
      <c r="A65" s="193" t="s">
        <v>63</v>
      </c>
      <c r="B65" s="184" t="s">
        <v>41</v>
      </c>
      <c r="C65" s="120" t="s">
        <v>42</v>
      </c>
      <c r="D65" s="151"/>
      <c r="E65" s="139"/>
      <c r="F65" s="139"/>
      <c r="G65" s="152"/>
      <c r="H65" s="152"/>
      <c r="I65" s="152"/>
      <c r="J65" s="152"/>
      <c r="K65" s="152"/>
      <c r="L65" s="152"/>
      <c r="M65" s="152"/>
      <c r="N65" s="152"/>
      <c r="O65" s="152"/>
      <c r="P65" s="152"/>
      <c r="Q65" s="140">
        <f t="shared" si="2"/>
        <v>0</v>
      </c>
      <c r="R65" s="141">
        <f t="shared" si="3"/>
        <v>0</v>
      </c>
      <c r="S65" s="139"/>
      <c r="T65" s="139"/>
      <c r="U65" s="142">
        <v>0</v>
      </c>
      <c r="V65" s="142">
        <v>0</v>
      </c>
      <c r="W65" s="142"/>
      <c r="X65" s="139"/>
      <c r="Y65" s="136">
        <f>SUM(S65:X65)</f>
        <v>0</v>
      </c>
      <c r="Z65" s="136">
        <f>+Q65+Y65</f>
        <v>0</v>
      </c>
      <c r="AA65" s="137">
        <f>+D65-Z65</f>
        <v>0</v>
      </c>
    </row>
    <row r="66" spans="1:27" s="138" customFormat="1" ht="13.5" customHeight="1">
      <c r="A66" s="193" t="s">
        <v>63</v>
      </c>
      <c r="B66" s="184" t="s">
        <v>43</v>
      </c>
      <c r="C66" s="120" t="s">
        <v>44</v>
      </c>
      <c r="D66" s="67"/>
      <c r="E66" s="139"/>
      <c r="F66" s="13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140">
        <f t="shared" si="2"/>
        <v>0</v>
      </c>
      <c r="R66" s="141">
        <f t="shared" si="3"/>
        <v>0</v>
      </c>
      <c r="S66" s="139"/>
      <c r="T66" s="139"/>
      <c r="U66" s="142">
        <v>0</v>
      </c>
      <c r="V66" s="142">
        <v>0</v>
      </c>
      <c r="W66" s="142"/>
      <c r="X66" s="139"/>
      <c r="Y66" s="136">
        <f>SUM(S66:X66)</f>
        <v>0</v>
      </c>
      <c r="Z66" s="136">
        <f>+Q66+Y66</f>
        <v>0</v>
      </c>
      <c r="AA66" s="137">
        <f>+D66-Z66</f>
        <v>0</v>
      </c>
    </row>
    <row r="67" spans="1:27" s="138" customFormat="1" ht="13.5" customHeight="1">
      <c r="A67" s="193" t="s">
        <v>63</v>
      </c>
      <c r="B67" s="184" t="s">
        <v>45</v>
      </c>
      <c r="C67" s="120" t="s">
        <v>46</v>
      </c>
      <c r="D67" s="151"/>
      <c r="E67" s="139"/>
      <c r="F67" s="139"/>
      <c r="G67" s="153"/>
      <c r="H67" s="153"/>
      <c r="I67" s="153"/>
      <c r="J67" s="153"/>
      <c r="K67" s="153"/>
      <c r="L67" s="153"/>
      <c r="M67" s="153"/>
      <c r="N67" s="153"/>
      <c r="O67" s="153"/>
      <c r="P67" s="153"/>
      <c r="Q67" s="140">
        <f t="shared" si="2"/>
        <v>0</v>
      </c>
      <c r="R67" s="141">
        <f t="shared" si="3"/>
        <v>0</v>
      </c>
      <c r="S67" s="139"/>
      <c r="T67" s="139"/>
      <c r="U67" s="142">
        <v>0</v>
      </c>
      <c r="V67" s="142">
        <v>0</v>
      </c>
      <c r="W67" s="142"/>
      <c r="X67" s="139"/>
      <c r="Y67" s="136">
        <f>SUM(S67:X67)</f>
        <v>0</v>
      </c>
      <c r="Z67" s="136">
        <f>+Q67+Y67</f>
        <v>0</v>
      </c>
      <c r="AA67" s="137">
        <f>+D67-Z67</f>
        <v>0</v>
      </c>
    </row>
    <row r="68" spans="1:27" s="138" customFormat="1" ht="13.5" customHeight="1">
      <c r="A68" s="193" t="s">
        <v>63</v>
      </c>
      <c r="B68" s="184" t="s">
        <v>47</v>
      </c>
      <c r="C68" s="120" t="s">
        <v>48</v>
      </c>
      <c r="D68" s="67"/>
      <c r="E68" s="139"/>
      <c r="F68" s="139"/>
      <c r="G68" s="68"/>
      <c r="H68" s="69"/>
      <c r="I68" s="69"/>
      <c r="J68" s="69"/>
      <c r="K68" s="69"/>
      <c r="L68" s="69"/>
      <c r="M68" s="69"/>
      <c r="N68" s="69"/>
      <c r="O68" s="69"/>
      <c r="P68" s="69"/>
      <c r="Q68" s="140">
        <f t="shared" si="2"/>
        <v>0</v>
      </c>
      <c r="R68" s="141">
        <f t="shared" si="3"/>
        <v>0</v>
      </c>
      <c r="S68" s="139"/>
      <c r="T68" s="139"/>
      <c r="U68" s="142">
        <v>0</v>
      </c>
      <c r="V68" s="142">
        <v>0</v>
      </c>
      <c r="W68" s="142"/>
      <c r="X68" s="139"/>
      <c r="Y68" s="136">
        <f>SUM(S68:X68)</f>
        <v>0</v>
      </c>
      <c r="Z68" s="136">
        <f>+Q68+Y68</f>
        <v>0</v>
      </c>
      <c r="AA68" s="137">
        <f>+D68-Z68</f>
        <v>0</v>
      </c>
    </row>
    <row r="69" spans="1:27" s="138" customFormat="1" ht="13.5" customHeight="1">
      <c r="A69" s="193" t="s">
        <v>63</v>
      </c>
      <c r="B69" s="184" t="s">
        <v>49</v>
      </c>
      <c r="C69" s="120" t="s">
        <v>50</v>
      </c>
      <c r="D69" s="67"/>
      <c r="E69" s="139"/>
      <c r="F69" s="13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140">
        <f t="shared" si="2"/>
        <v>0</v>
      </c>
      <c r="R69" s="141">
        <f t="shared" si="3"/>
        <v>0</v>
      </c>
      <c r="S69" s="139"/>
      <c r="T69" s="139"/>
      <c r="U69" s="142">
        <v>0</v>
      </c>
      <c r="V69" s="142">
        <v>0</v>
      </c>
      <c r="W69" s="142"/>
      <c r="X69" s="139"/>
      <c r="Y69" s="136">
        <f>SUM(S69:X69)</f>
        <v>0</v>
      </c>
      <c r="Z69" s="136">
        <f>+Q69+Y69</f>
        <v>0</v>
      </c>
      <c r="AA69" s="137">
        <f>+D69-Z69</f>
        <v>0</v>
      </c>
    </row>
    <row r="70" spans="1:27" s="138" customFormat="1" ht="13.5" customHeight="1">
      <c r="A70" s="193" t="s">
        <v>63</v>
      </c>
      <c r="B70" s="184" t="s">
        <v>51</v>
      </c>
      <c r="C70" s="120" t="s">
        <v>52</v>
      </c>
      <c r="D70" s="151"/>
      <c r="E70" s="139"/>
      <c r="F70" s="139"/>
      <c r="G70" s="153"/>
      <c r="H70" s="153"/>
      <c r="I70" s="153"/>
      <c r="J70" s="153"/>
      <c r="K70" s="153"/>
      <c r="L70" s="153"/>
      <c r="M70" s="153"/>
      <c r="N70" s="153"/>
      <c r="O70" s="153"/>
      <c r="P70" s="153"/>
      <c r="Q70" s="140">
        <f t="shared" ref="Q70:Q133" si="14">SUM(G70:P70)</f>
        <v>0</v>
      </c>
      <c r="R70" s="141">
        <f t="shared" ref="R70:R133" si="15">D70-Q70</f>
        <v>0</v>
      </c>
      <c r="S70" s="139"/>
      <c r="T70" s="139"/>
      <c r="U70" s="142">
        <v>0</v>
      </c>
      <c r="V70" s="142">
        <v>0</v>
      </c>
      <c r="W70" s="142"/>
      <c r="X70" s="139"/>
      <c r="Y70" s="136">
        <f>SUM(S70:X70)</f>
        <v>0</v>
      </c>
      <c r="Z70" s="136">
        <f>+Q70+Y70</f>
        <v>0</v>
      </c>
      <c r="AA70" s="137">
        <f>+D70-Z70</f>
        <v>0</v>
      </c>
    </row>
    <row r="71" spans="1:27" s="138" customFormat="1" ht="13.5" customHeight="1">
      <c r="A71" s="193" t="s">
        <v>63</v>
      </c>
      <c r="B71" s="184" t="s">
        <v>53</v>
      </c>
      <c r="C71" s="120" t="s">
        <v>54</v>
      </c>
      <c r="D71" s="67"/>
      <c r="E71" s="139"/>
      <c r="F71" s="13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140">
        <f t="shared" si="14"/>
        <v>0</v>
      </c>
      <c r="R71" s="141">
        <f t="shared" si="15"/>
        <v>0</v>
      </c>
      <c r="S71" s="139"/>
      <c r="T71" s="139"/>
      <c r="U71" s="142">
        <v>0</v>
      </c>
      <c r="V71" s="142">
        <v>0</v>
      </c>
      <c r="W71" s="142"/>
      <c r="X71" s="139"/>
      <c r="Y71" s="136">
        <f>SUM(S71:X71)</f>
        <v>0</v>
      </c>
      <c r="Z71" s="136">
        <f>+Q71+Y71</f>
        <v>0</v>
      </c>
      <c r="AA71" s="137">
        <f>+D71-Z71</f>
        <v>0</v>
      </c>
    </row>
    <row r="72" spans="1:27" s="138" customFormat="1" ht="13.5" customHeight="1">
      <c r="A72" s="193" t="s">
        <v>63</v>
      </c>
      <c r="B72" s="184" t="s">
        <v>55</v>
      </c>
      <c r="C72" s="120" t="s">
        <v>56</v>
      </c>
      <c r="D72" s="67"/>
      <c r="E72" s="139"/>
      <c r="F72" s="139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140">
        <f t="shared" si="14"/>
        <v>0</v>
      </c>
      <c r="R72" s="141">
        <f t="shared" si="15"/>
        <v>0</v>
      </c>
      <c r="S72" s="139"/>
      <c r="T72" s="139"/>
      <c r="U72" s="142">
        <v>0</v>
      </c>
      <c r="V72" s="142">
        <v>0</v>
      </c>
      <c r="W72" s="142"/>
      <c r="X72" s="139"/>
      <c r="Y72" s="136">
        <f>SUM(S72:X72)</f>
        <v>0</v>
      </c>
      <c r="Z72" s="136">
        <f>+Q72+Y72</f>
        <v>0</v>
      </c>
      <c r="AA72" s="137">
        <f>+D72-Z72</f>
        <v>0</v>
      </c>
    </row>
    <row r="73" spans="1:27" s="138" customFormat="1" ht="13.5" customHeight="1">
      <c r="A73" s="193" t="s">
        <v>63</v>
      </c>
      <c r="B73" s="184" t="s">
        <v>57</v>
      </c>
      <c r="C73" s="120" t="s">
        <v>58</v>
      </c>
      <c r="D73" s="151"/>
      <c r="E73" s="139"/>
      <c r="F73" s="139"/>
      <c r="G73" s="152"/>
      <c r="H73" s="152"/>
      <c r="I73" s="152"/>
      <c r="J73" s="152"/>
      <c r="K73" s="152"/>
      <c r="L73" s="152"/>
      <c r="M73" s="152"/>
      <c r="N73" s="152"/>
      <c r="O73" s="152"/>
      <c r="P73" s="152"/>
      <c r="Q73" s="140">
        <f t="shared" si="14"/>
        <v>0</v>
      </c>
      <c r="R73" s="141">
        <f t="shared" si="15"/>
        <v>0</v>
      </c>
      <c r="S73" s="139"/>
      <c r="T73" s="139"/>
      <c r="U73" s="142">
        <v>0</v>
      </c>
      <c r="V73" s="142">
        <v>0</v>
      </c>
      <c r="W73" s="142"/>
      <c r="X73" s="139"/>
      <c r="Y73" s="136">
        <f>SUM(S73:X73)</f>
        <v>0</v>
      </c>
      <c r="Z73" s="136">
        <f>+Q73+Y73</f>
        <v>0</v>
      </c>
      <c r="AA73" s="137">
        <f>+D73-Z73</f>
        <v>0</v>
      </c>
    </row>
    <row r="74" spans="1:27" s="138" customFormat="1" ht="13.5" customHeight="1">
      <c r="A74" s="193" t="s">
        <v>63</v>
      </c>
      <c r="B74" s="185" t="s">
        <v>59</v>
      </c>
      <c r="C74" s="121" t="s">
        <v>60</v>
      </c>
      <c r="D74" s="70"/>
      <c r="E74" s="143"/>
      <c r="F74" s="143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144">
        <f t="shared" si="14"/>
        <v>0</v>
      </c>
      <c r="R74" s="145">
        <f t="shared" si="15"/>
        <v>0</v>
      </c>
      <c r="S74" s="143"/>
      <c r="T74" s="143"/>
      <c r="U74" s="146">
        <v>0</v>
      </c>
      <c r="V74" s="146">
        <v>0</v>
      </c>
      <c r="W74" s="146"/>
      <c r="X74" s="143"/>
      <c r="Y74" s="136">
        <f>SUM(S74:X74)</f>
        <v>0</v>
      </c>
      <c r="Z74" s="136">
        <f>+Q74+Y74</f>
        <v>0</v>
      </c>
      <c r="AA74" s="137">
        <f>+D74-Z74</f>
        <v>0</v>
      </c>
    </row>
    <row r="75" spans="1:27" s="138" customFormat="1" ht="13.5" customHeight="1">
      <c r="A75" s="157" t="s">
        <v>66</v>
      </c>
      <c r="B75" s="186"/>
      <c r="C75" s="156"/>
      <c r="D75" s="129">
        <f t="shared" ref="D75:P75" si="16">SUBTOTAL(9,D76:D91)</f>
        <v>0</v>
      </c>
      <c r="E75" s="130">
        <f t="shared" si="16"/>
        <v>0</v>
      </c>
      <c r="F75" s="130">
        <f t="shared" si="16"/>
        <v>0</v>
      </c>
      <c r="G75" s="130">
        <f t="shared" si="16"/>
        <v>0</v>
      </c>
      <c r="H75" s="130">
        <f t="shared" ref="H75:N75" si="17">SUBTOTAL(9,H76:H91)</f>
        <v>0</v>
      </c>
      <c r="I75" s="130">
        <f t="shared" si="17"/>
        <v>0</v>
      </c>
      <c r="J75" s="130">
        <f t="shared" si="17"/>
        <v>0</v>
      </c>
      <c r="K75" s="130">
        <f t="shared" si="17"/>
        <v>0</v>
      </c>
      <c r="L75" s="130">
        <f t="shared" si="17"/>
        <v>0</v>
      </c>
      <c r="M75" s="130">
        <f t="shared" si="17"/>
        <v>0</v>
      </c>
      <c r="N75" s="130">
        <f t="shared" si="17"/>
        <v>0</v>
      </c>
      <c r="O75" s="130">
        <f t="shared" si="16"/>
        <v>0</v>
      </c>
      <c r="P75" s="130">
        <f t="shared" si="16"/>
        <v>0</v>
      </c>
      <c r="Q75" s="107">
        <f t="shared" si="14"/>
        <v>0</v>
      </c>
      <c r="R75" s="107">
        <f t="shared" si="15"/>
        <v>0</v>
      </c>
      <c r="S75" s="130">
        <f t="shared" ref="S75:X75" si="18">SUBTOTAL(9,S76:S91)</f>
        <v>0</v>
      </c>
      <c r="T75" s="130">
        <f t="shared" si="18"/>
        <v>0</v>
      </c>
      <c r="U75" s="130">
        <f t="shared" si="18"/>
        <v>0</v>
      </c>
      <c r="V75" s="130">
        <f t="shared" si="18"/>
        <v>0</v>
      </c>
      <c r="W75" s="130">
        <f t="shared" si="18"/>
        <v>0</v>
      </c>
      <c r="X75" s="130">
        <f t="shared" si="18"/>
        <v>0</v>
      </c>
      <c r="Y75" s="125">
        <f>SUM(S75:X75)</f>
        <v>0</v>
      </c>
      <c r="Z75" s="56">
        <f>+Q75+Y75</f>
        <v>0</v>
      </c>
      <c r="AA75" s="131">
        <f>+D75-Z75</f>
        <v>0</v>
      </c>
    </row>
    <row r="76" spans="1:27" s="138" customFormat="1" ht="13.5" customHeight="1">
      <c r="A76" s="193" t="s">
        <v>66</v>
      </c>
      <c r="B76" s="183" t="s">
        <v>29</v>
      </c>
      <c r="C76" s="119" t="s">
        <v>30</v>
      </c>
      <c r="D76" s="65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133">
        <f t="shared" si="14"/>
        <v>0</v>
      </c>
      <c r="R76" s="134">
        <f t="shared" si="15"/>
        <v>0</v>
      </c>
      <c r="S76" s="132"/>
      <c r="T76" s="132"/>
      <c r="U76" s="135">
        <v>0</v>
      </c>
      <c r="V76" s="135">
        <v>0</v>
      </c>
      <c r="W76" s="135"/>
      <c r="X76" s="132"/>
      <c r="Y76" s="136">
        <f>SUM(S76:X76)</f>
        <v>0</v>
      </c>
      <c r="Z76" s="136">
        <f>+Q76+Y76</f>
        <v>0</v>
      </c>
      <c r="AA76" s="137">
        <f>+D76-Z76</f>
        <v>0</v>
      </c>
    </row>
    <row r="77" spans="1:27" s="138" customFormat="1" ht="13.5" customHeight="1">
      <c r="A77" s="193" t="s">
        <v>66</v>
      </c>
      <c r="B77" s="184" t="s">
        <v>31</v>
      </c>
      <c r="C77" s="120" t="s">
        <v>32</v>
      </c>
      <c r="D77" s="67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140">
        <f t="shared" si="14"/>
        <v>0</v>
      </c>
      <c r="R77" s="141">
        <f t="shared" si="15"/>
        <v>0</v>
      </c>
      <c r="S77" s="139"/>
      <c r="T77" s="139"/>
      <c r="U77" s="142">
        <v>0</v>
      </c>
      <c r="V77" s="142">
        <v>0</v>
      </c>
      <c r="W77" s="142"/>
      <c r="X77" s="139"/>
      <c r="Y77" s="136">
        <f>SUM(S77:X77)</f>
        <v>0</v>
      </c>
      <c r="Z77" s="136">
        <f>+Q77+Y77</f>
        <v>0</v>
      </c>
      <c r="AA77" s="137">
        <f>+D77-Z77</f>
        <v>0</v>
      </c>
    </row>
    <row r="78" spans="1:27" s="138" customFormat="1" ht="13.5" customHeight="1">
      <c r="A78" s="193" t="s">
        <v>66</v>
      </c>
      <c r="B78" s="184" t="s">
        <v>33</v>
      </c>
      <c r="C78" s="120" t="s">
        <v>34</v>
      </c>
      <c r="D78" s="67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140">
        <f t="shared" si="14"/>
        <v>0</v>
      </c>
      <c r="R78" s="141">
        <f t="shared" si="15"/>
        <v>0</v>
      </c>
      <c r="S78" s="139"/>
      <c r="T78" s="139"/>
      <c r="U78" s="142">
        <v>0</v>
      </c>
      <c r="V78" s="142">
        <v>0</v>
      </c>
      <c r="W78" s="142"/>
      <c r="X78" s="139"/>
      <c r="Y78" s="136">
        <f>SUM(S78:X78)</f>
        <v>0</v>
      </c>
      <c r="Z78" s="136">
        <f>+Q78+Y78</f>
        <v>0</v>
      </c>
      <c r="AA78" s="137">
        <f>+D78-Z78</f>
        <v>0</v>
      </c>
    </row>
    <row r="79" spans="1:27" s="138" customFormat="1" ht="13.5" customHeight="1">
      <c r="A79" s="193" t="s">
        <v>66</v>
      </c>
      <c r="B79" s="184" t="s">
        <v>35</v>
      </c>
      <c r="C79" s="120" t="s">
        <v>36</v>
      </c>
      <c r="D79" s="67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140">
        <f t="shared" si="14"/>
        <v>0</v>
      </c>
      <c r="R79" s="141">
        <f t="shared" si="15"/>
        <v>0</v>
      </c>
      <c r="S79" s="139"/>
      <c r="T79" s="139"/>
      <c r="U79" s="142">
        <v>0</v>
      </c>
      <c r="V79" s="142">
        <v>0</v>
      </c>
      <c r="W79" s="142"/>
      <c r="X79" s="139"/>
      <c r="Y79" s="136">
        <f>SUM(S79:X79)</f>
        <v>0</v>
      </c>
      <c r="Z79" s="136">
        <f>+Q79+Y79</f>
        <v>0</v>
      </c>
      <c r="AA79" s="137">
        <f>+D79-Z79</f>
        <v>0</v>
      </c>
    </row>
    <row r="80" spans="1:27" s="138" customFormat="1" ht="13.5" customHeight="1">
      <c r="A80" s="193" t="s">
        <v>66</v>
      </c>
      <c r="B80" s="184" t="s">
        <v>37</v>
      </c>
      <c r="C80" s="120" t="s">
        <v>38</v>
      </c>
      <c r="D80" s="151"/>
      <c r="E80" s="139"/>
      <c r="F80" s="139"/>
      <c r="G80" s="152"/>
      <c r="H80" s="152"/>
      <c r="I80" s="152"/>
      <c r="J80" s="152"/>
      <c r="K80" s="152"/>
      <c r="L80" s="152"/>
      <c r="M80" s="152"/>
      <c r="N80" s="152"/>
      <c r="O80" s="152"/>
      <c r="P80" s="152"/>
      <c r="Q80" s="140">
        <f t="shared" si="14"/>
        <v>0</v>
      </c>
      <c r="R80" s="141">
        <f t="shared" si="15"/>
        <v>0</v>
      </c>
      <c r="S80" s="139"/>
      <c r="T80" s="139"/>
      <c r="U80" s="142">
        <v>0</v>
      </c>
      <c r="V80" s="142">
        <v>0</v>
      </c>
      <c r="W80" s="142"/>
      <c r="X80" s="139"/>
      <c r="Y80" s="136">
        <f>SUM(S80:X80)</f>
        <v>0</v>
      </c>
      <c r="Z80" s="136">
        <f>+Q80+Y80</f>
        <v>0</v>
      </c>
      <c r="AA80" s="137">
        <f>+D80-Z80</f>
        <v>0</v>
      </c>
    </row>
    <row r="81" spans="1:27" s="138" customFormat="1" ht="13.5" customHeight="1">
      <c r="A81" s="193" t="s">
        <v>66</v>
      </c>
      <c r="B81" s="184" t="s">
        <v>39</v>
      </c>
      <c r="C81" s="120" t="s">
        <v>40</v>
      </c>
      <c r="D81" s="151"/>
      <c r="E81" s="139"/>
      <c r="F81" s="139"/>
      <c r="G81" s="152"/>
      <c r="H81" s="152"/>
      <c r="I81" s="152"/>
      <c r="J81" s="152"/>
      <c r="K81" s="152"/>
      <c r="L81" s="152"/>
      <c r="M81" s="152"/>
      <c r="N81" s="152"/>
      <c r="O81" s="152"/>
      <c r="P81" s="152"/>
      <c r="Q81" s="140">
        <f t="shared" si="14"/>
        <v>0</v>
      </c>
      <c r="R81" s="141">
        <f t="shared" si="15"/>
        <v>0</v>
      </c>
      <c r="S81" s="139"/>
      <c r="T81" s="139"/>
      <c r="U81" s="142">
        <v>0</v>
      </c>
      <c r="V81" s="142">
        <v>0</v>
      </c>
      <c r="W81" s="142"/>
      <c r="X81" s="139"/>
      <c r="Y81" s="136">
        <f>SUM(S81:X81)</f>
        <v>0</v>
      </c>
      <c r="Z81" s="136">
        <f>+Q81+Y81</f>
        <v>0</v>
      </c>
      <c r="AA81" s="137">
        <f>+D81-Z81</f>
        <v>0</v>
      </c>
    </row>
    <row r="82" spans="1:27" s="138" customFormat="1" ht="13.5" customHeight="1">
      <c r="A82" s="193" t="s">
        <v>66</v>
      </c>
      <c r="B82" s="184" t="s">
        <v>41</v>
      </c>
      <c r="C82" s="120" t="s">
        <v>42</v>
      </c>
      <c r="D82" s="151"/>
      <c r="E82" s="139"/>
      <c r="F82" s="139"/>
      <c r="G82" s="152"/>
      <c r="H82" s="152"/>
      <c r="I82" s="152"/>
      <c r="J82" s="152"/>
      <c r="K82" s="152"/>
      <c r="L82" s="152"/>
      <c r="M82" s="152"/>
      <c r="N82" s="152"/>
      <c r="O82" s="152"/>
      <c r="P82" s="152"/>
      <c r="Q82" s="140">
        <f t="shared" si="14"/>
        <v>0</v>
      </c>
      <c r="R82" s="141">
        <f t="shared" si="15"/>
        <v>0</v>
      </c>
      <c r="S82" s="139"/>
      <c r="T82" s="139"/>
      <c r="U82" s="142">
        <v>0</v>
      </c>
      <c r="V82" s="142">
        <v>0</v>
      </c>
      <c r="W82" s="142"/>
      <c r="X82" s="139"/>
      <c r="Y82" s="136">
        <f>SUM(S82:X82)</f>
        <v>0</v>
      </c>
      <c r="Z82" s="136">
        <f>+Q82+Y82</f>
        <v>0</v>
      </c>
      <c r="AA82" s="137">
        <f>+D82-Z82</f>
        <v>0</v>
      </c>
    </row>
    <row r="83" spans="1:27" s="138" customFormat="1" ht="13.5" customHeight="1">
      <c r="A83" s="193" t="s">
        <v>66</v>
      </c>
      <c r="B83" s="184" t="s">
        <v>43</v>
      </c>
      <c r="C83" s="120" t="s">
        <v>44</v>
      </c>
      <c r="D83" s="67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140">
        <f t="shared" si="14"/>
        <v>0</v>
      </c>
      <c r="R83" s="141">
        <f t="shared" si="15"/>
        <v>0</v>
      </c>
      <c r="S83" s="139"/>
      <c r="T83" s="139"/>
      <c r="U83" s="142">
        <v>0</v>
      </c>
      <c r="V83" s="142">
        <v>0</v>
      </c>
      <c r="W83" s="142"/>
      <c r="X83" s="139"/>
      <c r="Y83" s="136">
        <f>SUM(S83:X83)</f>
        <v>0</v>
      </c>
      <c r="Z83" s="136">
        <f>+Q83+Y83</f>
        <v>0</v>
      </c>
      <c r="AA83" s="137">
        <f>+D83-Z83</f>
        <v>0</v>
      </c>
    </row>
    <row r="84" spans="1:27" s="138" customFormat="1" ht="13.5" customHeight="1">
      <c r="A84" s="193" t="s">
        <v>66</v>
      </c>
      <c r="B84" s="184" t="s">
        <v>45</v>
      </c>
      <c r="C84" s="120" t="s">
        <v>46</v>
      </c>
      <c r="D84" s="67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140">
        <f t="shared" si="14"/>
        <v>0</v>
      </c>
      <c r="R84" s="141">
        <f t="shared" si="15"/>
        <v>0</v>
      </c>
      <c r="S84" s="139"/>
      <c r="T84" s="139"/>
      <c r="U84" s="142">
        <v>0</v>
      </c>
      <c r="V84" s="142">
        <v>0</v>
      </c>
      <c r="W84" s="142"/>
      <c r="X84" s="139"/>
      <c r="Y84" s="136">
        <f>SUM(S84:X84)</f>
        <v>0</v>
      </c>
      <c r="Z84" s="136">
        <f>+Q84+Y84</f>
        <v>0</v>
      </c>
      <c r="AA84" s="137">
        <f>+D84-Z84</f>
        <v>0</v>
      </c>
    </row>
    <row r="85" spans="1:27" s="138" customFormat="1" ht="13.5" customHeight="1">
      <c r="A85" s="193" t="s">
        <v>66</v>
      </c>
      <c r="B85" s="184" t="s">
        <v>47</v>
      </c>
      <c r="C85" s="120" t="s">
        <v>48</v>
      </c>
      <c r="D85" s="67"/>
      <c r="E85" s="68"/>
      <c r="F85" s="69"/>
      <c r="G85" s="68"/>
      <c r="H85" s="69"/>
      <c r="I85" s="69"/>
      <c r="J85" s="69"/>
      <c r="K85" s="69"/>
      <c r="L85" s="69"/>
      <c r="M85" s="69"/>
      <c r="N85" s="69"/>
      <c r="O85" s="69"/>
      <c r="P85" s="69"/>
      <c r="Q85" s="140">
        <f t="shared" si="14"/>
        <v>0</v>
      </c>
      <c r="R85" s="141">
        <f t="shared" si="15"/>
        <v>0</v>
      </c>
      <c r="S85" s="139"/>
      <c r="T85" s="139"/>
      <c r="U85" s="142">
        <v>0</v>
      </c>
      <c r="V85" s="142">
        <v>0</v>
      </c>
      <c r="W85" s="142"/>
      <c r="X85" s="139"/>
      <c r="Y85" s="136">
        <f>SUM(S85:X85)</f>
        <v>0</v>
      </c>
      <c r="Z85" s="136">
        <f>+Q85+Y85</f>
        <v>0</v>
      </c>
      <c r="AA85" s="137">
        <f>+D85-Z85</f>
        <v>0</v>
      </c>
    </row>
    <row r="86" spans="1:27" s="138" customFormat="1" ht="13.5" customHeight="1">
      <c r="A86" s="193" t="s">
        <v>66</v>
      </c>
      <c r="B86" s="184" t="s">
        <v>49</v>
      </c>
      <c r="C86" s="120" t="s">
        <v>50</v>
      </c>
      <c r="D86" s="67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140">
        <f t="shared" si="14"/>
        <v>0</v>
      </c>
      <c r="R86" s="141">
        <f t="shared" si="15"/>
        <v>0</v>
      </c>
      <c r="S86" s="139"/>
      <c r="T86" s="139"/>
      <c r="U86" s="142">
        <v>0</v>
      </c>
      <c r="V86" s="142">
        <v>0</v>
      </c>
      <c r="W86" s="142"/>
      <c r="X86" s="139"/>
      <c r="Y86" s="136">
        <f>SUM(S86:X86)</f>
        <v>0</v>
      </c>
      <c r="Z86" s="136">
        <f>+Q86+Y86</f>
        <v>0</v>
      </c>
      <c r="AA86" s="137">
        <f>+D86-Z86</f>
        <v>0</v>
      </c>
    </row>
    <row r="87" spans="1:27" s="138" customFormat="1" ht="13.5" customHeight="1">
      <c r="A87" s="193" t="s">
        <v>66</v>
      </c>
      <c r="B87" s="184" t="s">
        <v>51</v>
      </c>
      <c r="C87" s="120" t="s">
        <v>52</v>
      </c>
      <c r="D87" s="67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140">
        <f t="shared" si="14"/>
        <v>0</v>
      </c>
      <c r="R87" s="141">
        <f t="shared" si="15"/>
        <v>0</v>
      </c>
      <c r="S87" s="139"/>
      <c r="T87" s="139"/>
      <c r="U87" s="142">
        <v>0</v>
      </c>
      <c r="V87" s="142">
        <v>0</v>
      </c>
      <c r="W87" s="142"/>
      <c r="X87" s="139"/>
      <c r="Y87" s="136">
        <f>SUM(S87:X87)</f>
        <v>0</v>
      </c>
      <c r="Z87" s="136">
        <f>+Q87+Y87</f>
        <v>0</v>
      </c>
      <c r="AA87" s="137">
        <f>+D87-Z87</f>
        <v>0</v>
      </c>
    </row>
    <row r="88" spans="1:27" s="138" customFormat="1" ht="13.5" customHeight="1">
      <c r="A88" s="193" t="s">
        <v>66</v>
      </c>
      <c r="B88" s="184" t="s">
        <v>53</v>
      </c>
      <c r="C88" s="120" t="s">
        <v>54</v>
      </c>
      <c r="D88" s="67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140">
        <f t="shared" si="14"/>
        <v>0</v>
      </c>
      <c r="R88" s="141">
        <f t="shared" si="15"/>
        <v>0</v>
      </c>
      <c r="S88" s="139"/>
      <c r="T88" s="139"/>
      <c r="U88" s="142">
        <v>0</v>
      </c>
      <c r="V88" s="142">
        <v>0</v>
      </c>
      <c r="W88" s="142"/>
      <c r="X88" s="139"/>
      <c r="Y88" s="136">
        <f>SUM(S88:X88)</f>
        <v>0</v>
      </c>
      <c r="Z88" s="136">
        <f>+Q88+Y88</f>
        <v>0</v>
      </c>
      <c r="AA88" s="137">
        <f>+D88-Z88</f>
        <v>0</v>
      </c>
    </row>
    <row r="89" spans="1:27" s="138" customFormat="1" ht="13.5" customHeight="1">
      <c r="A89" s="193" t="s">
        <v>66</v>
      </c>
      <c r="B89" s="184" t="s">
        <v>55</v>
      </c>
      <c r="C89" s="120" t="s">
        <v>56</v>
      </c>
      <c r="D89" s="67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140">
        <f t="shared" si="14"/>
        <v>0</v>
      </c>
      <c r="R89" s="141">
        <f t="shared" si="15"/>
        <v>0</v>
      </c>
      <c r="S89" s="139"/>
      <c r="T89" s="139"/>
      <c r="U89" s="142">
        <v>0</v>
      </c>
      <c r="V89" s="142">
        <v>0</v>
      </c>
      <c r="W89" s="142"/>
      <c r="X89" s="139"/>
      <c r="Y89" s="136">
        <f>SUM(S89:X89)</f>
        <v>0</v>
      </c>
      <c r="Z89" s="136">
        <f>+Q89+Y89</f>
        <v>0</v>
      </c>
      <c r="AA89" s="137">
        <f>+D89-Z89</f>
        <v>0</v>
      </c>
    </row>
    <row r="90" spans="1:27" s="138" customFormat="1" ht="13.5" customHeight="1">
      <c r="A90" s="193" t="s">
        <v>66</v>
      </c>
      <c r="B90" s="184" t="s">
        <v>57</v>
      </c>
      <c r="C90" s="120" t="s">
        <v>58</v>
      </c>
      <c r="D90" s="151"/>
      <c r="E90" s="139"/>
      <c r="F90" s="139"/>
      <c r="G90" s="152"/>
      <c r="H90" s="152"/>
      <c r="I90" s="152"/>
      <c r="J90" s="152"/>
      <c r="K90" s="152"/>
      <c r="L90" s="152"/>
      <c r="M90" s="152"/>
      <c r="N90" s="152"/>
      <c r="O90" s="152"/>
      <c r="P90" s="152"/>
      <c r="Q90" s="140">
        <f t="shared" si="14"/>
        <v>0</v>
      </c>
      <c r="R90" s="141">
        <f t="shared" si="15"/>
        <v>0</v>
      </c>
      <c r="S90" s="139"/>
      <c r="T90" s="139"/>
      <c r="U90" s="142">
        <v>0</v>
      </c>
      <c r="V90" s="142">
        <v>0</v>
      </c>
      <c r="W90" s="142"/>
      <c r="X90" s="139"/>
      <c r="Y90" s="136">
        <f>SUM(S90:X90)</f>
        <v>0</v>
      </c>
      <c r="Z90" s="136">
        <f>+Q90+Y90</f>
        <v>0</v>
      </c>
      <c r="AA90" s="137">
        <f>+D90-Z90</f>
        <v>0</v>
      </c>
    </row>
    <row r="91" spans="1:27" s="138" customFormat="1" ht="13.5" customHeight="1">
      <c r="A91" s="193" t="s">
        <v>66</v>
      </c>
      <c r="B91" s="185" t="s">
        <v>59</v>
      </c>
      <c r="C91" s="121" t="s">
        <v>60</v>
      </c>
      <c r="D91" s="70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144">
        <f t="shared" si="14"/>
        <v>0</v>
      </c>
      <c r="R91" s="145">
        <f t="shared" si="15"/>
        <v>0</v>
      </c>
      <c r="S91" s="143"/>
      <c r="T91" s="143"/>
      <c r="U91" s="146">
        <v>0</v>
      </c>
      <c r="V91" s="146">
        <v>0</v>
      </c>
      <c r="W91" s="146"/>
      <c r="X91" s="143"/>
      <c r="Y91" s="136">
        <f>SUM(S91:X91)</f>
        <v>0</v>
      </c>
      <c r="Z91" s="136">
        <f>+Q91+Y91</f>
        <v>0</v>
      </c>
      <c r="AA91" s="137">
        <f>+D91-Z91</f>
        <v>0</v>
      </c>
    </row>
    <row r="92" spans="1:27" s="138" customFormat="1" ht="13.5" customHeight="1">
      <c r="A92" s="192" t="s">
        <v>67</v>
      </c>
      <c r="B92" s="186"/>
      <c r="C92" s="156"/>
      <c r="D92" s="129">
        <f t="shared" ref="D92:P92" si="19">SUBTOTAL(9,D93:D108)</f>
        <v>0</v>
      </c>
      <c r="E92" s="130">
        <f t="shared" si="19"/>
        <v>0</v>
      </c>
      <c r="F92" s="130">
        <f t="shared" si="19"/>
        <v>0</v>
      </c>
      <c r="G92" s="130">
        <f t="shared" si="19"/>
        <v>0</v>
      </c>
      <c r="H92" s="130">
        <f t="shared" ref="H92:N92" si="20">SUBTOTAL(9,H93:H108)</f>
        <v>0</v>
      </c>
      <c r="I92" s="130">
        <f t="shared" si="20"/>
        <v>0</v>
      </c>
      <c r="J92" s="130">
        <f t="shared" si="20"/>
        <v>0</v>
      </c>
      <c r="K92" s="130">
        <f t="shared" si="20"/>
        <v>0</v>
      </c>
      <c r="L92" s="130">
        <f t="shared" si="20"/>
        <v>0</v>
      </c>
      <c r="M92" s="130">
        <f t="shared" si="20"/>
        <v>0</v>
      </c>
      <c r="N92" s="130">
        <f t="shared" si="20"/>
        <v>0</v>
      </c>
      <c r="O92" s="130">
        <f t="shared" si="19"/>
        <v>0</v>
      </c>
      <c r="P92" s="130">
        <f t="shared" si="19"/>
        <v>0</v>
      </c>
      <c r="Q92" s="107">
        <f t="shared" si="14"/>
        <v>0</v>
      </c>
      <c r="R92" s="107">
        <f t="shared" si="15"/>
        <v>0</v>
      </c>
      <c r="S92" s="130">
        <f t="shared" ref="S92:X92" si="21">SUBTOTAL(9,S93:S108)</f>
        <v>0</v>
      </c>
      <c r="T92" s="130">
        <f t="shared" si="21"/>
        <v>0</v>
      </c>
      <c r="U92" s="130">
        <f t="shared" si="21"/>
        <v>0</v>
      </c>
      <c r="V92" s="130">
        <f t="shared" si="21"/>
        <v>0</v>
      </c>
      <c r="W92" s="130">
        <f t="shared" si="21"/>
        <v>0</v>
      </c>
      <c r="X92" s="130">
        <f t="shared" si="21"/>
        <v>0</v>
      </c>
      <c r="Y92" s="125">
        <f>SUM(S92:X92)</f>
        <v>0</v>
      </c>
      <c r="Z92" s="56">
        <f>+Q92+Y92</f>
        <v>0</v>
      </c>
      <c r="AA92" s="131">
        <f>+D92-Z92</f>
        <v>0</v>
      </c>
    </row>
    <row r="93" spans="1:27" s="138" customFormat="1" ht="13.5" customHeight="1">
      <c r="A93" s="215" t="s">
        <v>67</v>
      </c>
      <c r="B93" s="183" t="s">
        <v>29</v>
      </c>
      <c r="C93" s="119" t="s">
        <v>30</v>
      </c>
      <c r="D93" s="65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133">
        <f t="shared" si="14"/>
        <v>0</v>
      </c>
      <c r="R93" s="134">
        <f t="shared" si="15"/>
        <v>0</v>
      </c>
      <c r="S93" s="132"/>
      <c r="T93" s="132"/>
      <c r="U93" s="135">
        <v>0</v>
      </c>
      <c r="V93" s="135">
        <v>0</v>
      </c>
      <c r="W93" s="135"/>
      <c r="X93" s="132"/>
      <c r="Y93" s="136">
        <f>SUM(S93:X93)</f>
        <v>0</v>
      </c>
      <c r="Z93" s="136">
        <f>+Q93+Y93</f>
        <v>0</v>
      </c>
      <c r="AA93" s="137">
        <f>+D93-Z93</f>
        <v>0</v>
      </c>
    </row>
    <row r="94" spans="1:27" s="138" customFormat="1" ht="13.5" customHeight="1">
      <c r="A94" s="215" t="s">
        <v>67</v>
      </c>
      <c r="B94" s="184" t="s">
        <v>31</v>
      </c>
      <c r="C94" s="120" t="s">
        <v>32</v>
      </c>
      <c r="D94" s="67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140">
        <f t="shared" si="14"/>
        <v>0</v>
      </c>
      <c r="R94" s="141">
        <f t="shared" si="15"/>
        <v>0</v>
      </c>
      <c r="S94" s="139"/>
      <c r="T94" s="139"/>
      <c r="U94" s="142">
        <v>0</v>
      </c>
      <c r="V94" s="142">
        <v>0</v>
      </c>
      <c r="W94" s="142"/>
      <c r="X94" s="139"/>
      <c r="Y94" s="136">
        <f>SUM(S94:X94)</f>
        <v>0</v>
      </c>
      <c r="Z94" s="136">
        <f>+Q94+Y94</f>
        <v>0</v>
      </c>
      <c r="AA94" s="137">
        <f>+D94-Z94</f>
        <v>0</v>
      </c>
    </row>
    <row r="95" spans="1:27" s="138" customFormat="1" ht="13.5" customHeight="1">
      <c r="A95" s="215" t="s">
        <v>67</v>
      </c>
      <c r="B95" s="184" t="s">
        <v>33</v>
      </c>
      <c r="C95" s="120" t="s">
        <v>34</v>
      </c>
      <c r="D95" s="67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140">
        <f t="shared" si="14"/>
        <v>0</v>
      </c>
      <c r="R95" s="141">
        <f t="shared" si="15"/>
        <v>0</v>
      </c>
      <c r="S95" s="139"/>
      <c r="T95" s="139"/>
      <c r="U95" s="142">
        <v>0</v>
      </c>
      <c r="V95" s="142">
        <v>0</v>
      </c>
      <c r="W95" s="142"/>
      <c r="X95" s="139"/>
      <c r="Y95" s="136">
        <f>SUM(S95:X95)</f>
        <v>0</v>
      </c>
      <c r="Z95" s="136">
        <f>+Q95+Y95</f>
        <v>0</v>
      </c>
      <c r="AA95" s="137">
        <f>+D95-Z95</f>
        <v>0</v>
      </c>
    </row>
    <row r="96" spans="1:27" s="138" customFormat="1" ht="13.5" customHeight="1">
      <c r="A96" s="215" t="s">
        <v>67</v>
      </c>
      <c r="B96" s="184" t="s">
        <v>35</v>
      </c>
      <c r="C96" s="120" t="s">
        <v>36</v>
      </c>
      <c r="D96" s="67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140">
        <f t="shared" si="14"/>
        <v>0</v>
      </c>
      <c r="R96" s="141">
        <f t="shared" si="15"/>
        <v>0</v>
      </c>
      <c r="S96" s="139"/>
      <c r="T96" s="139"/>
      <c r="U96" s="142">
        <v>0</v>
      </c>
      <c r="V96" s="142">
        <v>0</v>
      </c>
      <c r="W96" s="142"/>
      <c r="X96" s="139"/>
      <c r="Y96" s="136">
        <f>SUM(S96:X96)</f>
        <v>0</v>
      </c>
      <c r="Z96" s="136">
        <f>+Q96+Y96</f>
        <v>0</v>
      </c>
      <c r="AA96" s="137">
        <f>+D96-Z96</f>
        <v>0</v>
      </c>
    </row>
    <row r="97" spans="1:27" s="138" customFormat="1" ht="13.5" customHeight="1">
      <c r="A97" s="215" t="s">
        <v>67</v>
      </c>
      <c r="B97" s="184" t="s">
        <v>37</v>
      </c>
      <c r="C97" s="120" t="s">
        <v>38</v>
      </c>
      <c r="D97" s="151"/>
      <c r="E97" s="139"/>
      <c r="F97" s="139"/>
      <c r="G97" s="152"/>
      <c r="H97" s="152"/>
      <c r="I97" s="152"/>
      <c r="J97" s="152"/>
      <c r="K97" s="152"/>
      <c r="L97" s="152"/>
      <c r="M97" s="152"/>
      <c r="N97" s="152"/>
      <c r="O97" s="152"/>
      <c r="P97" s="152"/>
      <c r="Q97" s="140">
        <f t="shared" si="14"/>
        <v>0</v>
      </c>
      <c r="R97" s="141">
        <f t="shared" si="15"/>
        <v>0</v>
      </c>
      <c r="S97" s="139"/>
      <c r="T97" s="139"/>
      <c r="U97" s="142">
        <v>0</v>
      </c>
      <c r="V97" s="142">
        <v>0</v>
      </c>
      <c r="W97" s="142"/>
      <c r="X97" s="139"/>
      <c r="Y97" s="136">
        <f>SUM(S97:X97)</f>
        <v>0</v>
      </c>
      <c r="Z97" s="136">
        <f>+Q97+Y97</f>
        <v>0</v>
      </c>
      <c r="AA97" s="137">
        <f>+D97-Z97</f>
        <v>0</v>
      </c>
    </row>
    <row r="98" spans="1:27" s="138" customFormat="1" ht="13.5" customHeight="1">
      <c r="A98" s="215" t="s">
        <v>67</v>
      </c>
      <c r="B98" s="184" t="s">
        <v>39</v>
      </c>
      <c r="C98" s="120" t="s">
        <v>40</v>
      </c>
      <c r="D98" s="151"/>
      <c r="E98" s="139"/>
      <c r="F98" s="139"/>
      <c r="G98" s="152"/>
      <c r="H98" s="152"/>
      <c r="I98" s="152"/>
      <c r="J98" s="152"/>
      <c r="K98" s="152"/>
      <c r="L98" s="152"/>
      <c r="M98" s="152"/>
      <c r="N98" s="152"/>
      <c r="O98" s="152"/>
      <c r="P98" s="152"/>
      <c r="Q98" s="140">
        <f t="shared" si="14"/>
        <v>0</v>
      </c>
      <c r="R98" s="141">
        <f t="shared" si="15"/>
        <v>0</v>
      </c>
      <c r="S98" s="139"/>
      <c r="T98" s="139"/>
      <c r="U98" s="142">
        <v>0</v>
      </c>
      <c r="V98" s="142">
        <v>0</v>
      </c>
      <c r="W98" s="142"/>
      <c r="X98" s="139"/>
      <c r="Y98" s="136">
        <f>SUM(S98:X98)</f>
        <v>0</v>
      </c>
      <c r="Z98" s="136">
        <f>+Q98+Y98</f>
        <v>0</v>
      </c>
      <c r="AA98" s="137">
        <f>+D98-Z98</f>
        <v>0</v>
      </c>
    </row>
    <row r="99" spans="1:27" s="138" customFormat="1" ht="13.5" customHeight="1">
      <c r="A99" s="215" t="s">
        <v>67</v>
      </c>
      <c r="B99" s="184" t="s">
        <v>41</v>
      </c>
      <c r="C99" s="120" t="s">
        <v>42</v>
      </c>
      <c r="D99" s="151"/>
      <c r="E99" s="139"/>
      <c r="F99" s="139"/>
      <c r="G99" s="152"/>
      <c r="H99" s="152"/>
      <c r="I99" s="152"/>
      <c r="J99" s="152"/>
      <c r="K99" s="152"/>
      <c r="L99" s="152"/>
      <c r="M99" s="152"/>
      <c r="N99" s="152"/>
      <c r="O99" s="152"/>
      <c r="P99" s="152"/>
      <c r="Q99" s="140">
        <f t="shared" si="14"/>
        <v>0</v>
      </c>
      <c r="R99" s="141">
        <f t="shared" si="15"/>
        <v>0</v>
      </c>
      <c r="S99" s="139"/>
      <c r="T99" s="139"/>
      <c r="U99" s="142">
        <v>0</v>
      </c>
      <c r="V99" s="142">
        <v>0</v>
      </c>
      <c r="W99" s="142"/>
      <c r="X99" s="139"/>
      <c r="Y99" s="136">
        <f>SUM(S99:X99)</f>
        <v>0</v>
      </c>
      <c r="Z99" s="136">
        <f>+Q99+Y99</f>
        <v>0</v>
      </c>
      <c r="AA99" s="137">
        <f>+D99-Z99</f>
        <v>0</v>
      </c>
    </row>
    <row r="100" spans="1:27" s="138" customFormat="1" ht="13.5" customHeight="1">
      <c r="A100" s="215" t="s">
        <v>67</v>
      </c>
      <c r="B100" s="184" t="s">
        <v>43</v>
      </c>
      <c r="C100" s="120" t="s">
        <v>44</v>
      </c>
      <c r="D100" s="67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140">
        <f t="shared" si="14"/>
        <v>0</v>
      </c>
      <c r="R100" s="141">
        <f t="shared" si="15"/>
        <v>0</v>
      </c>
      <c r="S100" s="139"/>
      <c r="T100" s="139"/>
      <c r="U100" s="142">
        <v>0</v>
      </c>
      <c r="V100" s="142">
        <v>0</v>
      </c>
      <c r="W100" s="142"/>
      <c r="X100" s="139"/>
      <c r="Y100" s="136">
        <f>SUM(S100:X100)</f>
        <v>0</v>
      </c>
      <c r="Z100" s="136">
        <f>+Q100+Y100</f>
        <v>0</v>
      </c>
      <c r="AA100" s="137">
        <f>+D100-Z100</f>
        <v>0</v>
      </c>
    </row>
    <row r="101" spans="1:27" s="138" customFormat="1" ht="13.5" customHeight="1">
      <c r="A101" s="215" t="s">
        <v>67</v>
      </c>
      <c r="B101" s="184" t="s">
        <v>45</v>
      </c>
      <c r="C101" s="120" t="s">
        <v>46</v>
      </c>
      <c r="D101" s="67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140">
        <f t="shared" si="14"/>
        <v>0</v>
      </c>
      <c r="R101" s="141">
        <f t="shared" si="15"/>
        <v>0</v>
      </c>
      <c r="S101" s="139"/>
      <c r="T101" s="139"/>
      <c r="U101" s="142">
        <v>0</v>
      </c>
      <c r="V101" s="142">
        <v>0</v>
      </c>
      <c r="W101" s="142"/>
      <c r="X101" s="139"/>
      <c r="Y101" s="136">
        <f>SUM(S101:X101)</f>
        <v>0</v>
      </c>
      <c r="Z101" s="136">
        <f>+Q101+Y101</f>
        <v>0</v>
      </c>
      <c r="AA101" s="137">
        <f>+D101-Z101</f>
        <v>0</v>
      </c>
    </row>
    <row r="102" spans="1:27" s="138" customFormat="1" ht="13.5" customHeight="1">
      <c r="A102" s="215" t="s">
        <v>67</v>
      </c>
      <c r="B102" s="184" t="s">
        <v>47</v>
      </c>
      <c r="C102" s="120" t="s">
        <v>48</v>
      </c>
      <c r="D102" s="67"/>
      <c r="E102" s="68"/>
      <c r="F102" s="69"/>
      <c r="G102" s="68"/>
      <c r="H102" s="69"/>
      <c r="I102" s="69"/>
      <c r="J102" s="69"/>
      <c r="K102" s="69"/>
      <c r="L102" s="69"/>
      <c r="M102" s="69"/>
      <c r="N102" s="69"/>
      <c r="O102" s="69"/>
      <c r="P102" s="69"/>
      <c r="Q102" s="140">
        <f t="shared" si="14"/>
        <v>0</v>
      </c>
      <c r="R102" s="141">
        <f t="shared" si="15"/>
        <v>0</v>
      </c>
      <c r="S102" s="139"/>
      <c r="T102" s="139"/>
      <c r="U102" s="142">
        <v>0</v>
      </c>
      <c r="V102" s="142">
        <v>0</v>
      </c>
      <c r="W102" s="142"/>
      <c r="X102" s="139"/>
      <c r="Y102" s="136">
        <f>SUM(S102:X102)</f>
        <v>0</v>
      </c>
      <c r="Z102" s="136">
        <f>+Q102+Y102</f>
        <v>0</v>
      </c>
      <c r="AA102" s="137">
        <f>+D102-Z102</f>
        <v>0</v>
      </c>
    </row>
    <row r="103" spans="1:27" s="138" customFormat="1" ht="13.5" customHeight="1">
      <c r="A103" s="215" t="s">
        <v>67</v>
      </c>
      <c r="B103" s="184" t="s">
        <v>49</v>
      </c>
      <c r="C103" s="120" t="s">
        <v>50</v>
      </c>
      <c r="D103" s="67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140">
        <f t="shared" si="14"/>
        <v>0</v>
      </c>
      <c r="R103" s="141">
        <f t="shared" si="15"/>
        <v>0</v>
      </c>
      <c r="S103" s="139"/>
      <c r="T103" s="139"/>
      <c r="U103" s="142">
        <v>0</v>
      </c>
      <c r="V103" s="142">
        <v>0</v>
      </c>
      <c r="W103" s="142"/>
      <c r="X103" s="139"/>
      <c r="Y103" s="136">
        <f>SUM(S103:X103)</f>
        <v>0</v>
      </c>
      <c r="Z103" s="136">
        <f>+Q103+Y103</f>
        <v>0</v>
      </c>
      <c r="AA103" s="137">
        <f>+D103-Z103</f>
        <v>0</v>
      </c>
    </row>
    <row r="104" spans="1:27" s="138" customFormat="1" ht="13.5" customHeight="1">
      <c r="A104" s="215" t="s">
        <v>67</v>
      </c>
      <c r="B104" s="184" t="s">
        <v>51</v>
      </c>
      <c r="C104" s="120" t="s">
        <v>52</v>
      </c>
      <c r="D104" s="67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140">
        <f t="shared" si="14"/>
        <v>0</v>
      </c>
      <c r="R104" s="141">
        <f t="shared" si="15"/>
        <v>0</v>
      </c>
      <c r="S104" s="139"/>
      <c r="T104" s="139"/>
      <c r="U104" s="142">
        <v>0</v>
      </c>
      <c r="V104" s="142">
        <v>0</v>
      </c>
      <c r="W104" s="142"/>
      <c r="X104" s="139"/>
      <c r="Y104" s="136">
        <f>SUM(S104:X104)</f>
        <v>0</v>
      </c>
      <c r="Z104" s="136">
        <f>+Q104+Y104</f>
        <v>0</v>
      </c>
      <c r="AA104" s="137">
        <f>+D104-Z104</f>
        <v>0</v>
      </c>
    </row>
    <row r="105" spans="1:27" s="138" customFormat="1" ht="13.5" customHeight="1">
      <c r="A105" s="215" t="s">
        <v>67</v>
      </c>
      <c r="B105" s="184" t="s">
        <v>53</v>
      </c>
      <c r="C105" s="120" t="s">
        <v>54</v>
      </c>
      <c r="D105" s="67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140">
        <f t="shared" si="14"/>
        <v>0</v>
      </c>
      <c r="R105" s="141">
        <f t="shared" si="15"/>
        <v>0</v>
      </c>
      <c r="S105" s="139"/>
      <c r="T105" s="139"/>
      <c r="U105" s="142">
        <v>0</v>
      </c>
      <c r="V105" s="142">
        <v>0</v>
      </c>
      <c r="W105" s="142"/>
      <c r="X105" s="139"/>
      <c r="Y105" s="136">
        <f>SUM(S105:X105)</f>
        <v>0</v>
      </c>
      <c r="Z105" s="136">
        <f>+Q105+Y105</f>
        <v>0</v>
      </c>
      <c r="AA105" s="137">
        <f>+D105-Z105</f>
        <v>0</v>
      </c>
    </row>
    <row r="106" spans="1:27" s="138" customFormat="1" ht="13.5" customHeight="1">
      <c r="A106" s="215" t="s">
        <v>67</v>
      </c>
      <c r="B106" s="184" t="s">
        <v>55</v>
      </c>
      <c r="C106" s="120" t="s">
        <v>56</v>
      </c>
      <c r="D106" s="67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140">
        <f t="shared" si="14"/>
        <v>0</v>
      </c>
      <c r="R106" s="141">
        <f t="shared" si="15"/>
        <v>0</v>
      </c>
      <c r="S106" s="139"/>
      <c r="T106" s="139"/>
      <c r="U106" s="142">
        <v>0</v>
      </c>
      <c r="V106" s="142">
        <v>0</v>
      </c>
      <c r="W106" s="142"/>
      <c r="X106" s="139"/>
      <c r="Y106" s="136">
        <f>SUM(S106:X106)</f>
        <v>0</v>
      </c>
      <c r="Z106" s="136">
        <f>+Q106+Y106</f>
        <v>0</v>
      </c>
      <c r="AA106" s="137">
        <f>+D106-Z106</f>
        <v>0</v>
      </c>
    </row>
    <row r="107" spans="1:27" s="138" customFormat="1" ht="13.5" customHeight="1">
      <c r="A107" s="215" t="s">
        <v>67</v>
      </c>
      <c r="B107" s="184" t="s">
        <v>57</v>
      </c>
      <c r="C107" s="120" t="s">
        <v>58</v>
      </c>
      <c r="D107" s="151"/>
      <c r="E107" s="139"/>
      <c r="F107" s="139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  <c r="Q107" s="140">
        <f t="shared" si="14"/>
        <v>0</v>
      </c>
      <c r="R107" s="141">
        <f t="shared" si="15"/>
        <v>0</v>
      </c>
      <c r="S107" s="139"/>
      <c r="T107" s="139"/>
      <c r="U107" s="142">
        <v>0</v>
      </c>
      <c r="V107" s="142">
        <v>0</v>
      </c>
      <c r="W107" s="142"/>
      <c r="X107" s="139"/>
      <c r="Y107" s="136">
        <f>SUM(S107:X107)</f>
        <v>0</v>
      </c>
      <c r="Z107" s="136">
        <f>+Q107+Y107</f>
        <v>0</v>
      </c>
      <c r="AA107" s="137">
        <f>+D107-Z107</f>
        <v>0</v>
      </c>
    </row>
    <row r="108" spans="1:27" s="138" customFormat="1" ht="13.5" customHeight="1">
      <c r="A108" s="215" t="s">
        <v>67</v>
      </c>
      <c r="B108" s="185" t="s">
        <v>59</v>
      </c>
      <c r="C108" s="121" t="s">
        <v>60</v>
      </c>
      <c r="D108" s="70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144">
        <f t="shared" si="14"/>
        <v>0</v>
      </c>
      <c r="R108" s="145">
        <f t="shared" si="15"/>
        <v>0</v>
      </c>
      <c r="S108" s="143"/>
      <c r="T108" s="143"/>
      <c r="U108" s="146">
        <v>0</v>
      </c>
      <c r="V108" s="146">
        <v>0</v>
      </c>
      <c r="W108" s="146"/>
      <c r="X108" s="143"/>
      <c r="Y108" s="136">
        <f>SUM(S108:X108)</f>
        <v>0</v>
      </c>
      <c r="Z108" s="136">
        <f>+Q108+Y108</f>
        <v>0</v>
      </c>
      <c r="AA108" s="137">
        <f>+D108-Z108</f>
        <v>0</v>
      </c>
    </row>
    <row r="109" spans="1:27" s="138" customFormat="1" ht="13.5" customHeight="1">
      <c r="A109" s="192" t="s">
        <v>68</v>
      </c>
      <c r="B109" s="186"/>
      <c r="C109" s="156"/>
      <c r="D109" s="129">
        <f t="shared" ref="D109:P109" si="22">SUBTOTAL(9,D110:D125)</f>
        <v>0</v>
      </c>
      <c r="E109" s="130">
        <f t="shared" si="22"/>
        <v>0</v>
      </c>
      <c r="F109" s="130">
        <f t="shared" si="22"/>
        <v>0</v>
      </c>
      <c r="G109" s="130">
        <f t="shared" si="22"/>
        <v>0</v>
      </c>
      <c r="H109" s="130">
        <f t="shared" ref="H109:N109" si="23">SUBTOTAL(9,H110:H125)</f>
        <v>0</v>
      </c>
      <c r="I109" s="130">
        <f t="shared" si="23"/>
        <v>0</v>
      </c>
      <c r="J109" s="130">
        <f t="shared" si="23"/>
        <v>0</v>
      </c>
      <c r="K109" s="130">
        <f t="shared" si="23"/>
        <v>0</v>
      </c>
      <c r="L109" s="130">
        <f t="shared" si="23"/>
        <v>0</v>
      </c>
      <c r="M109" s="130">
        <f t="shared" si="23"/>
        <v>0</v>
      </c>
      <c r="N109" s="130">
        <f t="shared" si="23"/>
        <v>0</v>
      </c>
      <c r="O109" s="130">
        <f t="shared" si="22"/>
        <v>0</v>
      </c>
      <c r="P109" s="130">
        <f t="shared" si="22"/>
        <v>0</v>
      </c>
      <c r="Q109" s="107">
        <f t="shared" si="14"/>
        <v>0</v>
      </c>
      <c r="R109" s="107">
        <f t="shared" si="15"/>
        <v>0</v>
      </c>
      <c r="S109" s="130">
        <f t="shared" ref="S109:X109" si="24">SUBTOTAL(9,S110:S125)</f>
        <v>0</v>
      </c>
      <c r="T109" s="130">
        <f t="shared" si="24"/>
        <v>0</v>
      </c>
      <c r="U109" s="130">
        <f t="shared" si="24"/>
        <v>0</v>
      </c>
      <c r="V109" s="130">
        <f t="shared" si="24"/>
        <v>0</v>
      </c>
      <c r="W109" s="130">
        <f t="shared" si="24"/>
        <v>0</v>
      </c>
      <c r="X109" s="130">
        <f t="shared" si="24"/>
        <v>0</v>
      </c>
      <c r="Y109" s="125">
        <f>SUM(S109:X109)</f>
        <v>0</v>
      </c>
      <c r="Z109" s="56">
        <f>+Q109+Y109</f>
        <v>0</v>
      </c>
      <c r="AA109" s="131">
        <f>+D109-Z109</f>
        <v>0</v>
      </c>
    </row>
    <row r="110" spans="1:27" s="138" customFormat="1" ht="13.5" customHeight="1">
      <c r="A110" s="215" t="s">
        <v>68</v>
      </c>
      <c r="B110" s="183" t="s">
        <v>29</v>
      </c>
      <c r="C110" s="119" t="s">
        <v>30</v>
      </c>
      <c r="D110" s="65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133">
        <f t="shared" si="14"/>
        <v>0</v>
      </c>
      <c r="R110" s="134">
        <f t="shared" si="15"/>
        <v>0</v>
      </c>
      <c r="S110" s="132"/>
      <c r="T110" s="132"/>
      <c r="U110" s="135">
        <v>0</v>
      </c>
      <c r="V110" s="135">
        <v>0</v>
      </c>
      <c r="W110" s="135"/>
      <c r="X110" s="132"/>
      <c r="Y110" s="136">
        <f>SUM(S110:X110)</f>
        <v>0</v>
      </c>
      <c r="Z110" s="136">
        <f>+Q110+Y110</f>
        <v>0</v>
      </c>
      <c r="AA110" s="137">
        <f>+D110-Z110</f>
        <v>0</v>
      </c>
    </row>
    <row r="111" spans="1:27" s="138" customFormat="1" ht="13.5" customHeight="1">
      <c r="A111" s="215" t="s">
        <v>68</v>
      </c>
      <c r="B111" s="184" t="s">
        <v>31</v>
      </c>
      <c r="C111" s="120" t="s">
        <v>32</v>
      </c>
      <c r="D111" s="67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140">
        <f t="shared" si="14"/>
        <v>0</v>
      </c>
      <c r="R111" s="141">
        <f t="shared" si="15"/>
        <v>0</v>
      </c>
      <c r="S111" s="139"/>
      <c r="T111" s="139"/>
      <c r="U111" s="142">
        <v>0</v>
      </c>
      <c r="V111" s="142">
        <v>0</v>
      </c>
      <c r="W111" s="142"/>
      <c r="X111" s="139"/>
      <c r="Y111" s="136">
        <f>SUM(S111:X111)</f>
        <v>0</v>
      </c>
      <c r="Z111" s="136">
        <f>+Q111+Y111</f>
        <v>0</v>
      </c>
      <c r="AA111" s="137">
        <f>+D111-Z111</f>
        <v>0</v>
      </c>
    </row>
    <row r="112" spans="1:27" s="138" customFormat="1" ht="13.5" customHeight="1">
      <c r="A112" s="215" t="s">
        <v>68</v>
      </c>
      <c r="B112" s="184" t="s">
        <v>33</v>
      </c>
      <c r="C112" s="120" t="s">
        <v>34</v>
      </c>
      <c r="D112" s="67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140">
        <f t="shared" si="14"/>
        <v>0</v>
      </c>
      <c r="R112" s="141">
        <f t="shared" si="15"/>
        <v>0</v>
      </c>
      <c r="S112" s="139"/>
      <c r="T112" s="139"/>
      <c r="U112" s="142">
        <v>0</v>
      </c>
      <c r="V112" s="142">
        <v>0</v>
      </c>
      <c r="W112" s="142"/>
      <c r="X112" s="139"/>
      <c r="Y112" s="136">
        <f>SUM(S112:X112)</f>
        <v>0</v>
      </c>
      <c r="Z112" s="136">
        <f>+Q112+Y112</f>
        <v>0</v>
      </c>
      <c r="AA112" s="137">
        <f>+D112-Z112</f>
        <v>0</v>
      </c>
    </row>
    <row r="113" spans="1:27" s="138" customFormat="1" ht="13.5" customHeight="1">
      <c r="A113" s="215" t="s">
        <v>68</v>
      </c>
      <c r="B113" s="184" t="s">
        <v>35</v>
      </c>
      <c r="C113" s="120" t="s">
        <v>36</v>
      </c>
      <c r="D113" s="67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140">
        <f t="shared" si="14"/>
        <v>0</v>
      </c>
      <c r="R113" s="141">
        <f t="shared" si="15"/>
        <v>0</v>
      </c>
      <c r="S113" s="139"/>
      <c r="T113" s="139"/>
      <c r="U113" s="142">
        <v>0</v>
      </c>
      <c r="V113" s="142">
        <v>0</v>
      </c>
      <c r="W113" s="142"/>
      <c r="X113" s="139"/>
      <c r="Y113" s="136">
        <f>SUM(S113:X113)</f>
        <v>0</v>
      </c>
      <c r="Z113" s="136">
        <f>+Q113+Y113</f>
        <v>0</v>
      </c>
      <c r="AA113" s="137">
        <f>+D113-Z113</f>
        <v>0</v>
      </c>
    </row>
    <row r="114" spans="1:27" s="138" customFormat="1" ht="13.5" customHeight="1">
      <c r="A114" s="215" t="s">
        <v>68</v>
      </c>
      <c r="B114" s="184" t="s">
        <v>37</v>
      </c>
      <c r="C114" s="120" t="s">
        <v>38</v>
      </c>
      <c r="D114" s="151"/>
      <c r="E114" s="139"/>
      <c r="F114" s="139"/>
      <c r="G114" s="152"/>
      <c r="H114" s="152"/>
      <c r="I114" s="152"/>
      <c r="J114" s="152"/>
      <c r="K114" s="152"/>
      <c r="L114" s="152"/>
      <c r="M114" s="152"/>
      <c r="N114" s="152"/>
      <c r="O114" s="152"/>
      <c r="P114" s="152"/>
      <c r="Q114" s="140">
        <f t="shared" si="14"/>
        <v>0</v>
      </c>
      <c r="R114" s="141">
        <f t="shared" si="15"/>
        <v>0</v>
      </c>
      <c r="S114" s="139"/>
      <c r="T114" s="139"/>
      <c r="U114" s="142">
        <v>0</v>
      </c>
      <c r="V114" s="142">
        <v>0</v>
      </c>
      <c r="W114" s="142"/>
      <c r="X114" s="139"/>
      <c r="Y114" s="136">
        <f>SUM(S114:X114)</f>
        <v>0</v>
      </c>
      <c r="Z114" s="136">
        <f>+Q114+Y114</f>
        <v>0</v>
      </c>
      <c r="AA114" s="137">
        <f>+D114-Z114</f>
        <v>0</v>
      </c>
    </row>
    <row r="115" spans="1:27" s="138" customFormat="1" ht="13.5" customHeight="1">
      <c r="A115" s="215" t="s">
        <v>68</v>
      </c>
      <c r="B115" s="184" t="s">
        <v>39</v>
      </c>
      <c r="C115" s="120" t="s">
        <v>40</v>
      </c>
      <c r="D115" s="151"/>
      <c r="E115" s="139"/>
      <c r="F115" s="139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40">
        <f t="shared" si="14"/>
        <v>0</v>
      </c>
      <c r="R115" s="141">
        <f t="shared" si="15"/>
        <v>0</v>
      </c>
      <c r="S115" s="139"/>
      <c r="T115" s="139"/>
      <c r="U115" s="142">
        <v>0</v>
      </c>
      <c r="V115" s="142">
        <v>0</v>
      </c>
      <c r="W115" s="142"/>
      <c r="X115" s="139"/>
      <c r="Y115" s="136">
        <f>SUM(S115:X115)</f>
        <v>0</v>
      </c>
      <c r="Z115" s="136">
        <f>+Q115+Y115</f>
        <v>0</v>
      </c>
      <c r="AA115" s="137">
        <f>+D115-Z115</f>
        <v>0</v>
      </c>
    </row>
    <row r="116" spans="1:27" s="138" customFormat="1" ht="13.5" customHeight="1">
      <c r="A116" s="215" t="s">
        <v>68</v>
      </c>
      <c r="B116" s="184" t="s">
        <v>41</v>
      </c>
      <c r="C116" s="120" t="s">
        <v>42</v>
      </c>
      <c r="D116" s="151"/>
      <c r="E116" s="139"/>
      <c r="F116" s="139"/>
      <c r="G116" s="152"/>
      <c r="H116" s="152"/>
      <c r="I116" s="152"/>
      <c r="J116" s="152"/>
      <c r="K116" s="152"/>
      <c r="L116" s="152"/>
      <c r="M116" s="152"/>
      <c r="N116" s="152"/>
      <c r="O116" s="152"/>
      <c r="P116" s="152"/>
      <c r="Q116" s="140">
        <f t="shared" si="14"/>
        <v>0</v>
      </c>
      <c r="R116" s="141">
        <f t="shared" si="15"/>
        <v>0</v>
      </c>
      <c r="S116" s="139"/>
      <c r="T116" s="139"/>
      <c r="U116" s="142">
        <v>0</v>
      </c>
      <c r="V116" s="142">
        <v>0</v>
      </c>
      <c r="W116" s="142"/>
      <c r="X116" s="139"/>
      <c r="Y116" s="136">
        <f>SUM(S116:X116)</f>
        <v>0</v>
      </c>
      <c r="Z116" s="136">
        <f>+Q116+Y116</f>
        <v>0</v>
      </c>
      <c r="AA116" s="137">
        <f>+D116-Z116</f>
        <v>0</v>
      </c>
    </row>
    <row r="117" spans="1:27" s="138" customFormat="1" ht="13.5" customHeight="1">
      <c r="A117" s="215" t="s">
        <v>68</v>
      </c>
      <c r="B117" s="184" t="s">
        <v>43</v>
      </c>
      <c r="C117" s="120" t="s">
        <v>44</v>
      </c>
      <c r="D117" s="67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140">
        <f t="shared" si="14"/>
        <v>0</v>
      </c>
      <c r="R117" s="141">
        <f t="shared" si="15"/>
        <v>0</v>
      </c>
      <c r="S117" s="139"/>
      <c r="T117" s="139"/>
      <c r="U117" s="142">
        <v>0</v>
      </c>
      <c r="V117" s="142">
        <v>0</v>
      </c>
      <c r="W117" s="142"/>
      <c r="X117" s="139"/>
      <c r="Y117" s="136">
        <f>SUM(S117:X117)</f>
        <v>0</v>
      </c>
      <c r="Z117" s="136">
        <f>+Q117+Y117</f>
        <v>0</v>
      </c>
      <c r="AA117" s="137">
        <f>+D117-Z117</f>
        <v>0</v>
      </c>
    </row>
    <row r="118" spans="1:27" s="138" customFormat="1" ht="13.5" customHeight="1">
      <c r="A118" s="215" t="s">
        <v>68</v>
      </c>
      <c r="B118" s="184" t="s">
        <v>45</v>
      </c>
      <c r="C118" s="120" t="s">
        <v>46</v>
      </c>
      <c r="D118" s="67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140">
        <f t="shared" si="14"/>
        <v>0</v>
      </c>
      <c r="R118" s="141">
        <f t="shared" si="15"/>
        <v>0</v>
      </c>
      <c r="S118" s="139"/>
      <c r="T118" s="139"/>
      <c r="U118" s="142">
        <v>0</v>
      </c>
      <c r="V118" s="142">
        <v>0</v>
      </c>
      <c r="W118" s="142"/>
      <c r="X118" s="139"/>
      <c r="Y118" s="136">
        <f>SUM(S118:X118)</f>
        <v>0</v>
      </c>
      <c r="Z118" s="136">
        <f>+Q118+Y118</f>
        <v>0</v>
      </c>
      <c r="AA118" s="137">
        <f>+D118-Z118</f>
        <v>0</v>
      </c>
    </row>
    <row r="119" spans="1:27" s="138" customFormat="1" ht="13.5" customHeight="1">
      <c r="A119" s="215" t="s">
        <v>68</v>
      </c>
      <c r="B119" s="184" t="s">
        <v>47</v>
      </c>
      <c r="C119" s="120" t="s">
        <v>48</v>
      </c>
      <c r="D119" s="67"/>
      <c r="E119" s="68"/>
      <c r="F119" s="69"/>
      <c r="G119" s="68"/>
      <c r="H119" s="69"/>
      <c r="I119" s="69"/>
      <c r="J119" s="69"/>
      <c r="K119" s="69"/>
      <c r="L119" s="69"/>
      <c r="M119" s="69"/>
      <c r="N119" s="69"/>
      <c r="O119" s="69"/>
      <c r="P119" s="69"/>
      <c r="Q119" s="140">
        <f t="shared" si="14"/>
        <v>0</v>
      </c>
      <c r="R119" s="141">
        <f t="shared" si="15"/>
        <v>0</v>
      </c>
      <c r="S119" s="139"/>
      <c r="T119" s="139"/>
      <c r="U119" s="142">
        <v>0</v>
      </c>
      <c r="V119" s="142">
        <v>0</v>
      </c>
      <c r="W119" s="142"/>
      <c r="X119" s="139"/>
      <c r="Y119" s="136">
        <f>SUM(S119:X119)</f>
        <v>0</v>
      </c>
      <c r="Z119" s="136">
        <f>+Q119+Y119</f>
        <v>0</v>
      </c>
      <c r="AA119" s="137">
        <f>+D119-Z119</f>
        <v>0</v>
      </c>
    </row>
    <row r="120" spans="1:27" s="138" customFormat="1" ht="13.5" customHeight="1">
      <c r="A120" s="215" t="s">
        <v>68</v>
      </c>
      <c r="B120" s="184" t="s">
        <v>49</v>
      </c>
      <c r="C120" s="120" t="s">
        <v>50</v>
      </c>
      <c r="D120" s="67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140">
        <f t="shared" si="14"/>
        <v>0</v>
      </c>
      <c r="R120" s="141">
        <f t="shared" si="15"/>
        <v>0</v>
      </c>
      <c r="S120" s="139"/>
      <c r="T120" s="139"/>
      <c r="U120" s="142">
        <v>0</v>
      </c>
      <c r="V120" s="142">
        <v>0</v>
      </c>
      <c r="W120" s="142"/>
      <c r="X120" s="139"/>
      <c r="Y120" s="136">
        <f>SUM(S120:X120)</f>
        <v>0</v>
      </c>
      <c r="Z120" s="136">
        <f>+Q120+Y120</f>
        <v>0</v>
      </c>
      <c r="AA120" s="137">
        <f>+D120-Z120</f>
        <v>0</v>
      </c>
    </row>
    <row r="121" spans="1:27" s="138" customFormat="1" ht="13.5" customHeight="1">
      <c r="A121" s="215" t="s">
        <v>68</v>
      </c>
      <c r="B121" s="184" t="s">
        <v>51</v>
      </c>
      <c r="C121" s="120" t="s">
        <v>52</v>
      </c>
      <c r="D121" s="67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140">
        <f t="shared" si="14"/>
        <v>0</v>
      </c>
      <c r="R121" s="141">
        <f t="shared" si="15"/>
        <v>0</v>
      </c>
      <c r="S121" s="139"/>
      <c r="T121" s="139"/>
      <c r="U121" s="142">
        <v>0</v>
      </c>
      <c r="V121" s="142">
        <v>0</v>
      </c>
      <c r="W121" s="142"/>
      <c r="X121" s="139"/>
      <c r="Y121" s="136">
        <f>SUM(S121:X121)</f>
        <v>0</v>
      </c>
      <c r="Z121" s="136">
        <f>+Q121+Y121</f>
        <v>0</v>
      </c>
      <c r="AA121" s="137">
        <f>+D121-Z121</f>
        <v>0</v>
      </c>
    </row>
    <row r="122" spans="1:27" s="138" customFormat="1" ht="13.5" customHeight="1">
      <c r="A122" s="215" t="s">
        <v>68</v>
      </c>
      <c r="B122" s="184" t="s">
        <v>53</v>
      </c>
      <c r="C122" s="120" t="s">
        <v>54</v>
      </c>
      <c r="D122" s="67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140">
        <f t="shared" si="14"/>
        <v>0</v>
      </c>
      <c r="R122" s="141">
        <f t="shared" si="15"/>
        <v>0</v>
      </c>
      <c r="S122" s="139"/>
      <c r="T122" s="139"/>
      <c r="U122" s="142">
        <v>0</v>
      </c>
      <c r="V122" s="142">
        <v>0</v>
      </c>
      <c r="W122" s="142"/>
      <c r="X122" s="139"/>
      <c r="Y122" s="136">
        <f>SUM(S122:X122)</f>
        <v>0</v>
      </c>
      <c r="Z122" s="136">
        <f>+Q122+Y122</f>
        <v>0</v>
      </c>
      <c r="AA122" s="137">
        <f>+D122-Z122</f>
        <v>0</v>
      </c>
    </row>
    <row r="123" spans="1:27" s="138" customFormat="1" ht="13.5" customHeight="1">
      <c r="A123" s="215" t="s">
        <v>68</v>
      </c>
      <c r="B123" s="184" t="s">
        <v>55</v>
      </c>
      <c r="C123" s="120" t="s">
        <v>56</v>
      </c>
      <c r="D123" s="67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140">
        <f t="shared" si="14"/>
        <v>0</v>
      </c>
      <c r="R123" s="141">
        <f t="shared" si="15"/>
        <v>0</v>
      </c>
      <c r="S123" s="139"/>
      <c r="T123" s="139"/>
      <c r="U123" s="142">
        <v>0</v>
      </c>
      <c r="V123" s="142">
        <v>0</v>
      </c>
      <c r="W123" s="142"/>
      <c r="X123" s="139"/>
      <c r="Y123" s="136">
        <f>SUM(S123:X123)</f>
        <v>0</v>
      </c>
      <c r="Z123" s="136">
        <f>+Q123+Y123</f>
        <v>0</v>
      </c>
      <c r="AA123" s="137">
        <f>+D123-Z123</f>
        <v>0</v>
      </c>
    </row>
    <row r="124" spans="1:27" s="138" customFormat="1" ht="13.5" customHeight="1">
      <c r="A124" s="215" t="s">
        <v>68</v>
      </c>
      <c r="B124" s="184" t="s">
        <v>57</v>
      </c>
      <c r="C124" s="120" t="s">
        <v>58</v>
      </c>
      <c r="D124" s="151"/>
      <c r="E124" s="139"/>
      <c r="F124" s="139"/>
      <c r="G124" s="152"/>
      <c r="H124" s="152"/>
      <c r="I124" s="152"/>
      <c r="J124" s="152"/>
      <c r="K124" s="152"/>
      <c r="L124" s="152"/>
      <c r="M124" s="152"/>
      <c r="N124" s="152"/>
      <c r="O124" s="152"/>
      <c r="P124" s="152"/>
      <c r="Q124" s="140">
        <f t="shared" si="14"/>
        <v>0</v>
      </c>
      <c r="R124" s="141">
        <f t="shared" si="15"/>
        <v>0</v>
      </c>
      <c r="S124" s="139"/>
      <c r="T124" s="139"/>
      <c r="U124" s="142">
        <v>0</v>
      </c>
      <c r="V124" s="142">
        <v>0</v>
      </c>
      <c r="W124" s="142"/>
      <c r="X124" s="139"/>
      <c r="Y124" s="136">
        <f>SUM(S124:X124)</f>
        <v>0</v>
      </c>
      <c r="Z124" s="136">
        <f>+Q124+Y124</f>
        <v>0</v>
      </c>
      <c r="AA124" s="137">
        <f>+D124-Z124</f>
        <v>0</v>
      </c>
    </row>
    <row r="125" spans="1:27" s="138" customFormat="1" ht="13.5" customHeight="1">
      <c r="A125" s="215" t="s">
        <v>68</v>
      </c>
      <c r="B125" s="185" t="s">
        <v>59</v>
      </c>
      <c r="C125" s="121" t="s">
        <v>60</v>
      </c>
      <c r="D125" s="70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144">
        <f t="shared" si="14"/>
        <v>0</v>
      </c>
      <c r="R125" s="145">
        <f t="shared" si="15"/>
        <v>0</v>
      </c>
      <c r="S125" s="143"/>
      <c r="T125" s="143"/>
      <c r="U125" s="146">
        <v>0</v>
      </c>
      <c r="V125" s="146">
        <v>0</v>
      </c>
      <c r="W125" s="146"/>
      <c r="X125" s="143"/>
      <c r="Y125" s="136">
        <f>SUM(S125:X125)</f>
        <v>0</v>
      </c>
      <c r="Z125" s="136">
        <f>+Q125+Y125</f>
        <v>0</v>
      </c>
      <c r="AA125" s="137">
        <f>+D125-Z125</f>
        <v>0</v>
      </c>
    </row>
    <row r="126" spans="1:27" s="138" customFormat="1" ht="13.5" customHeight="1">
      <c r="A126" s="192" t="s">
        <v>69</v>
      </c>
      <c r="B126" s="186"/>
      <c r="C126" s="156"/>
      <c r="D126" s="129">
        <f t="shared" ref="D126:P126" si="25">SUBTOTAL(9,D127:D142)</f>
        <v>0</v>
      </c>
      <c r="E126" s="130">
        <f t="shared" si="25"/>
        <v>0</v>
      </c>
      <c r="F126" s="130">
        <f t="shared" si="25"/>
        <v>0</v>
      </c>
      <c r="G126" s="130">
        <f t="shared" si="25"/>
        <v>0</v>
      </c>
      <c r="H126" s="130">
        <f t="shared" ref="H126:N126" si="26">SUBTOTAL(9,H127:H142)</f>
        <v>0</v>
      </c>
      <c r="I126" s="130">
        <f t="shared" si="26"/>
        <v>0</v>
      </c>
      <c r="J126" s="130">
        <f t="shared" si="26"/>
        <v>0</v>
      </c>
      <c r="K126" s="130">
        <f t="shared" si="26"/>
        <v>0</v>
      </c>
      <c r="L126" s="130">
        <f t="shared" si="26"/>
        <v>0</v>
      </c>
      <c r="M126" s="130">
        <f t="shared" si="26"/>
        <v>0</v>
      </c>
      <c r="N126" s="130">
        <f t="shared" si="26"/>
        <v>0</v>
      </c>
      <c r="O126" s="130">
        <f t="shared" si="25"/>
        <v>0</v>
      </c>
      <c r="P126" s="130">
        <f t="shared" si="25"/>
        <v>0</v>
      </c>
      <c r="Q126" s="107">
        <f t="shared" si="14"/>
        <v>0</v>
      </c>
      <c r="R126" s="107">
        <f t="shared" si="15"/>
        <v>0</v>
      </c>
      <c r="S126" s="130">
        <f t="shared" ref="S126:X126" si="27">SUBTOTAL(9,S127:S142)</f>
        <v>0</v>
      </c>
      <c r="T126" s="130">
        <f t="shared" si="27"/>
        <v>0</v>
      </c>
      <c r="U126" s="130">
        <f t="shared" si="27"/>
        <v>0</v>
      </c>
      <c r="V126" s="130">
        <f t="shared" si="27"/>
        <v>0</v>
      </c>
      <c r="W126" s="130">
        <f t="shared" si="27"/>
        <v>0</v>
      </c>
      <c r="X126" s="130">
        <f t="shared" si="27"/>
        <v>0</v>
      </c>
      <c r="Y126" s="125">
        <f>SUM(S126:X126)</f>
        <v>0</v>
      </c>
      <c r="Z126" s="56">
        <f>+Q126+Y126</f>
        <v>0</v>
      </c>
      <c r="AA126" s="131">
        <f>+D126-Z126</f>
        <v>0</v>
      </c>
    </row>
    <row r="127" spans="1:27" s="138" customFormat="1" ht="13.5" customHeight="1">
      <c r="A127" s="215" t="s">
        <v>69</v>
      </c>
      <c r="B127" s="183" t="s">
        <v>29</v>
      </c>
      <c r="C127" s="119" t="s">
        <v>30</v>
      </c>
      <c r="D127" s="65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133">
        <f t="shared" si="14"/>
        <v>0</v>
      </c>
      <c r="R127" s="134">
        <f t="shared" si="15"/>
        <v>0</v>
      </c>
      <c r="S127" s="132"/>
      <c r="T127" s="132"/>
      <c r="U127" s="135">
        <v>0</v>
      </c>
      <c r="V127" s="135">
        <v>0</v>
      </c>
      <c r="W127" s="135"/>
      <c r="X127" s="132"/>
      <c r="Y127" s="136">
        <f>SUM(S127:X127)</f>
        <v>0</v>
      </c>
      <c r="Z127" s="136">
        <f>+Q127+Y127</f>
        <v>0</v>
      </c>
      <c r="AA127" s="137">
        <f>+D127-Z127</f>
        <v>0</v>
      </c>
    </row>
    <row r="128" spans="1:27" s="138" customFormat="1" ht="13.5" customHeight="1">
      <c r="A128" s="215" t="s">
        <v>69</v>
      </c>
      <c r="B128" s="184" t="s">
        <v>31</v>
      </c>
      <c r="C128" s="120" t="s">
        <v>32</v>
      </c>
      <c r="D128" s="67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140">
        <f t="shared" si="14"/>
        <v>0</v>
      </c>
      <c r="R128" s="141">
        <f t="shared" si="15"/>
        <v>0</v>
      </c>
      <c r="S128" s="139"/>
      <c r="T128" s="139"/>
      <c r="U128" s="142">
        <v>0</v>
      </c>
      <c r="V128" s="142">
        <v>0</v>
      </c>
      <c r="W128" s="142"/>
      <c r="X128" s="139"/>
      <c r="Y128" s="136">
        <f>SUM(S128:X128)</f>
        <v>0</v>
      </c>
      <c r="Z128" s="136">
        <f>+Q128+Y128</f>
        <v>0</v>
      </c>
      <c r="AA128" s="137">
        <f>+D128-Z128</f>
        <v>0</v>
      </c>
    </row>
    <row r="129" spans="1:27" s="138" customFormat="1" ht="13.5" customHeight="1">
      <c r="A129" s="215" t="s">
        <v>69</v>
      </c>
      <c r="B129" s="184" t="s">
        <v>33</v>
      </c>
      <c r="C129" s="120" t="s">
        <v>34</v>
      </c>
      <c r="D129" s="67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140">
        <f t="shared" si="14"/>
        <v>0</v>
      </c>
      <c r="R129" s="141">
        <f t="shared" si="15"/>
        <v>0</v>
      </c>
      <c r="S129" s="139"/>
      <c r="T129" s="139"/>
      <c r="U129" s="142">
        <v>0</v>
      </c>
      <c r="V129" s="142">
        <v>0</v>
      </c>
      <c r="W129" s="142"/>
      <c r="X129" s="139"/>
      <c r="Y129" s="136">
        <f>SUM(S129:X129)</f>
        <v>0</v>
      </c>
      <c r="Z129" s="136">
        <f>+Q129+Y129</f>
        <v>0</v>
      </c>
      <c r="AA129" s="137">
        <f>+D129-Z129</f>
        <v>0</v>
      </c>
    </row>
    <row r="130" spans="1:27" s="138" customFormat="1" ht="13.5" customHeight="1">
      <c r="A130" s="215" t="s">
        <v>69</v>
      </c>
      <c r="B130" s="184" t="s">
        <v>35</v>
      </c>
      <c r="C130" s="120" t="s">
        <v>36</v>
      </c>
      <c r="D130" s="67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140">
        <f t="shared" si="14"/>
        <v>0</v>
      </c>
      <c r="R130" s="141">
        <f t="shared" si="15"/>
        <v>0</v>
      </c>
      <c r="S130" s="139"/>
      <c r="T130" s="139"/>
      <c r="U130" s="142">
        <v>0</v>
      </c>
      <c r="V130" s="142">
        <v>0</v>
      </c>
      <c r="W130" s="142"/>
      <c r="X130" s="139"/>
      <c r="Y130" s="136">
        <f>SUM(S130:X130)</f>
        <v>0</v>
      </c>
      <c r="Z130" s="136">
        <f>+Q130+Y130</f>
        <v>0</v>
      </c>
      <c r="AA130" s="137">
        <f>+D130-Z130</f>
        <v>0</v>
      </c>
    </row>
    <row r="131" spans="1:27" s="138" customFormat="1" ht="13.5" customHeight="1">
      <c r="A131" s="215" t="s">
        <v>69</v>
      </c>
      <c r="B131" s="184" t="s">
        <v>37</v>
      </c>
      <c r="C131" s="120" t="s">
        <v>38</v>
      </c>
      <c r="D131" s="151"/>
      <c r="E131" s="139"/>
      <c r="F131" s="139"/>
      <c r="G131" s="152"/>
      <c r="H131" s="152"/>
      <c r="I131" s="152"/>
      <c r="J131" s="152"/>
      <c r="K131" s="152"/>
      <c r="L131" s="152"/>
      <c r="M131" s="152"/>
      <c r="N131" s="152"/>
      <c r="O131" s="152"/>
      <c r="P131" s="152"/>
      <c r="Q131" s="140">
        <f t="shared" si="14"/>
        <v>0</v>
      </c>
      <c r="R131" s="141">
        <f t="shared" si="15"/>
        <v>0</v>
      </c>
      <c r="S131" s="139"/>
      <c r="T131" s="139"/>
      <c r="U131" s="142">
        <v>0</v>
      </c>
      <c r="V131" s="142">
        <v>0</v>
      </c>
      <c r="W131" s="142"/>
      <c r="X131" s="139"/>
      <c r="Y131" s="136">
        <f>SUM(S131:X131)</f>
        <v>0</v>
      </c>
      <c r="Z131" s="136">
        <f>+Q131+Y131</f>
        <v>0</v>
      </c>
      <c r="AA131" s="137">
        <f>+D131-Z131</f>
        <v>0</v>
      </c>
    </row>
    <row r="132" spans="1:27" s="138" customFormat="1" ht="13.5" customHeight="1">
      <c r="A132" s="215" t="s">
        <v>69</v>
      </c>
      <c r="B132" s="184" t="s">
        <v>39</v>
      </c>
      <c r="C132" s="120" t="s">
        <v>40</v>
      </c>
      <c r="D132" s="151"/>
      <c r="E132" s="139"/>
      <c r="F132" s="139"/>
      <c r="G132" s="152"/>
      <c r="H132" s="152"/>
      <c r="I132" s="152"/>
      <c r="J132" s="152"/>
      <c r="K132" s="152"/>
      <c r="L132" s="152"/>
      <c r="M132" s="152"/>
      <c r="N132" s="152"/>
      <c r="O132" s="152"/>
      <c r="P132" s="152"/>
      <c r="Q132" s="140">
        <f t="shared" si="14"/>
        <v>0</v>
      </c>
      <c r="R132" s="141">
        <f t="shared" si="15"/>
        <v>0</v>
      </c>
      <c r="S132" s="139"/>
      <c r="T132" s="139"/>
      <c r="U132" s="142">
        <v>0</v>
      </c>
      <c r="V132" s="142">
        <v>0</v>
      </c>
      <c r="W132" s="142"/>
      <c r="X132" s="139"/>
      <c r="Y132" s="136">
        <f>SUM(S132:X132)</f>
        <v>0</v>
      </c>
      <c r="Z132" s="136">
        <f>+Q132+Y132</f>
        <v>0</v>
      </c>
      <c r="AA132" s="137">
        <f>+D132-Z132</f>
        <v>0</v>
      </c>
    </row>
    <row r="133" spans="1:27" s="138" customFormat="1" ht="13.5" customHeight="1">
      <c r="A133" s="215" t="s">
        <v>69</v>
      </c>
      <c r="B133" s="184" t="s">
        <v>41</v>
      </c>
      <c r="C133" s="120" t="s">
        <v>42</v>
      </c>
      <c r="D133" s="151"/>
      <c r="E133" s="139"/>
      <c r="F133" s="139"/>
      <c r="G133" s="152"/>
      <c r="H133" s="152"/>
      <c r="I133" s="152"/>
      <c r="J133" s="152"/>
      <c r="K133" s="152"/>
      <c r="L133" s="152"/>
      <c r="M133" s="152"/>
      <c r="N133" s="152"/>
      <c r="O133" s="152"/>
      <c r="P133" s="152"/>
      <c r="Q133" s="140">
        <f t="shared" si="14"/>
        <v>0</v>
      </c>
      <c r="R133" s="141">
        <f t="shared" si="15"/>
        <v>0</v>
      </c>
      <c r="S133" s="139"/>
      <c r="T133" s="139"/>
      <c r="U133" s="142">
        <v>0</v>
      </c>
      <c r="V133" s="142">
        <v>0</v>
      </c>
      <c r="W133" s="142"/>
      <c r="X133" s="139"/>
      <c r="Y133" s="136">
        <f>SUM(S133:X133)</f>
        <v>0</v>
      </c>
      <c r="Z133" s="136">
        <f>+Q133+Y133</f>
        <v>0</v>
      </c>
      <c r="AA133" s="137">
        <f>+D133-Z133</f>
        <v>0</v>
      </c>
    </row>
    <row r="134" spans="1:27" s="138" customFormat="1" ht="13.5" customHeight="1">
      <c r="A134" s="215" t="s">
        <v>69</v>
      </c>
      <c r="B134" s="184" t="s">
        <v>43</v>
      </c>
      <c r="C134" s="120" t="s">
        <v>44</v>
      </c>
      <c r="D134" s="67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140">
        <f t="shared" ref="Q134:Q197" si="28">SUM(G134:P134)</f>
        <v>0</v>
      </c>
      <c r="R134" s="141">
        <f t="shared" ref="R134:R197" si="29">D134-Q134</f>
        <v>0</v>
      </c>
      <c r="S134" s="139"/>
      <c r="T134" s="139"/>
      <c r="U134" s="142">
        <v>0</v>
      </c>
      <c r="V134" s="142">
        <v>0</v>
      </c>
      <c r="W134" s="142"/>
      <c r="X134" s="139"/>
      <c r="Y134" s="136">
        <f>SUM(S134:X134)</f>
        <v>0</v>
      </c>
      <c r="Z134" s="136">
        <f>+Q134+Y134</f>
        <v>0</v>
      </c>
      <c r="AA134" s="137">
        <f>+D134-Z134</f>
        <v>0</v>
      </c>
    </row>
    <row r="135" spans="1:27" s="138" customFormat="1" ht="13.5" customHeight="1">
      <c r="A135" s="215" t="s">
        <v>69</v>
      </c>
      <c r="B135" s="184" t="s">
        <v>45</v>
      </c>
      <c r="C135" s="120" t="s">
        <v>46</v>
      </c>
      <c r="D135" s="67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140">
        <f t="shared" si="28"/>
        <v>0</v>
      </c>
      <c r="R135" s="141">
        <f t="shared" si="29"/>
        <v>0</v>
      </c>
      <c r="S135" s="139"/>
      <c r="T135" s="139"/>
      <c r="U135" s="142">
        <v>0</v>
      </c>
      <c r="V135" s="142">
        <v>0</v>
      </c>
      <c r="W135" s="142"/>
      <c r="X135" s="139"/>
      <c r="Y135" s="136">
        <f>SUM(S135:X135)</f>
        <v>0</v>
      </c>
      <c r="Z135" s="136">
        <f>+Q135+Y135</f>
        <v>0</v>
      </c>
      <c r="AA135" s="137">
        <f>+D135-Z135</f>
        <v>0</v>
      </c>
    </row>
    <row r="136" spans="1:27" s="138" customFormat="1" ht="13.5" customHeight="1">
      <c r="A136" s="215" t="s">
        <v>69</v>
      </c>
      <c r="B136" s="184" t="s">
        <v>47</v>
      </c>
      <c r="C136" s="120" t="s">
        <v>48</v>
      </c>
      <c r="D136" s="67"/>
      <c r="E136" s="68"/>
      <c r="F136" s="69"/>
      <c r="G136" s="68"/>
      <c r="H136" s="69"/>
      <c r="I136" s="69"/>
      <c r="J136" s="69"/>
      <c r="K136" s="69"/>
      <c r="L136" s="69"/>
      <c r="M136" s="69"/>
      <c r="N136" s="69"/>
      <c r="O136" s="69"/>
      <c r="P136" s="69"/>
      <c r="Q136" s="140">
        <f t="shared" si="28"/>
        <v>0</v>
      </c>
      <c r="R136" s="141">
        <f t="shared" si="29"/>
        <v>0</v>
      </c>
      <c r="S136" s="139"/>
      <c r="T136" s="139"/>
      <c r="U136" s="142">
        <v>0</v>
      </c>
      <c r="V136" s="142">
        <v>0</v>
      </c>
      <c r="W136" s="142"/>
      <c r="X136" s="139"/>
      <c r="Y136" s="136">
        <f>SUM(S136:X136)</f>
        <v>0</v>
      </c>
      <c r="Z136" s="136">
        <f>+Q136+Y136</f>
        <v>0</v>
      </c>
      <c r="AA136" s="137">
        <f>+D136-Z136</f>
        <v>0</v>
      </c>
    </row>
    <row r="137" spans="1:27" s="138" customFormat="1" ht="13.5" customHeight="1">
      <c r="A137" s="215" t="s">
        <v>69</v>
      </c>
      <c r="B137" s="184" t="s">
        <v>49</v>
      </c>
      <c r="C137" s="120" t="s">
        <v>50</v>
      </c>
      <c r="D137" s="67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140">
        <f t="shared" si="28"/>
        <v>0</v>
      </c>
      <c r="R137" s="141">
        <f t="shared" si="29"/>
        <v>0</v>
      </c>
      <c r="S137" s="139"/>
      <c r="T137" s="139"/>
      <c r="U137" s="142">
        <v>0</v>
      </c>
      <c r="V137" s="142">
        <v>0</v>
      </c>
      <c r="W137" s="142"/>
      <c r="X137" s="139"/>
      <c r="Y137" s="136">
        <f>SUM(S137:X137)</f>
        <v>0</v>
      </c>
      <c r="Z137" s="136">
        <f>+Q137+Y137</f>
        <v>0</v>
      </c>
      <c r="AA137" s="137">
        <f>+D137-Z137</f>
        <v>0</v>
      </c>
    </row>
    <row r="138" spans="1:27" s="138" customFormat="1" ht="13.5" customHeight="1">
      <c r="A138" s="215" t="s">
        <v>69</v>
      </c>
      <c r="B138" s="184" t="s">
        <v>51</v>
      </c>
      <c r="C138" s="120" t="s">
        <v>52</v>
      </c>
      <c r="D138" s="67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140">
        <f t="shared" si="28"/>
        <v>0</v>
      </c>
      <c r="R138" s="141">
        <f t="shared" si="29"/>
        <v>0</v>
      </c>
      <c r="S138" s="139"/>
      <c r="T138" s="139"/>
      <c r="U138" s="142">
        <v>0</v>
      </c>
      <c r="V138" s="142">
        <v>0</v>
      </c>
      <c r="W138" s="142"/>
      <c r="X138" s="139"/>
      <c r="Y138" s="136">
        <f>SUM(S138:X138)</f>
        <v>0</v>
      </c>
      <c r="Z138" s="136">
        <f>+Q138+Y138</f>
        <v>0</v>
      </c>
      <c r="AA138" s="137">
        <f>+D138-Z138</f>
        <v>0</v>
      </c>
    </row>
    <row r="139" spans="1:27" s="138" customFormat="1" ht="13.5" customHeight="1">
      <c r="A139" s="215" t="s">
        <v>69</v>
      </c>
      <c r="B139" s="184" t="s">
        <v>53</v>
      </c>
      <c r="C139" s="120" t="s">
        <v>54</v>
      </c>
      <c r="D139" s="67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140">
        <f t="shared" si="28"/>
        <v>0</v>
      </c>
      <c r="R139" s="141">
        <f t="shared" si="29"/>
        <v>0</v>
      </c>
      <c r="S139" s="139"/>
      <c r="T139" s="139"/>
      <c r="U139" s="142">
        <v>0</v>
      </c>
      <c r="V139" s="142">
        <v>0</v>
      </c>
      <c r="W139" s="142"/>
      <c r="X139" s="139"/>
      <c r="Y139" s="136">
        <f>SUM(S139:X139)</f>
        <v>0</v>
      </c>
      <c r="Z139" s="136">
        <f>+Q139+Y139</f>
        <v>0</v>
      </c>
      <c r="AA139" s="137">
        <f>+D139-Z139</f>
        <v>0</v>
      </c>
    </row>
    <row r="140" spans="1:27" s="138" customFormat="1" ht="13.5" customHeight="1">
      <c r="A140" s="215" t="s">
        <v>69</v>
      </c>
      <c r="B140" s="184" t="s">
        <v>55</v>
      </c>
      <c r="C140" s="120" t="s">
        <v>56</v>
      </c>
      <c r="D140" s="67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140">
        <f t="shared" si="28"/>
        <v>0</v>
      </c>
      <c r="R140" s="141">
        <f t="shared" si="29"/>
        <v>0</v>
      </c>
      <c r="S140" s="139"/>
      <c r="T140" s="139"/>
      <c r="U140" s="142">
        <v>0</v>
      </c>
      <c r="V140" s="142">
        <v>0</v>
      </c>
      <c r="W140" s="142"/>
      <c r="X140" s="139"/>
      <c r="Y140" s="136">
        <f>SUM(S140:X140)</f>
        <v>0</v>
      </c>
      <c r="Z140" s="136">
        <f>+Q140+Y140</f>
        <v>0</v>
      </c>
      <c r="AA140" s="137">
        <f>+D140-Z140</f>
        <v>0</v>
      </c>
    </row>
    <row r="141" spans="1:27" s="138" customFormat="1" ht="13.5" customHeight="1">
      <c r="A141" s="215" t="s">
        <v>69</v>
      </c>
      <c r="B141" s="184" t="s">
        <v>57</v>
      </c>
      <c r="C141" s="120" t="s">
        <v>58</v>
      </c>
      <c r="D141" s="151"/>
      <c r="E141" s="139"/>
      <c r="F141" s="139"/>
      <c r="G141" s="152"/>
      <c r="H141" s="152"/>
      <c r="I141" s="152"/>
      <c r="J141" s="152"/>
      <c r="K141" s="152"/>
      <c r="L141" s="152"/>
      <c r="M141" s="152"/>
      <c r="N141" s="152"/>
      <c r="O141" s="152"/>
      <c r="P141" s="152"/>
      <c r="Q141" s="140">
        <f t="shared" si="28"/>
        <v>0</v>
      </c>
      <c r="R141" s="141">
        <f t="shared" si="29"/>
        <v>0</v>
      </c>
      <c r="S141" s="139"/>
      <c r="T141" s="139"/>
      <c r="U141" s="142">
        <v>0</v>
      </c>
      <c r="V141" s="142">
        <v>0</v>
      </c>
      <c r="W141" s="142"/>
      <c r="X141" s="139"/>
      <c r="Y141" s="136">
        <f>SUM(S141:X141)</f>
        <v>0</v>
      </c>
      <c r="Z141" s="136">
        <f>+Q141+Y141</f>
        <v>0</v>
      </c>
      <c r="AA141" s="137">
        <f>+D141-Z141</f>
        <v>0</v>
      </c>
    </row>
    <row r="142" spans="1:27" s="138" customFormat="1" ht="13.5" customHeight="1">
      <c r="A142" s="215" t="s">
        <v>69</v>
      </c>
      <c r="B142" s="185" t="s">
        <v>59</v>
      </c>
      <c r="C142" s="121" t="s">
        <v>60</v>
      </c>
      <c r="D142" s="70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144">
        <f t="shared" si="28"/>
        <v>0</v>
      </c>
      <c r="R142" s="145">
        <f t="shared" si="29"/>
        <v>0</v>
      </c>
      <c r="S142" s="143"/>
      <c r="T142" s="143"/>
      <c r="U142" s="146">
        <v>0</v>
      </c>
      <c r="V142" s="146">
        <v>0</v>
      </c>
      <c r="W142" s="146"/>
      <c r="X142" s="143"/>
      <c r="Y142" s="136">
        <f>SUM(S142:X142)</f>
        <v>0</v>
      </c>
      <c r="Z142" s="136">
        <f>+Q142+Y142</f>
        <v>0</v>
      </c>
      <c r="AA142" s="137">
        <f>+D142-Z142</f>
        <v>0</v>
      </c>
    </row>
    <row r="143" spans="1:27" s="138" customFormat="1" ht="13.5" customHeight="1">
      <c r="A143" s="157" t="s">
        <v>70</v>
      </c>
      <c r="B143" s="186"/>
      <c r="C143" s="156"/>
      <c r="D143" s="129">
        <f t="shared" ref="D143:P143" si="30">SUBTOTAL(9,D144:D159)</f>
        <v>0</v>
      </c>
      <c r="E143" s="130">
        <f t="shared" si="30"/>
        <v>0</v>
      </c>
      <c r="F143" s="130">
        <f t="shared" si="30"/>
        <v>0</v>
      </c>
      <c r="G143" s="130">
        <f t="shared" si="30"/>
        <v>0</v>
      </c>
      <c r="H143" s="130">
        <f t="shared" ref="H143:N143" si="31">SUBTOTAL(9,H144:H159)</f>
        <v>0</v>
      </c>
      <c r="I143" s="130">
        <f t="shared" si="31"/>
        <v>0</v>
      </c>
      <c r="J143" s="130">
        <f t="shared" si="31"/>
        <v>0</v>
      </c>
      <c r="K143" s="130">
        <f t="shared" si="31"/>
        <v>0</v>
      </c>
      <c r="L143" s="130">
        <f t="shared" si="31"/>
        <v>0</v>
      </c>
      <c r="M143" s="130">
        <f t="shared" si="31"/>
        <v>0</v>
      </c>
      <c r="N143" s="130">
        <f t="shared" si="31"/>
        <v>0</v>
      </c>
      <c r="O143" s="130">
        <f t="shared" si="30"/>
        <v>0</v>
      </c>
      <c r="P143" s="130">
        <f t="shared" si="30"/>
        <v>0</v>
      </c>
      <c r="Q143" s="107">
        <f t="shared" si="28"/>
        <v>0</v>
      </c>
      <c r="R143" s="107">
        <f t="shared" si="29"/>
        <v>0</v>
      </c>
      <c r="S143" s="130">
        <f t="shared" ref="S143:X143" si="32">SUBTOTAL(9,S144:S159)</f>
        <v>0</v>
      </c>
      <c r="T143" s="130">
        <f t="shared" si="32"/>
        <v>0</v>
      </c>
      <c r="U143" s="130">
        <f t="shared" si="32"/>
        <v>0</v>
      </c>
      <c r="V143" s="130">
        <f t="shared" si="32"/>
        <v>0</v>
      </c>
      <c r="W143" s="130">
        <f t="shared" si="32"/>
        <v>0</v>
      </c>
      <c r="X143" s="130">
        <f t="shared" si="32"/>
        <v>0</v>
      </c>
      <c r="Y143" s="125">
        <f>SUM(S143:X143)</f>
        <v>0</v>
      </c>
      <c r="Z143" s="56">
        <f>+Q143+Y143</f>
        <v>0</v>
      </c>
      <c r="AA143" s="131">
        <f>+D143-Z143</f>
        <v>0</v>
      </c>
    </row>
    <row r="144" spans="1:27" s="138" customFormat="1" ht="13.5" customHeight="1">
      <c r="A144" s="207" t="s">
        <v>70</v>
      </c>
      <c r="B144" s="187" t="s">
        <v>29</v>
      </c>
      <c r="C144" s="122" t="s">
        <v>30</v>
      </c>
      <c r="D144" s="72"/>
      <c r="E144" s="158"/>
      <c r="F144" s="158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159">
        <f t="shared" si="28"/>
        <v>0</v>
      </c>
      <c r="R144" s="160">
        <f t="shared" si="29"/>
        <v>0</v>
      </c>
      <c r="S144" s="158"/>
      <c r="T144" s="158"/>
      <c r="U144" s="161">
        <v>0</v>
      </c>
      <c r="V144" s="161">
        <v>0</v>
      </c>
      <c r="W144" s="161"/>
      <c r="X144" s="158"/>
      <c r="Y144" s="162">
        <f>SUM(S144:X144)</f>
        <v>0</v>
      </c>
      <c r="Z144" s="162">
        <f>+Q144+Y144</f>
        <v>0</v>
      </c>
      <c r="AA144" s="163">
        <f>+D144-Z144</f>
        <v>0</v>
      </c>
    </row>
    <row r="145" spans="1:27" s="138" customFormat="1" ht="13.5" customHeight="1">
      <c r="A145" s="207" t="s">
        <v>70</v>
      </c>
      <c r="B145" s="188" t="s">
        <v>31</v>
      </c>
      <c r="C145" s="123" t="s">
        <v>32</v>
      </c>
      <c r="D145" s="74"/>
      <c r="E145" s="164"/>
      <c r="F145" s="164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165">
        <f t="shared" si="28"/>
        <v>0</v>
      </c>
      <c r="R145" s="166">
        <f t="shared" si="29"/>
        <v>0</v>
      </c>
      <c r="S145" s="164"/>
      <c r="T145" s="164"/>
      <c r="U145" s="167">
        <v>0</v>
      </c>
      <c r="V145" s="167">
        <v>0</v>
      </c>
      <c r="W145" s="167"/>
      <c r="X145" s="164"/>
      <c r="Y145" s="162">
        <f>SUM(S145:X145)</f>
        <v>0</v>
      </c>
      <c r="Z145" s="162">
        <f>+Q145+Y145</f>
        <v>0</v>
      </c>
      <c r="AA145" s="163">
        <f>+D145-Z145</f>
        <v>0</v>
      </c>
    </row>
    <row r="146" spans="1:27" s="138" customFormat="1" ht="13.5" customHeight="1">
      <c r="A146" s="207" t="s">
        <v>70</v>
      </c>
      <c r="B146" s="188" t="s">
        <v>33</v>
      </c>
      <c r="C146" s="123" t="s">
        <v>34</v>
      </c>
      <c r="D146" s="74"/>
      <c r="E146" s="164"/>
      <c r="F146" s="164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165">
        <f t="shared" si="28"/>
        <v>0</v>
      </c>
      <c r="R146" s="166">
        <f t="shared" si="29"/>
        <v>0</v>
      </c>
      <c r="S146" s="164"/>
      <c r="T146" s="164"/>
      <c r="U146" s="167">
        <v>0</v>
      </c>
      <c r="V146" s="167">
        <v>0</v>
      </c>
      <c r="W146" s="167"/>
      <c r="X146" s="164"/>
      <c r="Y146" s="162">
        <f>SUM(S146:X146)</f>
        <v>0</v>
      </c>
      <c r="Z146" s="162">
        <f>+Q146+Y146</f>
        <v>0</v>
      </c>
      <c r="AA146" s="163">
        <f>+D146-Z146</f>
        <v>0</v>
      </c>
    </row>
    <row r="147" spans="1:27" s="138" customFormat="1" ht="13.5" customHeight="1">
      <c r="A147" s="207" t="s">
        <v>70</v>
      </c>
      <c r="B147" s="188" t="s">
        <v>35</v>
      </c>
      <c r="C147" s="123" t="s">
        <v>36</v>
      </c>
      <c r="D147" s="74"/>
      <c r="E147" s="164"/>
      <c r="F147" s="164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165">
        <f t="shared" si="28"/>
        <v>0</v>
      </c>
      <c r="R147" s="166">
        <f t="shared" si="29"/>
        <v>0</v>
      </c>
      <c r="S147" s="164"/>
      <c r="T147" s="164"/>
      <c r="U147" s="167">
        <v>0</v>
      </c>
      <c r="V147" s="167">
        <v>0</v>
      </c>
      <c r="W147" s="167"/>
      <c r="X147" s="164"/>
      <c r="Y147" s="162">
        <f>SUM(S147:X147)</f>
        <v>0</v>
      </c>
      <c r="Z147" s="162">
        <f>+Q147+Y147</f>
        <v>0</v>
      </c>
      <c r="AA147" s="163">
        <f>+D147-Z147</f>
        <v>0</v>
      </c>
    </row>
    <row r="148" spans="1:27" s="138" customFormat="1" ht="13.5" customHeight="1">
      <c r="A148" s="207" t="s">
        <v>70</v>
      </c>
      <c r="B148" s="188" t="s">
        <v>37</v>
      </c>
      <c r="C148" s="123" t="s">
        <v>38</v>
      </c>
      <c r="D148" s="74"/>
      <c r="E148" s="164"/>
      <c r="F148" s="164"/>
      <c r="G148" s="75"/>
      <c r="H148" s="75"/>
      <c r="I148" s="75"/>
      <c r="J148" s="75"/>
      <c r="K148" s="75"/>
      <c r="L148" s="75"/>
      <c r="M148" s="75"/>
      <c r="N148" s="75"/>
      <c r="O148" s="75"/>
      <c r="P148" s="75"/>
      <c r="Q148" s="165">
        <f t="shared" si="28"/>
        <v>0</v>
      </c>
      <c r="R148" s="166">
        <f t="shared" si="29"/>
        <v>0</v>
      </c>
      <c r="S148" s="164"/>
      <c r="T148" s="164"/>
      <c r="U148" s="167">
        <v>0</v>
      </c>
      <c r="V148" s="167">
        <v>0</v>
      </c>
      <c r="W148" s="167"/>
      <c r="X148" s="164"/>
      <c r="Y148" s="162">
        <f>SUM(S148:X148)</f>
        <v>0</v>
      </c>
      <c r="Z148" s="162">
        <f>+Q148+Y148</f>
        <v>0</v>
      </c>
      <c r="AA148" s="163">
        <f>+D148-Z148</f>
        <v>0</v>
      </c>
    </row>
    <row r="149" spans="1:27" s="138" customFormat="1" ht="13.5" customHeight="1">
      <c r="A149" s="207" t="s">
        <v>70</v>
      </c>
      <c r="B149" s="188" t="s">
        <v>39</v>
      </c>
      <c r="C149" s="123" t="s">
        <v>40</v>
      </c>
      <c r="D149" s="74"/>
      <c r="E149" s="164"/>
      <c r="F149" s="164"/>
      <c r="G149" s="75"/>
      <c r="H149" s="75"/>
      <c r="I149" s="75"/>
      <c r="J149" s="75"/>
      <c r="K149" s="75"/>
      <c r="L149" s="75"/>
      <c r="M149" s="75"/>
      <c r="N149" s="75"/>
      <c r="O149" s="75"/>
      <c r="P149" s="75"/>
      <c r="Q149" s="165">
        <f t="shared" si="28"/>
        <v>0</v>
      </c>
      <c r="R149" s="166">
        <f t="shared" si="29"/>
        <v>0</v>
      </c>
      <c r="S149" s="164"/>
      <c r="T149" s="164"/>
      <c r="U149" s="167">
        <v>0</v>
      </c>
      <c r="V149" s="167">
        <v>0</v>
      </c>
      <c r="W149" s="167"/>
      <c r="X149" s="164"/>
      <c r="Y149" s="162">
        <f>SUM(S149:X149)</f>
        <v>0</v>
      </c>
      <c r="Z149" s="162">
        <f>+Q149+Y149</f>
        <v>0</v>
      </c>
      <c r="AA149" s="163">
        <f>+D149-Z149</f>
        <v>0</v>
      </c>
    </row>
    <row r="150" spans="1:27" s="138" customFormat="1" ht="13.5" customHeight="1">
      <c r="A150" s="207" t="s">
        <v>70</v>
      </c>
      <c r="B150" s="188" t="s">
        <v>41</v>
      </c>
      <c r="C150" s="123" t="s">
        <v>42</v>
      </c>
      <c r="D150" s="74"/>
      <c r="E150" s="164"/>
      <c r="F150" s="164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165">
        <f t="shared" si="28"/>
        <v>0</v>
      </c>
      <c r="R150" s="166">
        <f t="shared" si="29"/>
        <v>0</v>
      </c>
      <c r="S150" s="164"/>
      <c r="T150" s="164"/>
      <c r="U150" s="167">
        <v>0</v>
      </c>
      <c r="V150" s="167">
        <v>0</v>
      </c>
      <c r="W150" s="167"/>
      <c r="X150" s="164"/>
      <c r="Y150" s="162">
        <f>SUM(S150:X150)</f>
        <v>0</v>
      </c>
      <c r="Z150" s="162">
        <f>+Q150+Y150</f>
        <v>0</v>
      </c>
      <c r="AA150" s="163">
        <f>+D150-Z150</f>
        <v>0</v>
      </c>
    </row>
    <row r="151" spans="1:27" s="138" customFormat="1" ht="13.5" customHeight="1">
      <c r="A151" s="207" t="s">
        <v>70</v>
      </c>
      <c r="B151" s="188" t="s">
        <v>43</v>
      </c>
      <c r="C151" s="123" t="s">
        <v>44</v>
      </c>
      <c r="D151" s="74"/>
      <c r="E151" s="164"/>
      <c r="F151" s="164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165">
        <f t="shared" si="28"/>
        <v>0</v>
      </c>
      <c r="R151" s="166">
        <f t="shared" si="29"/>
        <v>0</v>
      </c>
      <c r="S151" s="164"/>
      <c r="T151" s="164"/>
      <c r="U151" s="167">
        <v>0</v>
      </c>
      <c r="V151" s="167">
        <v>0</v>
      </c>
      <c r="W151" s="167"/>
      <c r="X151" s="164"/>
      <c r="Y151" s="162">
        <f>SUM(S151:X151)</f>
        <v>0</v>
      </c>
      <c r="Z151" s="162">
        <f>+Q151+Y151</f>
        <v>0</v>
      </c>
      <c r="AA151" s="163">
        <f>+D151-Z151</f>
        <v>0</v>
      </c>
    </row>
    <row r="152" spans="1:27" s="138" customFormat="1" ht="13.5" customHeight="1">
      <c r="A152" s="207" t="s">
        <v>70</v>
      </c>
      <c r="B152" s="188" t="s">
        <v>45</v>
      </c>
      <c r="C152" s="123" t="s">
        <v>46</v>
      </c>
      <c r="D152" s="74"/>
      <c r="E152" s="164"/>
      <c r="F152" s="164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165">
        <f t="shared" si="28"/>
        <v>0</v>
      </c>
      <c r="R152" s="166">
        <f t="shared" si="29"/>
        <v>0</v>
      </c>
      <c r="S152" s="164"/>
      <c r="T152" s="164"/>
      <c r="U152" s="167">
        <v>0</v>
      </c>
      <c r="V152" s="167">
        <v>0</v>
      </c>
      <c r="W152" s="167"/>
      <c r="X152" s="164"/>
      <c r="Y152" s="162">
        <f>SUM(S152:X152)</f>
        <v>0</v>
      </c>
      <c r="Z152" s="162">
        <f>+Q152+Y152</f>
        <v>0</v>
      </c>
      <c r="AA152" s="163">
        <f>+D152-Z152</f>
        <v>0</v>
      </c>
    </row>
    <row r="153" spans="1:27" s="138" customFormat="1" ht="13.5" customHeight="1">
      <c r="A153" s="207" t="s">
        <v>70</v>
      </c>
      <c r="B153" s="188" t="s">
        <v>47</v>
      </c>
      <c r="C153" s="123" t="s">
        <v>48</v>
      </c>
      <c r="D153" s="74"/>
      <c r="E153" s="164"/>
      <c r="F153" s="164"/>
      <c r="G153" s="75"/>
      <c r="H153" s="76"/>
      <c r="I153" s="76"/>
      <c r="J153" s="76"/>
      <c r="K153" s="76"/>
      <c r="L153" s="76"/>
      <c r="M153" s="76"/>
      <c r="N153" s="76"/>
      <c r="O153" s="76"/>
      <c r="P153" s="76"/>
      <c r="Q153" s="165">
        <f t="shared" si="28"/>
        <v>0</v>
      </c>
      <c r="R153" s="166">
        <f t="shared" si="29"/>
        <v>0</v>
      </c>
      <c r="S153" s="164"/>
      <c r="T153" s="164"/>
      <c r="U153" s="167">
        <v>0</v>
      </c>
      <c r="V153" s="167">
        <v>0</v>
      </c>
      <c r="W153" s="167"/>
      <c r="X153" s="164"/>
      <c r="Y153" s="162">
        <f>SUM(S153:X153)</f>
        <v>0</v>
      </c>
      <c r="Z153" s="162">
        <f>+Q153+Y153</f>
        <v>0</v>
      </c>
      <c r="AA153" s="163">
        <f>+D153-Z153</f>
        <v>0</v>
      </c>
    </row>
    <row r="154" spans="1:27" s="138" customFormat="1" ht="13.5" customHeight="1">
      <c r="A154" s="207" t="s">
        <v>70</v>
      </c>
      <c r="B154" s="188" t="s">
        <v>49</v>
      </c>
      <c r="C154" s="123" t="s">
        <v>50</v>
      </c>
      <c r="D154" s="74"/>
      <c r="E154" s="164"/>
      <c r="F154" s="164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165">
        <f t="shared" si="28"/>
        <v>0</v>
      </c>
      <c r="R154" s="166">
        <f t="shared" si="29"/>
        <v>0</v>
      </c>
      <c r="S154" s="164"/>
      <c r="T154" s="164"/>
      <c r="U154" s="167">
        <v>0</v>
      </c>
      <c r="V154" s="167">
        <v>0</v>
      </c>
      <c r="W154" s="167"/>
      <c r="X154" s="164"/>
      <c r="Y154" s="162">
        <f>SUM(S154:X154)</f>
        <v>0</v>
      </c>
      <c r="Z154" s="162">
        <f>+Q154+Y154</f>
        <v>0</v>
      </c>
      <c r="AA154" s="163">
        <f>+D154-Z154</f>
        <v>0</v>
      </c>
    </row>
    <row r="155" spans="1:27" s="138" customFormat="1" ht="13.5" customHeight="1">
      <c r="A155" s="207" t="s">
        <v>70</v>
      </c>
      <c r="B155" s="184" t="s">
        <v>51</v>
      </c>
      <c r="C155" s="120" t="s">
        <v>52</v>
      </c>
      <c r="D155" s="67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140">
        <f t="shared" si="28"/>
        <v>0</v>
      </c>
      <c r="R155" s="141">
        <f t="shared" si="29"/>
        <v>0</v>
      </c>
      <c r="S155" s="139"/>
      <c r="T155" s="139"/>
      <c r="U155" s="142">
        <v>0</v>
      </c>
      <c r="V155" s="142">
        <v>0</v>
      </c>
      <c r="W155" s="142"/>
      <c r="X155" s="139"/>
      <c r="Y155" s="136">
        <f>SUM(S155:X155)</f>
        <v>0</v>
      </c>
      <c r="Z155" s="136">
        <f>+Q155+Y155</f>
        <v>0</v>
      </c>
      <c r="AA155" s="137">
        <f>+D155-Z155</f>
        <v>0</v>
      </c>
    </row>
    <row r="156" spans="1:27" s="138" customFormat="1" ht="13.5" customHeight="1">
      <c r="A156" s="207" t="s">
        <v>70</v>
      </c>
      <c r="B156" s="188" t="s">
        <v>53</v>
      </c>
      <c r="C156" s="123" t="s">
        <v>54</v>
      </c>
      <c r="D156" s="74"/>
      <c r="E156" s="164"/>
      <c r="F156" s="164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165">
        <f t="shared" si="28"/>
        <v>0</v>
      </c>
      <c r="R156" s="166">
        <f t="shared" si="29"/>
        <v>0</v>
      </c>
      <c r="S156" s="164"/>
      <c r="T156" s="164"/>
      <c r="U156" s="167">
        <v>0</v>
      </c>
      <c r="V156" s="167">
        <v>0</v>
      </c>
      <c r="W156" s="167"/>
      <c r="X156" s="164"/>
      <c r="Y156" s="162">
        <f>SUM(S156:X156)</f>
        <v>0</v>
      </c>
      <c r="Z156" s="162">
        <f>+Q156+Y156</f>
        <v>0</v>
      </c>
      <c r="AA156" s="163">
        <f>+D156-Z156</f>
        <v>0</v>
      </c>
    </row>
    <row r="157" spans="1:27" s="138" customFormat="1" ht="13.5" customHeight="1">
      <c r="A157" s="207" t="s">
        <v>70</v>
      </c>
      <c r="B157" s="188" t="s">
        <v>55</v>
      </c>
      <c r="C157" s="123" t="s">
        <v>56</v>
      </c>
      <c r="D157" s="74"/>
      <c r="E157" s="164"/>
      <c r="F157" s="164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165">
        <f t="shared" si="28"/>
        <v>0</v>
      </c>
      <c r="R157" s="166">
        <f t="shared" si="29"/>
        <v>0</v>
      </c>
      <c r="S157" s="164"/>
      <c r="T157" s="164"/>
      <c r="U157" s="167">
        <v>0</v>
      </c>
      <c r="V157" s="167">
        <v>0</v>
      </c>
      <c r="W157" s="167"/>
      <c r="X157" s="164"/>
      <c r="Y157" s="162">
        <f>SUM(S157:X157)</f>
        <v>0</v>
      </c>
      <c r="Z157" s="162">
        <f>+Q157+Y157</f>
        <v>0</v>
      </c>
      <c r="AA157" s="163">
        <f>+D157-Z157</f>
        <v>0</v>
      </c>
    </row>
    <row r="158" spans="1:27" s="138" customFormat="1" ht="13.5" customHeight="1">
      <c r="A158" s="207" t="s">
        <v>70</v>
      </c>
      <c r="B158" s="188" t="s">
        <v>57</v>
      </c>
      <c r="C158" s="123" t="s">
        <v>58</v>
      </c>
      <c r="D158" s="74"/>
      <c r="E158" s="164"/>
      <c r="F158" s="164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165">
        <f t="shared" si="28"/>
        <v>0</v>
      </c>
      <c r="R158" s="166">
        <f t="shared" si="29"/>
        <v>0</v>
      </c>
      <c r="S158" s="164"/>
      <c r="T158" s="164"/>
      <c r="U158" s="167">
        <v>0</v>
      </c>
      <c r="V158" s="167">
        <v>0</v>
      </c>
      <c r="W158" s="167"/>
      <c r="X158" s="164"/>
      <c r="Y158" s="162">
        <f>SUM(S158:X158)</f>
        <v>0</v>
      </c>
      <c r="Z158" s="162">
        <f>+Q158+Y158</f>
        <v>0</v>
      </c>
      <c r="AA158" s="163">
        <f>+D158-Z158</f>
        <v>0</v>
      </c>
    </row>
    <row r="159" spans="1:27" s="138" customFormat="1" ht="13.5" customHeight="1">
      <c r="A159" s="207" t="s">
        <v>70</v>
      </c>
      <c r="B159" s="189" t="s">
        <v>59</v>
      </c>
      <c r="C159" s="124" t="s">
        <v>60</v>
      </c>
      <c r="D159" s="77"/>
      <c r="E159" s="168"/>
      <c r="F159" s="16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169">
        <f t="shared" si="28"/>
        <v>0</v>
      </c>
      <c r="R159" s="170">
        <f t="shared" si="29"/>
        <v>0</v>
      </c>
      <c r="S159" s="168"/>
      <c r="T159" s="168"/>
      <c r="U159" s="171">
        <v>0</v>
      </c>
      <c r="V159" s="171">
        <v>0</v>
      </c>
      <c r="W159" s="171"/>
      <c r="X159" s="168"/>
      <c r="Y159" s="162">
        <f>SUM(S159:X159)</f>
        <v>0</v>
      </c>
      <c r="Z159" s="162">
        <f>+Q159+Y159</f>
        <v>0</v>
      </c>
      <c r="AA159" s="163">
        <f>+D159-Z159</f>
        <v>0</v>
      </c>
    </row>
    <row r="160" spans="1:27" s="138" customFormat="1" ht="13.5" customHeight="1">
      <c r="A160" s="157" t="s">
        <v>71</v>
      </c>
      <c r="B160" s="186"/>
      <c r="C160" s="156"/>
      <c r="D160" s="129">
        <f t="shared" ref="D160:P160" si="33">SUBTOTAL(9,D161:D176)</f>
        <v>0</v>
      </c>
      <c r="E160" s="130">
        <f t="shared" si="33"/>
        <v>0</v>
      </c>
      <c r="F160" s="130">
        <f t="shared" si="33"/>
        <v>0</v>
      </c>
      <c r="G160" s="130">
        <f t="shared" si="33"/>
        <v>0</v>
      </c>
      <c r="H160" s="130">
        <f t="shared" ref="H160:N160" si="34">SUBTOTAL(9,H161:H176)</f>
        <v>0</v>
      </c>
      <c r="I160" s="130">
        <f t="shared" si="34"/>
        <v>0</v>
      </c>
      <c r="J160" s="130">
        <f t="shared" si="34"/>
        <v>0</v>
      </c>
      <c r="K160" s="130">
        <f t="shared" si="34"/>
        <v>0</v>
      </c>
      <c r="L160" s="130">
        <f t="shared" si="34"/>
        <v>0</v>
      </c>
      <c r="M160" s="130">
        <f t="shared" si="34"/>
        <v>0</v>
      </c>
      <c r="N160" s="130">
        <f t="shared" si="34"/>
        <v>0</v>
      </c>
      <c r="O160" s="130">
        <f t="shared" si="33"/>
        <v>0</v>
      </c>
      <c r="P160" s="130">
        <f t="shared" si="33"/>
        <v>0</v>
      </c>
      <c r="Q160" s="107">
        <f t="shared" si="28"/>
        <v>0</v>
      </c>
      <c r="R160" s="107">
        <f t="shared" si="29"/>
        <v>0</v>
      </c>
      <c r="S160" s="130">
        <f t="shared" ref="S160:X160" si="35">SUBTOTAL(9,S161:S176)</f>
        <v>0</v>
      </c>
      <c r="T160" s="130">
        <f t="shared" si="35"/>
        <v>0</v>
      </c>
      <c r="U160" s="130">
        <f t="shared" si="35"/>
        <v>0</v>
      </c>
      <c r="V160" s="130">
        <f t="shared" si="35"/>
        <v>0</v>
      </c>
      <c r="W160" s="130">
        <f t="shared" si="35"/>
        <v>0</v>
      </c>
      <c r="X160" s="130">
        <f t="shared" si="35"/>
        <v>0</v>
      </c>
      <c r="Y160" s="125">
        <f>SUM(S160:X160)</f>
        <v>0</v>
      </c>
      <c r="Z160" s="56">
        <f>+Q160+Y160</f>
        <v>0</v>
      </c>
      <c r="AA160" s="131">
        <f>+D160-Z160</f>
        <v>0</v>
      </c>
    </row>
    <row r="161" spans="1:27" s="138" customFormat="1" ht="13.5" customHeight="1">
      <c r="A161" s="193" t="s">
        <v>71</v>
      </c>
      <c r="B161" s="187" t="s">
        <v>29</v>
      </c>
      <c r="C161" s="122" t="s">
        <v>30</v>
      </c>
      <c r="D161" s="72"/>
      <c r="E161" s="158"/>
      <c r="F161" s="158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159">
        <f t="shared" si="28"/>
        <v>0</v>
      </c>
      <c r="R161" s="160">
        <f t="shared" si="29"/>
        <v>0</v>
      </c>
      <c r="S161" s="158">
        <v>0</v>
      </c>
      <c r="T161" s="158">
        <v>0</v>
      </c>
      <c r="U161" s="161">
        <v>0</v>
      </c>
      <c r="V161" s="161">
        <v>0</v>
      </c>
      <c r="W161" s="161"/>
      <c r="X161" s="158"/>
      <c r="Y161" s="162">
        <f>SUM(S161:X161)</f>
        <v>0</v>
      </c>
      <c r="Z161" s="162">
        <f>+Q161+Y161</f>
        <v>0</v>
      </c>
      <c r="AA161" s="163">
        <f>+D161-Z161</f>
        <v>0</v>
      </c>
    </row>
    <row r="162" spans="1:27" s="138" customFormat="1" ht="13.5" customHeight="1">
      <c r="A162" s="193" t="s">
        <v>71</v>
      </c>
      <c r="B162" s="183" t="s">
        <v>31</v>
      </c>
      <c r="C162" s="119" t="s">
        <v>32</v>
      </c>
      <c r="D162" s="65"/>
      <c r="E162" s="132"/>
      <c r="F162" s="132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133">
        <f t="shared" si="28"/>
        <v>0</v>
      </c>
      <c r="R162" s="134">
        <f t="shared" si="29"/>
        <v>0</v>
      </c>
      <c r="S162" s="132">
        <v>0</v>
      </c>
      <c r="T162" s="132">
        <v>0</v>
      </c>
      <c r="U162" s="135">
        <v>0</v>
      </c>
      <c r="V162" s="135">
        <v>0</v>
      </c>
      <c r="W162" s="135"/>
      <c r="X162" s="132"/>
      <c r="Y162" s="136">
        <f>SUM(S162:X162)</f>
        <v>0</v>
      </c>
      <c r="Z162" s="136">
        <f>+Q162+Y162</f>
        <v>0</v>
      </c>
      <c r="AA162" s="137">
        <f>+D162-Z162</f>
        <v>0</v>
      </c>
    </row>
    <row r="163" spans="1:27" s="138" customFormat="1" ht="13.5" customHeight="1">
      <c r="A163" s="193" t="s">
        <v>71</v>
      </c>
      <c r="B163" s="188" t="s">
        <v>33</v>
      </c>
      <c r="C163" s="123" t="s">
        <v>34</v>
      </c>
      <c r="D163" s="74"/>
      <c r="E163" s="164"/>
      <c r="F163" s="164"/>
      <c r="G163" s="75"/>
      <c r="H163" s="75"/>
      <c r="I163" s="75"/>
      <c r="J163" s="75"/>
      <c r="K163" s="75"/>
      <c r="L163" s="75"/>
      <c r="M163" s="75"/>
      <c r="N163" s="75"/>
      <c r="O163" s="75"/>
      <c r="P163" s="75"/>
      <c r="Q163" s="165">
        <f t="shared" si="28"/>
        <v>0</v>
      </c>
      <c r="R163" s="166">
        <f t="shared" si="29"/>
        <v>0</v>
      </c>
      <c r="S163" s="164">
        <v>0</v>
      </c>
      <c r="T163" s="164">
        <v>0</v>
      </c>
      <c r="U163" s="167">
        <v>0</v>
      </c>
      <c r="V163" s="167">
        <v>0</v>
      </c>
      <c r="W163" s="167"/>
      <c r="X163" s="164"/>
      <c r="Y163" s="162">
        <f>SUM(S163:X163)</f>
        <v>0</v>
      </c>
      <c r="Z163" s="162">
        <f>+Q163+Y163</f>
        <v>0</v>
      </c>
      <c r="AA163" s="163">
        <f>+D163-Z163</f>
        <v>0</v>
      </c>
    </row>
    <row r="164" spans="1:27" s="138" customFormat="1" ht="13.5" customHeight="1">
      <c r="A164" s="193" t="s">
        <v>71</v>
      </c>
      <c r="B164" s="188" t="s">
        <v>35</v>
      </c>
      <c r="C164" s="123" t="s">
        <v>36</v>
      </c>
      <c r="D164" s="74"/>
      <c r="E164" s="164"/>
      <c r="F164" s="164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165">
        <f t="shared" si="28"/>
        <v>0</v>
      </c>
      <c r="R164" s="166">
        <f t="shared" si="29"/>
        <v>0</v>
      </c>
      <c r="S164" s="164">
        <v>0</v>
      </c>
      <c r="T164" s="164">
        <v>0</v>
      </c>
      <c r="U164" s="167">
        <v>0</v>
      </c>
      <c r="V164" s="167">
        <v>0</v>
      </c>
      <c r="W164" s="167"/>
      <c r="X164" s="164"/>
      <c r="Y164" s="162">
        <f>SUM(S164:X164)</f>
        <v>0</v>
      </c>
      <c r="Z164" s="162">
        <f>+Q164+Y164</f>
        <v>0</v>
      </c>
      <c r="AA164" s="163">
        <f>+D164-Z164</f>
        <v>0</v>
      </c>
    </row>
    <row r="165" spans="1:27" s="138" customFormat="1" ht="13.5" customHeight="1">
      <c r="A165" s="193" t="s">
        <v>71</v>
      </c>
      <c r="B165" s="184" t="s">
        <v>37</v>
      </c>
      <c r="C165" s="120" t="s">
        <v>38</v>
      </c>
      <c r="D165" s="67"/>
      <c r="E165" s="139"/>
      <c r="F165" s="139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140">
        <f t="shared" si="28"/>
        <v>0</v>
      </c>
      <c r="R165" s="141">
        <f t="shared" si="29"/>
        <v>0</v>
      </c>
      <c r="S165" s="172"/>
      <c r="T165" s="172"/>
      <c r="U165" s="173"/>
      <c r="V165" s="173"/>
      <c r="W165" s="173"/>
      <c r="X165" s="172"/>
      <c r="Y165" s="136">
        <f>SUM(S165:X165)</f>
        <v>0</v>
      </c>
      <c r="Z165" s="136">
        <f>+Q165+Y165</f>
        <v>0</v>
      </c>
      <c r="AA165" s="137">
        <f>+D165-Z165</f>
        <v>0</v>
      </c>
    </row>
    <row r="166" spans="1:27" s="138" customFormat="1" ht="13.5" customHeight="1">
      <c r="A166" s="193" t="s">
        <v>71</v>
      </c>
      <c r="B166" s="184" t="s">
        <v>39</v>
      </c>
      <c r="C166" s="120" t="s">
        <v>40</v>
      </c>
      <c r="D166" s="67"/>
      <c r="E166" s="139"/>
      <c r="F166" s="139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140">
        <f t="shared" si="28"/>
        <v>0</v>
      </c>
      <c r="R166" s="141">
        <f t="shared" si="29"/>
        <v>0</v>
      </c>
      <c r="S166" s="139">
        <v>0</v>
      </c>
      <c r="T166" s="139">
        <v>0</v>
      </c>
      <c r="U166" s="142">
        <v>0</v>
      </c>
      <c r="V166" s="142">
        <v>0</v>
      </c>
      <c r="W166" s="142"/>
      <c r="X166" s="139"/>
      <c r="Y166" s="136">
        <f>SUM(S166:X166)</f>
        <v>0</v>
      </c>
      <c r="Z166" s="136">
        <f>+Q166+Y166</f>
        <v>0</v>
      </c>
      <c r="AA166" s="137">
        <f>+D166-Z166</f>
        <v>0</v>
      </c>
    </row>
    <row r="167" spans="1:27" s="138" customFormat="1" ht="13.5" customHeight="1">
      <c r="A167" s="193" t="s">
        <v>71</v>
      </c>
      <c r="B167" s="184" t="s">
        <v>41</v>
      </c>
      <c r="C167" s="120" t="s">
        <v>42</v>
      </c>
      <c r="D167" s="67"/>
      <c r="E167" s="139"/>
      <c r="F167" s="139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140">
        <f t="shared" si="28"/>
        <v>0</v>
      </c>
      <c r="R167" s="141">
        <f t="shared" si="29"/>
        <v>0</v>
      </c>
      <c r="S167" s="139">
        <v>0</v>
      </c>
      <c r="T167" s="139">
        <v>0</v>
      </c>
      <c r="U167" s="142">
        <v>0</v>
      </c>
      <c r="V167" s="142">
        <v>0</v>
      </c>
      <c r="W167" s="142"/>
      <c r="X167" s="139"/>
      <c r="Y167" s="136">
        <f>SUM(S167:X167)</f>
        <v>0</v>
      </c>
      <c r="Z167" s="136">
        <f>+Q167+Y167</f>
        <v>0</v>
      </c>
      <c r="AA167" s="137">
        <f>+D167-Z167</f>
        <v>0</v>
      </c>
    </row>
    <row r="168" spans="1:27" s="138" customFormat="1" ht="13.5" customHeight="1">
      <c r="A168" s="193" t="s">
        <v>71</v>
      </c>
      <c r="B168" s="184" t="s">
        <v>43</v>
      </c>
      <c r="C168" s="120" t="s">
        <v>44</v>
      </c>
      <c r="D168" s="67"/>
      <c r="E168" s="139"/>
      <c r="F168" s="13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140">
        <f t="shared" si="28"/>
        <v>0</v>
      </c>
      <c r="R168" s="141">
        <f t="shared" si="29"/>
        <v>0</v>
      </c>
      <c r="S168" s="139">
        <v>0</v>
      </c>
      <c r="T168" s="139">
        <v>0</v>
      </c>
      <c r="U168" s="142">
        <v>0</v>
      </c>
      <c r="V168" s="142">
        <v>0</v>
      </c>
      <c r="W168" s="142"/>
      <c r="X168" s="139"/>
      <c r="Y168" s="136">
        <f>SUM(S168:X168)</f>
        <v>0</v>
      </c>
      <c r="Z168" s="136">
        <f>+Q168+Y168</f>
        <v>0</v>
      </c>
      <c r="AA168" s="137">
        <f>+D168-Z168</f>
        <v>0</v>
      </c>
    </row>
    <row r="169" spans="1:27" s="138" customFormat="1" ht="13.5" customHeight="1">
      <c r="A169" s="193" t="s">
        <v>71</v>
      </c>
      <c r="B169" s="184" t="s">
        <v>45</v>
      </c>
      <c r="C169" s="120" t="s">
        <v>46</v>
      </c>
      <c r="D169" s="67"/>
      <c r="E169" s="139"/>
      <c r="F169" s="13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140">
        <f t="shared" si="28"/>
        <v>0</v>
      </c>
      <c r="R169" s="141">
        <f t="shared" si="29"/>
        <v>0</v>
      </c>
      <c r="S169" s="139">
        <v>0</v>
      </c>
      <c r="T169" s="139">
        <v>0</v>
      </c>
      <c r="U169" s="142">
        <v>0</v>
      </c>
      <c r="V169" s="142">
        <v>0</v>
      </c>
      <c r="W169" s="142"/>
      <c r="X169" s="139"/>
      <c r="Y169" s="136">
        <f>SUM(S169:X169)</f>
        <v>0</v>
      </c>
      <c r="Z169" s="136">
        <f>+Q169+Y169</f>
        <v>0</v>
      </c>
      <c r="AA169" s="137">
        <f>+D169-Z169</f>
        <v>0</v>
      </c>
    </row>
    <row r="170" spans="1:27" s="138" customFormat="1" ht="13.5" customHeight="1">
      <c r="A170" s="193" t="s">
        <v>71</v>
      </c>
      <c r="B170" s="184" t="s">
        <v>47</v>
      </c>
      <c r="C170" s="120" t="s">
        <v>48</v>
      </c>
      <c r="D170" s="67"/>
      <c r="E170" s="139"/>
      <c r="F170" s="139"/>
      <c r="G170" s="68"/>
      <c r="H170" s="69"/>
      <c r="I170" s="69"/>
      <c r="J170" s="69"/>
      <c r="K170" s="69"/>
      <c r="L170" s="69"/>
      <c r="M170" s="69"/>
      <c r="N170" s="69"/>
      <c r="O170" s="69"/>
      <c r="P170" s="69"/>
      <c r="Q170" s="140">
        <f t="shared" si="28"/>
        <v>0</v>
      </c>
      <c r="R170" s="141">
        <f t="shared" si="29"/>
        <v>0</v>
      </c>
      <c r="S170" s="139">
        <v>0</v>
      </c>
      <c r="T170" s="139">
        <v>0</v>
      </c>
      <c r="U170" s="142">
        <v>0</v>
      </c>
      <c r="V170" s="142">
        <v>0</v>
      </c>
      <c r="W170" s="142"/>
      <c r="X170" s="139"/>
      <c r="Y170" s="136">
        <f>SUM(S170:X170)</f>
        <v>0</v>
      </c>
      <c r="Z170" s="136">
        <f>+Q170+Y170</f>
        <v>0</v>
      </c>
      <c r="AA170" s="137">
        <f>+D170-Z170</f>
        <v>0</v>
      </c>
    </row>
    <row r="171" spans="1:27" s="138" customFormat="1" ht="13.5" customHeight="1">
      <c r="A171" s="193" t="s">
        <v>71</v>
      </c>
      <c r="B171" s="184" t="s">
        <v>49</v>
      </c>
      <c r="C171" s="120" t="s">
        <v>50</v>
      </c>
      <c r="D171" s="67"/>
      <c r="E171" s="139"/>
      <c r="F171" s="13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140">
        <f t="shared" si="28"/>
        <v>0</v>
      </c>
      <c r="R171" s="141">
        <f t="shared" si="29"/>
        <v>0</v>
      </c>
      <c r="S171" s="139">
        <v>0</v>
      </c>
      <c r="T171" s="139">
        <v>0</v>
      </c>
      <c r="U171" s="142">
        <v>0</v>
      </c>
      <c r="V171" s="142">
        <v>0</v>
      </c>
      <c r="W171" s="142"/>
      <c r="X171" s="139"/>
      <c r="Y171" s="136">
        <f>SUM(S171:X171)</f>
        <v>0</v>
      </c>
      <c r="Z171" s="136">
        <f>+Q171+Y171</f>
        <v>0</v>
      </c>
      <c r="AA171" s="137">
        <f>+D171-Z171</f>
        <v>0</v>
      </c>
    </row>
    <row r="172" spans="1:27" s="138" customFormat="1" ht="13.5" customHeight="1">
      <c r="A172" s="193" t="s">
        <v>71</v>
      </c>
      <c r="B172" s="184" t="s">
        <v>51</v>
      </c>
      <c r="C172" s="120" t="s">
        <v>52</v>
      </c>
      <c r="D172" s="67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140">
        <f t="shared" si="28"/>
        <v>0</v>
      </c>
      <c r="R172" s="141">
        <f t="shared" si="29"/>
        <v>0</v>
      </c>
      <c r="S172" s="139">
        <v>0</v>
      </c>
      <c r="T172" s="139">
        <v>0</v>
      </c>
      <c r="U172" s="142">
        <v>0</v>
      </c>
      <c r="V172" s="142">
        <v>0</v>
      </c>
      <c r="W172" s="142"/>
      <c r="X172" s="139"/>
      <c r="Y172" s="136">
        <f>SUM(S172:X172)</f>
        <v>0</v>
      </c>
      <c r="Z172" s="136">
        <f>+Q172+Y172</f>
        <v>0</v>
      </c>
      <c r="AA172" s="137">
        <f>+D172-Z172</f>
        <v>0</v>
      </c>
    </row>
    <row r="173" spans="1:27" s="138" customFormat="1" ht="13.5" customHeight="1">
      <c r="A173" s="193" t="s">
        <v>71</v>
      </c>
      <c r="B173" s="184" t="s">
        <v>53</v>
      </c>
      <c r="C173" s="120" t="s">
        <v>54</v>
      </c>
      <c r="D173" s="67"/>
      <c r="E173" s="139"/>
      <c r="F173" s="13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140">
        <f t="shared" si="28"/>
        <v>0</v>
      </c>
      <c r="R173" s="141">
        <f t="shared" si="29"/>
        <v>0</v>
      </c>
      <c r="S173" s="139">
        <v>0</v>
      </c>
      <c r="T173" s="139">
        <v>0</v>
      </c>
      <c r="U173" s="142">
        <v>0</v>
      </c>
      <c r="V173" s="142">
        <v>0</v>
      </c>
      <c r="W173" s="142"/>
      <c r="X173" s="139"/>
      <c r="Y173" s="136">
        <f>SUM(S173:X173)</f>
        <v>0</v>
      </c>
      <c r="Z173" s="136">
        <f>+Q173+Y173</f>
        <v>0</v>
      </c>
      <c r="AA173" s="137">
        <f>+D173-Z173</f>
        <v>0</v>
      </c>
    </row>
    <row r="174" spans="1:27" s="138" customFormat="1" ht="13.5" customHeight="1">
      <c r="A174" s="193" t="s">
        <v>71</v>
      </c>
      <c r="B174" s="184" t="s">
        <v>55</v>
      </c>
      <c r="C174" s="120" t="s">
        <v>56</v>
      </c>
      <c r="D174" s="67"/>
      <c r="E174" s="139"/>
      <c r="F174" s="139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140">
        <f t="shared" si="28"/>
        <v>0</v>
      </c>
      <c r="R174" s="141">
        <f t="shared" si="29"/>
        <v>0</v>
      </c>
      <c r="S174" s="139">
        <v>0</v>
      </c>
      <c r="T174" s="139">
        <v>0</v>
      </c>
      <c r="U174" s="142">
        <v>0</v>
      </c>
      <c r="V174" s="142">
        <v>0</v>
      </c>
      <c r="W174" s="142"/>
      <c r="X174" s="139"/>
      <c r="Y174" s="136">
        <f>SUM(S174:X174)</f>
        <v>0</v>
      </c>
      <c r="Z174" s="136">
        <f>+Q174+Y174</f>
        <v>0</v>
      </c>
      <c r="AA174" s="137">
        <f>+D174-Z174</f>
        <v>0</v>
      </c>
    </row>
    <row r="175" spans="1:27" s="138" customFormat="1" ht="13.5" customHeight="1">
      <c r="A175" s="193" t="s">
        <v>71</v>
      </c>
      <c r="B175" s="184" t="s">
        <v>57</v>
      </c>
      <c r="C175" s="120" t="s">
        <v>58</v>
      </c>
      <c r="D175" s="67"/>
      <c r="E175" s="139"/>
      <c r="F175" s="139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140">
        <f t="shared" si="28"/>
        <v>0</v>
      </c>
      <c r="R175" s="141">
        <f t="shared" si="29"/>
        <v>0</v>
      </c>
      <c r="S175" s="139">
        <v>0</v>
      </c>
      <c r="T175" s="139">
        <v>0</v>
      </c>
      <c r="U175" s="142">
        <v>0</v>
      </c>
      <c r="V175" s="142">
        <v>0</v>
      </c>
      <c r="W175" s="142"/>
      <c r="X175" s="139"/>
      <c r="Y175" s="136">
        <f>SUM(S175:X175)</f>
        <v>0</v>
      </c>
      <c r="Z175" s="136">
        <f>+Q175+Y175</f>
        <v>0</v>
      </c>
      <c r="AA175" s="137">
        <f>+D175-Z175</f>
        <v>0</v>
      </c>
    </row>
    <row r="176" spans="1:27" s="138" customFormat="1" ht="13.5" customHeight="1">
      <c r="A176" s="193" t="s">
        <v>71</v>
      </c>
      <c r="B176" s="185" t="s">
        <v>59</v>
      </c>
      <c r="C176" s="121" t="s">
        <v>60</v>
      </c>
      <c r="D176" s="70"/>
      <c r="E176" s="143"/>
      <c r="F176" s="143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144">
        <f t="shared" si="28"/>
        <v>0</v>
      </c>
      <c r="R176" s="145">
        <f t="shared" si="29"/>
        <v>0</v>
      </c>
      <c r="S176" s="143">
        <v>0</v>
      </c>
      <c r="T176" s="143">
        <v>0</v>
      </c>
      <c r="U176" s="146">
        <v>0</v>
      </c>
      <c r="V176" s="146">
        <v>0</v>
      </c>
      <c r="W176" s="146"/>
      <c r="X176" s="143"/>
      <c r="Y176" s="136">
        <f>SUM(S176:X176)</f>
        <v>0</v>
      </c>
      <c r="Z176" s="136">
        <f>+Q176+Y176</f>
        <v>0</v>
      </c>
      <c r="AA176" s="137">
        <f>+D176-Z176</f>
        <v>0</v>
      </c>
    </row>
    <row r="177" spans="1:27" s="138" customFormat="1" ht="13.5" customHeight="1">
      <c r="A177" s="157" t="s">
        <v>72</v>
      </c>
      <c r="B177" s="186"/>
      <c r="C177" s="156"/>
      <c r="D177" s="129">
        <f t="shared" ref="D177:P177" si="36">SUBTOTAL(9,D178:D193)</f>
        <v>0</v>
      </c>
      <c r="E177" s="130">
        <f t="shared" si="36"/>
        <v>0</v>
      </c>
      <c r="F177" s="130">
        <f t="shared" si="36"/>
        <v>0</v>
      </c>
      <c r="G177" s="130">
        <f t="shared" si="36"/>
        <v>0</v>
      </c>
      <c r="H177" s="130">
        <f t="shared" ref="H177:N177" si="37">SUBTOTAL(9,H178:H193)</f>
        <v>0</v>
      </c>
      <c r="I177" s="130">
        <f t="shared" si="37"/>
        <v>0</v>
      </c>
      <c r="J177" s="130">
        <f t="shared" si="37"/>
        <v>0</v>
      </c>
      <c r="K177" s="130">
        <f t="shared" si="37"/>
        <v>0</v>
      </c>
      <c r="L177" s="130">
        <f t="shared" si="37"/>
        <v>0</v>
      </c>
      <c r="M177" s="130">
        <f t="shared" si="37"/>
        <v>0</v>
      </c>
      <c r="N177" s="130">
        <f t="shared" si="37"/>
        <v>0</v>
      </c>
      <c r="O177" s="130">
        <f t="shared" si="36"/>
        <v>0</v>
      </c>
      <c r="P177" s="130">
        <f t="shared" si="36"/>
        <v>0</v>
      </c>
      <c r="Q177" s="107">
        <f t="shared" si="28"/>
        <v>0</v>
      </c>
      <c r="R177" s="107">
        <f t="shared" si="29"/>
        <v>0</v>
      </c>
      <c r="S177" s="130">
        <f t="shared" ref="S177:X177" si="38">SUBTOTAL(9,S178:S193)</f>
        <v>0</v>
      </c>
      <c r="T177" s="130">
        <f t="shared" si="38"/>
        <v>0</v>
      </c>
      <c r="U177" s="130">
        <f t="shared" si="38"/>
        <v>0</v>
      </c>
      <c r="V177" s="130">
        <f t="shared" si="38"/>
        <v>0</v>
      </c>
      <c r="W177" s="130">
        <f t="shared" si="38"/>
        <v>0</v>
      </c>
      <c r="X177" s="130">
        <f t="shared" si="38"/>
        <v>0</v>
      </c>
      <c r="Y177" s="125">
        <f>SUM(S177:X177)</f>
        <v>0</v>
      </c>
      <c r="Z177" s="56">
        <f>+Q177+Y177</f>
        <v>0</v>
      </c>
      <c r="AA177" s="131">
        <f>+D177-Z177</f>
        <v>0</v>
      </c>
    </row>
    <row r="178" spans="1:27" s="138" customFormat="1" ht="13.5" customHeight="1">
      <c r="A178" s="193" t="s">
        <v>72</v>
      </c>
      <c r="B178" s="187" t="s">
        <v>29</v>
      </c>
      <c r="C178" s="122" t="s">
        <v>30</v>
      </c>
      <c r="D178" s="72"/>
      <c r="E178" s="158"/>
      <c r="F178" s="158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159">
        <f t="shared" si="28"/>
        <v>0</v>
      </c>
      <c r="R178" s="160">
        <f t="shared" si="29"/>
        <v>0</v>
      </c>
      <c r="S178" s="158"/>
      <c r="T178" s="158"/>
      <c r="U178" s="161">
        <v>0</v>
      </c>
      <c r="V178" s="161">
        <v>0</v>
      </c>
      <c r="W178" s="161"/>
      <c r="X178" s="158"/>
      <c r="Y178" s="162">
        <f>SUM(S178:X178)</f>
        <v>0</v>
      </c>
      <c r="Z178" s="162">
        <f>+Q178+Y178</f>
        <v>0</v>
      </c>
      <c r="AA178" s="163">
        <f>+D178-Z178</f>
        <v>0</v>
      </c>
    </row>
    <row r="179" spans="1:27" s="138" customFormat="1" ht="13.5" customHeight="1">
      <c r="A179" s="193" t="s">
        <v>72</v>
      </c>
      <c r="B179" s="183" t="s">
        <v>31</v>
      </c>
      <c r="C179" s="119" t="s">
        <v>32</v>
      </c>
      <c r="D179" s="65"/>
      <c r="E179" s="132"/>
      <c r="F179" s="132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133">
        <f t="shared" si="28"/>
        <v>0</v>
      </c>
      <c r="R179" s="134">
        <f t="shared" si="29"/>
        <v>0</v>
      </c>
      <c r="S179" s="132"/>
      <c r="T179" s="132"/>
      <c r="U179" s="135">
        <v>0</v>
      </c>
      <c r="V179" s="135">
        <v>0</v>
      </c>
      <c r="W179" s="135"/>
      <c r="X179" s="132"/>
      <c r="Y179" s="136">
        <f>SUM(S179:X179)</f>
        <v>0</v>
      </c>
      <c r="Z179" s="136">
        <f>+Q179+Y179</f>
        <v>0</v>
      </c>
      <c r="AA179" s="137">
        <f>+D179-Z179</f>
        <v>0</v>
      </c>
    </row>
    <row r="180" spans="1:27" s="138" customFormat="1" ht="13.5" customHeight="1">
      <c r="A180" s="193" t="s">
        <v>72</v>
      </c>
      <c r="B180" s="184" t="s">
        <v>33</v>
      </c>
      <c r="C180" s="120" t="s">
        <v>34</v>
      </c>
      <c r="D180" s="67"/>
      <c r="E180" s="139"/>
      <c r="F180" s="139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140">
        <f t="shared" si="28"/>
        <v>0</v>
      </c>
      <c r="R180" s="141">
        <f t="shared" si="29"/>
        <v>0</v>
      </c>
      <c r="S180" s="139"/>
      <c r="T180" s="139"/>
      <c r="U180" s="142">
        <v>0</v>
      </c>
      <c r="V180" s="142">
        <v>0</v>
      </c>
      <c r="W180" s="142"/>
      <c r="X180" s="139"/>
      <c r="Y180" s="136">
        <f>SUM(S180:X180)</f>
        <v>0</v>
      </c>
      <c r="Z180" s="136">
        <f>+Q180+Y180</f>
        <v>0</v>
      </c>
      <c r="AA180" s="137">
        <f>+D180-Z180</f>
        <v>0</v>
      </c>
    </row>
    <row r="181" spans="1:27" s="138" customFormat="1" ht="13.5" customHeight="1">
      <c r="A181" s="193" t="s">
        <v>72</v>
      </c>
      <c r="B181" s="188" t="s">
        <v>35</v>
      </c>
      <c r="C181" s="123" t="s">
        <v>36</v>
      </c>
      <c r="D181" s="74"/>
      <c r="E181" s="164"/>
      <c r="F181" s="164"/>
      <c r="G181" s="75"/>
      <c r="H181" s="75"/>
      <c r="I181" s="75"/>
      <c r="J181" s="75"/>
      <c r="K181" s="75"/>
      <c r="L181" s="75"/>
      <c r="M181" s="75"/>
      <c r="N181" s="75"/>
      <c r="O181" s="75"/>
      <c r="P181" s="75"/>
      <c r="Q181" s="165">
        <f t="shared" si="28"/>
        <v>0</v>
      </c>
      <c r="R181" s="166">
        <f t="shared" si="29"/>
        <v>0</v>
      </c>
      <c r="S181" s="164"/>
      <c r="T181" s="164"/>
      <c r="U181" s="167">
        <v>0</v>
      </c>
      <c r="V181" s="167">
        <v>0</v>
      </c>
      <c r="W181" s="167"/>
      <c r="X181" s="164"/>
      <c r="Y181" s="162">
        <f>SUM(S181:X181)</f>
        <v>0</v>
      </c>
      <c r="Z181" s="162">
        <f>+Q181+Y181</f>
        <v>0</v>
      </c>
      <c r="AA181" s="163">
        <f>+D181-Z181</f>
        <v>0</v>
      </c>
    </row>
    <row r="182" spans="1:27" s="138" customFormat="1" ht="13.5" customHeight="1">
      <c r="A182" s="193" t="s">
        <v>72</v>
      </c>
      <c r="B182" s="184" t="s">
        <v>37</v>
      </c>
      <c r="C182" s="120" t="s">
        <v>38</v>
      </c>
      <c r="D182" s="67"/>
      <c r="E182" s="139"/>
      <c r="F182" s="139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140">
        <f t="shared" si="28"/>
        <v>0</v>
      </c>
      <c r="R182" s="141">
        <f t="shared" si="29"/>
        <v>0</v>
      </c>
      <c r="S182" s="139"/>
      <c r="T182" s="139"/>
      <c r="U182" s="142">
        <v>0</v>
      </c>
      <c r="V182" s="142">
        <v>0</v>
      </c>
      <c r="W182" s="142"/>
      <c r="X182" s="139"/>
      <c r="Y182" s="136">
        <f>SUM(S182:X182)</f>
        <v>0</v>
      </c>
      <c r="Z182" s="136">
        <f>+Q182+Y182</f>
        <v>0</v>
      </c>
      <c r="AA182" s="137">
        <f>+D182-Z182</f>
        <v>0</v>
      </c>
    </row>
    <row r="183" spans="1:27" s="138" customFormat="1" ht="13.5" customHeight="1">
      <c r="A183" s="193" t="s">
        <v>72</v>
      </c>
      <c r="B183" s="184" t="s">
        <v>39</v>
      </c>
      <c r="C183" s="120" t="s">
        <v>40</v>
      </c>
      <c r="D183" s="67"/>
      <c r="E183" s="139"/>
      <c r="F183" s="139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140">
        <f t="shared" si="28"/>
        <v>0</v>
      </c>
      <c r="R183" s="141">
        <f t="shared" si="29"/>
        <v>0</v>
      </c>
      <c r="S183" s="139"/>
      <c r="T183" s="139"/>
      <c r="U183" s="142">
        <v>0</v>
      </c>
      <c r="V183" s="142">
        <v>0</v>
      </c>
      <c r="W183" s="142"/>
      <c r="X183" s="139"/>
      <c r="Y183" s="136">
        <f>SUM(S183:X183)</f>
        <v>0</v>
      </c>
      <c r="Z183" s="136">
        <f>+Q183+Y183</f>
        <v>0</v>
      </c>
      <c r="AA183" s="137">
        <f>+D183-Z183</f>
        <v>0</v>
      </c>
    </row>
    <row r="184" spans="1:27" s="138" customFormat="1" ht="13.5" customHeight="1">
      <c r="A184" s="193" t="s">
        <v>72</v>
      </c>
      <c r="B184" s="184" t="s">
        <v>41</v>
      </c>
      <c r="C184" s="120" t="s">
        <v>42</v>
      </c>
      <c r="D184" s="67"/>
      <c r="E184" s="139"/>
      <c r="F184" s="139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140">
        <f t="shared" si="28"/>
        <v>0</v>
      </c>
      <c r="R184" s="141">
        <f t="shared" si="29"/>
        <v>0</v>
      </c>
      <c r="S184" s="139"/>
      <c r="T184" s="139"/>
      <c r="U184" s="142">
        <v>0</v>
      </c>
      <c r="V184" s="142">
        <v>0</v>
      </c>
      <c r="W184" s="142"/>
      <c r="X184" s="139"/>
      <c r="Y184" s="136">
        <f>SUM(S184:X184)</f>
        <v>0</v>
      </c>
      <c r="Z184" s="136">
        <f>+Q184+Y184</f>
        <v>0</v>
      </c>
      <c r="AA184" s="137">
        <f>+D184-Z184</f>
        <v>0</v>
      </c>
    </row>
    <row r="185" spans="1:27" s="138" customFormat="1" ht="13.5" customHeight="1">
      <c r="A185" s="193" t="s">
        <v>72</v>
      </c>
      <c r="B185" s="184" t="s">
        <v>43</v>
      </c>
      <c r="C185" s="120" t="s">
        <v>44</v>
      </c>
      <c r="D185" s="67"/>
      <c r="E185" s="139"/>
      <c r="F185" s="13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140">
        <f t="shared" si="28"/>
        <v>0</v>
      </c>
      <c r="R185" s="141">
        <f t="shared" si="29"/>
        <v>0</v>
      </c>
      <c r="S185" s="139"/>
      <c r="T185" s="139"/>
      <c r="U185" s="142">
        <v>0</v>
      </c>
      <c r="V185" s="142">
        <v>0</v>
      </c>
      <c r="W185" s="142"/>
      <c r="X185" s="139"/>
      <c r="Y185" s="136">
        <f>SUM(S185:X185)</f>
        <v>0</v>
      </c>
      <c r="Z185" s="136">
        <f>+Q185+Y185</f>
        <v>0</v>
      </c>
      <c r="AA185" s="137">
        <f>+D185-Z185</f>
        <v>0</v>
      </c>
    </row>
    <row r="186" spans="1:27" s="138" customFormat="1" ht="13.5" customHeight="1">
      <c r="A186" s="193" t="s">
        <v>72</v>
      </c>
      <c r="B186" s="184" t="s">
        <v>45</v>
      </c>
      <c r="C186" s="120" t="s">
        <v>46</v>
      </c>
      <c r="D186" s="67"/>
      <c r="E186" s="139"/>
      <c r="F186" s="13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140">
        <f t="shared" si="28"/>
        <v>0</v>
      </c>
      <c r="R186" s="141">
        <f t="shared" si="29"/>
        <v>0</v>
      </c>
      <c r="S186" s="139"/>
      <c r="T186" s="139"/>
      <c r="U186" s="142">
        <v>0</v>
      </c>
      <c r="V186" s="142">
        <v>0</v>
      </c>
      <c r="W186" s="142"/>
      <c r="X186" s="139"/>
      <c r="Y186" s="136">
        <f>SUM(S186:X186)</f>
        <v>0</v>
      </c>
      <c r="Z186" s="136">
        <f>+Q186+Y186</f>
        <v>0</v>
      </c>
      <c r="AA186" s="137">
        <f>+D186-Z186</f>
        <v>0</v>
      </c>
    </row>
    <row r="187" spans="1:27" s="138" customFormat="1" ht="13.5" customHeight="1">
      <c r="A187" s="193" t="s">
        <v>72</v>
      </c>
      <c r="B187" s="184" t="s">
        <v>47</v>
      </c>
      <c r="C187" s="120" t="s">
        <v>48</v>
      </c>
      <c r="D187" s="67"/>
      <c r="E187" s="139"/>
      <c r="F187" s="139"/>
      <c r="G187" s="68"/>
      <c r="H187" s="69"/>
      <c r="I187" s="69"/>
      <c r="J187" s="69"/>
      <c r="K187" s="69"/>
      <c r="L187" s="69"/>
      <c r="M187" s="69"/>
      <c r="N187" s="69"/>
      <c r="O187" s="69"/>
      <c r="P187" s="69"/>
      <c r="Q187" s="140">
        <f t="shared" si="28"/>
        <v>0</v>
      </c>
      <c r="R187" s="141">
        <f t="shared" si="29"/>
        <v>0</v>
      </c>
      <c r="S187" s="139"/>
      <c r="T187" s="139"/>
      <c r="U187" s="142">
        <v>0</v>
      </c>
      <c r="V187" s="142">
        <v>0</v>
      </c>
      <c r="W187" s="142"/>
      <c r="X187" s="139"/>
      <c r="Y187" s="136">
        <f>SUM(S187:X187)</f>
        <v>0</v>
      </c>
      <c r="Z187" s="136">
        <f>+Q187+Y187</f>
        <v>0</v>
      </c>
      <c r="AA187" s="137">
        <f>+D187-Z187</f>
        <v>0</v>
      </c>
    </row>
    <row r="188" spans="1:27" s="138" customFormat="1" ht="13.5" customHeight="1">
      <c r="A188" s="193" t="s">
        <v>72</v>
      </c>
      <c r="B188" s="184" t="s">
        <v>49</v>
      </c>
      <c r="C188" s="120" t="s">
        <v>50</v>
      </c>
      <c r="D188" s="67"/>
      <c r="E188" s="139"/>
      <c r="F188" s="13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140">
        <f t="shared" si="28"/>
        <v>0</v>
      </c>
      <c r="R188" s="141">
        <f t="shared" si="29"/>
        <v>0</v>
      </c>
      <c r="S188" s="139"/>
      <c r="T188" s="139"/>
      <c r="U188" s="142">
        <v>0</v>
      </c>
      <c r="V188" s="142">
        <v>0</v>
      </c>
      <c r="W188" s="142"/>
      <c r="X188" s="139"/>
      <c r="Y188" s="136">
        <f>SUM(S188:X188)</f>
        <v>0</v>
      </c>
      <c r="Z188" s="136">
        <f>+Q188+Y188</f>
        <v>0</v>
      </c>
      <c r="AA188" s="137">
        <f>+D188-Z188</f>
        <v>0</v>
      </c>
    </row>
    <row r="189" spans="1:27" s="138" customFormat="1" ht="13.5" customHeight="1">
      <c r="A189" s="193" t="s">
        <v>72</v>
      </c>
      <c r="B189" s="184" t="s">
        <v>51</v>
      </c>
      <c r="C189" s="120" t="s">
        <v>52</v>
      </c>
      <c r="D189" s="67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140">
        <f t="shared" si="28"/>
        <v>0</v>
      </c>
      <c r="R189" s="141">
        <f t="shared" si="29"/>
        <v>0</v>
      </c>
      <c r="S189" s="139"/>
      <c r="T189" s="139"/>
      <c r="U189" s="142">
        <v>0</v>
      </c>
      <c r="V189" s="142">
        <v>0</v>
      </c>
      <c r="W189" s="142"/>
      <c r="X189" s="139"/>
      <c r="Y189" s="136">
        <f>SUM(S189:X189)</f>
        <v>0</v>
      </c>
      <c r="Z189" s="136">
        <f>+Q189+Y189</f>
        <v>0</v>
      </c>
      <c r="AA189" s="137">
        <f>+D189-Z189</f>
        <v>0</v>
      </c>
    </row>
    <row r="190" spans="1:27" s="138" customFormat="1" ht="13.5" customHeight="1">
      <c r="A190" s="193" t="s">
        <v>72</v>
      </c>
      <c r="B190" s="184" t="s">
        <v>53</v>
      </c>
      <c r="C190" s="120" t="s">
        <v>54</v>
      </c>
      <c r="D190" s="67"/>
      <c r="E190" s="139"/>
      <c r="F190" s="13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140">
        <f t="shared" si="28"/>
        <v>0</v>
      </c>
      <c r="R190" s="141">
        <f t="shared" si="29"/>
        <v>0</v>
      </c>
      <c r="S190" s="139"/>
      <c r="T190" s="139"/>
      <c r="U190" s="142">
        <v>0</v>
      </c>
      <c r="V190" s="142">
        <v>0</v>
      </c>
      <c r="W190" s="142"/>
      <c r="X190" s="139"/>
      <c r="Y190" s="136">
        <f>SUM(S190:X190)</f>
        <v>0</v>
      </c>
      <c r="Z190" s="136">
        <f>+Q190+Y190</f>
        <v>0</v>
      </c>
      <c r="AA190" s="137">
        <f>+D190-Z190</f>
        <v>0</v>
      </c>
    </row>
    <row r="191" spans="1:27" s="138" customFormat="1" ht="13.5" customHeight="1">
      <c r="A191" s="193" t="s">
        <v>72</v>
      </c>
      <c r="B191" s="184" t="s">
        <v>55</v>
      </c>
      <c r="C191" s="120" t="s">
        <v>56</v>
      </c>
      <c r="D191" s="67"/>
      <c r="E191" s="139"/>
      <c r="F191" s="139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140">
        <f t="shared" si="28"/>
        <v>0</v>
      </c>
      <c r="R191" s="141">
        <f t="shared" si="29"/>
        <v>0</v>
      </c>
      <c r="S191" s="139"/>
      <c r="T191" s="139"/>
      <c r="U191" s="142">
        <v>0</v>
      </c>
      <c r="V191" s="142">
        <v>0</v>
      </c>
      <c r="W191" s="142"/>
      <c r="X191" s="139"/>
      <c r="Y191" s="136">
        <f>SUM(S191:X191)</f>
        <v>0</v>
      </c>
      <c r="Z191" s="136">
        <f>+Q191+Y191</f>
        <v>0</v>
      </c>
      <c r="AA191" s="137">
        <f>+D191-Z191</f>
        <v>0</v>
      </c>
    </row>
    <row r="192" spans="1:27" s="138" customFormat="1" ht="13.5" customHeight="1">
      <c r="A192" s="193" t="s">
        <v>72</v>
      </c>
      <c r="B192" s="184" t="s">
        <v>57</v>
      </c>
      <c r="C192" s="120" t="s">
        <v>58</v>
      </c>
      <c r="D192" s="67"/>
      <c r="E192" s="139"/>
      <c r="F192" s="139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140">
        <f t="shared" si="28"/>
        <v>0</v>
      </c>
      <c r="R192" s="141">
        <f t="shared" si="29"/>
        <v>0</v>
      </c>
      <c r="S192" s="139"/>
      <c r="T192" s="139"/>
      <c r="U192" s="142">
        <v>0</v>
      </c>
      <c r="V192" s="142">
        <v>0</v>
      </c>
      <c r="W192" s="142"/>
      <c r="X192" s="139"/>
      <c r="Y192" s="136">
        <f>SUM(S192:X192)</f>
        <v>0</v>
      </c>
      <c r="Z192" s="136">
        <f>+Q192+Y192</f>
        <v>0</v>
      </c>
      <c r="AA192" s="137">
        <f>+D192-Z192</f>
        <v>0</v>
      </c>
    </row>
    <row r="193" spans="1:27" s="138" customFormat="1" ht="13.5" customHeight="1">
      <c r="A193" s="193" t="s">
        <v>72</v>
      </c>
      <c r="B193" s="185" t="s">
        <v>59</v>
      </c>
      <c r="C193" s="121" t="s">
        <v>60</v>
      </c>
      <c r="D193" s="70"/>
      <c r="E193" s="143"/>
      <c r="F193" s="143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140">
        <f t="shared" si="28"/>
        <v>0</v>
      </c>
      <c r="R193" s="141">
        <f t="shared" si="29"/>
        <v>0</v>
      </c>
      <c r="S193" s="143"/>
      <c r="T193" s="143"/>
      <c r="U193" s="146">
        <v>0</v>
      </c>
      <c r="V193" s="146">
        <v>0</v>
      </c>
      <c r="W193" s="146"/>
      <c r="X193" s="143"/>
      <c r="Y193" s="136">
        <f>SUM(S193:X193)</f>
        <v>0</v>
      </c>
      <c r="Z193" s="136">
        <f>+Q193+Y193</f>
        <v>0</v>
      </c>
      <c r="AA193" s="137">
        <f>+D193-Z193</f>
        <v>0</v>
      </c>
    </row>
    <row r="194" spans="1:27" s="138" customFormat="1" ht="13.5" customHeight="1">
      <c r="A194" s="157" t="s">
        <v>73</v>
      </c>
      <c r="B194" s="186"/>
      <c r="C194" s="156"/>
      <c r="D194" s="129">
        <f t="shared" ref="D194:P194" si="39">SUBTOTAL(9,D195:D210)</f>
        <v>0</v>
      </c>
      <c r="E194" s="130">
        <f t="shared" si="39"/>
        <v>0</v>
      </c>
      <c r="F194" s="130">
        <f t="shared" si="39"/>
        <v>0</v>
      </c>
      <c r="G194" s="130">
        <f t="shared" si="39"/>
        <v>0</v>
      </c>
      <c r="H194" s="130">
        <f t="shared" ref="H194:N194" si="40">SUBTOTAL(9,H195:H210)</f>
        <v>0</v>
      </c>
      <c r="I194" s="130">
        <f t="shared" si="40"/>
        <v>0</v>
      </c>
      <c r="J194" s="130">
        <f t="shared" si="40"/>
        <v>0</v>
      </c>
      <c r="K194" s="130">
        <f t="shared" si="40"/>
        <v>0</v>
      </c>
      <c r="L194" s="130">
        <f t="shared" si="40"/>
        <v>0</v>
      </c>
      <c r="M194" s="130">
        <f t="shared" si="40"/>
        <v>0</v>
      </c>
      <c r="N194" s="130">
        <f t="shared" si="40"/>
        <v>0</v>
      </c>
      <c r="O194" s="130">
        <f t="shared" si="39"/>
        <v>0</v>
      </c>
      <c r="P194" s="130">
        <f t="shared" si="39"/>
        <v>0</v>
      </c>
      <c r="Q194" s="107">
        <f t="shared" si="28"/>
        <v>0</v>
      </c>
      <c r="R194" s="107">
        <f t="shared" si="29"/>
        <v>0</v>
      </c>
      <c r="S194" s="130">
        <f t="shared" ref="S194:X194" si="41">SUBTOTAL(9,S195:S210)</f>
        <v>0</v>
      </c>
      <c r="T194" s="130">
        <f t="shared" si="41"/>
        <v>0</v>
      </c>
      <c r="U194" s="130">
        <f t="shared" si="41"/>
        <v>0</v>
      </c>
      <c r="V194" s="130">
        <f t="shared" si="41"/>
        <v>0</v>
      </c>
      <c r="W194" s="130">
        <f t="shared" si="41"/>
        <v>0</v>
      </c>
      <c r="X194" s="130">
        <f t="shared" si="41"/>
        <v>0</v>
      </c>
      <c r="Y194" s="125">
        <f>SUM(S194:X194)</f>
        <v>0</v>
      </c>
      <c r="Z194" s="56">
        <f>+Q194+Y194</f>
        <v>0</v>
      </c>
      <c r="AA194" s="131">
        <f>+D194-Z194</f>
        <v>0</v>
      </c>
    </row>
    <row r="195" spans="1:27" s="138" customFormat="1" ht="13.5" customHeight="1">
      <c r="A195" s="193" t="s">
        <v>73</v>
      </c>
      <c r="B195" s="187" t="s">
        <v>29</v>
      </c>
      <c r="C195" s="122" t="s">
        <v>30</v>
      </c>
      <c r="D195" s="72"/>
      <c r="E195" s="158"/>
      <c r="F195" s="158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159">
        <f t="shared" si="28"/>
        <v>0</v>
      </c>
      <c r="R195" s="160">
        <f t="shared" si="29"/>
        <v>0</v>
      </c>
      <c r="S195" s="158"/>
      <c r="T195" s="158"/>
      <c r="U195" s="161">
        <v>0</v>
      </c>
      <c r="V195" s="161">
        <v>0</v>
      </c>
      <c r="W195" s="161"/>
      <c r="X195" s="158"/>
      <c r="Y195" s="162">
        <f>SUM(S195:X195)</f>
        <v>0</v>
      </c>
      <c r="Z195" s="162">
        <f>+Q195+Y195</f>
        <v>0</v>
      </c>
      <c r="AA195" s="163">
        <f>+D195-Z195</f>
        <v>0</v>
      </c>
    </row>
    <row r="196" spans="1:27" s="138" customFormat="1" ht="13.5" customHeight="1">
      <c r="A196" s="193" t="s">
        <v>73</v>
      </c>
      <c r="B196" s="183" t="s">
        <v>31</v>
      </c>
      <c r="C196" s="119" t="s">
        <v>32</v>
      </c>
      <c r="D196" s="65"/>
      <c r="E196" s="132"/>
      <c r="F196" s="132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133">
        <f t="shared" si="28"/>
        <v>0</v>
      </c>
      <c r="R196" s="134">
        <f t="shared" si="29"/>
        <v>0</v>
      </c>
      <c r="S196" s="132"/>
      <c r="T196" s="132"/>
      <c r="U196" s="135">
        <v>0</v>
      </c>
      <c r="V196" s="135">
        <v>0</v>
      </c>
      <c r="W196" s="135"/>
      <c r="X196" s="132"/>
      <c r="Y196" s="136">
        <f>SUM(S196:X196)</f>
        <v>0</v>
      </c>
      <c r="Z196" s="136">
        <f>+Q196+Y196</f>
        <v>0</v>
      </c>
      <c r="AA196" s="137">
        <f>+D196-Z196</f>
        <v>0</v>
      </c>
    </row>
    <row r="197" spans="1:27" s="138" customFormat="1" ht="13.5" customHeight="1">
      <c r="A197" s="193" t="s">
        <v>73</v>
      </c>
      <c r="B197" s="184" t="s">
        <v>33</v>
      </c>
      <c r="C197" s="120" t="s">
        <v>34</v>
      </c>
      <c r="D197" s="67"/>
      <c r="E197" s="139"/>
      <c r="F197" s="139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140">
        <f t="shared" si="28"/>
        <v>0</v>
      </c>
      <c r="R197" s="141">
        <f t="shared" si="29"/>
        <v>0</v>
      </c>
      <c r="S197" s="139"/>
      <c r="T197" s="139"/>
      <c r="U197" s="142">
        <v>0</v>
      </c>
      <c r="V197" s="142">
        <v>0</v>
      </c>
      <c r="W197" s="142"/>
      <c r="X197" s="139"/>
      <c r="Y197" s="136">
        <f>SUM(S197:X197)</f>
        <v>0</v>
      </c>
      <c r="Z197" s="136">
        <f>+Q197+Y197</f>
        <v>0</v>
      </c>
      <c r="AA197" s="137">
        <f>+D197-Z197</f>
        <v>0</v>
      </c>
    </row>
    <row r="198" spans="1:27" s="138" customFormat="1" ht="13.5" customHeight="1">
      <c r="A198" s="193" t="s">
        <v>73</v>
      </c>
      <c r="B198" s="188" t="s">
        <v>35</v>
      </c>
      <c r="C198" s="123" t="s">
        <v>36</v>
      </c>
      <c r="D198" s="74"/>
      <c r="E198" s="164"/>
      <c r="F198" s="164"/>
      <c r="G198" s="75"/>
      <c r="H198" s="75"/>
      <c r="I198" s="75"/>
      <c r="J198" s="75"/>
      <c r="K198" s="75"/>
      <c r="L198" s="75"/>
      <c r="M198" s="75"/>
      <c r="N198" s="75"/>
      <c r="O198" s="75"/>
      <c r="P198" s="75"/>
      <c r="Q198" s="165">
        <f t="shared" ref="Q198:Q261" si="42">SUM(G198:P198)</f>
        <v>0</v>
      </c>
      <c r="R198" s="166">
        <f t="shared" ref="R198:R261" si="43">D198-Q198</f>
        <v>0</v>
      </c>
      <c r="S198" s="164"/>
      <c r="T198" s="164"/>
      <c r="U198" s="167">
        <v>0</v>
      </c>
      <c r="V198" s="167">
        <v>0</v>
      </c>
      <c r="W198" s="167"/>
      <c r="X198" s="164"/>
      <c r="Y198" s="162">
        <f>SUM(S198:X198)</f>
        <v>0</v>
      </c>
      <c r="Z198" s="162">
        <f>+Q198+Y198</f>
        <v>0</v>
      </c>
      <c r="AA198" s="163">
        <f>+D198-Z198</f>
        <v>0</v>
      </c>
    </row>
    <row r="199" spans="1:27" s="138" customFormat="1" ht="13.5" customHeight="1">
      <c r="A199" s="193" t="s">
        <v>73</v>
      </c>
      <c r="B199" s="184" t="s">
        <v>37</v>
      </c>
      <c r="C199" s="120" t="s">
        <v>38</v>
      </c>
      <c r="D199" s="67"/>
      <c r="E199" s="139"/>
      <c r="F199" s="139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140">
        <f t="shared" si="42"/>
        <v>0</v>
      </c>
      <c r="R199" s="141">
        <f t="shared" si="43"/>
        <v>0</v>
      </c>
      <c r="S199" s="139"/>
      <c r="T199" s="139"/>
      <c r="U199" s="142">
        <v>0</v>
      </c>
      <c r="V199" s="142">
        <v>0</v>
      </c>
      <c r="W199" s="142"/>
      <c r="X199" s="139"/>
      <c r="Y199" s="136">
        <f>SUM(S199:X199)</f>
        <v>0</v>
      </c>
      <c r="Z199" s="136">
        <f>+Q199+Y199</f>
        <v>0</v>
      </c>
      <c r="AA199" s="137">
        <f>+D199-Z199</f>
        <v>0</v>
      </c>
    </row>
    <row r="200" spans="1:27" s="138" customFormat="1" ht="13.5" customHeight="1">
      <c r="A200" s="193" t="s">
        <v>73</v>
      </c>
      <c r="B200" s="184" t="s">
        <v>39</v>
      </c>
      <c r="C200" s="120" t="s">
        <v>40</v>
      </c>
      <c r="D200" s="67"/>
      <c r="E200" s="139"/>
      <c r="F200" s="139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140">
        <f t="shared" si="42"/>
        <v>0</v>
      </c>
      <c r="R200" s="141">
        <f t="shared" si="43"/>
        <v>0</v>
      </c>
      <c r="S200" s="139"/>
      <c r="T200" s="139"/>
      <c r="U200" s="142">
        <v>0</v>
      </c>
      <c r="V200" s="142">
        <v>0</v>
      </c>
      <c r="W200" s="142"/>
      <c r="X200" s="139"/>
      <c r="Y200" s="136">
        <f>SUM(S200:X200)</f>
        <v>0</v>
      </c>
      <c r="Z200" s="136">
        <f>+Q200+Y200</f>
        <v>0</v>
      </c>
      <c r="AA200" s="137">
        <f>+D200-Z200</f>
        <v>0</v>
      </c>
    </row>
    <row r="201" spans="1:27" s="138" customFormat="1" ht="13.5" customHeight="1">
      <c r="A201" s="193" t="s">
        <v>73</v>
      </c>
      <c r="B201" s="184" t="s">
        <v>41</v>
      </c>
      <c r="C201" s="120" t="s">
        <v>42</v>
      </c>
      <c r="D201" s="67"/>
      <c r="E201" s="139"/>
      <c r="F201" s="139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140">
        <f t="shared" si="42"/>
        <v>0</v>
      </c>
      <c r="R201" s="141">
        <f t="shared" si="43"/>
        <v>0</v>
      </c>
      <c r="S201" s="139"/>
      <c r="T201" s="139"/>
      <c r="U201" s="142">
        <v>0</v>
      </c>
      <c r="V201" s="142">
        <v>0</v>
      </c>
      <c r="W201" s="142"/>
      <c r="X201" s="139"/>
      <c r="Y201" s="136">
        <f>SUM(S201:X201)</f>
        <v>0</v>
      </c>
      <c r="Z201" s="136">
        <f>+Q201+Y201</f>
        <v>0</v>
      </c>
      <c r="AA201" s="137">
        <f>+D201-Z201</f>
        <v>0</v>
      </c>
    </row>
    <row r="202" spans="1:27" s="138" customFormat="1" ht="13.5" customHeight="1">
      <c r="A202" s="193" t="s">
        <v>73</v>
      </c>
      <c r="B202" s="184" t="s">
        <v>43</v>
      </c>
      <c r="C202" s="120" t="s">
        <v>44</v>
      </c>
      <c r="D202" s="67"/>
      <c r="E202" s="139"/>
      <c r="F202" s="13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140">
        <f t="shared" si="42"/>
        <v>0</v>
      </c>
      <c r="R202" s="141">
        <f t="shared" si="43"/>
        <v>0</v>
      </c>
      <c r="S202" s="139"/>
      <c r="T202" s="139"/>
      <c r="U202" s="142">
        <v>0</v>
      </c>
      <c r="V202" s="142">
        <v>0</v>
      </c>
      <c r="W202" s="142"/>
      <c r="X202" s="139"/>
      <c r="Y202" s="136">
        <f>SUM(S202:X202)</f>
        <v>0</v>
      </c>
      <c r="Z202" s="136">
        <f>+Q202+Y202</f>
        <v>0</v>
      </c>
      <c r="AA202" s="137">
        <f>+D202-Z202</f>
        <v>0</v>
      </c>
    </row>
    <row r="203" spans="1:27" s="138" customFormat="1" ht="13.5" customHeight="1">
      <c r="A203" s="193" t="s">
        <v>73</v>
      </c>
      <c r="B203" s="184" t="s">
        <v>45</v>
      </c>
      <c r="C203" s="120" t="s">
        <v>46</v>
      </c>
      <c r="D203" s="67"/>
      <c r="E203" s="139"/>
      <c r="F203" s="13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140">
        <f t="shared" si="42"/>
        <v>0</v>
      </c>
      <c r="R203" s="141">
        <f t="shared" si="43"/>
        <v>0</v>
      </c>
      <c r="S203" s="139"/>
      <c r="T203" s="139"/>
      <c r="U203" s="142">
        <v>0</v>
      </c>
      <c r="V203" s="142">
        <v>0</v>
      </c>
      <c r="W203" s="142"/>
      <c r="X203" s="139"/>
      <c r="Y203" s="136">
        <f>SUM(S203:X203)</f>
        <v>0</v>
      </c>
      <c r="Z203" s="136">
        <f>+Q203+Y203</f>
        <v>0</v>
      </c>
      <c r="AA203" s="137">
        <f>+D203-Z203</f>
        <v>0</v>
      </c>
    </row>
    <row r="204" spans="1:27" s="138" customFormat="1" ht="13.5" customHeight="1">
      <c r="A204" s="193" t="s">
        <v>73</v>
      </c>
      <c r="B204" s="184" t="s">
        <v>47</v>
      </c>
      <c r="C204" s="120" t="s">
        <v>48</v>
      </c>
      <c r="D204" s="67"/>
      <c r="E204" s="139"/>
      <c r="F204" s="139"/>
      <c r="G204" s="68"/>
      <c r="H204" s="69"/>
      <c r="I204" s="69"/>
      <c r="J204" s="69"/>
      <c r="K204" s="69"/>
      <c r="L204" s="69"/>
      <c r="M204" s="69"/>
      <c r="N204" s="69"/>
      <c r="O204" s="69"/>
      <c r="P204" s="69"/>
      <c r="Q204" s="140">
        <f t="shared" si="42"/>
        <v>0</v>
      </c>
      <c r="R204" s="141">
        <f t="shared" si="43"/>
        <v>0</v>
      </c>
      <c r="S204" s="139"/>
      <c r="T204" s="139"/>
      <c r="U204" s="142">
        <v>0</v>
      </c>
      <c r="V204" s="142">
        <v>0</v>
      </c>
      <c r="W204" s="142"/>
      <c r="X204" s="139"/>
      <c r="Y204" s="136">
        <f>SUM(S204:X204)</f>
        <v>0</v>
      </c>
      <c r="Z204" s="136">
        <f>+Q204+Y204</f>
        <v>0</v>
      </c>
      <c r="AA204" s="137">
        <f>+D204-Z204</f>
        <v>0</v>
      </c>
    </row>
    <row r="205" spans="1:27" s="138" customFormat="1" ht="13.5" customHeight="1">
      <c r="A205" s="193" t="s">
        <v>73</v>
      </c>
      <c r="B205" s="184" t="s">
        <v>49</v>
      </c>
      <c r="C205" s="120" t="s">
        <v>50</v>
      </c>
      <c r="D205" s="67"/>
      <c r="E205" s="139"/>
      <c r="F205" s="13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140">
        <f t="shared" si="42"/>
        <v>0</v>
      </c>
      <c r="R205" s="141">
        <f t="shared" si="43"/>
        <v>0</v>
      </c>
      <c r="S205" s="139"/>
      <c r="T205" s="139"/>
      <c r="U205" s="142">
        <v>0</v>
      </c>
      <c r="V205" s="142">
        <v>0</v>
      </c>
      <c r="W205" s="142"/>
      <c r="X205" s="139"/>
      <c r="Y205" s="136">
        <f>SUM(S205:X205)</f>
        <v>0</v>
      </c>
      <c r="Z205" s="136">
        <f>+Q205+Y205</f>
        <v>0</v>
      </c>
      <c r="AA205" s="137">
        <f>+D205-Z205</f>
        <v>0</v>
      </c>
    </row>
    <row r="206" spans="1:27" s="138" customFormat="1" ht="13.5" customHeight="1">
      <c r="A206" s="193" t="s">
        <v>73</v>
      </c>
      <c r="B206" s="184" t="s">
        <v>51</v>
      </c>
      <c r="C206" s="120" t="s">
        <v>52</v>
      </c>
      <c r="D206" s="67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140">
        <f t="shared" si="42"/>
        <v>0</v>
      </c>
      <c r="R206" s="141">
        <f t="shared" si="43"/>
        <v>0</v>
      </c>
      <c r="S206" s="139"/>
      <c r="T206" s="139"/>
      <c r="U206" s="142">
        <v>0</v>
      </c>
      <c r="V206" s="142">
        <v>0</v>
      </c>
      <c r="W206" s="142"/>
      <c r="X206" s="139"/>
      <c r="Y206" s="136">
        <f>SUM(S206:X206)</f>
        <v>0</v>
      </c>
      <c r="Z206" s="136">
        <f>+Q206+Y206</f>
        <v>0</v>
      </c>
      <c r="AA206" s="137">
        <f>+D206-Z206</f>
        <v>0</v>
      </c>
    </row>
    <row r="207" spans="1:27" s="138" customFormat="1" ht="13.5" customHeight="1">
      <c r="A207" s="193" t="s">
        <v>73</v>
      </c>
      <c r="B207" s="184" t="s">
        <v>53</v>
      </c>
      <c r="C207" s="120" t="s">
        <v>54</v>
      </c>
      <c r="D207" s="67"/>
      <c r="E207" s="139"/>
      <c r="F207" s="13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140">
        <f t="shared" si="42"/>
        <v>0</v>
      </c>
      <c r="R207" s="141">
        <f t="shared" si="43"/>
        <v>0</v>
      </c>
      <c r="S207" s="139"/>
      <c r="T207" s="139"/>
      <c r="U207" s="142">
        <v>0</v>
      </c>
      <c r="V207" s="142">
        <v>0</v>
      </c>
      <c r="W207" s="142"/>
      <c r="X207" s="139"/>
      <c r="Y207" s="136">
        <f>SUM(S207:X207)</f>
        <v>0</v>
      </c>
      <c r="Z207" s="136">
        <f>+Q207+Y207</f>
        <v>0</v>
      </c>
      <c r="AA207" s="137">
        <f>+D207-Z207</f>
        <v>0</v>
      </c>
    </row>
    <row r="208" spans="1:27" s="138" customFormat="1" ht="13.5" customHeight="1">
      <c r="A208" s="193" t="s">
        <v>73</v>
      </c>
      <c r="B208" s="184" t="s">
        <v>55</v>
      </c>
      <c r="C208" s="120" t="s">
        <v>56</v>
      </c>
      <c r="D208" s="67"/>
      <c r="E208" s="139"/>
      <c r="F208" s="139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140">
        <f t="shared" si="42"/>
        <v>0</v>
      </c>
      <c r="R208" s="141">
        <f t="shared" si="43"/>
        <v>0</v>
      </c>
      <c r="S208" s="139"/>
      <c r="T208" s="139"/>
      <c r="U208" s="142">
        <v>0</v>
      </c>
      <c r="V208" s="142">
        <v>0</v>
      </c>
      <c r="W208" s="142"/>
      <c r="X208" s="139"/>
      <c r="Y208" s="136">
        <f>SUM(S208:X208)</f>
        <v>0</v>
      </c>
      <c r="Z208" s="136">
        <f>+Q208+Y208</f>
        <v>0</v>
      </c>
      <c r="AA208" s="137">
        <f>+D208-Z208</f>
        <v>0</v>
      </c>
    </row>
    <row r="209" spans="1:27" s="138" customFormat="1" ht="13.5" customHeight="1">
      <c r="A209" s="193" t="s">
        <v>73</v>
      </c>
      <c r="B209" s="184" t="s">
        <v>57</v>
      </c>
      <c r="C209" s="120" t="s">
        <v>58</v>
      </c>
      <c r="D209" s="67"/>
      <c r="E209" s="139"/>
      <c r="F209" s="139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140">
        <f t="shared" si="42"/>
        <v>0</v>
      </c>
      <c r="R209" s="141">
        <f t="shared" si="43"/>
        <v>0</v>
      </c>
      <c r="S209" s="139"/>
      <c r="T209" s="139"/>
      <c r="U209" s="142">
        <v>0</v>
      </c>
      <c r="V209" s="142">
        <v>0</v>
      </c>
      <c r="W209" s="142"/>
      <c r="X209" s="139"/>
      <c r="Y209" s="136">
        <f>SUM(S209:X209)</f>
        <v>0</v>
      </c>
      <c r="Z209" s="136">
        <f>+Q209+Y209</f>
        <v>0</v>
      </c>
      <c r="AA209" s="137">
        <f>+D209-Z209</f>
        <v>0</v>
      </c>
    </row>
    <row r="210" spans="1:27" s="138" customFormat="1" ht="13.5" customHeight="1">
      <c r="A210" s="193" t="s">
        <v>73</v>
      </c>
      <c r="B210" s="185" t="s">
        <v>59</v>
      </c>
      <c r="C210" s="121" t="s">
        <v>60</v>
      </c>
      <c r="D210" s="70"/>
      <c r="E210" s="143"/>
      <c r="F210" s="143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144">
        <f t="shared" si="42"/>
        <v>0</v>
      </c>
      <c r="R210" s="145">
        <f t="shared" si="43"/>
        <v>0</v>
      </c>
      <c r="S210" s="143"/>
      <c r="T210" s="143"/>
      <c r="U210" s="146">
        <v>0</v>
      </c>
      <c r="V210" s="146">
        <v>0</v>
      </c>
      <c r="W210" s="146"/>
      <c r="X210" s="143"/>
      <c r="Y210" s="136">
        <f>SUM(S210:X210)</f>
        <v>0</v>
      </c>
      <c r="Z210" s="136">
        <f>+Q210+Y210</f>
        <v>0</v>
      </c>
      <c r="AA210" s="137">
        <f>+D210-Z210</f>
        <v>0</v>
      </c>
    </row>
    <row r="211" spans="1:27" s="138" customFormat="1" ht="13.5" customHeight="1">
      <c r="A211" s="192" t="s">
        <v>74</v>
      </c>
      <c r="B211" s="186"/>
      <c r="C211" s="156"/>
      <c r="D211" s="130">
        <f t="shared" ref="D211:P211" si="44">SUBTOTAL(9,D212:D227)</f>
        <v>0</v>
      </c>
      <c r="E211" s="130">
        <f t="shared" si="44"/>
        <v>0</v>
      </c>
      <c r="F211" s="130">
        <f t="shared" si="44"/>
        <v>0</v>
      </c>
      <c r="G211" s="130">
        <f t="shared" si="44"/>
        <v>0</v>
      </c>
      <c r="H211" s="130">
        <f t="shared" ref="H211:N211" si="45">SUBTOTAL(9,H212:H227)</f>
        <v>0</v>
      </c>
      <c r="I211" s="130">
        <f t="shared" si="45"/>
        <v>0</v>
      </c>
      <c r="J211" s="130">
        <f t="shared" si="45"/>
        <v>0</v>
      </c>
      <c r="K211" s="130">
        <f t="shared" si="45"/>
        <v>0</v>
      </c>
      <c r="L211" s="130">
        <f t="shared" si="45"/>
        <v>0</v>
      </c>
      <c r="M211" s="130">
        <f t="shared" si="45"/>
        <v>0</v>
      </c>
      <c r="N211" s="130">
        <f t="shared" si="45"/>
        <v>0</v>
      </c>
      <c r="O211" s="130">
        <f t="shared" si="44"/>
        <v>0</v>
      </c>
      <c r="P211" s="130">
        <f t="shared" si="44"/>
        <v>0</v>
      </c>
      <c r="Q211" s="148">
        <f t="shared" si="42"/>
        <v>0</v>
      </c>
      <c r="R211" s="148">
        <f t="shared" si="43"/>
        <v>0</v>
      </c>
      <c r="S211" s="130">
        <f t="shared" ref="S211:X211" si="46">SUBTOTAL(9,S212:S227)</f>
        <v>0</v>
      </c>
      <c r="T211" s="130">
        <f t="shared" si="46"/>
        <v>0</v>
      </c>
      <c r="U211" s="130">
        <f t="shared" si="46"/>
        <v>0</v>
      </c>
      <c r="V211" s="130">
        <f t="shared" si="46"/>
        <v>0</v>
      </c>
      <c r="W211" s="130">
        <f t="shared" si="46"/>
        <v>0</v>
      </c>
      <c r="X211" s="130">
        <f t="shared" si="46"/>
        <v>0</v>
      </c>
      <c r="Y211" s="125">
        <f>SUM(S211:X211)</f>
        <v>0</v>
      </c>
      <c r="Z211" s="126">
        <f>+Q211+Y211</f>
        <v>0</v>
      </c>
      <c r="AA211" s="127">
        <f>+D211-Z211</f>
        <v>0</v>
      </c>
    </row>
    <row r="212" spans="1:27" s="138" customFormat="1" ht="13.5" customHeight="1">
      <c r="A212" s="215" t="s">
        <v>74</v>
      </c>
      <c r="B212" s="187" t="s">
        <v>29</v>
      </c>
      <c r="C212" s="122" t="s">
        <v>30</v>
      </c>
      <c r="D212" s="72"/>
      <c r="E212" s="158"/>
      <c r="F212" s="158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159">
        <f t="shared" si="42"/>
        <v>0</v>
      </c>
      <c r="R212" s="160">
        <f t="shared" si="43"/>
        <v>0</v>
      </c>
      <c r="S212" s="158">
        <v>0</v>
      </c>
      <c r="T212" s="158">
        <v>0</v>
      </c>
      <c r="U212" s="161">
        <v>0</v>
      </c>
      <c r="V212" s="161">
        <v>0</v>
      </c>
      <c r="W212" s="161"/>
      <c r="X212" s="158"/>
      <c r="Y212" s="162">
        <f>SUM(S212:X212)</f>
        <v>0</v>
      </c>
      <c r="Z212" s="162">
        <f>+Q212+Y212</f>
        <v>0</v>
      </c>
      <c r="AA212" s="163">
        <f>+D212-Z212</f>
        <v>0</v>
      </c>
    </row>
    <row r="213" spans="1:27" s="138" customFormat="1" ht="13.5" customHeight="1">
      <c r="A213" s="215" t="s">
        <v>74</v>
      </c>
      <c r="B213" s="183" t="s">
        <v>31</v>
      </c>
      <c r="C213" s="119" t="s">
        <v>32</v>
      </c>
      <c r="D213" s="65"/>
      <c r="E213" s="132"/>
      <c r="F213" s="132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133">
        <f t="shared" si="42"/>
        <v>0</v>
      </c>
      <c r="R213" s="134">
        <f t="shared" si="43"/>
        <v>0</v>
      </c>
      <c r="S213" s="132">
        <v>0</v>
      </c>
      <c r="T213" s="132">
        <v>0</v>
      </c>
      <c r="U213" s="135">
        <v>0</v>
      </c>
      <c r="V213" s="135">
        <v>0</v>
      </c>
      <c r="W213" s="135"/>
      <c r="X213" s="132"/>
      <c r="Y213" s="136">
        <f>SUM(S213:X213)</f>
        <v>0</v>
      </c>
      <c r="Z213" s="136">
        <f>+Q213+Y213</f>
        <v>0</v>
      </c>
      <c r="AA213" s="137">
        <f>+D213-Z213</f>
        <v>0</v>
      </c>
    </row>
    <row r="214" spans="1:27" s="138" customFormat="1" ht="13.5" customHeight="1">
      <c r="A214" s="215" t="s">
        <v>74</v>
      </c>
      <c r="B214" s="184" t="s">
        <v>33</v>
      </c>
      <c r="C214" s="120" t="s">
        <v>34</v>
      </c>
      <c r="D214" s="67"/>
      <c r="E214" s="139"/>
      <c r="F214" s="139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140">
        <f t="shared" si="42"/>
        <v>0</v>
      </c>
      <c r="R214" s="141">
        <f t="shared" si="43"/>
        <v>0</v>
      </c>
      <c r="S214" s="139">
        <v>0</v>
      </c>
      <c r="T214" s="139">
        <v>0</v>
      </c>
      <c r="U214" s="142">
        <v>0</v>
      </c>
      <c r="V214" s="142">
        <v>0</v>
      </c>
      <c r="W214" s="142"/>
      <c r="X214" s="139"/>
      <c r="Y214" s="136">
        <f>SUM(S214:X214)</f>
        <v>0</v>
      </c>
      <c r="Z214" s="136">
        <f>+Q214+Y214</f>
        <v>0</v>
      </c>
      <c r="AA214" s="137">
        <f>+D214-Z214</f>
        <v>0</v>
      </c>
    </row>
    <row r="215" spans="1:27" s="138" customFormat="1" ht="13.5" customHeight="1">
      <c r="A215" s="215" t="s">
        <v>74</v>
      </c>
      <c r="B215" s="188" t="s">
        <v>35</v>
      </c>
      <c r="C215" s="123" t="s">
        <v>36</v>
      </c>
      <c r="D215" s="74"/>
      <c r="E215" s="164"/>
      <c r="F215" s="164"/>
      <c r="G215" s="75"/>
      <c r="H215" s="75"/>
      <c r="I215" s="75"/>
      <c r="J215" s="75"/>
      <c r="K215" s="75"/>
      <c r="L215" s="75"/>
      <c r="M215" s="75"/>
      <c r="N215" s="75"/>
      <c r="O215" s="75"/>
      <c r="P215" s="75"/>
      <c r="Q215" s="165">
        <f t="shared" si="42"/>
        <v>0</v>
      </c>
      <c r="R215" s="166">
        <f t="shared" si="43"/>
        <v>0</v>
      </c>
      <c r="S215" s="164">
        <v>0</v>
      </c>
      <c r="T215" s="164">
        <v>0</v>
      </c>
      <c r="U215" s="167">
        <v>0</v>
      </c>
      <c r="V215" s="167">
        <v>0</v>
      </c>
      <c r="W215" s="167"/>
      <c r="X215" s="164"/>
      <c r="Y215" s="162">
        <f>SUM(S215:X215)</f>
        <v>0</v>
      </c>
      <c r="Z215" s="162">
        <f>+Q215+Y215</f>
        <v>0</v>
      </c>
      <c r="AA215" s="163">
        <f>+D215-Z215</f>
        <v>0</v>
      </c>
    </row>
    <row r="216" spans="1:27" s="138" customFormat="1" ht="13.5" customHeight="1">
      <c r="A216" s="215" t="s">
        <v>74</v>
      </c>
      <c r="B216" s="183" t="s">
        <v>37</v>
      </c>
      <c r="C216" s="119" t="s">
        <v>38</v>
      </c>
      <c r="D216" s="65"/>
      <c r="E216" s="132"/>
      <c r="F216" s="132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133">
        <f t="shared" si="42"/>
        <v>0</v>
      </c>
      <c r="R216" s="134">
        <f t="shared" si="43"/>
        <v>0</v>
      </c>
      <c r="S216" s="132">
        <v>0</v>
      </c>
      <c r="T216" s="132">
        <v>0</v>
      </c>
      <c r="U216" s="135">
        <v>0</v>
      </c>
      <c r="V216" s="135">
        <v>0</v>
      </c>
      <c r="W216" s="135"/>
      <c r="X216" s="132"/>
      <c r="Y216" s="136">
        <f>SUM(S216:X216)</f>
        <v>0</v>
      </c>
      <c r="Z216" s="136">
        <f>+Q216+Y216</f>
        <v>0</v>
      </c>
      <c r="AA216" s="137">
        <f>+D216-Z216</f>
        <v>0</v>
      </c>
    </row>
    <row r="217" spans="1:27" s="138" customFormat="1" ht="13.5" customHeight="1">
      <c r="A217" s="215" t="s">
        <v>74</v>
      </c>
      <c r="B217" s="184" t="s">
        <v>39</v>
      </c>
      <c r="C217" s="120" t="s">
        <v>40</v>
      </c>
      <c r="D217" s="67"/>
      <c r="E217" s="139"/>
      <c r="F217" s="139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140">
        <f t="shared" si="42"/>
        <v>0</v>
      </c>
      <c r="R217" s="141">
        <f t="shared" si="43"/>
        <v>0</v>
      </c>
      <c r="S217" s="139">
        <v>0</v>
      </c>
      <c r="T217" s="139">
        <v>0</v>
      </c>
      <c r="U217" s="142">
        <v>0</v>
      </c>
      <c r="V217" s="142">
        <v>0</v>
      </c>
      <c r="W217" s="142"/>
      <c r="X217" s="139"/>
      <c r="Y217" s="136">
        <f>SUM(S217:X217)</f>
        <v>0</v>
      </c>
      <c r="Z217" s="136">
        <f>+Q217+Y217</f>
        <v>0</v>
      </c>
      <c r="AA217" s="137">
        <f>+D217-Z217</f>
        <v>0</v>
      </c>
    </row>
    <row r="218" spans="1:27" s="138" customFormat="1" ht="13.5" customHeight="1">
      <c r="A218" s="215" t="s">
        <v>74</v>
      </c>
      <c r="B218" s="184" t="s">
        <v>41</v>
      </c>
      <c r="C218" s="120" t="s">
        <v>42</v>
      </c>
      <c r="D218" s="67"/>
      <c r="E218" s="139"/>
      <c r="F218" s="139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140">
        <f t="shared" si="42"/>
        <v>0</v>
      </c>
      <c r="R218" s="141">
        <f t="shared" si="43"/>
        <v>0</v>
      </c>
      <c r="S218" s="139">
        <v>0</v>
      </c>
      <c r="T218" s="139">
        <v>0</v>
      </c>
      <c r="U218" s="142">
        <v>0</v>
      </c>
      <c r="V218" s="142">
        <v>0</v>
      </c>
      <c r="W218" s="142"/>
      <c r="X218" s="139"/>
      <c r="Y218" s="136">
        <f>SUM(S218:X218)</f>
        <v>0</v>
      </c>
      <c r="Z218" s="136">
        <f>+Q218+Y218</f>
        <v>0</v>
      </c>
      <c r="AA218" s="137">
        <f>+D218-Z218</f>
        <v>0</v>
      </c>
    </row>
    <row r="219" spans="1:27" s="138" customFormat="1" ht="13.5" customHeight="1">
      <c r="A219" s="215" t="s">
        <v>74</v>
      </c>
      <c r="B219" s="184" t="s">
        <v>43</v>
      </c>
      <c r="C219" s="120" t="s">
        <v>44</v>
      </c>
      <c r="D219" s="67"/>
      <c r="E219" s="139"/>
      <c r="F219" s="13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140">
        <f t="shared" si="42"/>
        <v>0</v>
      </c>
      <c r="R219" s="141">
        <f t="shared" si="43"/>
        <v>0</v>
      </c>
      <c r="S219" s="139">
        <v>0</v>
      </c>
      <c r="T219" s="139">
        <v>0</v>
      </c>
      <c r="U219" s="142">
        <v>0</v>
      </c>
      <c r="V219" s="142">
        <v>0</v>
      </c>
      <c r="W219" s="142"/>
      <c r="X219" s="139"/>
      <c r="Y219" s="136">
        <f>SUM(S219:X219)</f>
        <v>0</v>
      </c>
      <c r="Z219" s="136">
        <f>+Q219+Y219</f>
        <v>0</v>
      </c>
      <c r="AA219" s="137">
        <f>+D219-Z219</f>
        <v>0</v>
      </c>
    </row>
    <row r="220" spans="1:27" s="138" customFormat="1" ht="13.5" customHeight="1">
      <c r="A220" s="215" t="s">
        <v>74</v>
      </c>
      <c r="B220" s="184" t="s">
        <v>45</v>
      </c>
      <c r="C220" s="120" t="s">
        <v>46</v>
      </c>
      <c r="D220" s="67"/>
      <c r="E220" s="139"/>
      <c r="F220" s="13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140">
        <f t="shared" si="42"/>
        <v>0</v>
      </c>
      <c r="R220" s="141">
        <f t="shared" si="43"/>
        <v>0</v>
      </c>
      <c r="S220" s="139">
        <v>0</v>
      </c>
      <c r="T220" s="139">
        <v>0</v>
      </c>
      <c r="U220" s="142">
        <v>0</v>
      </c>
      <c r="V220" s="142">
        <v>0</v>
      </c>
      <c r="W220" s="142"/>
      <c r="X220" s="139"/>
      <c r="Y220" s="136">
        <f>SUM(S220:X220)</f>
        <v>0</v>
      </c>
      <c r="Z220" s="136">
        <f>+Q220+Y220</f>
        <v>0</v>
      </c>
      <c r="AA220" s="137">
        <f>+D220-Z220</f>
        <v>0</v>
      </c>
    </row>
    <row r="221" spans="1:27" s="138" customFormat="1" ht="13.5" customHeight="1">
      <c r="A221" s="215" t="s">
        <v>74</v>
      </c>
      <c r="B221" s="184" t="s">
        <v>47</v>
      </c>
      <c r="C221" s="120" t="s">
        <v>48</v>
      </c>
      <c r="D221" s="67"/>
      <c r="E221" s="139"/>
      <c r="F221" s="139"/>
      <c r="G221" s="68"/>
      <c r="H221" s="69"/>
      <c r="I221" s="69"/>
      <c r="J221" s="69"/>
      <c r="K221" s="69"/>
      <c r="L221" s="69"/>
      <c r="M221" s="69"/>
      <c r="N221" s="69"/>
      <c r="O221" s="69"/>
      <c r="P221" s="69"/>
      <c r="Q221" s="140">
        <f t="shared" si="42"/>
        <v>0</v>
      </c>
      <c r="R221" s="141">
        <f t="shared" si="43"/>
        <v>0</v>
      </c>
      <c r="S221" s="139">
        <v>0</v>
      </c>
      <c r="T221" s="139">
        <v>0</v>
      </c>
      <c r="U221" s="142">
        <v>0</v>
      </c>
      <c r="V221" s="142">
        <v>0</v>
      </c>
      <c r="W221" s="142"/>
      <c r="X221" s="139"/>
      <c r="Y221" s="136">
        <f>SUM(S221:X221)</f>
        <v>0</v>
      </c>
      <c r="Z221" s="136">
        <f>+Q221+Y221</f>
        <v>0</v>
      </c>
      <c r="AA221" s="137">
        <f>+D221-Z221</f>
        <v>0</v>
      </c>
    </row>
    <row r="222" spans="1:27" s="138" customFormat="1" ht="13.5" customHeight="1">
      <c r="A222" s="215" t="s">
        <v>74</v>
      </c>
      <c r="B222" s="184" t="s">
        <v>49</v>
      </c>
      <c r="C222" s="120" t="s">
        <v>50</v>
      </c>
      <c r="D222" s="67"/>
      <c r="E222" s="139"/>
      <c r="F222" s="13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140">
        <f t="shared" si="42"/>
        <v>0</v>
      </c>
      <c r="R222" s="141">
        <f t="shared" si="43"/>
        <v>0</v>
      </c>
      <c r="S222" s="139">
        <v>0</v>
      </c>
      <c r="T222" s="139">
        <v>0</v>
      </c>
      <c r="U222" s="142">
        <v>0</v>
      </c>
      <c r="V222" s="142">
        <v>0</v>
      </c>
      <c r="W222" s="142"/>
      <c r="X222" s="139"/>
      <c r="Y222" s="136">
        <f>SUM(S222:X222)</f>
        <v>0</v>
      </c>
      <c r="Z222" s="136">
        <f>+Q222+Y222</f>
        <v>0</v>
      </c>
      <c r="AA222" s="137">
        <f>+D222-Z222</f>
        <v>0</v>
      </c>
    </row>
    <row r="223" spans="1:27" s="138" customFormat="1" ht="13.5" customHeight="1">
      <c r="A223" s="215" t="s">
        <v>74</v>
      </c>
      <c r="B223" s="184" t="s">
        <v>51</v>
      </c>
      <c r="C223" s="120" t="s">
        <v>52</v>
      </c>
      <c r="D223" s="67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140">
        <f t="shared" si="42"/>
        <v>0</v>
      </c>
      <c r="R223" s="141">
        <f t="shared" si="43"/>
        <v>0</v>
      </c>
      <c r="S223" s="139">
        <v>0</v>
      </c>
      <c r="T223" s="139">
        <v>0</v>
      </c>
      <c r="U223" s="142">
        <v>0</v>
      </c>
      <c r="V223" s="142">
        <v>0</v>
      </c>
      <c r="W223" s="142"/>
      <c r="X223" s="139"/>
      <c r="Y223" s="136">
        <f>SUM(S223:X223)</f>
        <v>0</v>
      </c>
      <c r="Z223" s="136">
        <f>+Q223+Y223</f>
        <v>0</v>
      </c>
      <c r="AA223" s="137">
        <f>+D223-Z223</f>
        <v>0</v>
      </c>
    </row>
    <row r="224" spans="1:27" s="138" customFormat="1" ht="13.5" customHeight="1">
      <c r="A224" s="215" t="s">
        <v>74</v>
      </c>
      <c r="B224" s="184" t="s">
        <v>53</v>
      </c>
      <c r="C224" s="120" t="s">
        <v>54</v>
      </c>
      <c r="D224" s="67"/>
      <c r="E224" s="139"/>
      <c r="F224" s="13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140">
        <f t="shared" si="42"/>
        <v>0</v>
      </c>
      <c r="R224" s="141">
        <f t="shared" si="43"/>
        <v>0</v>
      </c>
      <c r="S224" s="139">
        <v>0</v>
      </c>
      <c r="T224" s="139">
        <v>0</v>
      </c>
      <c r="U224" s="142">
        <v>0</v>
      </c>
      <c r="V224" s="142">
        <v>0</v>
      </c>
      <c r="W224" s="142"/>
      <c r="X224" s="139"/>
      <c r="Y224" s="136">
        <f>SUM(S224:X224)</f>
        <v>0</v>
      </c>
      <c r="Z224" s="136">
        <f>+Q224+Y224</f>
        <v>0</v>
      </c>
      <c r="AA224" s="137">
        <f>+D224-Z224</f>
        <v>0</v>
      </c>
    </row>
    <row r="225" spans="1:27" s="138" customFormat="1" ht="13.5" customHeight="1">
      <c r="A225" s="215" t="s">
        <v>74</v>
      </c>
      <c r="B225" s="184" t="s">
        <v>55</v>
      </c>
      <c r="C225" s="120" t="s">
        <v>56</v>
      </c>
      <c r="D225" s="67"/>
      <c r="E225" s="139"/>
      <c r="F225" s="139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140">
        <f t="shared" si="42"/>
        <v>0</v>
      </c>
      <c r="R225" s="141">
        <f t="shared" si="43"/>
        <v>0</v>
      </c>
      <c r="S225" s="139">
        <v>0</v>
      </c>
      <c r="T225" s="139">
        <v>0</v>
      </c>
      <c r="U225" s="142">
        <v>0</v>
      </c>
      <c r="V225" s="142">
        <v>0</v>
      </c>
      <c r="W225" s="142"/>
      <c r="X225" s="139"/>
      <c r="Y225" s="136">
        <f>SUM(S225:X225)</f>
        <v>0</v>
      </c>
      <c r="Z225" s="136">
        <f>+Q225+Y225</f>
        <v>0</v>
      </c>
      <c r="AA225" s="137">
        <f>+D225-Z225</f>
        <v>0</v>
      </c>
    </row>
    <row r="226" spans="1:27" s="138" customFormat="1" ht="13.5" customHeight="1">
      <c r="A226" s="215" t="s">
        <v>74</v>
      </c>
      <c r="B226" s="184" t="s">
        <v>57</v>
      </c>
      <c r="C226" s="120" t="s">
        <v>58</v>
      </c>
      <c r="D226" s="67"/>
      <c r="E226" s="139"/>
      <c r="F226" s="139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140">
        <f t="shared" si="42"/>
        <v>0</v>
      </c>
      <c r="R226" s="141">
        <f t="shared" si="43"/>
        <v>0</v>
      </c>
      <c r="S226" s="139">
        <v>0</v>
      </c>
      <c r="T226" s="139">
        <v>0</v>
      </c>
      <c r="U226" s="142">
        <v>0</v>
      </c>
      <c r="V226" s="142">
        <v>0</v>
      </c>
      <c r="W226" s="142"/>
      <c r="X226" s="139"/>
      <c r="Y226" s="136">
        <f>SUM(S226:X226)</f>
        <v>0</v>
      </c>
      <c r="Z226" s="136">
        <f>+Q226+Y226</f>
        <v>0</v>
      </c>
      <c r="AA226" s="137">
        <f>+D226-Z226</f>
        <v>0</v>
      </c>
    </row>
    <row r="227" spans="1:27" s="138" customFormat="1" ht="13.5" customHeight="1">
      <c r="A227" s="215" t="s">
        <v>74</v>
      </c>
      <c r="B227" s="185" t="s">
        <v>59</v>
      </c>
      <c r="C227" s="121" t="s">
        <v>60</v>
      </c>
      <c r="D227" s="70"/>
      <c r="E227" s="143"/>
      <c r="F227" s="143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144">
        <f t="shared" si="42"/>
        <v>0</v>
      </c>
      <c r="R227" s="145">
        <f t="shared" si="43"/>
        <v>0</v>
      </c>
      <c r="S227" s="143">
        <v>0</v>
      </c>
      <c r="T227" s="143">
        <v>0</v>
      </c>
      <c r="U227" s="146">
        <v>0</v>
      </c>
      <c r="V227" s="146">
        <v>0</v>
      </c>
      <c r="W227" s="146"/>
      <c r="X227" s="143"/>
      <c r="Y227" s="136">
        <f>SUM(S227:X227)</f>
        <v>0</v>
      </c>
      <c r="Z227" s="136">
        <f>+Q227+Y227</f>
        <v>0</v>
      </c>
      <c r="AA227" s="137">
        <f>+D227-Z227</f>
        <v>0</v>
      </c>
    </row>
    <row r="228" spans="1:27" s="138" customFormat="1" ht="13.5" customHeight="1">
      <c r="A228" s="157" t="s">
        <v>75</v>
      </c>
      <c r="B228" s="186"/>
      <c r="C228" s="174"/>
      <c r="D228" s="125">
        <f t="shared" ref="D228:P228" si="47">SUBTOTAL(9,D229:D235)</f>
        <v>0</v>
      </c>
      <c r="E228" s="125">
        <f t="shared" si="47"/>
        <v>0</v>
      </c>
      <c r="F228" s="125">
        <f t="shared" si="47"/>
        <v>0</v>
      </c>
      <c r="G228" s="125">
        <f t="shared" si="47"/>
        <v>0</v>
      </c>
      <c r="H228" s="130">
        <f t="shared" ref="H228:N228" si="48">SUBTOTAL(9,H229:H235)</f>
        <v>0</v>
      </c>
      <c r="I228" s="130">
        <f t="shared" si="48"/>
        <v>0</v>
      </c>
      <c r="J228" s="130">
        <f t="shared" si="48"/>
        <v>0</v>
      </c>
      <c r="K228" s="130">
        <f t="shared" si="48"/>
        <v>0</v>
      </c>
      <c r="L228" s="130">
        <f t="shared" si="48"/>
        <v>0</v>
      </c>
      <c r="M228" s="130">
        <f t="shared" si="48"/>
        <v>0</v>
      </c>
      <c r="N228" s="130">
        <f t="shared" si="48"/>
        <v>0</v>
      </c>
      <c r="O228" s="125">
        <f t="shared" si="47"/>
        <v>0</v>
      </c>
      <c r="P228" s="125">
        <f t="shared" si="47"/>
        <v>0</v>
      </c>
      <c r="Q228" s="148">
        <f t="shared" si="42"/>
        <v>0</v>
      </c>
      <c r="R228" s="148">
        <f t="shared" si="43"/>
        <v>0</v>
      </c>
      <c r="S228" s="125">
        <f t="shared" ref="S228:X228" si="49">SUBTOTAL(9,S229:S235)</f>
        <v>0</v>
      </c>
      <c r="T228" s="125">
        <f t="shared" si="49"/>
        <v>0</v>
      </c>
      <c r="U228" s="125">
        <f t="shared" si="49"/>
        <v>0</v>
      </c>
      <c r="V228" s="125">
        <f t="shared" si="49"/>
        <v>0</v>
      </c>
      <c r="W228" s="125">
        <f t="shared" si="49"/>
        <v>0</v>
      </c>
      <c r="X228" s="125">
        <f t="shared" si="49"/>
        <v>0</v>
      </c>
      <c r="Y228" s="125">
        <f>SUM(S228:X228)</f>
        <v>0</v>
      </c>
      <c r="Z228" s="126">
        <f>+Q228+Y228</f>
        <v>0</v>
      </c>
      <c r="AA228" s="127">
        <f>+D228-Z228</f>
        <v>0</v>
      </c>
    </row>
    <row r="229" spans="1:27" s="138" customFormat="1" ht="13.5" customHeight="1">
      <c r="A229" s="193" t="s">
        <v>75</v>
      </c>
      <c r="B229" s="183" t="s">
        <v>37</v>
      </c>
      <c r="C229" s="119" t="s">
        <v>38</v>
      </c>
      <c r="D229" s="65"/>
      <c r="E229" s="132"/>
      <c r="F229" s="132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133">
        <f t="shared" si="42"/>
        <v>0</v>
      </c>
      <c r="R229" s="134">
        <f t="shared" si="43"/>
        <v>0</v>
      </c>
      <c r="S229" s="132">
        <v>0</v>
      </c>
      <c r="T229" s="132">
        <v>0</v>
      </c>
      <c r="U229" s="135">
        <v>0</v>
      </c>
      <c r="V229" s="135">
        <v>0</v>
      </c>
      <c r="W229" s="135"/>
      <c r="X229" s="132"/>
      <c r="Y229" s="136">
        <f>SUM(S229:X229)</f>
        <v>0</v>
      </c>
      <c r="Z229" s="136">
        <f>+Q229+Y229</f>
        <v>0</v>
      </c>
      <c r="AA229" s="137">
        <f>+D229-Z229</f>
        <v>0</v>
      </c>
    </row>
    <row r="230" spans="1:27" s="138" customFormat="1" ht="13.5" customHeight="1">
      <c r="A230" s="193" t="s">
        <v>75</v>
      </c>
      <c r="B230" s="184" t="s">
        <v>39</v>
      </c>
      <c r="C230" s="120" t="s">
        <v>40</v>
      </c>
      <c r="D230" s="67"/>
      <c r="E230" s="139"/>
      <c r="F230" s="139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140">
        <f t="shared" si="42"/>
        <v>0</v>
      </c>
      <c r="R230" s="141">
        <f t="shared" si="43"/>
        <v>0</v>
      </c>
      <c r="S230" s="139">
        <v>0</v>
      </c>
      <c r="T230" s="139">
        <v>0</v>
      </c>
      <c r="U230" s="142">
        <v>0</v>
      </c>
      <c r="V230" s="142">
        <v>0</v>
      </c>
      <c r="W230" s="142"/>
      <c r="X230" s="139"/>
      <c r="Y230" s="136">
        <f>SUM(S230:X230)</f>
        <v>0</v>
      </c>
      <c r="Z230" s="136">
        <f>+Q230+Y230</f>
        <v>0</v>
      </c>
      <c r="AA230" s="137">
        <f>+D230-Z230</f>
        <v>0</v>
      </c>
    </row>
    <row r="231" spans="1:27" s="138" customFormat="1" ht="13.5" customHeight="1">
      <c r="A231" s="193" t="s">
        <v>75</v>
      </c>
      <c r="B231" s="184" t="s">
        <v>41</v>
      </c>
      <c r="C231" s="120" t="s">
        <v>42</v>
      </c>
      <c r="D231" s="67"/>
      <c r="E231" s="139"/>
      <c r="F231" s="139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140">
        <f t="shared" si="42"/>
        <v>0</v>
      </c>
      <c r="R231" s="141">
        <f t="shared" si="43"/>
        <v>0</v>
      </c>
      <c r="S231" s="139">
        <v>0</v>
      </c>
      <c r="T231" s="139">
        <v>0</v>
      </c>
      <c r="U231" s="142">
        <v>0</v>
      </c>
      <c r="V231" s="142">
        <v>0</v>
      </c>
      <c r="W231" s="142"/>
      <c r="X231" s="139"/>
      <c r="Y231" s="136">
        <f>SUM(S231:X231)</f>
        <v>0</v>
      </c>
      <c r="Z231" s="136">
        <f>+Q231+Y231</f>
        <v>0</v>
      </c>
      <c r="AA231" s="137">
        <f>+D231-Z231</f>
        <v>0</v>
      </c>
    </row>
    <row r="232" spans="1:27" s="138" customFormat="1" ht="13.5" customHeight="1">
      <c r="A232" s="193" t="s">
        <v>75</v>
      </c>
      <c r="B232" s="194" t="s">
        <v>45</v>
      </c>
      <c r="C232" s="195" t="s">
        <v>46</v>
      </c>
      <c r="D232" s="67"/>
      <c r="E232" s="139"/>
      <c r="F232" s="13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140">
        <f t="shared" si="42"/>
        <v>0</v>
      </c>
      <c r="R232" s="141">
        <f t="shared" si="43"/>
        <v>0</v>
      </c>
      <c r="S232" s="139">
        <v>0</v>
      </c>
      <c r="T232" s="139">
        <v>0</v>
      </c>
      <c r="U232" s="142">
        <v>0</v>
      </c>
      <c r="V232" s="142">
        <v>0</v>
      </c>
      <c r="W232" s="142"/>
      <c r="X232" s="139"/>
      <c r="Y232" s="136">
        <f>SUM(S232:X232)</f>
        <v>0</v>
      </c>
      <c r="Z232" s="136">
        <f>+Q232+Y232</f>
        <v>0</v>
      </c>
      <c r="AA232" s="137">
        <f>+D232-Z232</f>
        <v>0</v>
      </c>
    </row>
    <row r="233" spans="1:27" s="138" customFormat="1" ht="13.5" customHeight="1">
      <c r="A233" s="193" t="s">
        <v>75</v>
      </c>
      <c r="B233" s="194" t="s">
        <v>47</v>
      </c>
      <c r="C233" s="195" t="s">
        <v>48</v>
      </c>
      <c r="D233" s="67"/>
      <c r="E233" s="139"/>
      <c r="F233" s="139"/>
      <c r="G233" s="68"/>
      <c r="H233" s="69"/>
      <c r="I233" s="69"/>
      <c r="J233" s="69"/>
      <c r="K233" s="69"/>
      <c r="L233" s="69"/>
      <c r="M233" s="69"/>
      <c r="N233" s="69"/>
      <c r="O233" s="69"/>
      <c r="P233" s="69"/>
      <c r="Q233" s="140">
        <f t="shared" si="42"/>
        <v>0</v>
      </c>
      <c r="R233" s="141">
        <f t="shared" si="43"/>
        <v>0</v>
      </c>
      <c r="S233" s="139">
        <v>0</v>
      </c>
      <c r="T233" s="139">
        <v>0</v>
      </c>
      <c r="U233" s="142">
        <v>0</v>
      </c>
      <c r="V233" s="142">
        <v>0</v>
      </c>
      <c r="W233" s="142"/>
      <c r="X233" s="139"/>
      <c r="Y233" s="136">
        <f>SUM(S233:X233)</f>
        <v>0</v>
      </c>
      <c r="Z233" s="136">
        <f>+Q233+Y233</f>
        <v>0</v>
      </c>
      <c r="AA233" s="137">
        <f>+D233-Z233</f>
        <v>0</v>
      </c>
    </row>
    <row r="234" spans="1:27" s="138" customFormat="1" ht="13.5" customHeight="1">
      <c r="A234" s="193" t="s">
        <v>75</v>
      </c>
      <c r="B234" s="194" t="s">
        <v>55</v>
      </c>
      <c r="C234" s="195" t="s">
        <v>56</v>
      </c>
      <c r="D234" s="67"/>
      <c r="E234" s="139"/>
      <c r="F234" s="139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140">
        <f t="shared" si="42"/>
        <v>0</v>
      </c>
      <c r="R234" s="141">
        <f t="shared" si="43"/>
        <v>0</v>
      </c>
      <c r="S234" s="139">
        <v>0</v>
      </c>
      <c r="T234" s="139">
        <v>0</v>
      </c>
      <c r="U234" s="142">
        <v>0</v>
      </c>
      <c r="V234" s="142">
        <v>0</v>
      </c>
      <c r="W234" s="142"/>
      <c r="X234" s="139"/>
      <c r="Y234" s="136">
        <f>SUM(S234:X234)</f>
        <v>0</v>
      </c>
      <c r="Z234" s="136">
        <f>+Q234+Y234</f>
        <v>0</v>
      </c>
      <c r="AA234" s="137">
        <f>+D234-Z234</f>
        <v>0</v>
      </c>
    </row>
    <row r="235" spans="1:27" s="138" customFormat="1" ht="13.5" customHeight="1">
      <c r="A235" s="193" t="s">
        <v>75</v>
      </c>
      <c r="B235" s="196" t="s">
        <v>59</v>
      </c>
      <c r="C235" s="197" t="s">
        <v>60</v>
      </c>
      <c r="D235" s="70"/>
      <c r="E235" s="143"/>
      <c r="F235" s="143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144">
        <f t="shared" si="42"/>
        <v>0</v>
      </c>
      <c r="R235" s="145">
        <f t="shared" si="43"/>
        <v>0</v>
      </c>
      <c r="S235" s="143">
        <v>0</v>
      </c>
      <c r="T235" s="143">
        <v>0</v>
      </c>
      <c r="U235" s="146">
        <v>0</v>
      </c>
      <c r="V235" s="146">
        <v>0</v>
      </c>
      <c r="W235" s="146"/>
      <c r="X235" s="143"/>
      <c r="Y235" s="136">
        <f>SUM(S235:X235)</f>
        <v>0</v>
      </c>
      <c r="Z235" s="136">
        <f>+Q235+Y235</f>
        <v>0</v>
      </c>
      <c r="AA235" s="137">
        <f>+D235-Z235</f>
        <v>0</v>
      </c>
    </row>
    <row r="236" spans="1:27" s="108" customFormat="1" ht="13.5" customHeight="1">
      <c r="A236" s="192" t="s">
        <v>76</v>
      </c>
      <c r="B236" s="198"/>
      <c r="C236" s="199"/>
      <c r="D236" s="129">
        <f t="shared" ref="D236:P236" si="50">SUBTOTAL(9,D237:D252)</f>
        <v>0</v>
      </c>
      <c r="E236" s="130">
        <f t="shared" si="50"/>
        <v>0</v>
      </c>
      <c r="F236" s="130">
        <f t="shared" si="50"/>
        <v>0</v>
      </c>
      <c r="G236" s="130">
        <f t="shared" si="50"/>
        <v>0</v>
      </c>
      <c r="H236" s="130">
        <f t="shared" ref="H236:N236" si="51">SUBTOTAL(9,H237:H252)</f>
        <v>0</v>
      </c>
      <c r="I236" s="130">
        <f t="shared" si="51"/>
        <v>0</v>
      </c>
      <c r="J236" s="130">
        <f t="shared" si="51"/>
        <v>0</v>
      </c>
      <c r="K236" s="130">
        <f t="shared" si="51"/>
        <v>0</v>
      </c>
      <c r="L236" s="130">
        <f t="shared" si="51"/>
        <v>0</v>
      </c>
      <c r="M236" s="130">
        <f t="shared" si="51"/>
        <v>0</v>
      </c>
      <c r="N236" s="130">
        <f t="shared" si="51"/>
        <v>0</v>
      </c>
      <c r="O236" s="130">
        <f t="shared" si="50"/>
        <v>0</v>
      </c>
      <c r="P236" s="130">
        <f t="shared" si="50"/>
        <v>0</v>
      </c>
      <c r="Q236" s="107">
        <f t="shared" si="42"/>
        <v>0</v>
      </c>
      <c r="R236" s="107">
        <f t="shared" si="43"/>
        <v>0</v>
      </c>
      <c r="S236" s="130">
        <f t="shared" ref="S236:X236" si="52">SUBTOTAL(9,S237:S252)</f>
        <v>0</v>
      </c>
      <c r="T236" s="130">
        <f t="shared" si="52"/>
        <v>0</v>
      </c>
      <c r="U236" s="130">
        <f t="shared" si="52"/>
        <v>0</v>
      </c>
      <c r="V236" s="130">
        <f t="shared" si="52"/>
        <v>0</v>
      </c>
      <c r="W236" s="130">
        <f t="shared" si="52"/>
        <v>0</v>
      </c>
      <c r="X236" s="130">
        <f t="shared" si="52"/>
        <v>0</v>
      </c>
      <c r="Y236" s="125">
        <f>SUM(S236:X236)</f>
        <v>0</v>
      </c>
      <c r="Z236" s="56">
        <f>+Q236+Y236</f>
        <v>0</v>
      </c>
      <c r="AA236" s="131">
        <f>+D236-Z236</f>
        <v>0</v>
      </c>
    </row>
    <row r="237" spans="1:27" s="138" customFormat="1" ht="13.5" customHeight="1">
      <c r="A237" s="200" t="s">
        <v>76</v>
      </c>
      <c r="B237" s="201" t="s">
        <v>29</v>
      </c>
      <c r="C237" s="202" t="s">
        <v>30</v>
      </c>
      <c r="D237" s="65"/>
      <c r="E237" s="132"/>
      <c r="F237" s="132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133">
        <f t="shared" si="42"/>
        <v>0</v>
      </c>
      <c r="R237" s="134">
        <f t="shared" si="43"/>
        <v>0</v>
      </c>
      <c r="S237" s="132"/>
      <c r="T237" s="132"/>
      <c r="U237" s="135">
        <v>0</v>
      </c>
      <c r="V237" s="135">
        <v>0</v>
      </c>
      <c r="W237" s="135"/>
      <c r="X237" s="132"/>
      <c r="Y237" s="136">
        <f>SUM(S237:X237)</f>
        <v>0</v>
      </c>
      <c r="Z237" s="136">
        <f>+Q237+Y237</f>
        <v>0</v>
      </c>
      <c r="AA237" s="137">
        <f>+D237-Z237</f>
        <v>0</v>
      </c>
    </row>
    <row r="238" spans="1:27" s="138" customFormat="1" ht="13.5" customHeight="1">
      <c r="A238" s="200" t="s">
        <v>76</v>
      </c>
      <c r="B238" s="203" t="s">
        <v>31</v>
      </c>
      <c r="C238" s="195" t="s">
        <v>32</v>
      </c>
      <c r="D238" s="67"/>
      <c r="E238" s="139"/>
      <c r="F238" s="139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Q238" s="140">
        <f t="shared" si="42"/>
        <v>0</v>
      </c>
      <c r="R238" s="141">
        <f t="shared" si="43"/>
        <v>0</v>
      </c>
      <c r="S238" s="139"/>
      <c r="T238" s="139"/>
      <c r="U238" s="142">
        <v>0</v>
      </c>
      <c r="V238" s="142">
        <v>0</v>
      </c>
      <c r="W238" s="142"/>
      <c r="X238" s="139"/>
      <c r="Y238" s="136">
        <f>SUM(S238:X238)</f>
        <v>0</v>
      </c>
      <c r="Z238" s="136">
        <f>+Q238+Y238</f>
        <v>0</v>
      </c>
      <c r="AA238" s="137">
        <f>+D238-Z238</f>
        <v>0</v>
      </c>
    </row>
    <row r="239" spans="1:27" s="138" customFormat="1" ht="13.5" customHeight="1">
      <c r="A239" s="200" t="s">
        <v>76</v>
      </c>
      <c r="B239" s="203" t="s">
        <v>33</v>
      </c>
      <c r="C239" s="195" t="s">
        <v>34</v>
      </c>
      <c r="D239" s="67"/>
      <c r="E239" s="139"/>
      <c r="F239" s="139"/>
      <c r="G239" s="68"/>
      <c r="H239" s="68"/>
      <c r="I239" s="68"/>
      <c r="J239" s="68"/>
      <c r="K239" s="68"/>
      <c r="L239" s="68"/>
      <c r="M239" s="68"/>
      <c r="N239" s="68"/>
      <c r="O239" s="68"/>
      <c r="P239" s="68"/>
      <c r="Q239" s="140">
        <f t="shared" si="42"/>
        <v>0</v>
      </c>
      <c r="R239" s="141">
        <f t="shared" si="43"/>
        <v>0</v>
      </c>
      <c r="S239" s="139"/>
      <c r="T239" s="139"/>
      <c r="U239" s="142">
        <v>0</v>
      </c>
      <c r="V239" s="142">
        <v>0</v>
      </c>
      <c r="W239" s="142"/>
      <c r="X239" s="139"/>
      <c r="Y239" s="136">
        <f>SUM(S239:X239)</f>
        <v>0</v>
      </c>
      <c r="Z239" s="136">
        <f>+Q239+Y239</f>
        <v>0</v>
      </c>
      <c r="AA239" s="137">
        <f>+D239-Z239</f>
        <v>0</v>
      </c>
    </row>
    <row r="240" spans="1:27" s="138" customFormat="1" ht="13.5" customHeight="1">
      <c r="A240" s="200" t="s">
        <v>76</v>
      </c>
      <c r="B240" s="203" t="s">
        <v>35</v>
      </c>
      <c r="C240" s="195" t="s">
        <v>36</v>
      </c>
      <c r="D240" s="67"/>
      <c r="E240" s="139"/>
      <c r="F240" s="139"/>
      <c r="G240" s="68"/>
      <c r="H240" s="68"/>
      <c r="I240" s="68"/>
      <c r="J240" s="68"/>
      <c r="K240" s="68"/>
      <c r="L240" s="68"/>
      <c r="M240" s="68"/>
      <c r="N240" s="68"/>
      <c r="O240" s="68"/>
      <c r="P240" s="68"/>
      <c r="Q240" s="140">
        <f t="shared" si="42"/>
        <v>0</v>
      </c>
      <c r="R240" s="141">
        <f t="shared" si="43"/>
        <v>0</v>
      </c>
      <c r="S240" s="139"/>
      <c r="T240" s="139"/>
      <c r="U240" s="142">
        <v>0</v>
      </c>
      <c r="V240" s="142">
        <v>0</v>
      </c>
      <c r="W240" s="142"/>
      <c r="X240" s="139"/>
      <c r="Y240" s="136">
        <f>SUM(S240:X240)</f>
        <v>0</v>
      </c>
      <c r="Z240" s="136">
        <f>+Q240+Y240</f>
        <v>0</v>
      </c>
      <c r="AA240" s="137">
        <f>+D240-Z240</f>
        <v>0</v>
      </c>
    </row>
    <row r="241" spans="1:27" s="138" customFormat="1" ht="13.5" customHeight="1">
      <c r="A241" s="200" t="s">
        <v>76</v>
      </c>
      <c r="B241" s="203" t="s">
        <v>37</v>
      </c>
      <c r="C241" s="195" t="s">
        <v>38</v>
      </c>
      <c r="D241" s="67"/>
      <c r="E241" s="139"/>
      <c r="F241" s="139"/>
      <c r="G241" s="68"/>
      <c r="H241" s="68"/>
      <c r="I241" s="68"/>
      <c r="J241" s="68"/>
      <c r="K241" s="68"/>
      <c r="L241" s="68"/>
      <c r="M241" s="68"/>
      <c r="N241" s="68"/>
      <c r="O241" s="68"/>
      <c r="P241" s="68"/>
      <c r="Q241" s="140">
        <f t="shared" si="42"/>
        <v>0</v>
      </c>
      <c r="R241" s="141">
        <f t="shared" si="43"/>
        <v>0</v>
      </c>
      <c r="S241" s="139"/>
      <c r="T241" s="139"/>
      <c r="U241" s="142">
        <v>0</v>
      </c>
      <c r="V241" s="142">
        <v>0</v>
      </c>
      <c r="W241" s="142"/>
      <c r="X241" s="139"/>
      <c r="Y241" s="136">
        <f>SUM(S241:X241)</f>
        <v>0</v>
      </c>
      <c r="Z241" s="136">
        <f>+Q241+Y241</f>
        <v>0</v>
      </c>
      <c r="AA241" s="137">
        <f>+D241-Z241</f>
        <v>0</v>
      </c>
    </row>
    <row r="242" spans="1:27" s="138" customFormat="1" ht="13.5" customHeight="1">
      <c r="A242" s="200" t="s">
        <v>76</v>
      </c>
      <c r="B242" s="203" t="s">
        <v>39</v>
      </c>
      <c r="C242" s="195" t="s">
        <v>40</v>
      </c>
      <c r="D242" s="67"/>
      <c r="E242" s="139"/>
      <c r="F242" s="139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140">
        <f t="shared" si="42"/>
        <v>0</v>
      </c>
      <c r="R242" s="141">
        <f t="shared" si="43"/>
        <v>0</v>
      </c>
      <c r="S242" s="139"/>
      <c r="T242" s="139"/>
      <c r="U242" s="142">
        <v>0</v>
      </c>
      <c r="V242" s="142">
        <v>0</v>
      </c>
      <c r="W242" s="142"/>
      <c r="X242" s="139"/>
      <c r="Y242" s="136">
        <f>SUM(S242:X242)</f>
        <v>0</v>
      </c>
      <c r="Z242" s="136">
        <f>+Q242+Y242</f>
        <v>0</v>
      </c>
      <c r="AA242" s="137">
        <f>+D242-Z242</f>
        <v>0</v>
      </c>
    </row>
    <row r="243" spans="1:27" s="138" customFormat="1" ht="13.5" customHeight="1">
      <c r="A243" s="200" t="s">
        <v>76</v>
      </c>
      <c r="B243" s="203" t="s">
        <v>41</v>
      </c>
      <c r="C243" s="195" t="s">
        <v>42</v>
      </c>
      <c r="D243" s="67"/>
      <c r="E243" s="139"/>
      <c r="F243" s="139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140">
        <f t="shared" si="42"/>
        <v>0</v>
      </c>
      <c r="R243" s="141">
        <f t="shared" si="43"/>
        <v>0</v>
      </c>
      <c r="S243" s="139"/>
      <c r="T243" s="139"/>
      <c r="U243" s="142">
        <v>0</v>
      </c>
      <c r="V243" s="142">
        <v>0</v>
      </c>
      <c r="W243" s="142"/>
      <c r="X243" s="139"/>
      <c r="Y243" s="136">
        <f>SUM(S243:X243)</f>
        <v>0</v>
      </c>
      <c r="Z243" s="136">
        <f>+Q243+Y243</f>
        <v>0</v>
      </c>
      <c r="AA243" s="137">
        <f>+D243-Z243</f>
        <v>0</v>
      </c>
    </row>
    <row r="244" spans="1:27" s="138" customFormat="1" ht="13.5" customHeight="1">
      <c r="A244" s="200" t="s">
        <v>76</v>
      </c>
      <c r="B244" s="203" t="s">
        <v>43</v>
      </c>
      <c r="C244" s="195" t="s">
        <v>44</v>
      </c>
      <c r="D244" s="67"/>
      <c r="E244" s="139"/>
      <c r="F244" s="13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140">
        <f t="shared" si="42"/>
        <v>0</v>
      </c>
      <c r="R244" s="141">
        <f t="shared" si="43"/>
        <v>0</v>
      </c>
      <c r="S244" s="139"/>
      <c r="T244" s="139"/>
      <c r="U244" s="142">
        <v>0</v>
      </c>
      <c r="V244" s="142">
        <v>0</v>
      </c>
      <c r="W244" s="142"/>
      <c r="X244" s="139"/>
      <c r="Y244" s="136">
        <f>SUM(S244:X244)</f>
        <v>0</v>
      </c>
      <c r="Z244" s="136">
        <f>+Q244+Y244</f>
        <v>0</v>
      </c>
      <c r="AA244" s="137">
        <f>+D244-Z244</f>
        <v>0</v>
      </c>
    </row>
    <row r="245" spans="1:27" s="138" customFormat="1" ht="13.5" customHeight="1">
      <c r="A245" s="200" t="s">
        <v>76</v>
      </c>
      <c r="B245" s="203" t="s">
        <v>45</v>
      </c>
      <c r="C245" s="195" t="s">
        <v>46</v>
      </c>
      <c r="D245" s="67"/>
      <c r="E245" s="139"/>
      <c r="F245" s="13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140">
        <f t="shared" si="42"/>
        <v>0</v>
      </c>
      <c r="R245" s="141">
        <f t="shared" si="43"/>
        <v>0</v>
      </c>
      <c r="S245" s="139"/>
      <c r="T245" s="139"/>
      <c r="U245" s="142">
        <v>0</v>
      </c>
      <c r="V245" s="142">
        <v>0</v>
      </c>
      <c r="W245" s="142"/>
      <c r="X245" s="139"/>
      <c r="Y245" s="136">
        <f>SUM(S245:X245)</f>
        <v>0</v>
      </c>
      <c r="Z245" s="136">
        <f>+Q245+Y245</f>
        <v>0</v>
      </c>
      <c r="AA245" s="137">
        <f>+D245-Z245</f>
        <v>0</v>
      </c>
    </row>
    <row r="246" spans="1:27" s="138" customFormat="1" ht="13.5" customHeight="1">
      <c r="A246" s="200" t="s">
        <v>76</v>
      </c>
      <c r="B246" s="203" t="s">
        <v>47</v>
      </c>
      <c r="C246" s="195" t="s">
        <v>48</v>
      </c>
      <c r="D246" s="67"/>
      <c r="E246" s="139"/>
      <c r="F246" s="139"/>
      <c r="G246" s="68"/>
      <c r="H246" s="69"/>
      <c r="I246" s="69"/>
      <c r="J246" s="69"/>
      <c r="K246" s="69"/>
      <c r="L246" s="69"/>
      <c r="M246" s="69"/>
      <c r="N246" s="69"/>
      <c r="O246" s="69"/>
      <c r="P246" s="69"/>
      <c r="Q246" s="140">
        <f t="shared" si="42"/>
        <v>0</v>
      </c>
      <c r="R246" s="141">
        <f t="shared" si="43"/>
        <v>0</v>
      </c>
      <c r="S246" s="139"/>
      <c r="T246" s="139"/>
      <c r="U246" s="142">
        <v>0</v>
      </c>
      <c r="V246" s="142">
        <v>0</v>
      </c>
      <c r="W246" s="142"/>
      <c r="X246" s="139"/>
      <c r="Y246" s="136">
        <f>SUM(S246:X246)</f>
        <v>0</v>
      </c>
      <c r="Z246" s="136">
        <f>+Q246+Y246</f>
        <v>0</v>
      </c>
      <c r="AA246" s="137">
        <f>+D246-Z246</f>
        <v>0</v>
      </c>
    </row>
    <row r="247" spans="1:27" s="138" customFormat="1" ht="13.5" customHeight="1">
      <c r="A247" s="200" t="s">
        <v>76</v>
      </c>
      <c r="B247" s="203" t="s">
        <v>49</v>
      </c>
      <c r="C247" s="195" t="s">
        <v>50</v>
      </c>
      <c r="D247" s="67"/>
      <c r="E247" s="139"/>
      <c r="F247" s="13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140">
        <f t="shared" si="42"/>
        <v>0</v>
      </c>
      <c r="R247" s="141">
        <f t="shared" si="43"/>
        <v>0</v>
      </c>
      <c r="S247" s="139"/>
      <c r="T247" s="139"/>
      <c r="U247" s="142">
        <v>0</v>
      </c>
      <c r="V247" s="142">
        <v>0</v>
      </c>
      <c r="W247" s="142"/>
      <c r="X247" s="139"/>
      <c r="Y247" s="136">
        <f>SUM(S247:X247)</f>
        <v>0</v>
      </c>
      <c r="Z247" s="136">
        <f>+Q247+Y247</f>
        <v>0</v>
      </c>
      <c r="AA247" s="137">
        <f>+D247-Z247</f>
        <v>0</v>
      </c>
    </row>
    <row r="248" spans="1:27" s="138" customFormat="1" ht="13.5" customHeight="1">
      <c r="A248" s="200" t="s">
        <v>76</v>
      </c>
      <c r="B248" s="203" t="s">
        <v>51</v>
      </c>
      <c r="C248" s="195" t="s">
        <v>52</v>
      </c>
      <c r="D248" s="67"/>
      <c r="E248" s="139"/>
      <c r="F248" s="13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140">
        <f t="shared" si="42"/>
        <v>0</v>
      </c>
      <c r="R248" s="141">
        <f t="shared" si="43"/>
        <v>0</v>
      </c>
      <c r="S248" s="139"/>
      <c r="T248" s="139"/>
      <c r="U248" s="142">
        <v>0</v>
      </c>
      <c r="V248" s="142">
        <v>0</v>
      </c>
      <c r="W248" s="142"/>
      <c r="X248" s="139"/>
      <c r="Y248" s="136">
        <f>SUM(S248:X248)</f>
        <v>0</v>
      </c>
      <c r="Z248" s="136">
        <f>+Q248+Y248</f>
        <v>0</v>
      </c>
      <c r="AA248" s="137">
        <f>+D248-Z248</f>
        <v>0</v>
      </c>
    </row>
    <row r="249" spans="1:27" s="138" customFormat="1" ht="13.5" customHeight="1">
      <c r="A249" s="200" t="s">
        <v>76</v>
      </c>
      <c r="B249" s="203" t="s">
        <v>53</v>
      </c>
      <c r="C249" s="195" t="s">
        <v>54</v>
      </c>
      <c r="D249" s="67"/>
      <c r="E249" s="139"/>
      <c r="F249" s="13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140">
        <f t="shared" si="42"/>
        <v>0</v>
      </c>
      <c r="R249" s="141">
        <f t="shared" si="43"/>
        <v>0</v>
      </c>
      <c r="S249" s="139"/>
      <c r="T249" s="139"/>
      <c r="U249" s="142">
        <v>0</v>
      </c>
      <c r="V249" s="142">
        <v>0</v>
      </c>
      <c r="W249" s="142"/>
      <c r="X249" s="139"/>
      <c r="Y249" s="136">
        <f>SUM(S249:X249)</f>
        <v>0</v>
      </c>
      <c r="Z249" s="136">
        <f>+Q249+Y249</f>
        <v>0</v>
      </c>
      <c r="AA249" s="137">
        <f>+D249-Z249</f>
        <v>0</v>
      </c>
    </row>
    <row r="250" spans="1:27" s="138" customFormat="1" ht="13.5" customHeight="1">
      <c r="A250" s="200" t="s">
        <v>76</v>
      </c>
      <c r="B250" s="203" t="s">
        <v>55</v>
      </c>
      <c r="C250" s="195" t="s">
        <v>56</v>
      </c>
      <c r="D250" s="67"/>
      <c r="E250" s="139"/>
      <c r="F250" s="139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140">
        <f t="shared" si="42"/>
        <v>0</v>
      </c>
      <c r="R250" s="141">
        <f t="shared" si="43"/>
        <v>0</v>
      </c>
      <c r="S250" s="139"/>
      <c r="T250" s="139"/>
      <c r="U250" s="142">
        <v>0</v>
      </c>
      <c r="V250" s="142">
        <v>0</v>
      </c>
      <c r="W250" s="142"/>
      <c r="X250" s="139"/>
      <c r="Y250" s="136">
        <f>SUM(S250:X250)</f>
        <v>0</v>
      </c>
      <c r="Z250" s="136">
        <f>+Q250+Y250</f>
        <v>0</v>
      </c>
      <c r="AA250" s="137">
        <f>+D250-Z250</f>
        <v>0</v>
      </c>
    </row>
    <row r="251" spans="1:27" s="138" customFormat="1" ht="13.5" customHeight="1">
      <c r="A251" s="200" t="s">
        <v>76</v>
      </c>
      <c r="B251" s="203" t="s">
        <v>57</v>
      </c>
      <c r="C251" s="195" t="s">
        <v>58</v>
      </c>
      <c r="D251" s="67"/>
      <c r="E251" s="139"/>
      <c r="F251" s="139"/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140">
        <f t="shared" si="42"/>
        <v>0</v>
      </c>
      <c r="R251" s="141">
        <f t="shared" si="43"/>
        <v>0</v>
      </c>
      <c r="S251" s="139"/>
      <c r="T251" s="139"/>
      <c r="U251" s="142">
        <v>0</v>
      </c>
      <c r="V251" s="142">
        <v>0</v>
      </c>
      <c r="W251" s="142"/>
      <c r="X251" s="139"/>
      <c r="Y251" s="136">
        <f>SUM(S251:X251)</f>
        <v>0</v>
      </c>
      <c r="Z251" s="136">
        <f>+Q251+Y251</f>
        <v>0</v>
      </c>
      <c r="AA251" s="137">
        <f>+D251-Z251</f>
        <v>0</v>
      </c>
    </row>
    <row r="252" spans="1:27" s="138" customFormat="1" ht="13.5" customHeight="1">
      <c r="A252" s="200" t="s">
        <v>76</v>
      </c>
      <c r="B252" s="204" t="s">
        <v>59</v>
      </c>
      <c r="C252" s="197" t="s">
        <v>60</v>
      </c>
      <c r="D252" s="70"/>
      <c r="E252" s="143"/>
      <c r="F252" s="143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144">
        <f t="shared" si="42"/>
        <v>0</v>
      </c>
      <c r="R252" s="145">
        <f t="shared" si="43"/>
        <v>0</v>
      </c>
      <c r="S252" s="143"/>
      <c r="T252" s="143"/>
      <c r="U252" s="146">
        <v>0</v>
      </c>
      <c r="V252" s="146">
        <v>0</v>
      </c>
      <c r="W252" s="146"/>
      <c r="X252" s="143"/>
      <c r="Y252" s="136">
        <f>SUM(S252:X252)</f>
        <v>0</v>
      </c>
      <c r="Z252" s="136">
        <f>+Q252+Y252</f>
        <v>0</v>
      </c>
      <c r="AA252" s="137">
        <f>+D252-Z252</f>
        <v>0</v>
      </c>
    </row>
    <row r="253" spans="1:27" s="138" customFormat="1" ht="13.5" customHeight="1">
      <c r="A253" s="157" t="s">
        <v>77</v>
      </c>
      <c r="B253" s="205"/>
      <c r="C253" s="174"/>
      <c r="D253" s="129">
        <f t="shared" ref="D253:P253" si="53">SUBTOTAL(9,D254:D269)</f>
        <v>0</v>
      </c>
      <c r="E253" s="130">
        <f t="shared" si="53"/>
        <v>0</v>
      </c>
      <c r="F253" s="130">
        <f t="shared" si="53"/>
        <v>0</v>
      </c>
      <c r="G253" s="130">
        <f t="shared" si="53"/>
        <v>0</v>
      </c>
      <c r="H253" s="130">
        <f t="shared" ref="H253:N253" si="54">SUBTOTAL(9,H254:H269)</f>
        <v>0</v>
      </c>
      <c r="I253" s="130">
        <f t="shared" si="54"/>
        <v>0</v>
      </c>
      <c r="J253" s="130">
        <f t="shared" si="54"/>
        <v>0</v>
      </c>
      <c r="K253" s="130">
        <f t="shared" si="54"/>
        <v>0</v>
      </c>
      <c r="L253" s="130">
        <f t="shared" si="54"/>
        <v>0</v>
      </c>
      <c r="M253" s="130">
        <f t="shared" si="54"/>
        <v>0</v>
      </c>
      <c r="N253" s="130">
        <f t="shared" si="54"/>
        <v>0</v>
      </c>
      <c r="O253" s="130">
        <f t="shared" si="53"/>
        <v>0</v>
      </c>
      <c r="P253" s="130">
        <f t="shared" si="53"/>
        <v>0</v>
      </c>
      <c r="Q253" s="107">
        <f t="shared" si="42"/>
        <v>0</v>
      </c>
      <c r="R253" s="107">
        <f t="shared" si="43"/>
        <v>0</v>
      </c>
      <c r="S253" s="130">
        <f t="shared" ref="S253:X253" si="55">SUBTOTAL(9,S254:S269)</f>
        <v>0</v>
      </c>
      <c r="T253" s="130">
        <f t="shared" si="55"/>
        <v>0</v>
      </c>
      <c r="U253" s="130">
        <f t="shared" si="55"/>
        <v>0</v>
      </c>
      <c r="V253" s="130">
        <f t="shared" si="55"/>
        <v>0</v>
      </c>
      <c r="W253" s="130">
        <f t="shared" si="55"/>
        <v>0</v>
      </c>
      <c r="X253" s="130">
        <f t="shared" si="55"/>
        <v>0</v>
      </c>
      <c r="Y253" s="125">
        <f>SUM(S253:X253)</f>
        <v>0</v>
      </c>
      <c r="Z253" s="56">
        <f>+Q253+Y253</f>
        <v>0</v>
      </c>
      <c r="AA253" s="131">
        <f>+D253-Z253</f>
        <v>0</v>
      </c>
    </row>
    <row r="254" spans="1:27" s="138" customFormat="1" ht="13.5" customHeight="1">
      <c r="A254" s="193" t="s">
        <v>77</v>
      </c>
      <c r="B254" s="206" t="s">
        <v>29</v>
      </c>
      <c r="C254" s="202" t="s">
        <v>30</v>
      </c>
      <c r="D254" s="65"/>
      <c r="E254" s="132"/>
      <c r="F254" s="132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133">
        <f t="shared" si="42"/>
        <v>0</v>
      </c>
      <c r="R254" s="134">
        <f t="shared" si="43"/>
        <v>0</v>
      </c>
      <c r="S254" s="132"/>
      <c r="T254" s="132"/>
      <c r="U254" s="135">
        <v>0</v>
      </c>
      <c r="V254" s="135">
        <v>0</v>
      </c>
      <c r="W254" s="135"/>
      <c r="X254" s="132"/>
      <c r="Y254" s="136">
        <f>SUM(S254:X254)</f>
        <v>0</v>
      </c>
      <c r="Z254" s="136">
        <f>+Q254+Y254</f>
        <v>0</v>
      </c>
      <c r="AA254" s="137">
        <f>+D254-Z254</f>
        <v>0</v>
      </c>
    </row>
    <row r="255" spans="1:27" s="138" customFormat="1" ht="13.5" customHeight="1">
      <c r="A255" s="193" t="s">
        <v>77</v>
      </c>
      <c r="B255" s="194" t="s">
        <v>31</v>
      </c>
      <c r="C255" s="195" t="s">
        <v>32</v>
      </c>
      <c r="D255" s="67"/>
      <c r="E255" s="139"/>
      <c r="F255" s="139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140">
        <f t="shared" si="42"/>
        <v>0</v>
      </c>
      <c r="R255" s="141">
        <f t="shared" si="43"/>
        <v>0</v>
      </c>
      <c r="S255" s="139"/>
      <c r="T255" s="139"/>
      <c r="U255" s="142">
        <v>0</v>
      </c>
      <c r="V255" s="142">
        <v>0</v>
      </c>
      <c r="W255" s="142"/>
      <c r="X255" s="139"/>
      <c r="Y255" s="136">
        <f>SUM(S255:X255)</f>
        <v>0</v>
      </c>
      <c r="Z255" s="136">
        <f>+Q255+Y255</f>
        <v>0</v>
      </c>
      <c r="AA255" s="137">
        <f>+D255-Z255</f>
        <v>0</v>
      </c>
    </row>
    <row r="256" spans="1:27" s="138" customFormat="1" ht="13.5" customHeight="1">
      <c r="A256" s="193" t="s">
        <v>77</v>
      </c>
      <c r="B256" s="194" t="s">
        <v>33</v>
      </c>
      <c r="C256" s="195" t="s">
        <v>34</v>
      </c>
      <c r="D256" s="67"/>
      <c r="E256" s="139"/>
      <c r="F256" s="139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140">
        <f t="shared" si="42"/>
        <v>0</v>
      </c>
      <c r="R256" s="141">
        <f t="shared" si="43"/>
        <v>0</v>
      </c>
      <c r="S256" s="139"/>
      <c r="T256" s="139"/>
      <c r="U256" s="142">
        <v>0</v>
      </c>
      <c r="V256" s="142">
        <v>0</v>
      </c>
      <c r="W256" s="142"/>
      <c r="X256" s="139"/>
      <c r="Y256" s="136">
        <f>SUM(S256:X256)</f>
        <v>0</v>
      </c>
      <c r="Z256" s="136">
        <f>+Q256+Y256</f>
        <v>0</v>
      </c>
      <c r="AA256" s="137">
        <f>+D256-Z256</f>
        <v>0</v>
      </c>
    </row>
    <row r="257" spans="1:27" s="138" customFormat="1" ht="13.5" customHeight="1">
      <c r="A257" s="193" t="s">
        <v>77</v>
      </c>
      <c r="B257" s="194" t="s">
        <v>35</v>
      </c>
      <c r="C257" s="195" t="s">
        <v>36</v>
      </c>
      <c r="D257" s="67"/>
      <c r="E257" s="139"/>
      <c r="F257" s="139"/>
      <c r="G257" s="68"/>
      <c r="H257" s="68"/>
      <c r="I257" s="68"/>
      <c r="J257" s="68"/>
      <c r="K257" s="68"/>
      <c r="L257" s="68"/>
      <c r="M257" s="68"/>
      <c r="N257" s="68"/>
      <c r="O257" s="68"/>
      <c r="P257" s="68"/>
      <c r="Q257" s="140">
        <f t="shared" si="42"/>
        <v>0</v>
      </c>
      <c r="R257" s="141">
        <f t="shared" si="43"/>
        <v>0</v>
      </c>
      <c r="S257" s="139"/>
      <c r="T257" s="139"/>
      <c r="U257" s="142">
        <v>0</v>
      </c>
      <c r="V257" s="142">
        <v>0</v>
      </c>
      <c r="W257" s="142"/>
      <c r="X257" s="139"/>
      <c r="Y257" s="136">
        <f>SUM(S257:X257)</f>
        <v>0</v>
      </c>
      <c r="Z257" s="136">
        <f>+Q257+Y257</f>
        <v>0</v>
      </c>
      <c r="AA257" s="137">
        <f>+D257-Z257</f>
        <v>0</v>
      </c>
    </row>
    <row r="258" spans="1:27" s="138" customFormat="1" ht="13.5" customHeight="1">
      <c r="A258" s="193" t="s">
        <v>77</v>
      </c>
      <c r="B258" s="194" t="s">
        <v>37</v>
      </c>
      <c r="C258" s="195" t="s">
        <v>38</v>
      </c>
      <c r="D258" s="67"/>
      <c r="E258" s="139"/>
      <c r="F258" s="139"/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Q258" s="140">
        <f t="shared" si="42"/>
        <v>0</v>
      </c>
      <c r="R258" s="141">
        <f t="shared" si="43"/>
        <v>0</v>
      </c>
      <c r="S258" s="139"/>
      <c r="T258" s="139"/>
      <c r="U258" s="142">
        <v>0</v>
      </c>
      <c r="V258" s="142">
        <v>0</v>
      </c>
      <c r="W258" s="142"/>
      <c r="X258" s="139"/>
      <c r="Y258" s="136">
        <f>SUM(S258:X258)</f>
        <v>0</v>
      </c>
      <c r="Z258" s="136">
        <f>+Q258+Y258</f>
        <v>0</v>
      </c>
      <c r="AA258" s="137">
        <f>+D258-Z258</f>
        <v>0</v>
      </c>
    </row>
    <row r="259" spans="1:27" s="138" customFormat="1" ht="13.5" customHeight="1">
      <c r="A259" s="193" t="s">
        <v>77</v>
      </c>
      <c r="B259" s="194" t="s">
        <v>39</v>
      </c>
      <c r="C259" s="195" t="s">
        <v>40</v>
      </c>
      <c r="D259" s="67"/>
      <c r="E259" s="139"/>
      <c r="F259" s="139"/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140">
        <f t="shared" si="42"/>
        <v>0</v>
      </c>
      <c r="R259" s="141">
        <f t="shared" si="43"/>
        <v>0</v>
      </c>
      <c r="S259" s="139"/>
      <c r="T259" s="139"/>
      <c r="U259" s="142">
        <v>0</v>
      </c>
      <c r="V259" s="142">
        <v>0</v>
      </c>
      <c r="W259" s="142"/>
      <c r="X259" s="139"/>
      <c r="Y259" s="136">
        <f>SUM(S259:X259)</f>
        <v>0</v>
      </c>
      <c r="Z259" s="136">
        <f>+Q259+Y259</f>
        <v>0</v>
      </c>
      <c r="AA259" s="137">
        <f>+D259-Z259</f>
        <v>0</v>
      </c>
    </row>
    <row r="260" spans="1:27" s="138" customFormat="1" ht="13.5" customHeight="1">
      <c r="A260" s="193" t="s">
        <v>77</v>
      </c>
      <c r="B260" s="194" t="s">
        <v>41</v>
      </c>
      <c r="C260" s="195" t="s">
        <v>42</v>
      </c>
      <c r="D260" s="67"/>
      <c r="E260" s="139"/>
      <c r="F260" s="139"/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140">
        <f t="shared" si="42"/>
        <v>0</v>
      </c>
      <c r="R260" s="141">
        <f t="shared" si="43"/>
        <v>0</v>
      </c>
      <c r="S260" s="139"/>
      <c r="T260" s="139"/>
      <c r="U260" s="142">
        <v>0</v>
      </c>
      <c r="V260" s="142">
        <v>0</v>
      </c>
      <c r="W260" s="142"/>
      <c r="X260" s="139"/>
      <c r="Y260" s="136">
        <f>SUM(S260:X260)</f>
        <v>0</v>
      </c>
      <c r="Z260" s="136">
        <f>+Q260+Y260</f>
        <v>0</v>
      </c>
      <c r="AA260" s="137">
        <f>+D260-Z260</f>
        <v>0</v>
      </c>
    </row>
    <row r="261" spans="1:27" s="138" customFormat="1" ht="13.5" customHeight="1">
      <c r="A261" s="193" t="s">
        <v>77</v>
      </c>
      <c r="B261" s="194" t="s">
        <v>43</v>
      </c>
      <c r="C261" s="195" t="s">
        <v>44</v>
      </c>
      <c r="D261" s="67"/>
      <c r="E261" s="139"/>
      <c r="F261" s="13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140">
        <f t="shared" si="42"/>
        <v>0</v>
      </c>
      <c r="R261" s="141">
        <f t="shared" si="43"/>
        <v>0</v>
      </c>
      <c r="S261" s="139"/>
      <c r="T261" s="139"/>
      <c r="U261" s="142">
        <v>0</v>
      </c>
      <c r="V261" s="142">
        <v>0</v>
      </c>
      <c r="W261" s="142"/>
      <c r="X261" s="139"/>
      <c r="Y261" s="136">
        <f>SUM(S261:X261)</f>
        <v>0</v>
      </c>
      <c r="Z261" s="136">
        <f>+Q261+Y261</f>
        <v>0</v>
      </c>
      <c r="AA261" s="137">
        <f>+D261-Z261</f>
        <v>0</v>
      </c>
    </row>
    <row r="262" spans="1:27" s="138" customFormat="1" ht="13.5" customHeight="1">
      <c r="A262" s="193" t="s">
        <v>77</v>
      </c>
      <c r="B262" s="194" t="s">
        <v>45</v>
      </c>
      <c r="C262" s="195" t="s">
        <v>46</v>
      </c>
      <c r="D262" s="67"/>
      <c r="E262" s="139"/>
      <c r="F262" s="13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140">
        <f t="shared" ref="Q262:Q325" si="56">SUM(G262:P262)</f>
        <v>0</v>
      </c>
      <c r="R262" s="141">
        <f t="shared" ref="R262:R325" si="57">D262-Q262</f>
        <v>0</v>
      </c>
      <c r="S262" s="139"/>
      <c r="T262" s="139"/>
      <c r="U262" s="142">
        <v>0</v>
      </c>
      <c r="V262" s="142">
        <v>0</v>
      </c>
      <c r="W262" s="142"/>
      <c r="X262" s="139"/>
      <c r="Y262" s="136">
        <f>SUM(S262:X262)</f>
        <v>0</v>
      </c>
      <c r="Z262" s="136">
        <f>+Q262+Y262</f>
        <v>0</v>
      </c>
      <c r="AA262" s="137">
        <f>+D262-Z262</f>
        <v>0</v>
      </c>
    </row>
    <row r="263" spans="1:27" s="138" customFormat="1" ht="13.5" customHeight="1">
      <c r="A263" s="193" t="s">
        <v>77</v>
      </c>
      <c r="B263" s="194" t="s">
        <v>47</v>
      </c>
      <c r="C263" s="195" t="s">
        <v>48</v>
      </c>
      <c r="D263" s="67"/>
      <c r="E263" s="139"/>
      <c r="F263" s="139"/>
      <c r="G263" s="68"/>
      <c r="H263" s="69"/>
      <c r="I263" s="69"/>
      <c r="J263" s="69"/>
      <c r="K263" s="69"/>
      <c r="L263" s="69"/>
      <c r="M263" s="69"/>
      <c r="N263" s="69"/>
      <c r="O263" s="69"/>
      <c r="P263" s="69"/>
      <c r="Q263" s="140">
        <f t="shared" si="56"/>
        <v>0</v>
      </c>
      <c r="R263" s="141">
        <f t="shared" si="57"/>
        <v>0</v>
      </c>
      <c r="S263" s="139"/>
      <c r="T263" s="139"/>
      <c r="U263" s="142">
        <v>0</v>
      </c>
      <c r="V263" s="142">
        <v>0</v>
      </c>
      <c r="W263" s="142"/>
      <c r="X263" s="139"/>
      <c r="Y263" s="136">
        <f>SUM(S263:X263)</f>
        <v>0</v>
      </c>
      <c r="Z263" s="136">
        <f>+Q263+Y263</f>
        <v>0</v>
      </c>
      <c r="AA263" s="137">
        <f>+D263-Z263</f>
        <v>0</v>
      </c>
    </row>
    <row r="264" spans="1:27" s="138" customFormat="1" ht="13.5" customHeight="1">
      <c r="A264" s="193" t="s">
        <v>77</v>
      </c>
      <c r="B264" s="194" t="s">
        <v>49</v>
      </c>
      <c r="C264" s="195" t="s">
        <v>50</v>
      </c>
      <c r="D264" s="67"/>
      <c r="E264" s="139"/>
      <c r="F264" s="13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140">
        <f t="shared" si="56"/>
        <v>0</v>
      </c>
      <c r="R264" s="141">
        <f t="shared" si="57"/>
        <v>0</v>
      </c>
      <c r="S264" s="139"/>
      <c r="T264" s="139"/>
      <c r="U264" s="142">
        <v>0</v>
      </c>
      <c r="V264" s="142">
        <v>0</v>
      </c>
      <c r="W264" s="142"/>
      <c r="X264" s="139"/>
      <c r="Y264" s="136">
        <f>SUM(S264:X264)</f>
        <v>0</v>
      </c>
      <c r="Z264" s="136">
        <f>+Q264+Y264</f>
        <v>0</v>
      </c>
      <c r="AA264" s="137">
        <f>+D264-Z264</f>
        <v>0</v>
      </c>
    </row>
    <row r="265" spans="1:27" s="138" customFormat="1" ht="13.5" customHeight="1">
      <c r="A265" s="193" t="s">
        <v>77</v>
      </c>
      <c r="B265" s="203" t="s">
        <v>51</v>
      </c>
      <c r="C265" s="195" t="s">
        <v>52</v>
      </c>
      <c r="D265" s="67"/>
      <c r="E265" s="139"/>
      <c r="F265" s="13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140">
        <f t="shared" si="56"/>
        <v>0</v>
      </c>
      <c r="R265" s="141">
        <f t="shared" si="57"/>
        <v>0</v>
      </c>
      <c r="S265" s="139"/>
      <c r="T265" s="139"/>
      <c r="U265" s="142">
        <v>0</v>
      </c>
      <c r="V265" s="142">
        <v>0</v>
      </c>
      <c r="W265" s="142"/>
      <c r="X265" s="139"/>
      <c r="Y265" s="136">
        <f>SUM(S265:X265)</f>
        <v>0</v>
      </c>
      <c r="Z265" s="136">
        <f>+Q265+Y265</f>
        <v>0</v>
      </c>
      <c r="AA265" s="137">
        <f>+D265-Z265</f>
        <v>0</v>
      </c>
    </row>
    <row r="266" spans="1:27" s="138" customFormat="1" ht="13.5" customHeight="1">
      <c r="A266" s="193" t="s">
        <v>77</v>
      </c>
      <c r="B266" s="194" t="s">
        <v>53</v>
      </c>
      <c r="C266" s="195" t="s">
        <v>54</v>
      </c>
      <c r="D266" s="67"/>
      <c r="E266" s="139"/>
      <c r="F266" s="13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140">
        <f t="shared" si="56"/>
        <v>0</v>
      </c>
      <c r="R266" s="141">
        <f t="shared" si="57"/>
        <v>0</v>
      </c>
      <c r="S266" s="139"/>
      <c r="T266" s="139"/>
      <c r="U266" s="142">
        <v>0</v>
      </c>
      <c r="V266" s="142">
        <v>0</v>
      </c>
      <c r="W266" s="142"/>
      <c r="X266" s="139"/>
      <c r="Y266" s="136">
        <f>SUM(S266:X266)</f>
        <v>0</v>
      </c>
      <c r="Z266" s="136">
        <f>+Q266+Y266</f>
        <v>0</v>
      </c>
      <c r="AA266" s="137">
        <f>+D266-Z266</f>
        <v>0</v>
      </c>
    </row>
    <row r="267" spans="1:27" s="138" customFormat="1" ht="13.5" customHeight="1">
      <c r="A267" s="193" t="s">
        <v>77</v>
      </c>
      <c r="B267" s="194" t="s">
        <v>55</v>
      </c>
      <c r="C267" s="195" t="s">
        <v>56</v>
      </c>
      <c r="D267" s="67"/>
      <c r="E267" s="139"/>
      <c r="F267" s="139"/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140">
        <f t="shared" si="56"/>
        <v>0</v>
      </c>
      <c r="R267" s="141">
        <f t="shared" si="57"/>
        <v>0</v>
      </c>
      <c r="S267" s="139"/>
      <c r="T267" s="139"/>
      <c r="U267" s="142">
        <v>0</v>
      </c>
      <c r="V267" s="142">
        <v>0</v>
      </c>
      <c r="W267" s="142"/>
      <c r="X267" s="139"/>
      <c r="Y267" s="136">
        <f>SUM(S267:X267)</f>
        <v>0</v>
      </c>
      <c r="Z267" s="136">
        <f>+Q267+Y267</f>
        <v>0</v>
      </c>
      <c r="AA267" s="137">
        <f>+D267-Z267</f>
        <v>0</v>
      </c>
    </row>
    <row r="268" spans="1:27" s="138" customFormat="1" ht="13.5" customHeight="1">
      <c r="A268" s="193" t="s">
        <v>77</v>
      </c>
      <c r="B268" s="203" t="s">
        <v>57</v>
      </c>
      <c r="C268" s="195" t="s">
        <v>58</v>
      </c>
      <c r="D268" s="67"/>
      <c r="E268" s="139"/>
      <c r="F268" s="139"/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140">
        <f t="shared" si="56"/>
        <v>0</v>
      </c>
      <c r="R268" s="141">
        <f t="shared" si="57"/>
        <v>0</v>
      </c>
      <c r="S268" s="139"/>
      <c r="T268" s="139"/>
      <c r="U268" s="142">
        <v>0</v>
      </c>
      <c r="V268" s="142">
        <v>0</v>
      </c>
      <c r="W268" s="142"/>
      <c r="X268" s="139"/>
      <c r="Y268" s="136">
        <f>SUM(S268:X268)</f>
        <v>0</v>
      </c>
      <c r="Z268" s="136">
        <f>+Q268+Y268</f>
        <v>0</v>
      </c>
      <c r="AA268" s="137">
        <f>+D268-Z268</f>
        <v>0</v>
      </c>
    </row>
    <row r="269" spans="1:27" s="138" customFormat="1" ht="13.5" customHeight="1">
      <c r="A269" s="193" t="s">
        <v>77</v>
      </c>
      <c r="B269" s="196" t="s">
        <v>59</v>
      </c>
      <c r="C269" s="197" t="s">
        <v>60</v>
      </c>
      <c r="D269" s="70"/>
      <c r="E269" s="143"/>
      <c r="F269" s="143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144">
        <f t="shared" si="56"/>
        <v>0</v>
      </c>
      <c r="R269" s="145">
        <f t="shared" si="57"/>
        <v>0</v>
      </c>
      <c r="S269" s="143"/>
      <c r="T269" s="143"/>
      <c r="U269" s="146">
        <v>0</v>
      </c>
      <c r="V269" s="146">
        <v>0</v>
      </c>
      <c r="W269" s="146"/>
      <c r="X269" s="143"/>
      <c r="Y269" s="136">
        <f>SUM(S269:X269)</f>
        <v>0</v>
      </c>
      <c r="Z269" s="136">
        <f>+Q269+Y269</f>
        <v>0</v>
      </c>
      <c r="AA269" s="137">
        <f>+D269-Z269</f>
        <v>0</v>
      </c>
    </row>
    <row r="270" spans="1:27" s="138" customFormat="1" ht="13.5" customHeight="1">
      <c r="A270" s="157" t="s">
        <v>78</v>
      </c>
      <c r="B270" s="205"/>
      <c r="C270" s="174"/>
      <c r="D270" s="129">
        <f t="shared" ref="D270:P270" si="58">SUBTOTAL(9,D271:D286)</f>
        <v>0</v>
      </c>
      <c r="E270" s="130">
        <f t="shared" si="58"/>
        <v>0</v>
      </c>
      <c r="F270" s="130">
        <f t="shared" si="58"/>
        <v>0</v>
      </c>
      <c r="G270" s="130">
        <f t="shared" si="58"/>
        <v>0</v>
      </c>
      <c r="H270" s="130">
        <f t="shared" ref="H270:N270" si="59">SUBTOTAL(9,H271:H286)</f>
        <v>0</v>
      </c>
      <c r="I270" s="130">
        <f t="shared" si="59"/>
        <v>0</v>
      </c>
      <c r="J270" s="130">
        <f t="shared" si="59"/>
        <v>0</v>
      </c>
      <c r="K270" s="130">
        <f t="shared" si="59"/>
        <v>0</v>
      </c>
      <c r="L270" s="130">
        <f t="shared" si="59"/>
        <v>0</v>
      </c>
      <c r="M270" s="130">
        <f t="shared" si="59"/>
        <v>0</v>
      </c>
      <c r="N270" s="130">
        <f t="shared" si="59"/>
        <v>0</v>
      </c>
      <c r="O270" s="130">
        <f t="shared" si="58"/>
        <v>0</v>
      </c>
      <c r="P270" s="130">
        <f t="shared" si="58"/>
        <v>0</v>
      </c>
      <c r="Q270" s="107">
        <f t="shared" si="56"/>
        <v>0</v>
      </c>
      <c r="R270" s="107">
        <f t="shared" si="57"/>
        <v>0</v>
      </c>
      <c r="S270" s="130">
        <f t="shared" ref="S270:X270" si="60">SUBTOTAL(9,S271:S286)</f>
        <v>0</v>
      </c>
      <c r="T270" s="130">
        <f t="shared" si="60"/>
        <v>0</v>
      </c>
      <c r="U270" s="130">
        <f t="shared" si="60"/>
        <v>0</v>
      </c>
      <c r="V270" s="130">
        <f t="shared" si="60"/>
        <v>0</v>
      </c>
      <c r="W270" s="130">
        <f t="shared" si="60"/>
        <v>0</v>
      </c>
      <c r="X270" s="130">
        <f t="shared" si="60"/>
        <v>0</v>
      </c>
      <c r="Y270" s="125">
        <f>SUM(S270:X270)</f>
        <v>0</v>
      </c>
      <c r="Z270" s="56">
        <f>+Q270+Y270</f>
        <v>0</v>
      </c>
      <c r="AA270" s="131">
        <f>+D270-Z270</f>
        <v>0</v>
      </c>
    </row>
    <row r="271" spans="1:27" s="138" customFormat="1" ht="13.5" customHeight="1">
      <c r="A271" s="207" t="s">
        <v>78</v>
      </c>
      <c r="B271" s="206" t="s">
        <v>29</v>
      </c>
      <c r="C271" s="202" t="s">
        <v>30</v>
      </c>
      <c r="D271" s="65"/>
      <c r="E271" s="132"/>
      <c r="F271" s="132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133">
        <f t="shared" si="56"/>
        <v>0</v>
      </c>
      <c r="R271" s="134">
        <f t="shared" si="57"/>
        <v>0</v>
      </c>
      <c r="S271" s="132"/>
      <c r="T271" s="132"/>
      <c r="U271" s="135">
        <v>0</v>
      </c>
      <c r="V271" s="135">
        <v>0</v>
      </c>
      <c r="W271" s="135"/>
      <c r="X271" s="132"/>
      <c r="Y271" s="136">
        <f>SUM(S271:X271)</f>
        <v>0</v>
      </c>
      <c r="Z271" s="136">
        <f>+Q271+Y271</f>
        <v>0</v>
      </c>
      <c r="AA271" s="137">
        <f>+D271-Z271</f>
        <v>0</v>
      </c>
    </row>
    <row r="272" spans="1:27" s="138" customFormat="1" ht="13.5" customHeight="1">
      <c r="A272" s="207" t="s">
        <v>78</v>
      </c>
      <c r="B272" s="208" t="s">
        <v>31</v>
      </c>
      <c r="C272" s="209" t="s">
        <v>32</v>
      </c>
      <c r="D272" s="72"/>
      <c r="E272" s="158"/>
      <c r="F272" s="158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159">
        <f t="shared" si="56"/>
        <v>0</v>
      </c>
      <c r="R272" s="160">
        <f t="shared" si="57"/>
        <v>0</v>
      </c>
      <c r="S272" s="158"/>
      <c r="T272" s="158"/>
      <c r="U272" s="161">
        <v>0</v>
      </c>
      <c r="V272" s="161">
        <v>0</v>
      </c>
      <c r="W272" s="161"/>
      <c r="X272" s="158"/>
      <c r="Y272" s="162">
        <f>SUM(S272:X272)</f>
        <v>0</v>
      </c>
      <c r="Z272" s="162">
        <f>+Q272+Y272</f>
        <v>0</v>
      </c>
      <c r="AA272" s="163">
        <f>+D272-Z272</f>
        <v>0</v>
      </c>
    </row>
    <row r="273" spans="1:27" s="138" customFormat="1" ht="13.5" customHeight="1">
      <c r="A273" s="207" t="s">
        <v>78</v>
      </c>
      <c r="B273" s="194" t="s">
        <v>33</v>
      </c>
      <c r="C273" s="195" t="s">
        <v>34</v>
      </c>
      <c r="D273" s="67"/>
      <c r="E273" s="139"/>
      <c r="F273" s="139"/>
      <c r="G273" s="68"/>
      <c r="H273" s="68"/>
      <c r="I273" s="68"/>
      <c r="J273" s="68"/>
      <c r="K273" s="68"/>
      <c r="L273" s="68"/>
      <c r="M273" s="68"/>
      <c r="N273" s="68"/>
      <c r="O273" s="68"/>
      <c r="P273" s="68"/>
      <c r="Q273" s="140">
        <f t="shared" si="56"/>
        <v>0</v>
      </c>
      <c r="R273" s="141">
        <f t="shared" si="57"/>
        <v>0</v>
      </c>
      <c r="S273" s="139"/>
      <c r="T273" s="139"/>
      <c r="U273" s="142">
        <v>0</v>
      </c>
      <c r="V273" s="142">
        <v>0</v>
      </c>
      <c r="W273" s="142"/>
      <c r="X273" s="139"/>
      <c r="Y273" s="136">
        <f>SUM(S273:X273)</f>
        <v>0</v>
      </c>
      <c r="Z273" s="136">
        <f>+Q273+Y273</f>
        <v>0</v>
      </c>
      <c r="AA273" s="137">
        <f>+D273-Z273</f>
        <v>0</v>
      </c>
    </row>
    <row r="274" spans="1:27" s="138" customFormat="1" ht="13.5" customHeight="1">
      <c r="A274" s="207" t="s">
        <v>78</v>
      </c>
      <c r="B274" s="194" t="s">
        <v>35</v>
      </c>
      <c r="C274" s="195" t="s">
        <v>36</v>
      </c>
      <c r="D274" s="67"/>
      <c r="E274" s="139"/>
      <c r="F274" s="139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140">
        <f t="shared" si="56"/>
        <v>0</v>
      </c>
      <c r="R274" s="141">
        <f t="shared" si="57"/>
        <v>0</v>
      </c>
      <c r="S274" s="139"/>
      <c r="T274" s="139"/>
      <c r="U274" s="142">
        <v>0</v>
      </c>
      <c r="V274" s="142">
        <v>0</v>
      </c>
      <c r="W274" s="142"/>
      <c r="X274" s="139"/>
      <c r="Y274" s="136">
        <f>SUM(S274:X274)</f>
        <v>0</v>
      </c>
      <c r="Z274" s="136">
        <f>+Q274+Y274</f>
        <v>0</v>
      </c>
      <c r="AA274" s="137">
        <f>+D274-Z274</f>
        <v>0</v>
      </c>
    </row>
    <row r="275" spans="1:27" s="138" customFormat="1" ht="13.5" customHeight="1">
      <c r="A275" s="207" t="s">
        <v>78</v>
      </c>
      <c r="B275" s="210" t="s">
        <v>37</v>
      </c>
      <c r="C275" s="211" t="s">
        <v>38</v>
      </c>
      <c r="D275" s="74"/>
      <c r="E275" s="164"/>
      <c r="F275" s="164"/>
      <c r="G275" s="75"/>
      <c r="H275" s="75"/>
      <c r="I275" s="75"/>
      <c r="J275" s="75"/>
      <c r="K275" s="75"/>
      <c r="L275" s="75"/>
      <c r="M275" s="75"/>
      <c r="N275" s="75"/>
      <c r="O275" s="75"/>
      <c r="P275" s="75"/>
      <c r="Q275" s="159">
        <f t="shared" si="56"/>
        <v>0</v>
      </c>
      <c r="R275" s="166">
        <f t="shared" si="57"/>
        <v>0</v>
      </c>
      <c r="S275" s="164"/>
      <c r="T275" s="164"/>
      <c r="U275" s="167">
        <v>0</v>
      </c>
      <c r="V275" s="167">
        <v>0</v>
      </c>
      <c r="W275" s="167"/>
      <c r="X275" s="164"/>
      <c r="Y275" s="162">
        <f>SUM(S275:X275)</f>
        <v>0</v>
      </c>
      <c r="Z275" s="162">
        <f>+Q275+Y275</f>
        <v>0</v>
      </c>
      <c r="AA275" s="175">
        <f>+D275-Z275</f>
        <v>0</v>
      </c>
    </row>
    <row r="276" spans="1:27" s="138" customFormat="1" ht="13.5" customHeight="1">
      <c r="A276" s="207" t="s">
        <v>78</v>
      </c>
      <c r="B276" s="210" t="s">
        <v>39</v>
      </c>
      <c r="C276" s="211" t="s">
        <v>40</v>
      </c>
      <c r="D276" s="74"/>
      <c r="E276" s="164"/>
      <c r="F276" s="164"/>
      <c r="G276" s="75"/>
      <c r="H276" s="75"/>
      <c r="I276" s="75"/>
      <c r="J276" s="75"/>
      <c r="K276" s="75"/>
      <c r="L276" s="75"/>
      <c r="M276" s="75"/>
      <c r="N276" s="75"/>
      <c r="O276" s="75"/>
      <c r="P276" s="75"/>
      <c r="Q276" s="159">
        <f t="shared" si="56"/>
        <v>0</v>
      </c>
      <c r="R276" s="166">
        <f t="shared" si="57"/>
        <v>0</v>
      </c>
      <c r="S276" s="164"/>
      <c r="T276" s="164"/>
      <c r="U276" s="167">
        <v>0</v>
      </c>
      <c r="V276" s="167">
        <v>0</v>
      </c>
      <c r="W276" s="167"/>
      <c r="X276" s="164"/>
      <c r="Y276" s="162">
        <f>SUM(S276:X276)</f>
        <v>0</v>
      </c>
      <c r="Z276" s="162">
        <f>+Q276+Y276</f>
        <v>0</v>
      </c>
      <c r="AA276" s="175">
        <f>+D276-Z276</f>
        <v>0</v>
      </c>
    </row>
    <row r="277" spans="1:27" s="138" customFormat="1" ht="13.5" customHeight="1">
      <c r="A277" s="207" t="s">
        <v>78</v>
      </c>
      <c r="B277" s="210" t="s">
        <v>41</v>
      </c>
      <c r="C277" s="211" t="s">
        <v>42</v>
      </c>
      <c r="D277" s="74"/>
      <c r="E277" s="164"/>
      <c r="F277" s="164"/>
      <c r="G277" s="75"/>
      <c r="H277" s="75"/>
      <c r="I277" s="75"/>
      <c r="J277" s="75"/>
      <c r="K277" s="75"/>
      <c r="L277" s="75"/>
      <c r="M277" s="75"/>
      <c r="N277" s="75"/>
      <c r="O277" s="75"/>
      <c r="P277" s="75"/>
      <c r="Q277" s="159">
        <f t="shared" si="56"/>
        <v>0</v>
      </c>
      <c r="R277" s="166">
        <f t="shared" si="57"/>
        <v>0</v>
      </c>
      <c r="S277" s="164"/>
      <c r="T277" s="164"/>
      <c r="U277" s="167">
        <v>0</v>
      </c>
      <c r="V277" s="167">
        <v>0</v>
      </c>
      <c r="W277" s="167"/>
      <c r="X277" s="164"/>
      <c r="Y277" s="162">
        <f>SUM(S277:X277)</f>
        <v>0</v>
      </c>
      <c r="Z277" s="162">
        <f>+Q277+Y277</f>
        <v>0</v>
      </c>
      <c r="AA277" s="175">
        <f>+D277-Z277</f>
        <v>0</v>
      </c>
    </row>
    <row r="278" spans="1:27" s="138" customFormat="1" ht="13.5" customHeight="1">
      <c r="A278" s="207" t="s">
        <v>78</v>
      </c>
      <c r="B278" s="210" t="s">
        <v>43</v>
      </c>
      <c r="C278" s="211" t="s">
        <v>44</v>
      </c>
      <c r="D278" s="74"/>
      <c r="E278" s="164"/>
      <c r="F278" s="164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159">
        <f t="shared" si="56"/>
        <v>0</v>
      </c>
      <c r="R278" s="166">
        <f t="shared" si="57"/>
        <v>0</v>
      </c>
      <c r="S278" s="164"/>
      <c r="T278" s="164"/>
      <c r="U278" s="167">
        <v>0</v>
      </c>
      <c r="V278" s="167">
        <v>0</v>
      </c>
      <c r="W278" s="167"/>
      <c r="X278" s="164"/>
      <c r="Y278" s="162">
        <f>SUM(S278:X278)</f>
        <v>0</v>
      </c>
      <c r="Z278" s="162">
        <f>+Q278+Y278</f>
        <v>0</v>
      </c>
      <c r="AA278" s="175">
        <f>+D278-Z278</f>
        <v>0</v>
      </c>
    </row>
    <row r="279" spans="1:27" s="138" customFormat="1" ht="13.5" customHeight="1">
      <c r="A279" s="207" t="s">
        <v>78</v>
      </c>
      <c r="B279" s="210" t="s">
        <v>45</v>
      </c>
      <c r="C279" s="211" t="s">
        <v>46</v>
      </c>
      <c r="D279" s="74"/>
      <c r="E279" s="164"/>
      <c r="F279" s="164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159">
        <f t="shared" si="56"/>
        <v>0</v>
      </c>
      <c r="R279" s="166">
        <f t="shared" si="57"/>
        <v>0</v>
      </c>
      <c r="S279" s="164"/>
      <c r="T279" s="164"/>
      <c r="U279" s="167">
        <v>0</v>
      </c>
      <c r="V279" s="167">
        <v>0</v>
      </c>
      <c r="W279" s="167"/>
      <c r="X279" s="164"/>
      <c r="Y279" s="162">
        <f>SUM(S279:X279)</f>
        <v>0</v>
      </c>
      <c r="Z279" s="162">
        <f>+Q279+Y279</f>
        <v>0</v>
      </c>
      <c r="AA279" s="175">
        <f>+D279-Z279</f>
        <v>0</v>
      </c>
    </row>
    <row r="280" spans="1:27" s="138" customFormat="1" ht="13.5" customHeight="1">
      <c r="A280" s="207" t="s">
        <v>78</v>
      </c>
      <c r="B280" s="210" t="s">
        <v>47</v>
      </c>
      <c r="C280" s="211" t="s">
        <v>48</v>
      </c>
      <c r="D280" s="74"/>
      <c r="E280" s="164"/>
      <c r="F280" s="164"/>
      <c r="G280" s="75"/>
      <c r="H280" s="76"/>
      <c r="I280" s="76"/>
      <c r="J280" s="76"/>
      <c r="K280" s="76"/>
      <c r="L280" s="76"/>
      <c r="M280" s="76"/>
      <c r="N280" s="76"/>
      <c r="O280" s="76"/>
      <c r="P280" s="76"/>
      <c r="Q280" s="159">
        <f t="shared" si="56"/>
        <v>0</v>
      </c>
      <c r="R280" s="166">
        <f t="shared" si="57"/>
        <v>0</v>
      </c>
      <c r="S280" s="164"/>
      <c r="T280" s="164"/>
      <c r="U280" s="167">
        <v>0</v>
      </c>
      <c r="V280" s="167">
        <v>0</v>
      </c>
      <c r="W280" s="167"/>
      <c r="X280" s="164"/>
      <c r="Y280" s="162">
        <f>SUM(S280:X280)</f>
        <v>0</v>
      </c>
      <c r="Z280" s="162">
        <f>+Q280+Y280</f>
        <v>0</v>
      </c>
      <c r="AA280" s="175">
        <f>+D280-Z280</f>
        <v>0</v>
      </c>
    </row>
    <row r="281" spans="1:27" s="138" customFormat="1" ht="13.5" customHeight="1">
      <c r="A281" s="207" t="s">
        <v>78</v>
      </c>
      <c r="B281" s="210" t="s">
        <v>49</v>
      </c>
      <c r="C281" s="211" t="s">
        <v>50</v>
      </c>
      <c r="D281" s="74"/>
      <c r="E281" s="164"/>
      <c r="F281" s="164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159">
        <f t="shared" si="56"/>
        <v>0</v>
      </c>
      <c r="R281" s="166">
        <f t="shared" si="57"/>
        <v>0</v>
      </c>
      <c r="S281" s="164"/>
      <c r="T281" s="164"/>
      <c r="U281" s="167">
        <v>0</v>
      </c>
      <c r="V281" s="167">
        <v>0</v>
      </c>
      <c r="W281" s="167"/>
      <c r="X281" s="164"/>
      <c r="Y281" s="162">
        <f>SUM(S281:X281)</f>
        <v>0</v>
      </c>
      <c r="Z281" s="162">
        <f>+Q281+Y281</f>
        <v>0</v>
      </c>
      <c r="AA281" s="175">
        <f>+D281-Z281</f>
        <v>0</v>
      </c>
    </row>
    <row r="282" spans="1:27" s="138" customFormat="1" ht="13.5" customHeight="1">
      <c r="A282" s="207" t="s">
        <v>78</v>
      </c>
      <c r="B282" s="203" t="s">
        <v>51</v>
      </c>
      <c r="C282" s="195" t="s">
        <v>52</v>
      </c>
      <c r="D282" s="67"/>
      <c r="E282" s="139"/>
      <c r="F282" s="13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140">
        <f t="shared" si="56"/>
        <v>0</v>
      </c>
      <c r="R282" s="141">
        <f t="shared" si="57"/>
        <v>0</v>
      </c>
      <c r="S282" s="139"/>
      <c r="T282" s="139"/>
      <c r="U282" s="142">
        <v>0</v>
      </c>
      <c r="V282" s="142">
        <v>0</v>
      </c>
      <c r="W282" s="142"/>
      <c r="X282" s="139"/>
      <c r="Y282" s="136">
        <f>SUM(S282:X282)</f>
        <v>0</v>
      </c>
      <c r="Z282" s="136">
        <f>+Q282+Y282</f>
        <v>0</v>
      </c>
      <c r="AA282" s="137">
        <f>+D282-Z282</f>
        <v>0</v>
      </c>
    </row>
    <row r="283" spans="1:27" s="138" customFormat="1" ht="13.5" customHeight="1">
      <c r="A283" s="207" t="s">
        <v>78</v>
      </c>
      <c r="B283" s="210" t="s">
        <v>53</v>
      </c>
      <c r="C283" s="211" t="s">
        <v>54</v>
      </c>
      <c r="D283" s="74"/>
      <c r="E283" s="164"/>
      <c r="F283" s="164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159">
        <f t="shared" si="56"/>
        <v>0</v>
      </c>
      <c r="R283" s="166">
        <f t="shared" si="57"/>
        <v>0</v>
      </c>
      <c r="S283" s="164"/>
      <c r="T283" s="164"/>
      <c r="U283" s="167">
        <v>0</v>
      </c>
      <c r="V283" s="167">
        <v>0</v>
      </c>
      <c r="W283" s="167"/>
      <c r="X283" s="164"/>
      <c r="Y283" s="162">
        <f>SUM(S283:X283)</f>
        <v>0</v>
      </c>
      <c r="Z283" s="162">
        <f>+Q283+Y283</f>
        <v>0</v>
      </c>
      <c r="AA283" s="175">
        <f>+D283-Z283</f>
        <v>0</v>
      </c>
    </row>
    <row r="284" spans="1:27" s="138" customFormat="1" ht="13.5" customHeight="1">
      <c r="A284" s="207" t="s">
        <v>78</v>
      </c>
      <c r="B284" s="210" t="s">
        <v>55</v>
      </c>
      <c r="C284" s="211" t="s">
        <v>56</v>
      </c>
      <c r="D284" s="74"/>
      <c r="E284" s="164"/>
      <c r="F284" s="164"/>
      <c r="G284" s="75"/>
      <c r="H284" s="75"/>
      <c r="I284" s="75"/>
      <c r="J284" s="75"/>
      <c r="K284" s="75"/>
      <c r="L284" s="75"/>
      <c r="M284" s="75"/>
      <c r="N284" s="75"/>
      <c r="O284" s="75"/>
      <c r="P284" s="75"/>
      <c r="Q284" s="159">
        <f t="shared" si="56"/>
        <v>0</v>
      </c>
      <c r="R284" s="166">
        <f t="shared" si="57"/>
        <v>0</v>
      </c>
      <c r="S284" s="164"/>
      <c r="T284" s="164"/>
      <c r="U284" s="167">
        <v>0</v>
      </c>
      <c r="V284" s="167">
        <v>0</v>
      </c>
      <c r="W284" s="167"/>
      <c r="X284" s="164"/>
      <c r="Y284" s="162">
        <f>SUM(S284:X284)</f>
        <v>0</v>
      </c>
      <c r="Z284" s="162">
        <f>+Q284+Y284</f>
        <v>0</v>
      </c>
      <c r="AA284" s="175">
        <f>+D284-Z284</f>
        <v>0</v>
      </c>
    </row>
    <row r="285" spans="1:27" s="138" customFormat="1" ht="13.5" customHeight="1">
      <c r="A285" s="207" t="s">
        <v>78</v>
      </c>
      <c r="B285" s="203" t="s">
        <v>57</v>
      </c>
      <c r="C285" s="195" t="s">
        <v>58</v>
      </c>
      <c r="D285" s="67"/>
      <c r="E285" s="139"/>
      <c r="F285" s="139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140">
        <f t="shared" si="56"/>
        <v>0</v>
      </c>
      <c r="R285" s="141">
        <f t="shared" si="57"/>
        <v>0</v>
      </c>
      <c r="S285" s="139"/>
      <c r="T285" s="139"/>
      <c r="U285" s="142">
        <v>0</v>
      </c>
      <c r="V285" s="142">
        <v>0</v>
      </c>
      <c r="W285" s="142"/>
      <c r="X285" s="139"/>
      <c r="Y285" s="136">
        <f>SUM(S285:X285)</f>
        <v>0</v>
      </c>
      <c r="Z285" s="136">
        <f>+Q285+Y285</f>
        <v>0</v>
      </c>
      <c r="AA285" s="137">
        <f>+D285-Z285</f>
        <v>0</v>
      </c>
    </row>
    <row r="286" spans="1:27" s="138" customFormat="1" ht="13.5" customHeight="1">
      <c r="A286" s="207" t="s">
        <v>78</v>
      </c>
      <c r="B286" s="212" t="s">
        <v>59</v>
      </c>
      <c r="C286" s="213" t="s">
        <v>60</v>
      </c>
      <c r="D286" s="77"/>
      <c r="E286" s="168"/>
      <c r="F286" s="16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159">
        <f t="shared" si="56"/>
        <v>0</v>
      </c>
      <c r="R286" s="170">
        <f t="shared" si="57"/>
        <v>0</v>
      </c>
      <c r="S286" s="168"/>
      <c r="T286" s="168"/>
      <c r="U286" s="171">
        <v>0</v>
      </c>
      <c r="V286" s="171">
        <v>0</v>
      </c>
      <c r="W286" s="171"/>
      <c r="X286" s="168"/>
      <c r="Y286" s="162">
        <f>SUM(S286:X286)</f>
        <v>0</v>
      </c>
      <c r="Z286" s="162">
        <f>+Q286+Y286</f>
        <v>0</v>
      </c>
      <c r="AA286" s="176">
        <f>+D286-Z286</f>
        <v>0</v>
      </c>
    </row>
    <row r="287" spans="1:27" s="138" customFormat="1" ht="13.5" customHeight="1">
      <c r="A287" s="157" t="s">
        <v>79</v>
      </c>
      <c r="B287" s="205"/>
      <c r="C287" s="174"/>
      <c r="D287" s="129">
        <f t="shared" ref="D287:P287" si="61">SUBTOTAL(9,D288:D303)</f>
        <v>0</v>
      </c>
      <c r="E287" s="130">
        <f t="shared" si="61"/>
        <v>0</v>
      </c>
      <c r="F287" s="130">
        <f t="shared" si="61"/>
        <v>0</v>
      </c>
      <c r="G287" s="130">
        <f t="shared" si="61"/>
        <v>0</v>
      </c>
      <c r="H287" s="130">
        <f t="shared" ref="H287:N287" si="62">SUBTOTAL(9,H288:H303)</f>
        <v>0</v>
      </c>
      <c r="I287" s="130">
        <f t="shared" si="62"/>
        <v>0</v>
      </c>
      <c r="J287" s="130">
        <f t="shared" si="62"/>
        <v>0</v>
      </c>
      <c r="K287" s="130">
        <f t="shared" si="62"/>
        <v>0</v>
      </c>
      <c r="L287" s="130">
        <f t="shared" si="62"/>
        <v>0</v>
      </c>
      <c r="M287" s="130">
        <f t="shared" si="62"/>
        <v>0</v>
      </c>
      <c r="N287" s="130">
        <f t="shared" si="62"/>
        <v>0</v>
      </c>
      <c r="O287" s="130">
        <f t="shared" si="61"/>
        <v>0</v>
      </c>
      <c r="P287" s="130">
        <f t="shared" si="61"/>
        <v>0</v>
      </c>
      <c r="Q287" s="107">
        <f t="shared" si="56"/>
        <v>0</v>
      </c>
      <c r="R287" s="107">
        <f t="shared" si="57"/>
        <v>0</v>
      </c>
      <c r="S287" s="130">
        <f t="shared" ref="S287:X287" si="63">SUBTOTAL(9,S288:S303)</f>
        <v>0</v>
      </c>
      <c r="T287" s="130">
        <f t="shared" si="63"/>
        <v>0</v>
      </c>
      <c r="U287" s="130">
        <f t="shared" si="63"/>
        <v>0</v>
      </c>
      <c r="V287" s="130">
        <f t="shared" si="63"/>
        <v>0</v>
      </c>
      <c r="W287" s="130">
        <f t="shared" si="63"/>
        <v>0</v>
      </c>
      <c r="X287" s="130">
        <f t="shared" si="63"/>
        <v>0</v>
      </c>
      <c r="Y287" s="125">
        <f>SUM(S287:X287)</f>
        <v>0</v>
      </c>
      <c r="Z287" s="56">
        <f>+Q287+Y287</f>
        <v>0</v>
      </c>
      <c r="AA287" s="131">
        <f>+D287-Z287</f>
        <v>0</v>
      </c>
    </row>
    <row r="288" spans="1:27" s="138" customFormat="1" ht="13.5" customHeight="1">
      <c r="A288" s="207" t="s">
        <v>79</v>
      </c>
      <c r="B288" s="206" t="s">
        <v>29</v>
      </c>
      <c r="C288" s="202" t="s">
        <v>30</v>
      </c>
      <c r="D288" s="65"/>
      <c r="E288" s="132"/>
      <c r="F288" s="132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133">
        <f t="shared" si="56"/>
        <v>0</v>
      </c>
      <c r="R288" s="134">
        <f t="shared" si="57"/>
        <v>0</v>
      </c>
      <c r="S288" s="132"/>
      <c r="T288" s="132"/>
      <c r="U288" s="135">
        <v>0</v>
      </c>
      <c r="V288" s="135">
        <v>0</v>
      </c>
      <c r="W288" s="135"/>
      <c r="X288" s="132"/>
      <c r="Y288" s="136">
        <f>SUM(S288:X288)</f>
        <v>0</v>
      </c>
      <c r="Z288" s="136">
        <f>+Q288+Y288</f>
        <v>0</v>
      </c>
      <c r="AA288" s="137">
        <f>+D288-Z288</f>
        <v>0</v>
      </c>
    </row>
    <row r="289" spans="1:27" s="138" customFormat="1" ht="13.5" customHeight="1">
      <c r="A289" s="207" t="s">
        <v>79</v>
      </c>
      <c r="B289" s="208" t="s">
        <v>31</v>
      </c>
      <c r="C289" s="209" t="s">
        <v>32</v>
      </c>
      <c r="D289" s="72"/>
      <c r="E289" s="158"/>
      <c r="F289" s="158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159">
        <f t="shared" si="56"/>
        <v>0</v>
      </c>
      <c r="R289" s="160">
        <f t="shared" si="57"/>
        <v>0</v>
      </c>
      <c r="S289" s="158"/>
      <c r="T289" s="158"/>
      <c r="U289" s="161">
        <v>0</v>
      </c>
      <c r="V289" s="161">
        <v>0</v>
      </c>
      <c r="W289" s="161"/>
      <c r="X289" s="158"/>
      <c r="Y289" s="162">
        <f>SUM(S289:X289)</f>
        <v>0</v>
      </c>
      <c r="Z289" s="162">
        <f>+Q289+Y289</f>
        <v>0</v>
      </c>
      <c r="AA289" s="163">
        <f>+D289-Z289</f>
        <v>0</v>
      </c>
    </row>
    <row r="290" spans="1:27" s="138" customFormat="1" ht="13.5" customHeight="1">
      <c r="A290" s="207" t="s">
        <v>79</v>
      </c>
      <c r="B290" s="208" t="s">
        <v>33</v>
      </c>
      <c r="C290" s="209" t="s">
        <v>34</v>
      </c>
      <c r="D290" s="72"/>
      <c r="E290" s="158"/>
      <c r="F290" s="158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159">
        <f t="shared" si="56"/>
        <v>0</v>
      </c>
      <c r="R290" s="160">
        <f t="shared" si="57"/>
        <v>0</v>
      </c>
      <c r="S290" s="158"/>
      <c r="T290" s="158"/>
      <c r="U290" s="161">
        <v>0</v>
      </c>
      <c r="V290" s="161">
        <v>0</v>
      </c>
      <c r="W290" s="161"/>
      <c r="X290" s="158"/>
      <c r="Y290" s="162">
        <f>SUM(S290:X290)</f>
        <v>0</v>
      </c>
      <c r="Z290" s="162">
        <f>+Q290+Y290</f>
        <v>0</v>
      </c>
      <c r="AA290" s="163">
        <f>+D290-Z290</f>
        <v>0</v>
      </c>
    </row>
    <row r="291" spans="1:27" s="138" customFormat="1" ht="13.5" customHeight="1">
      <c r="A291" s="207" t="s">
        <v>79</v>
      </c>
      <c r="B291" s="194" t="s">
        <v>35</v>
      </c>
      <c r="C291" s="195" t="s">
        <v>36</v>
      </c>
      <c r="D291" s="67"/>
      <c r="E291" s="139"/>
      <c r="F291" s="139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140">
        <f t="shared" si="56"/>
        <v>0</v>
      </c>
      <c r="R291" s="141">
        <f t="shared" si="57"/>
        <v>0</v>
      </c>
      <c r="S291" s="139"/>
      <c r="T291" s="139"/>
      <c r="U291" s="142">
        <v>0</v>
      </c>
      <c r="V291" s="142">
        <v>0</v>
      </c>
      <c r="W291" s="142"/>
      <c r="X291" s="139"/>
      <c r="Y291" s="136">
        <f>SUM(S291:X291)</f>
        <v>0</v>
      </c>
      <c r="Z291" s="136">
        <f>+Q291+Y291</f>
        <v>0</v>
      </c>
      <c r="AA291" s="137">
        <f>+D291-Z291</f>
        <v>0</v>
      </c>
    </row>
    <row r="292" spans="1:27" s="138" customFormat="1" ht="13.5" customHeight="1">
      <c r="A292" s="207" t="s">
        <v>79</v>
      </c>
      <c r="B292" s="210" t="s">
        <v>37</v>
      </c>
      <c r="C292" s="211" t="s">
        <v>38</v>
      </c>
      <c r="D292" s="74"/>
      <c r="E292" s="164"/>
      <c r="F292" s="164"/>
      <c r="G292" s="75"/>
      <c r="H292" s="75"/>
      <c r="I292" s="75"/>
      <c r="J292" s="75"/>
      <c r="K292" s="75"/>
      <c r="L292" s="75"/>
      <c r="M292" s="75"/>
      <c r="N292" s="75"/>
      <c r="O292" s="75"/>
      <c r="P292" s="75"/>
      <c r="Q292" s="165">
        <f t="shared" si="56"/>
        <v>0</v>
      </c>
      <c r="R292" s="166">
        <f t="shared" si="57"/>
        <v>0</v>
      </c>
      <c r="S292" s="164"/>
      <c r="T292" s="164"/>
      <c r="U292" s="167">
        <v>0</v>
      </c>
      <c r="V292" s="167">
        <v>0</v>
      </c>
      <c r="W292" s="167"/>
      <c r="X292" s="164"/>
      <c r="Y292" s="162">
        <f>SUM(S292:X292)</f>
        <v>0</v>
      </c>
      <c r="Z292" s="162">
        <f>+Q292+Y292</f>
        <v>0</v>
      </c>
      <c r="AA292" s="175">
        <f>+D292-Z292</f>
        <v>0</v>
      </c>
    </row>
    <row r="293" spans="1:27" s="138" customFormat="1" ht="13.5" customHeight="1">
      <c r="A293" s="207" t="s">
        <v>79</v>
      </c>
      <c r="B293" s="210" t="s">
        <v>39</v>
      </c>
      <c r="C293" s="211" t="s">
        <v>40</v>
      </c>
      <c r="D293" s="74"/>
      <c r="E293" s="164"/>
      <c r="F293" s="164"/>
      <c r="G293" s="75"/>
      <c r="H293" s="75"/>
      <c r="I293" s="75"/>
      <c r="J293" s="75"/>
      <c r="K293" s="75"/>
      <c r="L293" s="75"/>
      <c r="M293" s="75"/>
      <c r="N293" s="75"/>
      <c r="O293" s="75"/>
      <c r="P293" s="75"/>
      <c r="Q293" s="165">
        <f t="shared" si="56"/>
        <v>0</v>
      </c>
      <c r="R293" s="166">
        <f t="shared" si="57"/>
        <v>0</v>
      </c>
      <c r="S293" s="177"/>
      <c r="T293" s="177"/>
      <c r="U293" s="178"/>
      <c r="V293" s="178"/>
      <c r="W293" s="178"/>
      <c r="X293" s="177"/>
      <c r="Y293" s="162">
        <f>SUM(S293:X293)</f>
        <v>0</v>
      </c>
      <c r="Z293" s="162">
        <f>+Q293+Y293</f>
        <v>0</v>
      </c>
      <c r="AA293" s="175">
        <f>+D293-Z293</f>
        <v>0</v>
      </c>
    </row>
    <row r="294" spans="1:27" s="138" customFormat="1" ht="13.5" customHeight="1">
      <c r="A294" s="207" t="s">
        <v>79</v>
      </c>
      <c r="B294" s="210" t="s">
        <v>41</v>
      </c>
      <c r="C294" s="211" t="s">
        <v>42</v>
      </c>
      <c r="D294" s="74"/>
      <c r="E294" s="164"/>
      <c r="F294" s="164"/>
      <c r="G294" s="75"/>
      <c r="H294" s="75"/>
      <c r="I294" s="75"/>
      <c r="J294" s="75"/>
      <c r="K294" s="75"/>
      <c r="L294" s="75"/>
      <c r="M294" s="75"/>
      <c r="N294" s="75"/>
      <c r="O294" s="75"/>
      <c r="P294" s="75"/>
      <c r="Q294" s="165">
        <f t="shared" si="56"/>
        <v>0</v>
      </c>
      <c r="R294" s="166">
        <f t="shared" si="57"/>
        <v>0</v>
      </c>
      <c r="S294" s="164"/>
      <c r="T294" s="164"/>
      <c r="U294" s="167">
        <v>0</v>
      </c>
      <c r="V294" s="167">
        <v>0</v>
      </c>
      <c r="W294" s="167"/>
      <c r="X294" s="164"/>
      <c r="Y294" s="162">
        <f>SUM(S294:X294)</f>
        <v>0</v>
      </c>
      <c r="Z294" s="162">
        <f>+Q294+Y294</f>
        <v>0</v>
      </c>
      <c r="AA294" s="175">
        <f>+D294-Z294</f>
        <v>0</v>
      </c>
    </row>
    <row r="295" spans="1:27" s="138" customFormat="1" ht="13.5" customHeight="1">
      <c r="A295" s="207" t="s">
        <v>79</v>
      </c>
      <c r="B295" s="210" t="s">
        <v>43</v>
      </c>
      <c r="C295" s="211" t="s">
        <v>44</v>
      </c>
      <c r="D295" s="74"/>
      <c r="E295" s="164"/>
      <c r="F295" s="164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165">
        <f t="shared" si="56"/>
        <v>0</v>
      </c>
      <c r="R295" s="166">
        <f t="shared" si="57"/>
        <v>0</v>
      </c>
      <c r="S295" s="164"/>
      <c r="T295" s="164"/>
      <c r="U295" s="167">
        <v>0</v>
      </c>
      <c r="V295" s="167">
        <v>0</v>
      </c>
      <c r="W295" s="167"/>
      <c r="X295" s="164"/>
      <c r="Y295" s="162">
        <f>SUM(S295:X295)</f>
        <v>0</v>
      </c>
      <c r="Z295" s="162">
        <f>+Q295+Y295</f>
        <v>0</v>
      </c>
      <c r="AA295" s="175">
        <f>+D295-Z295</f>
        <v>0</v>
      </c>
    </row>
    <row r="296" spans="1:27" s="138" customFormat="1" ht="13.5" customHeight="1">
      <c r="A296" s="207" t="s">
        <v>79</v>
      </c>
      <c r="B296" s="210" t="s">
        <v>45</v>
      </c>
      <c r="C296" s="211" t="s">
        <v>46</v>
      </c>
      <c r="D296" s="74"/>
      <c r="E296" s="164"/>
      <c r="F296" s="164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165">
        <f t="shared" si="56"/>
        <v>0</v>
      </c>
      <c r="R296" s="166">
        <f t="shared" si="57"/>
        <v>0</v>
      </c>
      <c r="S296" s="164"/>
      <c r="T296" s="164"/>
      <c r="U296" s="167">
        <v>0</v>
      </c>
      <c r="V296" s="167">
        <v>0</v>
      </c>
      <c r="W296" s="167"/>
      <c r="X296" s="164"/>
      <c r="Y296" s="162">
        <f>SUM(S296:X296)</f>
        <v>0</v>
      </c>
      <c r="Z296" s="162">
        <f>+Q296+Y296</f>
        <v>0</v>
      </c>
      <c r="AA296" s="175">
        <f>+D296-Z296</f>
        <v>0</v>
      </c>
    </row>
    <row r="297" spans="1:27" s="138" customFormat="1" ht="13.5" customHeight="1">
      <c r="A297" s="207" t="s">
        <v>79</v>
      </c>
      <c r="B297" s="210" t="s">
        <v>47</v>
      </c>
      <c r="C297" s="211" t="s">
        <v>48</v>
      </c>
      <c r="D297" s="74"/>
      <c r="E297" s="164"/>
      <c r="F297" s="164"/>
      <c r="G297" s="75"/>
      <c r="H297" s="76"/>
      <c r="I297" s="76"/>
      <c r="J297" s="76"/>
      <c r="K297" s="76"/>
      <c r="L297" s="76"/>
      <c r="M297" s="76"/>
      <c r="N297" s="76"/>
      <c r="O297" s="76"/>
      <c r="P297" s="76"/>
      <c r="Q297" s="165">
        <f t="shared" si="56"/>
        <v>0</v>
      </c>
      <c r="R297" s="166">
        <f t="shared" si="57"/>
        <v>0</v>
      </c>
      <c r="S297" s="164"/>
      <c r="T297" s="164"/>
      <c r="U297" s="167">
        <v>0</v>
      </c>
      <c r="V297" s="167">
        <v>0</v>
      </c>
      <c r="W297" s="167"/>
      <c r="X297" s="164"/>
      <c r="Y297" s="162">
        <f>SUM(S297:X297)</f>
        <v>0</v>
      </c>
      <c r="Z297" s="162">
        <f>+Q297+Y297</f>
        <v>0</v>
      </c>
      <c r="AA297" s="175">
        <f>+D297-Z297</f>
        <v>0</v>
      </c>
    </row>
    <row r="298" spans="1:27" s="138" customFormat="1" ht="13.5" customHeight="1">
      <c r="A298" s="207" t="s">
        <v>79</v>
      </c>
      <c r="B298" s="210" t="s">
        <v>49</v>
      </c>
      <c r="C298" s="211" t="s">
        <v>50</v>
      </c>
      <c r="D298" s="74"/>
      <c r="E298" s="164"/>
      <c r="F298" s="164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165">
        <f t="shared" si="56"/>
        <v>0</v>
      </c>
      <c r="R298" s="166">
        <f t="shared" si="57"/>
        <v>0</v>
      </c>
      <c r="S298" s="164"/>
      <c r="T298" s="164"/>
      <c r="U298" s="167">
        <v>0</v>
      </c>
      <c r="V298" s="167">
        <v>0</v>
      </c>
      <c r="W298" s="167"/>
      <c r="X298" s="164"/>
      <c r="Y298" s="162">
        <f>SUM(S298:X298)</f>
        <v>0</v>
      </c>
      <c r="Z298" s="162">
        <f>+Q298+Y298</f>
        <v>0</v>
      </c>
      <c r="AA298" s="175">
        <f>+D298-Z298</f>
        <v>0</v>
      </c>
    </row>
    <row r="299" spans="1:27" s="138" customFormat="1" ht="13.5" customHeight="1">
      <c r="A299" s="207" t="s">
        <v>79</v>
      </c>
      <c r="B299" s="203" t="s">
        <v>51</v>
      </c>
      <c r="C299" s="195" t="s">
        <v>52</v>
      </c>
      <c r="D299" s="67"/>
      <c r="E299" s="139"/>
      <c r="F299" s="13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140">
        <f t="shared" si="56"/>
        <v>0</v>
      </c>
      <c r="R299" s="141">
        <f t="shared" si="57"/>
        <v>0</v>
      </c>
      <c r="S299" s="139"/>
      <c r="T299" s="139"/>
      <c r="U299" s="142">
        <v>0</v>
      </c>
      <c r="V299" s="142">
        <v>0</v>
      </c>
      <c r="W299" s="142"/>
      <c r="X299" s="139"/>
      <c r="Y299" s="136">
        <f>SUM(S299:X299)</f>
        <v>0</v>
      </c>
      <c r="Z299" s="136">
        <f>+Q299+Y299</f>
        <v>0</v>
      </c>
      <c r="AA299" s="137">
        <f>+D299-Z299</f>
        <v>0</v>
      </c>
    </row>
    <row r="300" spans="1:27" s="138" customFormat="1" ht="13.5" customHeight="1">
      <c r="A300" s="207" t="s">
        <v>79</v>
      </c>
      <c r="B300" s="210" t="s">
        <v>53</v>
      </c>
      <c r="C300" s="211" t="s">
        <v>54</v>
      </c>
      <c r="D300" s="74"/>
      <c r="E300" s="164"/>
      <c r="F300" s="164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165">
        <f t="shared" si="56"/>
        <v>0</v>
      </c>
      <c r="R300" s="166">
        <f t="shared" si="57"/>
        <v>0</v>
      </c>
      <c r="S300" s="164"/>
      <c r="T300" s="164"/>
      <c r="U300" s="167">
        <v>0</v>
      </c>
      <c r="V300" s="167">
        <v>0</v>
      </c>
      <c r="W300" s="167"/>
      <c r="X300" s="164"/>
      <c r="Y300" s="162">
        <f>SUM(S300:X300)</f>
        <v>0</v>
      </c>
      <c r="Z300" s="162">
        <f>+Q300+Y300</f>
        <v>0</v>
      </c>
      <c r="AA300" s="175">
        <f>+D300-Z300</f>
        <v>0</v>
      </c>
    </row>
    <row r="301" spans="1:27" s="138" customFormat="1" ht="13.5" customHeight="1">
      <c r="A301" s="207" t="s">
        <v>79</v>
      </c>
      <c r="B301" s="210" t="s">
        <v>55</v>
      </c>
      <c r="C301" s="211" t="s">
        <v>56</v>
      </c>
      <c r="D301" s="74"/>
      <c r="E301" s="164"/>
      <c r="F301" s="164"/>
      <c r="G301" s="75"/>
      <c r="H301" s="75"/>
      <c r="I301" s="75"/>
      <c r="J301" s="75"/>
      <c r="K301" s="75"/>
      <c r="L301" s="75"/>
      <c r="M301" s="75"/>
      <c r="N301" s="75"/>
      <c r="O301" s="75"/>
      <c r="P301" s="75"/>
      <c r="Q301" s="165">
        <f t="shared" si="56"/>
        <v>0</v>
      </c>
      <c r="R301" s="166">
        <f t="shared" si="57"/>
        <v>0</v>
      </c>
      <c r="S301" s="164"/>
      <c r="T301" s="164"/>
      <c r="U301" s="167">
        <v>0</v>
      </c>
      <c r="V301" s="167">
        <v>0</v>
      </c>
      <c r="W301" s="167"/>
      <c r="X301" s="164"/>
      <c r="Y301" s="162">
        <f>SUM(S301:X301)</f>
        <v>0</v>
      </c>
      <c r="Z301" s="162">
        <f>+Q301+Y301</f>
        <v>0</v>
      </c>
      <c r="AA301" s="175">
        <f>+D301-Z301</f>
        <v>0</v>
      </c>
    </row>
    <row r="302" spans="1:27" s="138" customFormat="1" ht="13.5" customHeight="1">
      <c r="A302" s="207" t="s">
        <v>79</v>
      </c>
      <c r="B302" s="203" t="s">
        <v>57</v>
      </c>
      <c r="C302" s="195" t="s">
        <v>58</v>
      </c>
      <c r="D302" s="67"/>
      <c r="E302" s="139"/>
      <c r="F302" s="139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140">
        <f t="shared" si="56"/>
        <v>0</v>
      </c>
      <c r="R302" s="141">
        <f t="shared" si="57"/>
        <v>0</v>
      </c>
      <c r="S302" s="139"/>
      <c r="T302" s="139"/>
      <c r="U302" s="142">
        <v>0</v>
      </c>
      <c r="V302" s="142">
        <v>0</v>
      </c>
      <c r="W302" s="142"/>
      <c r="X302" s="139"/>
      <c r="Y302" s="136">
        <f>SUM(S302:X302)</f>
        <v>0</v>
      </c>
      <c r="Z302" s="136">
        <f>+Q302+Y302</f>
        <v>0</v>
      </c>
      <c r="AA302" s="137">
        <f>+D302-Z302</f>
        <v>0</v>
      </c>
    </row>
    <row r="303" spans="1:27" s="138" customFormat="1" ht="13.5" customHeight="1">
      <c r="A303" s="207" t="s">
        <v>79</v>
      </c>
      <c r="B303" s="212" t="s">
        <v>59</v>
      </c>
      <c r="C303" s="213" t="s">
        <v>60</v>
      </c>
      <c r="D303" s="77"/>
      <c r="E303" s="168"/>
      <c r="F303" s="16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169">
        <f t="shared" si="56"/>
        <v>0</v>
      </c>
      <c r="R303" s="170">
        <f t="shared" si="57"/>
        <v>0</v>
      </c>
      <c r="S303" s="168"/>
      <c r="T303" s="168"/>
      <c r="U303" s="171">
        <v>0</v>
      </c>
      <c r="V303" s="171">
        <v>0</v>
      </c>
      <c r="W303" s="171"/>
      <c r="X303" s="168"/>
      <c r="Y303" s="162">
        <f>SUM(S303:X303)</f>
        <v>0</v>
      </c>
      <c r="Z303" s="162">
        <f>+Q303+Y303</f>
        <v>0</v>
      </c>
      <c r="AA303" s="176">
        <f>+D303-Z303</f>
        <v>0</v>
      </c>
    </row>
    <row r="304" spans="1:27" s="108" customFormat="1" ht="13.5" customHeight="1">
      <c r="A304" s="192" t="s">
        <v>80</v>
      </c>
      <c r="B304" s="198"/>
      <c r="C304" s="199"/>
      <c r="D304" s="129">
        <f t="shared" ref="D304:P304" si="64">SUBTOTAL(9,D305:D320)</f>
        <v>0</v>
      </c>
      <c r="E304" s="130">
        <f t="shared" si="64"/>
        <v>0</v>
      </c>
      <c r="F304" s="130">
        <f t="shared" si="64"/>
        <v>0</v>
      </c>
      <c r="G304" s="130">
        <f t="shared" si="64"/>
        <v>0</v>
      </c>
      <c r="H304" s="130">
        <f t="shared" ref="H304:N304" si="65">SUBTOTAL(9,H305:H320)</f>
        <v>0</v>
      </c>
      <c r="I304" s="130">
        <f t="shared" si="65"/>
        <v>0</v>
      </c>
      <c r="J304" s="130">
        <f t="shared" si="65"/>
        <v>0</v>
      </c>
      <c r="K304" s="130">
        <f t="shared" si="65"/>
        <v>0</v>
      </c>
      <c r="L304" s="130">
        <f t="shared" si="65"/>
        <v>0</v>
      </c>
      <c r="M304" s="130">
        <f t="shared" si="65"/>
        <v>0</v>
      </c>
      <c r="N304" s="130">
        <f t="shared" si="65"/>
        <v>0</v>
      </c>
      <c r="O304" s="130">
        <f t="shared" si="64"/>
        <v>0</v>
      </c>
      <c r="P304" s="130">
        <f t="shared" si="64"/>
        <v>0</v>
      </c>
      <c r="Q304" s="107">
        <f t="shared" si="56"/>
        <v>0</v>
      </c>
      <c r="R304" s="107">
        <f t="shared" si="57"/>
        <v>0</v>
      </c>
      <c r="S304" s="130">
        <f t="shared" ref="S304:X304" si="66">SUBTOTAL(9,S305:S320)</f>
        <v>0</v>
      </c>
      <c r="T304" s="130">
        <f t="shared" si="66"/>
        <v>0</v>
      </c>
      <c r="U304" s="130">
        <f t="shared" si="66"/>
        <v>0</v>
      </c>
      <c r="V304" s="130">
        <f t="shared" si="66"/>
        <v>0</v>
      </c>
      <c r="W304" s="130">
        <f t="shared" si="66"/>
        <v>0</v>
      </c>
      <c r="X304" s="130">
        <f t="shared" si="66"/>
        <v>0</v>
      </c>
      <c r="Y304" s="125">
        <f>SUM(S304:X304)</f>
        <v>0</v>
      </c>
      <c r="Z304" s="56">
        <f>+Q304+Y304</f>
        <v>0</v>
      </c>
      <c r="AA304" s="131">
        <f>+D304-Z304</f>
        <v>0</v>
      </c>
    </row>
    <row r="305" spans="1:27" s="138" customFormat="1" ht="13.5" customHeight="1">
      <c r="A305" s="200" t="s">
        <v>80</v>
      </c>
      <c r="B305" s="201" t="s">
        <v>29</v>
      </c>
      <c r="C305" s="202" t="s">
        <v>30</v>
      </c>
      <c r="D305" s="65"/>
      <c r="E305" s="132"/>
      <c r="F305" s="132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133">
        <f t="shared" si="56"/>
        <v>0</v>
      </c>
      <c r="R305" s="134">
        <f t="shared" si="57"/>
        <v>0</v>
      </c>
      <c r="S305" s="132"/>
      <c r="T305" s="132"/>
      <c r="U305" s="135">
        <v>0</v>
      </c>
      <c r="V305" s="135">
        <v>0</v>
      </c>
      <c r="W305" s="135"/>
      <c r="X305" s="132"/>
      <c r="Y305" s="136">
        <f>SUM(S305:X305)</f>
        <v>0</v>
      </c>
      <c r="Z305" s="136">
        <f>+Q305+Y305</f>
        <v>0</v>
      </c>
      <c r="AA305" s="137">
        <f>+D305-Z305</f>
        <v>0</v>
      </c>
    </row>
    <row r="306" spans="1:27" s="138" customFormat="1" ht="13.5" customHeight="1">
      <c r="A306" s="200" t="s">
        <v>80</v>
      </c>
      <c r="B306" s="203" t="s">
        <v>31</v>
      </c>
      <c r="C306" s="195" t="s">
        <v>32</v>
      </c>
      <c r="D306" s="67"/>
      <c r="E306" s="139"/>
      <c r="F306" s="139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140">
        <f t="shared" si="56"/>
        <v>0</v>
      </c>
      <c r="R306" s="141">
        <f t="shared" si="57"/>
        <v>0</v>
      </c>
      <c r="S306" s="139"/>
      <c r="T306" s="139"/>
      <c r="U306" s="142">
        <v>0</v>
      </c>
      <c r="V306" s="142">
        <v>0</v>
      </c>
      <c r="W306" s="142"/>
      <c r="X306" s="139"/>
      <c r="Y306" s="136">
        <f>SUM(S306:X306)</f>
        <v>0</v>
      </c>
      <c r="Z306" s="136">
        <f>+Q306+Y306</f>
        <v>0</v>
      </c>
      <c r="AA306" s="137">
        <f>+D306-Z306</f>
        <v>0</v>
      </c>
    </row>
    <row r="307" spans="1:27" s="138" customFormat="1" ht="13.5" customHeight="1">
      <c r="A307" s="200" t="s">
        <v>80</v>
      </c>
      <c r="B307" s="203" t="s">
        <v>33</v>
      </c>
      <c r="C307" s="195" t="s">
        <v>34</v>
      </c>
      <c r="D307" s="67"/>
      <c r="E307" s="139"/>
      <c r="F307" s="139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140">
        <f t="shared" si="56"/>
        <v>0</v>
      </c>
      <c r="R307" s="141">
        <f t="shared" si="57"/>
        <v>0</v>
      </c>
      <c r="S307" s="139"/>
      <c r="T307" s="139"/>
      <c r="U307" s="142">
        <v>0</v>
      </c>
      <c r="V307" s="142">
        <v>0</v>
      </c>
      <c r="W307" s="142"/>
      <c r="X307" s="139"/>
      <c r="Y307" s="136">
        <f>SUM(S307:X307)</f>
        <v>0</v>
      </c>
      <c r="Z307" s="136">
        <f>+Q307+Y307</f>
        <v>0</v>
      </c>
      <c r="AA307" s="137">
        <f>+D307-Z307</f>
        <v>0</v>
      </c>
    </row>
    <row r="308" spans="1:27" s="138" customFormat="1" ht="13.5" customHeight="1">
      <c r="A308" s="200" t="s">
        <v>80</v>
      </c>
      <c r="B308" s="203" t="s">
        <v>35</v>
      </c>
      <c r="C308" s="195" t="s">
        <v>36</v>
      </c>
      <c r="D308" s="67"/>
      <c r="E308" s="139"/>
      <c r="F308" s="139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140">
        <f t="shared" si="56"/>
        <v>0</v>
      </c>
      <c r="R308" s="141">
        <f t="shared" si="57"/>
        <v>0</v>
      </c>
      <c r="S308" s="139"/>
      <c r="T308" s="139"/>
      <c r="U308" s="142">
        <v>0</v>
      </c>
      <c r="V308" s="142">
        <v>0</v>
      </c>
      <c r="W308" s="142"/>
      <c r="X308" s="139"/>
      <c r="Y308" s="136">
        <f>SUM(S308:X308)</f>
        <v>0</v>
      </c>
      <c r="Z308" s="136">
        <f>+Q308+Y308</f>
        <v>0</v>
      </c>
      <c r="AA308" s="137">
        <f>+D308-Z308</f>
        <v>0</v>
      </c>
    </row>
    <row r="309" spans="1:27" s="138" customFormat="1" ht="13.5" customHeight="1">
      <c r="A309" s="200" t="s">
        <v>80</v>
      </c>
      <c r="B309" s="203" t="s">
        <v>37</v>
      </c>
      <c r="C309" s="195" t="s">
        <v>38</v>
      </c>
      <c r="D309" s="67"/>
      <c r="E309" s="139"/>
      <c r="F309" s="139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140">
        <f t="shared" si="56"/>
        <v>0</v>
      </c>
      <c r="R309" s="141">
        <f t="shared" si="57"/>
        <v>0</v>
      </c>
      <c r="S309" s="139"/>
      <c r="T309" s="139"/>
      <c r="U309" s="142">
        <v>0</v>
      </c>
      <c r="V309" s="142">
        <v>0</v>
      </c>
      <c r="W309" s="142"/>
      <c r="X309" s="139"/>
      <c r="Y309" s="136">
        <f>SUM(S309:X309)</f>
        <v>0</v>
      </c>
      <c r="Z309" s="136">
        <f>+Q309+Y309</f>
        <v>0</v>
      </c>
      <c r="AA309" s="137">
        <f>+D309-Z309</f>
        <v>0</v>
      </c>
    </row>
    <row r="310" spans="1:27" s="138" customFormat="1" ht="13.5" customHeight="1">
      <c r="A310" s="200" t="s">
        <v>80</v>
      </c>
      <c r="B310" s="203" t="s">
        <v>39</v>
      </c>
      <c r="C310" s="195" t="s">
        <v>40</v>
      </c>
      <c r="D310" s="67"/>
      <c r="E310" s="139"/>
      <c r="F310" s="139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140">
        <f t="shared" si="56"/>
        <v>0</v>
      </c>
      <c r="R310" s="141">
        <f t="shared" si="57"/>
        <v>0</v>
      </c>
      <c r="S310" s="139"/>
      <c r="T310" s="139"/>
      <c r="U310" s="142">
        <v>0</v>
      </c>
      <c r="V310" s="142">
        <v>0</v>
      </c>
      <c r="W310" s="142"/>
      <c r="X310" s="139"/>
      <c r="Y310" s="136">
        <f>SUM(S310:X310)</f>
        <v>0</v>
      </c>
      <c r="Z310" s="136">
        <f>+Q310+Y310</f>
        <v>0</v>
      </c>
      <c r="AA310" s="137">
        <f>+D310-Z310</f>
        <v>0</v>
      </c>
    </row>
    <row r="311" spans="1:27" s="138" customFormat="1" ht="13.5" customHeight="1">
      <c r="A311" s="200" t="s">
        <v>80</v>
      </c>
      <c r="B311" s="203" t="s">
        <v>41</v>
      </c>
      <c r="C311" s="195" t="s">
        <v>42</v>
      </c>
      <c r="D311" s="67"/>
      <c r="E311" s="139"/>
      <c r="F311" s="139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140">
        <f t="shared" si="56"/>
        <v>0</v>
      </c>
      <c r="R311" s="141">
        <f t="shared" si="57"/>
        <v>0</v>
      </c>
      <c r="S311" s="139"/>
      <c r="T311" s="139"/>
      <c r="U311" s="142">
        <v>0</v>
      </c>
      <c r="V311" s="142">
        <v>0</v>
      </c>
      <c r="W311" s="142"/>
      <c r="X311" s="139"/>
      <c r="Y311" s="136">
        <f>SUM(S311:X311)</f>
        <v>0</v>
      </c>
      <c r="Z311" s="136">
        <f>+Q311+Y311</f>
        <v>0</v>
      </c>
      <c r="AA311" s="137">
        <f>+D311-Z311</f>
        <v>0</v>
      </c>
    </row>
    <row r="312" spans="1:27" s="138" customFormat="1" ht="13.5" customHeight="1">
      <c r="A312" s="200" t="s">
        <v>80</v>
      </c>
      <c r="B312" s="203" t="s">
        <v>43</v>
      </c>
      <c r="C312" s="195" t="s">
        <v>44</v>
      </c>
      <c r="D312" s="67"/>
      <c r="E312" s="139"/>
      <c r="F312" s="13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140">
        <f t="shared" si="56"/>
        <v>0</v>
      </c>
      <c r="R312" s="141">
        <f t="shared" si="57"/>
        <v>0</v>
      </c>
      <c r="S312" s="139"/>
      <c r="T312" s="139"/>
      <c r="U312" s="142">
        <v>0</v>
      </c>
      <c r="V312" s="142">
        <v>0</v>
      </c>
      <c r="W312" s="142"/>
      <c r="X312" s="139"/>
      <c r="Y312" s="136">
        <f>SUM(S312:X312)</f>
        <v>0</v>
      </c>
      <c r="Z312" s="136">
        <f>+Q312+Y312</f>
        <v>0</v>
      </c>
      <c r="AA312" s="137">
        <f>+D312-Z312</f>
        <v>0</v>
      </c>
    </row>
    <row r="313" spans="1:27" s="138" customFormat="1" ht="13.5" customHeight="1">
      <c r="A313" s="200" t="s">
        <v>80</v>
      </c>
      <c r="B313" s="203" t="s">
        <v>45</v>
      </c>
      <c r="C313" s="195" t="s">
        <v>46</v>
      </c>
      <c r="D313" s="67"/>
      <c r="E313" s="139"/>
      <c r="F313" s="13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140">
        <f t="shared" si="56"/>
        <v>0</v>
      </c>
      <c r="R313" s="141">
        <f t="shared" si="57"/>
        <v>0</v>
      </c>
      <c r="S313" s="139"/>
      <c r="T313" s="139"/>
      <c r="U313" s="142">
        <v>0</v>
      </c>
      <c r="V313" s="142">
        <v>0</v>
      </c>
      <c r="W313" s="142"/>
      <c r="X313" s="139"/>
      <c r="Y313" s="136">
        <f>SUM(S313:X313)</f>
        <v>0</v>
      </c>
      <c r="Z313" s="136">
        <f>+Q313+Y313</f>
        <v>0</v>
      </c>
      <c r="AA313" s="137">
        <f>+D313-Z313</f>
        <v>0</v>
      </c>
    </row>
    <row r="314" spans="1:27" s="138" customFormat="1" ht="13.5" customHeight="1">
      <c r="A314" s="200" t="s">
        <v>80</v>
      </c>
      <c r="B314" s="203" t="s">
        <v>47</v>
      </c>
      <c r="C314" s="195" t="s">
        <v>48</v>
      </c>
      <c r="D314" s="67"/>
      <c r="E314" s="139"/>
      <c r="F314" s="139"/>
      <c r="G314" s="68"/>
      <c r="H314" s="69"/>
      <c r="I314" s="69"/>
      <c r="J314" s="69"/>
      <c r="K314" s="69"/>
      <c r="L314" s="69"/>
      <c r="M314" s="69"/>
      <c r="N314" s="69"/>
      <c r="O314" s="69"/>
      <c r="P314" s="69"/>
      <c r="Q314" s="140">
        <f t="shared" si="56"/>
        <v>0</v>
      </c>
      <c r="R314" s="141">
        <f t="shared" si="57"/>
        <v>0</v>
      </c>
      <c r="S314" s="139"/>
      <c r="T314" s="139"/>
      <c r="U314" s="142">
        <v>0</v>
      </c>
      <c r="V314" s="142">
        <v>0</v>
      </c>
      <c r="W314" s="142"/>
      <c r="X314" s="139"/>
      <c r="Y314" s="136">
        <f>SUM(S314:X314)</f>
        <v>0</v>
      </c>
      <c r="Z314" s="136">
        <f>+Q314+Y314</f>
        <v>0</v>
      </c>
      <c r="AA314" s="137">
        <f>+D314-Z314</f>
        <v>0</v>
      </c>
    </row>
    <row r="315" spans="1:27" s="138" customFormat="1" ht="13.5" customHeight="1">
      <c r="A315" s="200" t="s">
        <v>80</v>
      </c>
      <c r="B315" s="203" t="s">
        <v>49</v>
      </c>
      <c r="C315" s="195" t="s">
        <v>50</v>
      </c>
      <c r="D315" s="67"/>
      <c r="E315" s="139"/>
      <c r="F315" s="13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140">
        <f t="shared" si="56"/>
        <v>0</v>
      </c>
      <c r="R315" s="141">
        <f t="shared" si="57"/>
        <v>0</v>
      </c>
      <c r="S315" s="139"/>
      <c r="T315" s="139"/>
      <c r="U315" s="142">
        <v>0</v>
      </c>
      <c r="V315" s="142">
        <v>0</v>
      </c>
      <c r="W315" s="142"/>
      <c r="X315" s="139"/>
      <c r="Y315" s="136">
        <f>SUM(S315:X315)</f>
        <v>0</v>
      </c>
      <c r="Z315" s="136">
        <f>+Q315+Y315</f>
        <v>0</v>
      </c>
      <c r="AA315" s="137">
        <f>+D315-Z315</f>
        <v>0</v>
      </c>
    </row>
    <row r="316" spans="1:27" s="138" customFormat="1" ht="13.5" customHeight="1">
      <c r="A316" s="200" t="s">
        <v>80</v>
      </c>
      <c r="B316" s="203" t="s">
        <v>51</v>
      </c>
      <c r="C316" s="195" t="s">
        <v>52</v>
      </c>
      <c r="D316" s="67"/>
      <c r="E316" s="139"/>
      <c r="F316" s="13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140">
        <f t="shared" si="56"/>
        <v>0</v>
      </c>
      <c r="R316" s="141">
        <f t="shared" si="57"/>
        <v>0</v>
      </c>
      <c r="S316" s="139"/>
      <c r="T316" s="139"/>
      <c r="U316" s="142">
        <v>0</v>
      </c>
      <c r="V316" s="142">
        <v>0</v>
      </c>
      <c r="W316" s="142"/>
      <c r="X316" s="139"/>
      <c r="Y316" s="136">
        <f>SUM(S316:X316)</f>
        <v>0</v>
      </c>
      <c r="Z316" s="136">
        <f>+Q316+Y316</f>
        <v>0</v>
      </c>
      <c r="AA316" s="137">
        <f>+D316-Z316</f>
        <v>0</v>
      </c>
    </row>
    <row r="317" spans="1:27" s="138" customFormat="1" ht="13.5" customHeight="1">
      <c r="A317" s="200" t="s">
        <v>80</v>
      </c>
      <c r="B317" s="203" t="s">
        <v>53</v>
      </c>
      <c r="C317" s="195" t="s">
        <v>54</v>
      </c>
      <c r="D317" s="67"/>
      <c r="E317" s="139"/>
      <c r="F317" s="13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140">
        <f t="shared" si="56"/>
        <v>0</v>
      </c>
      <c r="R317" s="141">
        <f t="shared" si="57"/>
        <v>0</v>
      </c>
      <c r="S317" s="139"/>
      <c r="T317" s="139"/>
      <c r="U317" s="142">
        <v>0</v>
      </c>
      <c r="V317" s="142">
        <v>0</v>
      </c>
      <c r="W317" s="142"/>
      <c r="X317" s="139"/>
      <c r="Y317" s="136">
        <f>SUM(S317:X317)</f>
        <v>0</v>
      </c>
      <c r="Z317" s="136">
        <f>+Q317+Y317</f>
        <v>0</v>
      </c>
      <c r="AA317" s="137">
        <f>+D317-Z317</f>
        <v>0</v>
      </c>
    </row>
    <row r="318" spans="1:27" s="138" customFormat="1" ht="13.5" customHeight="1">
      <c r="A318" s="200" t="s">
        <v>80</v>
      </c>
      <c r="B318" s="203" t="s">
        <v>55</v>
      </c>
      <c r="C318" s="195" t="s">
        <v>56</v>
      </c>
      <c r="D318" s="67"/>
      <c r="E318" s="139"/>
      <c r="F318" s="139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140">
        <f t="shared" si="56"/>
        <v>0</v>
      </c>
      <c r="R318" s="141">
        <f t="shared" si="57"/>
        <v>0</v>
      </c>
      <c r="S318" s="139"/>
      <c r="T318" s="139"/>
      <c r="U318" s="142">
        <v>0</v>
      </c>
      <c r="V318" s="142">
        <v>0</v>
      </c>
      <c r="W318" s="142"/>
      <c r="X318" s="139"/>
      <c r="Y318" s="136">
        <f>SUM(S318:X318)</f>
        <v>0</v>
      </c>
      <c r="Z318" s="136">
        <f>+Q318+Y318</f>
        <v>0</v>
      </c>
      <c r="AA318" s="137">
        <f>+D318-Z318</f>
        <v>0</v>
      </c>
    </row>
    <row r="319" spans="1:27" s="138" customFormat="1" ht="13.5" customHeight="1">
      <c r="A319" s="200" t="s">
        <v>80</v>
      </c>
      <c r="B319" s="203" t="s">
        <v>57</v>
      </c>
      <c r="C319" s="195" t="s">
        <v>58</v>
      </c>
      <c r="D319" s="67"/>
      <c r="E319" s="139"/>
      <c r="F319" s="139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140">
        <f t="shared" si="56"/>
        <v>0</v>
      </c>
      <c r="R319" s="141">
        <f t="shared" si="57"/>
        <v>0</v>
      </c>
      <c r="S319" s="139"/>
      <c r="T319" s="139"/>
      <c r="U319" s="142">
        <v>0</v>
      </c>
      <c r="V319" s="142">
        <v>0</v>
      </c>
      <c r="W319" s="142"/>
      <c r="X319" s="139"/>
      <c r="Y319" s="136">
        <f>SUM(S319:X319)</f>
        <v>0</v>
      </c>
      <c r="Z319" s="136">
        <f>+Q319+Y319</f>
        <v>0</v>
      </c>
      <c r="AA319" s="137">
        <f>+D319-Z319</f>
        <v>0</v>
      </c>
    </row>
    <row r="320" spans="1:27" s="138" customFormat="1" ht="13.5" customHeight="1">
      <c r="A320" s="200" t="s">
        <v>80</v>
      </c>
      <c r="B320" s="204" t="s">
        <v>59</v>
      </c>
      <c r="C320" s="197" t="s">
        <v>60</v>
      </c>
      <c r="D320" s="70"/>
      <c r="E320" s="143"/>
      <c r="F320" s="143"/>
      <c r="G320" s="71"/>
      <c r="H320" s="71"/>
      <c r="I320" s="71"/>
      <c r="J320" s="71"/>
      <c r="K320" s="71"/>
      <c r="L320" s="71"/>
      <c r="M320" s="71"/>
      <c r="N320" s="71"/>
      <c r="O320" s="71"/>
      <c r="P320" s="71"/>
      <c r="Q320" s="144">
        <f t="shared" si="56"/>
        <v>0</v>
      </c>
      <c r="R320" s="145">
        <f t="shared" si="57"/>
        <v>0</v>
      </c>
      <c r="S320" s="143"/>
      <c r="T320" s="143"/>
      <c r="U320" s="146">
        <v>0</v>
      </c>
      <c r="V320" s="146">
        <v>0</v>
      </c>
      <c r="W320" s="146"/>
      <c r="X320" s="143"/>
      <c r="Y320" s="136">
        <f>SUM(S320:X320)</f>
        <v>0</v>
      </c>
      <c r="Z320" s="136">
        <f>+Q320+Y320</f>
        <v>0</v>
      </c>
      <c r="AA320" s="137">
        <f>+D320-Z320</f>
        <v>0</v>
      </c>
    </row>
    <row r="321" spans="1:27" s="108" customFormat="1" ht="13.5" customHeight="1">
      <c r="A321" s="192" t="s">
        <v>81</v>
      </c>
      <c r="B321" s="198"/>
      <c r="C321" s="199"/>
      <c r="D321" s="129">
        <f t="shared" ref="D321:P321" si="67">SUBTOTAL(9,D322:D337)</f>
        <v>0</v>
      </c>
      <c r="E321" s="130">
        <f t="shared" si="67"/>
        <v>0</v>
      </c>
      <c r="F321" s="130">
        <f t="shared" si="67"/>
        <v>0</v>
      </c>
      <c r="G321" s="130">
        <f t="shared" si="67"/>
        <v>0</v>
      </c>
      <c r="H321" s="130">
        <f t="shared" ref="H321:N321" si="68">SUBTOTAL(9,H322:H337)</f>
        <v>0</v>
      </c>
      <c r="I321" s="130">
        <f t="shared" si="68"/>
        <v>0</v>
      </c>
      <c r="J321" s="130">
        <f t="shared" si="68"/>
        <v>0</v>
      </c>
      <c r="K321" s="130">
        <f t="shared" si="68"/>
        <v>0</v>
      </c>
      <c r="L321" s="130">
        <f t="shared" si="68"/>
        <v>0</v>
      </c>
      <c r="M321" s="130">
        <f t="shared" si="68"/>
        <v>0</v>
      </c>
      <c r="N321" s="130">
        <f t="shared" si="68"/>
        <v>0</v>
      </c>
      <c r="O321" s="130">
        <f t="shared" si="67"/>
        <v>0</v>
      </c>
      <c r="P321" s="130">
        <f t="shared" si="67"/>
        <v>0</v>
      </c>
      <c r="Q321" s="107">
        <f t="shared" si="56"/>
        <v>0</v>
      </c>
      <c r="R321" s="107">
        <f t="shared" si="57"/>
        <v>0</v>
      </c>
      <c r="S321" s="130">
        <f t="shared" ref="S321:X321" si="69">SUBTOTAL(9,S322:S337)</f>
        <v>0</v>
      </c>
      <c r="T321" s="130">
        <f t="shared" si="69"/>
        <v>0</v>
      </c>
      <c r="U321" s="130">
        <f t="shared" si="69"/>
        <v>0</v>
      </c>
      <c r="V321" s="130">
        <f t="shared" si="69"/>
        <v>0</v>
      </c>
      <c r="W321" s="130">
        <f t="shared" si="69"/>
        <v>0</v>
      </c>
      <c r="X321" s="130">
        <f t="shared" si="69"/>
        <v>0</v>
      </c>
      <c r="Y321" s="125">
        <f>SUM(S321:X321)</f>
        <v>0</v>
      </c>
      <c r="Z321" s="56">
        <f>+Q321+Y321</f>
        <v>0</v>
      </c>
      <c r="AA321" s="131">
        <f>+D321-Z321</f>
        <v>0</v>
      </c>
    </row>
    <row r="322" spans="1:27" s="138" customFormat="1" ht="13.5" customHeight="1">
      <c r="A322" s="200" t="s">
        <v>81</v>
      </c>
      <c r="B322" s="201" t="s">
        <v>29</v>
      </c>
      <c r="C322" s="202" t="s">
        <v>30</v>
      </c>
      <c r="D322" s="65"/>
      <c r="E322" s="132"/>
      <c r="F322" s="132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133">
        <f t="shared" si="56"/>
        <v>0</v>
      </c>
      <c r="R322" s="134">
        <f t="shared" si="57"/>
        <v>0</v>
      </c>
      <c r="S322" s="132"/>
      <c r="T322" s="132"/>
      <c r="U322" s="135">
        <v>0</v>
      </c>
      <c r="V322" s="135">
        <v>0</v>
      </c>
      <c r="W322" s="135"/>
      <c r="X322" s="132"/>
      <c r="Y322" s="136">
        <f>SUM(S322:X322)</f>
        <v>0</v>
      </c>
      <c r="Z322" s="136">
        <f>+Q322+Y322</f>
        <v>0</v>
      </c>
      <c r="AA322" s="137">
        <f>+D322-Z322</f>
        <v>0</v>
      </c>
    </row>
    <row r="323" spans="1:27" s="138" customFormat="1" ht="13.5" customHeight="1">
      <c r="A323" s="200" t="s">
        <v>81</v>
      </c>
      <c r="B323" s="203" t="s">
        <v>31</v>
      </c>
      <c r="C323" s="195" t="s">
        <v>32</v>
      </c>
      <c r="D323" s="67"/>
      <c r="E323" s="139"/>
      <c r="F323" s="139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140">
        <f t="shared" si="56"/>
        <v>0</v>
      </c>
      <c r="R323" s="141">
        <f t="shared" si="57"/>
        <v>0</v>
      </c>
      <c r="S323" s="139"/>
      <c r="T323" s="139"/>
      <c r="U323" s="142">
        <v>0</v>
      </c>
      <c r="V323" s="142">
        <v>0</v>
      </c>
      <c r="W323" s="142"/>
      <c r="X323" s="139"/>
      <c r="Y323" s="136">
        <f>SUM(S323:X323)</f>
        <v>0</v>
      </c>
      <c r="Z323" s="136">
        <f>+Q323+Y323</f>
        <v>0</v>
      </c>
      <c r="AA323" s="137">
        <f>+D323-Z323</f>
        <v>0</v>
      </c>
    </row>
    <row r="324" spans="1:27" s="138" customFormat="1" ht="13.5" customHeight="1">
      <c r="A324" s="200" t="s">
        <v>81</v>
      </c>
      <c r="B324" s="203" t="s">
        <v>33</v>
      </c>
      <c r="C324" s="195" t="s">
        <v>34</v>
      </c>
      <c r="D324" s="67"/>
      <c r="E324" s="139"/>
      <c r="F324" s="139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140">
        <f t="shared" si="56"/>
        <v>0</v>
      </c>
      <c r="R324" s="141">
        <f t="shared" si="57"/>
        <v>0</v>
      </c>
      <c r="S324" s="139"/>
      <c r="T324" s="139"/>
      <c r="U324" s="142">
        <v>0</v>
      </c>
      <c r="V324" s="142">
        <v>0</v>
      </c>
      <c r="W324" s="142"/>
      <c r="X324" s="139"/>
      <c r="Y324" s="136">
        <f>SUM(S324:X324)</f>
        <v>0</v>
      </c>
      <c r="Z324" s="136">
        <f>+Q324+Y324</f>
        <v>0</v>
      </c>
      <c r="AA324" s="137">
        <f>+D324-Z324</f>
        <v>0</v>
      </c>
    </row>
    <row r="325" spans="1:27" s="138" customFormat="1" ht="13.5" customHeight="1">
      <c r="A325" s="200" t="s">
        <v>81</v>
      </c>
      <c r="B325" s="203" t="s">
        <v>35</v>
      </c>
      <c r="C325" s="195" t="s">
        <v>36</v>
      </c>
      <c r="D325" s="67"/>
      <c r="E325" s="139"/>
      <c r="F325" s="139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140">
        <f t="shared" si="56"/>
        <v>0</v>
      </c>
      <c r="R325" s="141">
        <f t="shared" si="57"/>
        <v>0</v>
      </c>
      <c r="S325" s="139"/>
      <c r="T325" s="139"/>
      <c r="U325" s="142">
        <v>0</v>
      </c>
      <c r="V325" s="142">
        <v>0</v>
      </c>
      <c r="W325" s="142"/>
      <c r="X325" s="139"/>
      <c r="Y325" s="136">
        <f>SUM(S325:X325)</f>
        <v>0</v>
      </c>
      <c r="Z325" s="136">
        <f>+Q325+Y325</f>
        <v>0</v>
      </c>
      <c r="AA325" s="137">
        <f>+D325-Z325</f>
        <v>0</v>
      </c>
    </row>
    <row r="326" spans="1:27" s="138" customFormat="1" ht="13.5" customHeight="1">
      <c r="A326" s="200" t="s">
        <v>81</v>
      </c>
      <c r="B326" s="203" t="s">
        <v>37</v>
      </c>
      <c r="C326" s="195" t="s">
        <v>38</v>
      </c>
      <c r="D326" s="67"/>
      <c r="E326" s="139"/>
      <c r="F326" s="139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140">
        <f t="shared" ref="Q326:Q338" si="70">SUM(G326:P326)</f>
        <v>0</v>
      </c>
      <c r="R326" s="141">
        <f t="shared" ref="R326:R337" si="71">D326-Q326</f>
        <v>0</v>
      </c>
      <c r="S326" s="139"/>
      <c r="T326" s="139"/>
      <c r="U326" s="142">
        <v>0</v>
      </c>
      <c r="V326" s="142">
        <v>0</v>
      </c>
      <c r="W326" s="142"/>
      <c r="X326" s="139"/>
      <c r="Y326" s="136">
        <f>SUM(S326:X326)</f>
        <v>0</v>
      </c>
      <c r="Z326" s="136">
        <f>+Q326+Y326</f>
        <v>0</v>
      </c>
      <c r="AA326" s="137">
        <f>+D326-Z326</f>
        <v>0</v>
      </c>
    </row>
    <row r="327" spans="1:27" s="138" customFormat="1" ht="13.5" customHeight="1">
      <c r="A327" s="200" t="s">
        <v>81</v>
      </c>
      <c r="B327" s="203" t="s">
        <v>39</v>
      </c>
      <c r="C327" s="195" t="s">
        <v>40</v>
      </c>
      <c r="D327" s="67"/>
      <c r="E327" s="139"/>
      <c r="F327" s="139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140">
        <f t="shared" si="70"/>
        <v>0</v>
      </c>
      <c r="R327" s="141">
        <f t="shared" si="71"/>
        <v>0</v>
      </c>
      <c r="S327" s="139"/>
      <c r="T327" s="139"/>
      <c r="U327" s="142">
        <v>0</v>
      </c>
      <c r="V327" s="142">
        <v>0</v>
      </c>
      <c r="W327" s="142"/>
      <c r="X327" s="139"/>
      <c r="Y327" s="136">
        <f>SUM(S327:X327)</f>
        <v>0</v>
      </c>
      <c r="Z327" s="136">
        <f>+Q327+Y327</f>
        <v>0</v>
      </c>
      <c r="AA327" s="137">
        <f>+D327-Z327</f>
        <v>0</v>
      </c>
    </row>
    <row r="328" spans="1:27" s="138" customFormat="1" ht="13.5" customHeight="1">
      <c r="A328" s="200" t="s">
        <v>81</v>
      </c>
      <c r="B328" s="203" t="s">
        <v>41</v>
      </c>
      <c r="C328" s="195" t="s">
        <v>42</v>
      </c>
      <c r="D328" s="67"/>
      <c r="E328" s="139"/>
      <c r="F328" s="139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140">
        <f t="shared" si="70"/>
        <v>0</v>
      </c>
      <c r="R328" s="141">
        <f t="shared" si="71"/>
        <v>0</v>
      </c>
      <c r="S328" s="139"/>
      <c r="T328" s="139"/>
      <c r="U328" s="142">
        <v>0</v>
      </c>
      <c r="V328" s="142">
        <v>0</v>
      </c>
      <c r="W328" s="142"/>
      <c r="X328" s="139"/>
      <c r="Y328" s="136">
        <f>SUM(S328:X328)</f>
        <v>0</v>
      </c>
      <c r="Z328" s="136">
        <f>+Q328+Y328</f>
        <v>0</v>
      </c>
      <c r="AA328" s="137">
        <f>+D328-Z328</f>
        <v>0</v>
      </c>
    </row>
    <row r="329" spans="1:27" s="138" customFormat="1" ht="13.5" customHeight="1">
      <c r="A329" s="200" t="s">
        <v>81</v>
      </c>
      <c r="B329" s="203" t="s">
        <v>43</v>
      </c>
      <c r="C329" s="195" t="s">
        <v>44</v>
      </c>
      <c r="D329" s="67"/>
      <c r="E329" s="139"/>
      <c r="F329" s="13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140">
        <f t="shared" si="70"/>
        <v>0</v>
      </c>
      <c r="R329" s="141">
        <f t="shared" si="71"/>
        <v>0</v>
      </c>
      <c r="S329" s="139"/>
      <c r="T329" s="139"/>
      <c r="U329" s="142">
        <v>0</v>
      </c>
      <c r="V329" s="142">
        <v>0</v>
      </c>
      <c r="W329" s="142"/>
      <c r="X329" s="139"/>
      <c r="Y329" s="136">
        <f>SUM(S329:X329)</f>
        <v>0</v>
      </c>
      <c r="Z329" s="136">
        <f>+Q329+Y329</f>
        <v>0</v>
      </c>
      <c r="AA329" s="137">
        <f>+D329-Z329</f>
        <v>0</v>
      </c>
    </row>
    <row r="330" spans="1:27" s="138" customFormat="1" ht="13.5" customHeight="1">
      <c r="A330" s="200" t="s">
        <v>81</v>
      </c>
      <c r="B330" s="203" t="s">
        <v>45</v>
      </c>
      <c r="C330" s="195" t="s">
        <v>46</v>
      </c>
      <c r="D330" s="67"/>
      <c r="E330" s="139"/>
      <c r="F330" s="13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140">
        <f t="shared" si="70"/>
        <v>0</v>
      </c>
      <c r="R330" s="141">
        <f t="shared" si="71"/>
        <v>0</v>
      </c>
      <c r="S330" s="139"/>
      <c r="T330" s="139"/>
      <c r="U330" s="142">
        <v>0</v>
      </c>
      <c r="V330" s="142">
        <v>0</v>
      </c>
      <c r="W330" s="142"/>
      <c r="X330" s="139"/>
      <c r="Y330" s="136">
        <f>SUM(S330:X330)</f>
        <v>0</v>
      </c>
      <c r="Z330" s="136">
        <f>+Q330+Y330</f>
        <v>0</v>
      </c>
      <c r="AA330" s="137">
        <f>+D330-Z330</f>
        <v>0</v>
      </c>
    </row>
    <row r="331" spans="1:27" s="138" customFormat="1" ht="13.5" customHeight="1">
      <c r="A331" s="200" t="s">
        <v>81</v>
      </c>
      <c r="B331" s="203" t="s">
        <v>47</v>
      </c>
      <c r="C331" s="195" t="s">
        <v>48</v>
      </c>
      <c r="D331" s="67"/>
      <c r="E331" s="139"/>
      <c r="F331" s="139"/>
      <c r="G331" s="68"/>
      <c r="H331" s="69"/>
      <c r="I331" s="69"/>
      <c r="J331" s="69"/>
      <c r="K331" s="69"/>
      <c r="L331" s="69"/>
      <c r="M331" s="69"/>
      <c r="N331" s="69"/>
      <c r="O331" s="69"/>
      <c r="P331" s="69"/>
      <c r="Q331" s="140">
        <f t="shared" si="70"/>
        <v>0</v>
      </c>
      <c r="R331" s="141">
        <f t="shared" si="71"/>
        <v>0</v>
      </c>
      <c r="S331" s="139"/>
      <c r="T331" s="139"/>
      <c r="U331" s="142">
        <v>0</v>
      </c>
      <c r="V331" s="142">
        <v>0</v>
      </c>
      <c r="W331" s="142"/>
      <c r="X331" s="139"/>
      <c r="Y331" s="136">
        <f>SUM(S331:X331)</f>
        <v>0</v>
      </c>
      <c r="Z331" s="136">
        <f>+Q331+Y331</f>
        <v>0</v>
      </c>
      <c r="AA331" s="137">
        <f>+D331-Z331</f>
        <v>0</v>
      </c>
    </row>
    <row r="332" spans="1:27" s="138" customFormat="1" ht="13.5" customHeight="1">
      <c r="A332" s="200" t="s">
        <v>81</v>
      </c>
      <c r="B332" s="203" t="s">
        <v>49</v>
      </c>
      <c r="C332" s="195" t="s">
        <v>50</v>
      </c>
      <c r="D332" s="67"/>
      <c r="E332" s="139"/>
      <c r="F332" s="13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140">
        <f t="shared" si="70"/>
        <v>0</v>
      </c>
      <c r="R332" s="141">
        <f t="shared" si="71"/>
        <v>0</v>
      </c>
      <c r="S332" s="139"/>
      <c r="T332" s="139"/>
      <c r="U332" s="142">
        <v>0</v>
      </c>
      <c r="V332" s="142">
        <v>0</v>
      </c>
      <c r="W332" s="142"/>
      <c r="X332" s="139"/>
      <c r="Y332" s="136">
        <f>SUM(S332:X332)</f>
        <v>0</v>
      </c>
      <c r="Z332" s="136">
        <f>+Q332+Y332</f>
        <v>0</v>
      </c>
      <c r="AA332" s="137">
        <f>+D332-Z332</f>
        <v>0</v>
      </c>
    </row>
    <row r="333" spans="1:27" s="138" customFormat="1" ht="13.5" customHeight="1">
      <c r="A333" s="200" t="s">
        <v>81</v>
      </c>
      <c r="B333" s="203" t="s">
        <v>51</v>
      </c>
      <c r="C333" s="195" t="s">
        <v>52</v>
      </c>
      <c r="D333" s="67"/>
      <c r="E333" s="139"/>
      <c r="F333" s="13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140">
        <f t="shared" si="70"/>
        <v>0</v>
      </c>
      <c r="R333" s="141">
        <f t="shared" si="71"/>
        <v>0</v>
      </c>
      <c r="S333" s="139"/>
      <c r="T333" s="139"/>
      <c r="U333" s="142">
        <v>0</v>
      </c>
      <c r="V333" s="142">
        <v>0</v>
      </c>
      <c r="W333" s="142"/>
      <c r="X333" s="139"/>
      <c r="Y333" s="136">
        <f>SUM(S333:X333)</f>
        <v>0</v>
      </c>
      <c r="Z333" s="136">
        <f>+Q333+Y333</f>
        <v>0</v>
      </c>
      <c r="AA333" s="137">
        <f>+D333-Z333</f>
        <v>0</v>
      </c>
    </row>
    <row r="334" spans="1:27" s="138" customFormat="1" ht="13.5" customHeight="1">
      <c r="A334" s="200" t="s">
        <v>81</v>
      </c>
      <c r="B334" s="203" t="s">
        <v>53</v>
      </c>
      <c r="C334" s="195" t="s">
        <v>54</v>
      </c>
      <c r="D334" s="67"/>
      <c r="E334" s="139"/>
      <c r="F334" s="13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140">
        <f t="shared" si="70"/>
        <v>0</v>
      </c>
      <c r="R334" s="141">
        <f t="shared" si="71"/>
        <v>0</v>
      </c>
      <c r="S334" s="139"/>
      <c r="T334" s="139"/>
      <c r="U334" s="142">
        <v>0</v>
      </c>
      <c r="V334" s="142">
        <v>0</v>
      </c>
      <c r="W334" s="142"/>
      <c r="X334" s="139"/>
      <c r="Y334" s="136">
        <f>SUM(S334:X334)</f>
        <v>0</v>
      </c>
      <c r="Z334" s="136">
        <f>+Q334+Y334</f>
        <v>0</v>
      </c>
      <c r="AA334" s="137">
        <f>+D334-Z334</f>
        <v>0</v>
      </c>
    </row>
    <row r="335" spans="1:27" s="138" customFormat="1" ht="13.5" customHeight="1">
      <c r="A335" s="200" t="s">
        <v>81</v>
      </c>
      <c r="B335" s="203" t="s">
        <v>55</v>
      </c>
      <c r="C335" s="195" t="s">
        <v>56</v>
      </c>
      <c r="D335" s="67"/>
      <c r="E335" s="139"/>
      <c r="F335" s="139"/>
      <c r="G335" s="68"/>
      <c r="H335" s="68"/>
      <c r="I335" s="68"/>
      <c r="J335" s="68"/>
      <c r="K335" s="68"/>
      <c r="L335" s="68"/>
      <c r="M335" s="68"/>
      <c r="N335" s="68"/>
      <c r="O335" s="68"/>
      <c r="P335" s="68"/>
      <c r="Q335" s="140">
        <f t="shared" si="70"/>
        <v>0</v>
      </c>
      <c r="R335" s="141">
        <f t="shared" si="71"/>
        <v>0</v>
      </c>
      <c r="S335" s="139"/>
      <c r="T335" s="139"/>
      <c r="U335" s="142">
        <v>0</v>
      </c>
      <c r="V335" s="142">
        <v>0</v>
      </c>
      <c r="W335" s="142"/>
      <c r="X335" s="139"/>
      <c r="Y335" s="136">
        <f>SUM(S335:X335)</f>
        <v>0</v>
      </c>
      <c r="Z335" s="136">
        <f>+Q335+Y335</f>
        <v>0</v>
      </c>
      <c r="AA335" s="137">
        <f>+D335-Z335</f>
        <v>0</v>
      </c>
    </row>
    <row r="336" spans="1:27" s="138" customFormat="1" ht="13.5" customHeight="1">
      <c r="A336" s="200" t="s">
        <v>81</v>
      </c>
      <c r="B336" s="203" t="s">
        <v>57</v>
      </c>
      <c r="C336" s="195" t="s">
        <v>58</v>
      </c>
      <c r="D336" s="67"/>
      <c r="E336" s="139"/>
      <c r="F336" s="139"/>
      <c r="G336" s="68"/>
      <c r="H336" s="68"/>
      <c r="I336" s="68"/>
      <c r="J336" s="68"/>
      <c r="K336" s="68"/>
      <c r="L336" s="68"/>
      <c r="M336" s="68"/>
      <c r="N336" s="68"/>
      <c r="O336" s="68"/>
      <c r="P336" s="68"/>
      <c r="Q336" s="140">
        <f t="shared" si="70"/>
        <v>0</v>
      </c>
      <c r="R336" s="141">
        <f t="shared" si="71"/>
        <v>0</v>
      </c>
      <c r="S336" s="139"/>
      <c r="T336" s="139"/>
      <c r="U336" s="142">
        <v>0</v>
      </c>
      <c r="V336" s="142">
        <v>0</v>
      </c>
      <c r="W336" s="142"/>
      <c r="X336" s="139"/>
      <c r="Y336" s="136">
        <f>SUM(S336:X336)</f>
        <v>0</v>
      </c>
      <c r="Z336" s="136">
        <f>+Q336+Y336</f>
        <v>0</v>
      </c>
      <c r="AA336" s="137">
        <f>+D336-Z336</f>
        <v>0</v>
      </c>
    </row>
    <row r="337" spans="1:27" s="138" customFormat="1" ht="13.5" customHeight="1">
      <c r="A337" s="200" t="s">
        <v>81</v>
      </c>
      <c r="B337" s="204" t="s">
        <v>59</v>
      </c>
      <c r="C337" s="197" t="s">
        <v>60</v>
      </c>
      <c r="D337" s="70"/>
      <c r="E337" s="143"/>
      <c r="F337" s="143"/>
      <c r="G337" s="71"/>
      <c r="H337" s="71"/>
      <c r="I337" s="71"/>
      <c r="J337" s="71"/>
      <c r="K337" s="71"/>
      <c r="L337" s="71"/>
      <c r="M337" s="71"/>
      <c r="N337" s="71"/>
      <c r="O337" s="71"/>
      <c r="P337" s="71"/>
      <c r="Q337" s="144">
        <f t="shared" si="70"/>
        <v>0</v>
      </c>
      <c r="R337" s="145">
        <f t="shared" si="71"/>
        <v>0</v>
      </c>
      <c r="S337" s="143"/>
      <c r="T337" s="143"/>
      <c r="U337" s="146">
        <v>0</v>
      </c>
      <c r="V337" s="146">
        <v>0</v>
      </c>
      <c r="W337" s="146"/>
      <c r="X337" s="143"/>
      <c r="Y337" s="136">
        <f>SUM(S337:X337)</f>
        <v>0</v>
      </c>
      <c r="Z337" s="136">
        <f>+Q337+Y337</f>
        <v>0</v>
      </c>
      <c r="AA337" s="137">
        <f>+D337-Z337</f>
        <v>0</v>
      </c>
    </row>
    <row r="338" spans="1:27" s="58" customFormat="1" ht="13.5" customHeight="1">
      <c r="A338" s="218" t="s">
        <v>82</v>
      </c>
      <c r="B338" s="219"/>
      <c r="C338" s="220"/>
      <c r="D338" s="54">
        <f t="shared" ref="D338:P338" si="72">SUBTOTAL(9,D6:D337)</f>
        <v>0</v>
      </c>
      <c r="E338" s="54">
        <f t="shared" si="72"/>
        <v>0</v>
      </c>
      <c r="F338" s="54">
        <f t="shared" si="72"/>
        <v>0</v>
      </c>
      <c r="G338" s="54">
        <f t="shared" si="72"/>
        <v>0</v>
      </c>
      <c r="H338" s="54">
        <f t="shared" ref="H338:N338" si="73">SUBTOTAL(9,H6:H337)</f>
        <v>0</v>
      </c>
      <c r="I338" s="54">
        <f t="shared" si="73"/>
        <v>0</v>
      </c>
      <c r="J338" s="54">
        <f t="shared" si="73"/>
        <v>0</v>
      </c>
      <c r="K338" s="54">
        <f t="shared" si="73"/>
        <v>0</v>
      </c>
      <c r="L338" s="54">
        <f t="shared" si="73"/>
        <v>0</v>
      </c>
      <c r="M338" s="54">
        <f t="shared" si="73"/>
        <v>0</v>
      </c>
      <c r="N338" s="54">
        <f t="shared" si="73"/>
        <v>0</v>
      </c>
      <c r="O338" s="54">
        <f t="shared" si="72"/>
        <v>0</v>
      </c>
      <c r="P338" s="54">
        <f t="shared" si="72"/>
        <v>0</v>
      </c>
      <c r="Q338" s="55">
        <f t="shared" si="70"/>
        <v>0</v>
      </c>
      <c r="R338" s="55"/>
      <c r="S338" s="54">
        <f t="shared" ref="S338:X338" si="74">SUBTOTAL(9,S6:S337)</f>
        <v>0</v>
      </c>
      <c r="T338" s="54">
        <f t="shared" si="74"/>
        <v>0</v>
      </c>
      <c r="U338" s="54">
        <f t="shared" si="74"/>
        <v>0</v>
      </c>
      <c r="V338" s="54">
        <f t="shared" si="74"/>
        <v>0</v>
      </c>
      <c r="W338" s="54">
        <f t="shared" si="74"/>
        <v>0</v>
      </c>
      <c r="X338" s="54">
        <f t="shared" si="74"/>
        <v>0</v>
      </c>
      <c r="Y338" s="125">
        <f>SUM(S338:X338)</f>
        <v>0</v>
      </c>
      <c r="Z338" s="126">
        <f>+Q338+Y338</f>
        <v>0</v>
      </c>
      <c r="AA338" s="127">
        <f>+D338-Z338</f>
        <v>0</v>
      </c>
    </row>
    <row r="340" spans="1:27">
      <c r="D340" s="29"/>
      <c r="E340" s="30"/>
      <c r="F340" s="31"/>
      <c r="Q340" s="32"/>
      <c r="R340" s="33"/>
      <c r="AA340" s="32"/>
    </row>
    <row r="341" spans="1:27">
      <c r="D341" s="34"/>
      <c r="R341" s="35"/>
    </row>
    <row r="342" spans="1:27">
      <c r="D342" s="62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</row>
    <row r="343" spans="1:27">
      <c r="D343" s="34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</row>
    <row r="344" spans="1:27">
      <c r="D344" s="34"/>
    </row>
    <row r="345" spans="1:27">
      <c r="D345" s="34"/>
    </row>
    <row r="346" spans="1:27">
      <c r="D346" s="34"/>
    </row>
    <row r="347" spans="1:27">
      <c r="D347" s="34"/>
    </row>
    <row r="348" spans="1:27">
      <c r="D348" s="34"/>
    </row>
  </sheetData>
  <sheetProtection formatCells="0" formatColumns="0" formatRows="0" insertColumns="0" insertRows="0" insertHyperlinks="0" deleteColumns="0" deleteRows="0" sort="0" autoFilter="0" pivotTables="0"/>
  <mergeCells count="15">
    <mergeCell ref="A338:C338"/>
    <mergeCell ref="Y4:Y5"/>
    <mergeCell ref="R4:R5"/>
    <mergeCell ref="Z4:Z5"/>
    <mergeCell ref="AA4:AA5"/>
    <mergeCell ref="A4:A5"/>
    <mergeCell ref="B4:B5"/>
    <mergeCell ref="C4:C5"/>
    <mergeCell ref="D4:D5"/>
    <mergeCell ref="E4:E5"/>
    <mergeCell ref="F4:F5"/>
    <mergeCell ref="S4:T4"/>
    <mergeCell ref="U4:V4"/>
    <mergeCell ref="X4:X5"/>
    <mergeCell ref="W4:W5"/>
  </mergeCells>
  <pageMargins left="0.70866141732282995" right="0.31496062992126" top="0.74803149606299002" bottom="0.35433070866142002" header="0.31496062992126" footer="0.31496062992126"/>
  <pageSetup paperSize="9" scale="6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Z77"/>
  <sheetViews>
    <sheetView workbookViewId="0">
      <selection activeCell="R1" sqref="R1:R1048576"/>
    </sheetView>
  </sheetViews>
  <sheetFormatPr baseColWidth="10" defaultColWidth="9.140625" defaultRowHeight="12.75"/>
  <cols>
    <col min="1" max="1" width="9.140625" customWidth="1"/>
    <col min="2" max="2" width="32" customWidth="1"/>
    <col min="3" max="3" width="10.5703125" customWidth="1"/>
    <col min="4" max="5" width="10.5703125" hidden="1" customWidth="1"/>
    <col min="15" max="15" width="10" customWidth="1"/>
    <col min="17" max="17" width="0" hidden="1" customWidth="1"/>
    <col min="18" max="18" width="10.5703125" customWidth="1"/>
    <col min="19" max="19" width="11.28515625" customWidth="1"/>
    <col min="20" max="20" width="9.28515625" customWidth="1"/>
    <col min="21" max="21" width="9.42578125" customWidth="1"/>
    <col min="22" max="22" width="9.140625" customWidth="1"/>
    <col min="23" max="23" width="8.42578125" customWidth="1"/>
    <col min="24" max="24" width="11.7109375" customWidth="1"/>
    <col min="25" max="25" width="12.7109375" customWidth="1"/>
    <col min="26" max="26" width="11.140625" customWidth="1"/>
  </cols>
  <sheetData>
    <row r="1" spans="1:26" ht="15.75" customHeight="1">
      <c r="A1" s="82" t="s">
        <v>83</v>
      </c>
      <c r="P1" s="1"/>
      <c r="Q1" s="1"/>
      <c r="Z1" s="1"/>
    </row>
    <row r="2" spans="1:26">
      <c r="P2" s="1"/>
      <c r="Q2" s="1"/>
      <c r="Z2" s="1"/>
    </row>
    <row r="3" spans="1:26" ht="33" customHeight="1">
      <c r="A3" s="227" t="s">
        <v>84</v>
      </c>
      <c r="B3" s="245"/>
      <c r="C3" s="231" t="s">
        <v>85</v>
      </c>
      <c r="D3" s="231" t="s">
        <v>5</v>
      </c>
      <c r="E3" s="231" t="s">
        <v>6</v>
      </c>
      <c r="F3" s="244" t="s">
        <v>7</v>
      </c>
      <c r="G3" s="240"/>
      <c r="H3" s="240"/>
      <c r="I3" s="240"/>
      <c r="J3" s="240"/>
      <c r="K3" s="240"/>
      <c r="L3" s="240"/>
      <c r="M3" s="240"/>
      <c r="N3" s="240"/>
      <c r="O3" s="240"/>
      <c r="P3" s="231" t="s">
        <v>82</v>
      </c>
      <c r="Q3" s="223" t="s">
        <v>8</v>
      </c>
      <c r="R3" s="240"/>
      <c r="S3" s="241"/>
      <c r="T3" s="235" t="s">
        <v>9</v>
      </c>
      <c r="U3" s="234"/>
      <c r="V3" s="237" t="s">
        <v>10</v>
      </c>
      <c r="W3" s="242" t="s">
        <v>11</v>
      </c>
      <c r="X3" s="231" t="s">
        <v>86</v>
      </c>
      <c r="Y3" s="231" t="s">
        <v>87</v>
      </c>
      <c r="Z3" s="231" t="s">
        <v>88</v>
      </c>
    </row>
    <row r="4" spans="1:26" ht="33" customHeight="1">
      <c r="A4" s="246"/>
      <c r="B4" s="247"/>
      <c r="C4" s="232"/>
      <c r="D4" s="232"/>
      <c r="E4" s="232"/>
      <c r="F4" s="83" t="s">
        <v>89</v>
      </c>
      <c r="G4" s="83" t="s">
        <v>90</v>
      </c>
      <c r="H4" s="217" t="s">
        <v>91</v>
      </c>
      <c r="I4" s="217" t="s">
        <v>92</v>
      </c>
      <c r="J4" s="217" t="s">
        <v>93</v>
      </c>
      <c r="K4" s="217" t="s">
        <v>94</v>
      </c>
      <c r="L4" s="217" t="s">
        <v>95</v>
      </c>
      <c r="M4" s="217" t="s">
        <v>96</v>
      </c>
      <c r="N4" s="217" t="s">
        <v>97</v>
      </c>
      <c r="O4" s="217" t="s">
        <v>133</v>
      </c>
      <c r="P4" s="239"/>
      <c r="Q4" s="224"/>
      <c r="R4" s="112" t="s">
        <v>129</v>
      </c>
      <c r="S4" s="112" t="s">
        <v>130</v>
      </c>
      <c r="T4" s="81">
        <v>276</v>
      </c>
      <c r="U4" s="81">
        <v>728</v>
      </c>
      <c r="V4" s="238"/>
      <c r="W4" s="243"/>
      <c r="X4" s="239"/>
      <c r="Y4" s="239"/>
      <c r="Z4" s="239"/>
    </row>
    <row r="5" spans="1:26" s="86" customFormat="1" ht="15.75" customHeight="1">
      <c r="A5" s="84" t="s">
        <v>99</v>
      </c>
      <c r="B5" s="117"/>
      <c r="C5" s="85">
        <f>SUBTOTAL(9,C6:C22)</f>
        <v>0</v>
      </c>
      <c r="D5" s="85">
        <f t="shared" ref="D5:P5" si="0">SUBTOTAL(9,D6:D22)</f>
        <v>0</v>
      </c>
      <c r="E5" s="85">
        <f t="shared" si="0"/>
        <v>0</v>
      </c>
      <c r="F5" s="85">
        <f t="shared" si="0"/>
        <v>0</v>
      </c>
      <c r="G5" s="85">
        <f t="shared" ref="G5:M5" si="1">SUBTOTAL(9,G6:G22)</f>
        <v>0</v>
      </c>
      <c r="H5" s="85">
        <f t="shared" si="1"/>
        <v>0</v>
      </c>
      <c r="I5" s="85">
        <f t="shared" si="1"/>
        <v>0</v>
      </c>
      <c r="J5" s="85">
        <f t="shared" si="1"/>
        <v>0</v>
      </c>
      <c r="K5" s="85">
        <f t="shared" si="1"/>
        <v>0</v>
      </c>
      <c r="L5" s="85">
        <f t="shared" si="1"/>
        <v>0</v>
      </c>
      <c r="M5" s="85">
        <f t="shared" si="1"/>
        <v>0</v>
      </c>
      <c r="N5" s="85">
        <f t="shared" si="0"/>
        <v>0</v>
      </c>
      <c r="O5" s="85">
        <f t="shared" si="0"/>
        <v>0</v>
      </c>
      <c r="P5" s="85">
        <f t="shared" si="0"/>
        <v>0</v>
      </c>
      <c r="Q5" s="64">
        <f t="shared" ref="Q5:Q36" si="2">C5-P5</f>
        <v>0</v>
      </c>
      <c r="R5" s="85">
        <f t="shared" ref="R5:Z5" si="3">SUBTOTAL(9,R6:R22)</f>
        <v>0</v>
      </c>
      <c r="S5" s="85">
        <f t="shared" si="3"/>
        <v>0</v>
      </c>
      <c r="T5" s="85">
        <f t="shared" si="3"/>
        <v>0</v>
      </c>
      <c r="U5" s="85">
        <f t="shared" si="3"/>
        <v>0</v>
      </c>
      <c r="V5" s="85">
        <f t="shared" si="3"/>
        <v>0</v>
      </c>
      <c r="W5" s="85">
        <f t="shared" si="3"/>
        <v>0</v>
      </c>
      <c r="X5" s="85">
        <f t="shared" si="3"/>
        <v>0</v>
      </c>
      <c r="Y5" s="85">
        <f t="shared" si="3"/>
        <v>0</v>
      </c>
      <c r="Z5" s="85">
        <f t="shared" si="3"/>
        <v>0</v>
      </c>
    </row>
    <row r="6" spans="1:26">
      <c r="A6" s="87" t="s">
        <v>29</v>
      </c>
      <c r="B6" s="113" t="s">
        <v>30</v>
      </c>
      <c r="C6" s="88">
        <f>'2.1meta'!D7+'2.1meta'!D24+'2.1meta'!D41+'2.1meta'!D58+'2.1meta'!D76+'2.1meta'!D93+'2.1meta'!D110+'2.1meta'!D127+'2.1meta'!D144+'2.1meta'!D161+'2.1meta'!D178+'2.1meta'!D288+'2.1meta'!D305+'2.1meta'!D322</f>
        <v>0</v>
      </c>
      <c r="D6" s="88">
        <f>'2.1meta'!E7+'2.1meta'!E24+'2.1meta'!E41+'2.1meta'!E58+'2.1meta'!E76+'2.1meta'!E93+'2.1meta'!E110+'2.1meta'!E127+'2.1meta'!E144+'2.1meta'!E161+'2.1meta'!E178+'2.1meta'!E288+'2.1meta'!E305+'2.1meta'!E322</f>
        <v>0</v>
      </c>
      <c r="E6" s="88">
        <f>'2.1meta'!F7+'2.1meta'!F24+'2.1meta'!F41+'2.1meta'!F58+'2.1meta'!F76+'2.1meta'!F93+'2.1meta'!F110+'2.1meta'!F127+'2.1meta'!F144+'2.1meta'!F161+'2.1meta'!F178+'2.1meta'!F288+'2.1meta'!F305+'2.1meta'!F322</f>
        <v>0</v>
      </c>
      <c r="F6" s="88">
        <f>'2.1meta'!G7+'2.1meta'!G24+'2.1meta'!G41+'2.1meta'!G58+'2.1meta'!G76+'2.1meta'!G93+'2.1meta'!G110+'2.1meta'!G127+'2.1meta'!G144+'2.1meta'!G161+'2.1meta'!G178+'2.1meta'!G288+'2.1meta'!G305+'2.1meta'!G322</f>
        <v>0</v>
      </c>
      <c r="G6" s="88">
        <f>'2.1meta'!H7+'2.1meta'!H24+'2.1meta'!H41+'2.1meta'!H58+'2.1meta'!H76+'2.1meta'!H93+'2.1meta'!H110+'2.1meta'!H127+'2.1meta'!H144+'2.1meta'!H161+'2.1meta'!H178+'2.1meta'!H288+'2.1meta'!H305+'2.1meta'!H322</f>
        <v>0</v>
      </c>
      <c r="H6" s="88">
        <f>'2.1meta'!I7+'2.1meta'!I24+'2.1meta'!I41+'2.1meta'!I58+'2.1meta'!I76+'2.1meta'!I93+'2.1meta'!I110+'2.1meta'!I127+'2.1meta'!I144+'2.1meta'!I161+'2.1meta'!I178+'2.1meta'!I288+'2.1meta'!I305+'2.1meta'!I322</f>
        <v>0</v>
      </c>
      <c r="I6" s="88">
        <f>'2.1meta'!J7+'2.1meta'!J24+'2.1meta'!J41+'2.1meta'!J58+'2.1meta'!J76+'2.1meta'!J93+'2.1meta'!J110+'2.1meta'!J127+'2.1meta'!J144+'2.1meta'!J161+'2.1meta'!J178+'2.1meta'!J288+'2.1meta'!J305+'2.1meta'!J322</f>
        <v>0</v>
      </c>
      <c r="J6" s="88">
        <f>'2.1meta'!K7+'2.1meta'!K24+'2.1meta'!K41+'2.1meta'!K58+'2.1meta'!K76+'2.1meta'!K93+'2.1meta'!K110+'2.1meta'!K127+'2.1meta'!K144+'2.1meta'!K161+'2.1meta'!K178+'2.1meta'!K288+'2.1meta'!K305+'2.1meta'!K322</f>
        <v>0</v>
      </c>
      <c r="K6" s="88">
        <f>'2.1meta'!L7+'2.1meta'!L24+'2.1meta'!L41+'2.1meta'!L58+'2.1meta'!L76+'2.1meta'!L93+'2.1meta'!L110+'2.1meta'!L127+'2.1meta'!L144+'2.1meta'!L161+'2.1meta'!L178+'2.1meta'!L288+'2.1meta'!L305+'2.1meta'!L322</f>
        <v>0</v>
      </c>
      <c r="L6" s="88">
        <f>'2.1meta'!M7+'2.1meta'!M24+'2.1meta'!M41+'2.1meta'!M58+'2.1meta'!M76+'2.1meta'!M93+'2.1meta'!M110+'2.1meta'!M127+'2.1meta'!M144+'2.1meta'!M161+'2.1meta'!M178+'2.1meta'!M288+'2.1meta'!M305+'2.1meta'!M322</f>
        <v>0</v>
      </c>
      <c r="M6" s="88">
        <f>'2.1meta'!N7+'2.1meta'!N24+'2.1meta'!N41+'2.1meta'!N58+'2.1meta'!N76+'2.1meta'!N93+'2.1meta'!N110+'2.1meta'!N127+'2.1meta'!N144+'2.1meta'!N161+'2.1meta'!N178+'2.1meta'!N288+'2.1meta'!N305+'2.1meta'!N322</f>
        <v>0</v>
      </c>
      <c r="N6" s="88">
        <f>'2.1meta'!O7+'2.1meta'!O24+'2.1meta'!O41+'2.1meta'!O58+'2.1meta'!O76+'2.1meta'!O93+'2.1meta'!O110+'2.1meta'!O127+'2.1meta'!O144+'2.1meta'!O161+'2.1meta'!O178+'2.1meta'!O288+'2.1meta'!O305+'2.1meta'!O322</f>
        <v>0</v>
      </c>
      <c r="O6" s="88">
        <f>'2.1meta'!P7+'2.1meta'!P24+'2.1meta'!P41+'2.1meta'!P58+'2.1meta'!P76+'2.1meta'!P93+'2.1meta'!P110+'2.1meta'!P127+'2.1meta'!P144+'2.1meta'!P161+'2.1meta'!P178+'2.1meta'!P288+'2.1meta'!P305+'2.1meta'!P322</f>
        <v>0</v>
      </c>
      <c r="P6" s="89">
        <f t="shared" ref="P6:P22" si="4">SUM(F6:O6)</f>
        <v>0</v>
      </c>
      <c r="Q6" s="111">
        <f>C6-P6</f>
        <v>0</v>
      </c>
      <c r="R6" s="88">
        <f>'2.1meta'!S7+'2.1meta'!S24+'2.1meta'!S41+'2.1meta'!S58+'2.1meta'!S76+'2.1meta'!S93+'2.1meta'!S110+'2.1meta'!S127+'2.1meta'!S144+'2.1meta'!S161+'2.1meta'!S178+'2.1meta'!S288+'2.1meta'!S305+'2.1meta'!S322</f>
        <v>0</v>
      </c>
      <c r="S6" s="88">
        <f>'2.1meta'!T7+'2.1meta'!T24+'2.1meta'!T41+'2.1meta'!T58+'2.1meta'!T76+'2.1meta'!T93+'2.1meta'!T110+'2.1meta'!T127+'2.1meta'!T144+'2.1meta'!T161+'2.1meta'!T178+'2.1meta'!T288+'2.1meta'!T305+'2.1meta'!T322</f>
        <v>0</v>
      </c>
      <c r="T6" s="88">
        <f>'2.1meta'!U7+'2.1meta'!U24+'2.1meta'!U41+'2.1meta'!U58+'2.1meta'!U76+'2.1meta'!U93+'2.1meta'!U110+'2.1meta'!U127+'2.1meta'!U144+'2.1meta'!U161+'2.1meta'!U178+'2.1meta'!U288+'2.1meta'!U305+'2.1meta'!U322</f>
        <v>0</v>
      </c>
      <c r="U6" s="88">
        <f>'2.1meta'!V7+'2.1meta'!V24+'2.1meta'!V41+'2.1meta'!V58+'2.1meta'!V76+'2.1meta'!V93+'2.1meta'!V110+'2.1meta'!V127+'2.1meta'!V144+'2.1meta'!V161+'2.1meta'!V178+'2.1meta'!V288+'2.1meta'!V305+'2.1meta'!V322</f>
        <v>0</v>
      </c>
      <c r="V6" s="88">
        <f>'2.1meta'!W7+'2.1meta'!W24+'2.1meta'!W41+'2.1meta'!W58+'2.1meta'!W76+'2.1meta'!W93+'2.1meta'!W110+'2.1meta'!W127+'2.1meta'!W144+'2.1meta'!W161+'2.1meta'!W178+'2.1meta'!W288+'2.1meta'!W305+'2.1meta'!W322</f>
        <v>0</v>
      </c>
      <c r="W6" s="88">
        <f>'2.1meta'!X7+'2.1meta'!X24+'2.1meta'!X41+'2.1meta'!X58+'2.1meta'!X76+'2.1meta'!X93+'2.1meta'!X110+'2.1meta'!X127+'2.1meta'!X144+'2.1meta'!X161+'2.1meta'!X178+'2.1meta'!X288+'2.1meta'!X305+'2.1meta'!X322</f>
        <v>0</v>
      </c>
      <c r="X6" s="90">
        <f>SUM(R6:W6)</f>
        <v>0</v>
      </c>
      <c r="Y6" s="91">
        <f>P6+X6</f>
        <v>0</v>
      </c>
      <c r="Z6" s="92">
        <f>C6-Y6</f>
        <v>0</v>
      </c>
    </row>
    <row r="7" spans="1:26">
      <c r="A7" s="93" t="s">
        <v>31</v>
      </c>
      <c r="B7" s="114" t="s">
        <v>100</v>
      </c>
      <c r="C7" s="88">
        <f>'2.1meta'!D8+'2.1meta'!D25+'2.1meta'!D42+'2.1meta'!D59+'2.1meta'!D77+'2.1meta'!D94+'2.1meta'!D111+'2.1meta'!D128+'2.1meta'!D145+'2.1meta'!D162+'2.1meta'!D179+'2.1meta'!D289+'2.1meta'!D306+'2.1meta'!D323</f>
        <v>0</v>
      </c>
      <c r="D7" s="88">
        <f>'2.1meta'!E8+'2.1meta'!E25+'2.1meta'!E42+'2.1meta'!E59+'2.1meta'!E77+'2.1meta'!E94+'2.1meta'!E111+'2.1meta'!E128+'2.1meta'!E145+'2.1meta'!E162+'2.1meta'!E179+'2.1meta'!E289+'2.1meta'!E306+'2.1meta'!E323</f>
        <v>0</v>
      </c>
      <c r="E7" s="88">
        <f>'2.1meta'!F8+'2.1meta'!F25+'2.1meta'!F42+'2.1meta'!F59+'2.1meta'!F77+'2.1meta'!F94+'2.1meta'!F111+'2.1meta'!F128+'2.1meta'!F145+'2.1meta'!F162+'2.1meta'!F179+'2.1meta'!F289+'2.1meta'!F306+'2.1meta'!F323</f>
        <v>0</v>
      </c>
      <c r="F7" s="88">
        <f>'2.1meta'!G8+'2.1meta'!G25+'2.1meta'!G42+'2.1meta'!G59+'2.1meta'!G77+'2.1meta'!G94+'2.1meta'!G111+'2.1meta'!G128+'2.1meta'!G145+'2.1meta'!G162+'2.1meta'!G179+'2.1meta'!G289+'2.1meta'!G306+'2.1meta'!G323</f>
        <v>0</v>
      </c>
      <c r="G7" s="88">
        <f>'2.1meta'!H8+'2.1meta'!H25+'2.1meta'!H42+'2.1meta'!H59+'2.1meta'!H77+'2.1meta'!H94+'2.1meta'!H111+'2.1meta'!H128+'2.1meta'!H145+'2.1meta'!H162+'2.1meta'!H179+'2.1meta'!H289+'2.1meta'!H306+'2.1meta'!H323</f>
        <v>0</v>
      </c>
      <c r="H7" s="88">
        <f>'2.1meta'!I8+'2.1meta'!I25+'2.1meta'!I42+'2.1meta'!I59+'2.1meta'!I77+'2.1meta'!I94+'2.1meta'!I111+'2.1meta'!I128+'2.1meta'!I145+'2.1meta'!I162+'2.1meta'!I179+'2.1meta'!I289+'2.1meta'!I306+'2.1meta'!I323</f>
        <v>0</v>
      </c>
      <c r="I7" s="88">
        <f>'2.1meta'!J8+'2.1meta'!J25+'2.1meta'!J42+'2.1meta'!J59+'2.1meta'!J77+'2.1meta'!J94+'2.1meta'!J111+'2.1meta'!J128+'2.1meta'!J145+'2.1meta'!J162+'2.1meta'!J179+'2.1meta'!J289+'2.1meta'!J306+'2.1meta'!J323</f>
        <v>0</v>
      </c>
      <c r="J7" s="88">
        <f>'2.1meta'!K8+'2.1meta'!K25+'2.1meta'!K42+'2.1meta'!K59+'2.1meta'!K77+'2.1meta'!K94+'2.1meta'!K111+'2.1meta'!K128+'2.1meta'!K145+'2.1meta'!K162+'2.1meta'!K179+'2.1meta'!K289+'2.1meta'!K306+'2.1meta'!K323</f>
        <v>0</v>
      </c>
      <c r="K7" s="88">
        <f>'2.1meta'!L8+'2.1meta'!L25+'2.1meta'!L42+'2.1meta'!L59+'2.1meta'!L77+'2.1meta'!L94+'2.1meta'!L111+'2.1meta'!L128+'2.1meta'!L145+'2.1meta'!L162+'2.1meta'!L179+'2.1meta'!L289+'2.1meta'!L306+'2.1meta'!L323</f>
        <v>0</v>
      </c>
      <c r="L7" s="88">
        <f>'2.1meta'!M8+'2.1meta'!M25+'2.1meta'!M42+'2.1meta'!M59+'2.1meta'!M77+'2.1meta'!M94+'2.1meta'!M111+'2.1meta'!M128+'2.1meta'!M145+'2.1meta'!M162+'2.1meta'!M179+'2.1meta'!M289+'2.1meta'!M306+'2.1meta'!M323</f>
        <v>0</v>
      </c>
      <c r="M7" s="88">
        <f>'2.1meta'!N8+'2.1meta'!N25+'2.1meta'!N42+'2.1meta'!N59+'2.1meta'!N77+'2.1meta'!N94+'2.1meta'!N111+'2.1meta'!N128+'2.1meta'!N145+'2.1meta'!N162+'2.1meta'!N179+'2.1meta'!N289+'2.1meta'!N306+'2.1meta'!N323</f>
        <v>0</v>
      </c>
      <c r="N7" s="88">
        <f>'2.1meta'!O8+'2.1meta'!O25+'2.1meta'!O42+'2.1meta'!O59+'2.1meta'!O77+'2.1meta'!O94+'2.1meta'!O111+'2.1meta'!O128+'2.1meta'!O145+'2.1meta'!O162+'2.1meta'!O179+'2.1meta'!O289+'2.1meta'!O306+'2.1meta'!O323</f>
        <v>0</v>
      </c>
      <c r="O7" s="88">
        <f>'2.1meta'!P8+'2.1meta'!P25+'2.1meta'!P42+'2.1meta'!P59+'2.1meta'!P77+'2.1meta'!P94+'2.1meta'!P111+'2.1meta'!P128+'2.1meta'!P145+'2.1meta'!P162+'2.1meta'!P179+'2.1meta'!P289+'2.1meta'!P306+'2.1meta'!P323</f>
        <v>0</v>
      </c>
      <c r="P7" s="89">
        <f t="shared" si="4"/>
        <v>0</v>
      </c>
      <c r="Q7" s="111">
        <f t="shared" si="2"/>
        <v>0</v>
      </c>
      <c r="R7" s="88">
        <f>'2.1meta'!S8+'2.1meta'!S25+'2.1meta'!S42+'2.1meta'!S59+'2.1meta'!S77+'2.1meta'!S94+'2.1meta'!S111+'2.1meta'!S128+'2.1meta'!S145+'2.1meta'!S162+'2.1meta'!S179+'2.1meta'!S289+'2.1meta'!S306+'2.1meta'!S323</f>
        <v>0</v>
      </c>
      <c r="S7" s="88">
        <f>'2.1meta'!T8+'2.1meta'!T25+'2.1meta'!T42+'2.1meta'!T59+'2.1meta'!T77+'2.1meta'!T94+'2.1meta'!T111+'2.1meta'!T128+'2.1meta'!T145+'2.1meta'!T162+'2.1meta'!T179+'2.1meta'!T289+'2.1meta'!T306+'2.1meta'!T323</f>
        <v>0</v>
      </c>
      <c r="T7" s="88">
        <f>'2.1meta'!U8+'2.1meta'!U25+'2.1meta'!U42+'2.1meta'!U59+'2.1meta'!U77+'2.1meta'!U94+'2.1meta'!U111+'2.1meta'!U128+'2.1meta'!U145+'2.1meta'!U162+'2.1meta'!U179+'2.1meta'!U289+'2.1meta'!U306+'2.1meta'!U323</f>
        <v>0</v>
      </c>
      <c r="U7" s="88">
        <f>'2.1meta'!V8+'2.1meta'!V25+'2.1meta'!V42+'2.1meta'!V59+'2.1meta'!V77+'2.1meta'!V94+'2.1meta'!V111+'2.1meta'!V128+'2.1meta'!V145+'2.1meta'!V162+'2.1meta'!V179+'2.1meta'!V289+'2.1meta'!V306+'2.1meta'!V323</f>
        <v>0</v>
      </c>
      <c r="V7" s="88">
        <f>'2.1meta'!W8+'2.1meta'!W25+'2.1meta'!W42+'2.1meta'!W59+'2.1meta'!W77+'2.1meta'!W94+'2.1meta'!W111+'2.1meta'!W128+'2.1meta'!W145+'2.1meta'!W162+'2.1meta'!W179+'2.1meta'!W289+'2.1meta'!W306+'2.1meta'!W323</f>
        <v>0</v>
      </c>
      <c r="W7" s="88">
        <f>'2.1meta'!X8+'2.1meta'!X25+'2.1meta'!X42+'2.1meta'!X59+'2.1meta'!X77+'2.1meta'!X94+'2.1meta'!X111+'2.1meta'!X128+'2.1meta'!X145+'2.1meta'!X162+'2.1meta'!X179+'2.1meta'!X289+'2.1meta'!X306+'2.1meta'!X323</f>
        <v>0</v>
      </c>
      <c r="X7" s="90">
        <f>SUM(R7:W7)</f>
        <v>0</v>
      </c>
      <c r="Y7" s="91">
        <f>P7+X7</f>
        <v>0</v>
      </c>
      <c r="Z7" s="92">
        <f>C7-Y7</f>
        <v>0</v>
      </c>
    </row>
    <row r="8" spans="1:26">
      <c r="A8" s="93" t="s">
        <v>33</v>
      </c>
      <c r="B8" s="114" t="s">
        <v>101</v>
      </c>
      <c r="C8" s="88">
        <f>'2.1meta'!D9+'2.1meta'!D26+'2.1meta'!D43+'2.1meta'!D60+'2.1meta'!D78+'2.1meta'!D95+'2.1meta'!D112+'2.1meta'!D129+'2.1meta'!D146+'2.1meta'!D163+'2.1meta'!D180+'2.1meta'!D290+'2.1meta'!D307+'2.1meta'!D324</f>
        <v>0</v>
      </c>
      <c r="D8" s="88">
        <f>'2.1meta'!E8+'2.1meta'!E25+'2.1meta'!E42+'2.1meta'!E60+'2.1meta'!E77+'2.1meta'!E94+'2.1meta'!E111+'2.1meta'!E128+'2.1meta'!E145+'2.1meta'!E162+'2.1meta'!E179+'2.1meta'!E289+'2.1meta'!E306+'2.1meta'!E323</f>
        <v>0</v>
      </c>
      <c r="E8" s="88">
        <f>'2.1meta'!F8+'2.1meta'!F25+'2.1meta'!F42+'2.1meta'!F60+'2.1meta'!F77+'2.1meta'!F94+'2.1meta'!F111+'2.1meta'!F128+'2.1meta'!F145+'2.1meta'!F162+'2.1meta'!F179+'2.1meta'!F289+'2.1meta'!F306+'2.1meta'!F323</f>
        <v>0</v>
      </c>
      <c r="F8" s="88">
        <f>'2.1meta'!G9+'2.1meta'!G26+'2.1meta'!G43+'2.1meta'!G60+'2.1meta'!G78+'2.1meta'!G95+'2.1meta'!G112+'2.1meta'!G129+'2.1meta'!G146+'2.1meta'!G163+'2.1meta'!G180+'2.1meta'!G290+'2.1meta'!G307+'2.1meta'!G324</f>
        <v>0</v>
      </c>
      <c r="G8" s="88">
        <f>'2.1meta'!H9+'2.1meta'!H26+'2.1meta'!H43+'2.1meta'!H60+'2.1meta'!H78+'2.1meta'!H95+'2.1meta'!H112+'2.1meta'!H129+'2.1meta'!H146+'2.1meta'!H163+'2.1meta'!H180+'2.1meta'!H290+'2.1meta'!H307+'2.1meta'!H324</f>
        <v>0</v>
      </c>
      <c r="H8" s="88">
        <f>'2.1meta'!I9+'2.1meta'!I26+'2.1meta'!I43+'2.1meta'!I60+'2.1meta'!I78+'2.1meta'!I95+'2.1meta'!I112+'2.1meta'!I129+'2.1meta'!I146+'2.1meta'!I163+'2.1meta'!I180+'2.1meta'!I290+'2.1meta'!I307+'2.1meta'!I324</f>
        <v>0</v>
      </c>
      <c r="I8" s="88">
        <f>'2.1meta'!J9+'2.1meta'!J26+'2.1meta'!J43+'2.1meta'!J60+'2.1meta'!J78+'2.1meta'!J95+'2.1meta'!J112+'2.1meta'!J129+'2.1meta'!J146+'2.1meta'!J163+'2.1meta'!J180+'2.1meta'!J290+'2.1meta'!J307+'2.1meta'!J324</f>
        <v>0</v>
      </c>
      <c r="J8" s="88">
        <f>'2.1meta'!K9+'2.1meta'!K26+'2.1meta'!K43+'2.1meta'!K60+'2.1meta'!K78+'2.1meta'!K95+'2.1meta'!K112+'2.1meta'!K129+'2.1meta'!K146+'2.1meta'!K163+'2.1meta'!K180+'2.1meta'!K290+'2.1meta'!K307+'2.1meta'!K324</f>
        <v>0</v>
      </c>
      <c r="K8" s="88">
        <f>'2.1meta'!L9+'2.1meta'!L26+'2.1meta'!L43+'2.1meta'!L60+'2.1meta'!L78+'2.1meta'!L95+'2.1meta'!L112+'2.1meta'!L129+'2.1meta'!L146+'2.1meta'!L163+'2.1meta'!L180+'2.1meta'!L290+'2.1meta'!L307+'2.1meta'!L324</f>
        <v>0</v>
      </c>
      <c r="L8" s="88">
        <f>'2.1meta'!M9+'2.1meta'!M26+'2.1meta'!M43+'2.1meta'!M60+'2.1meta'!M78+'2.1meta'!M95+'2.1meta'!M112+'2.1meta'!M129+'2.1meta'!M146+'2.1meta'!M163+'2.1meta'!M180+'2.1meta'!M290+'2.1meta'!M307+'2.1meta'!M324</f>
        <v>0</v>
      </c>
      <c r="M8" s="88">
        <f>'2.1meta'!N9+'2.1meta'!N26+'2.1meta'!N43+'2.1meta'!N60+'2.1meta'!N78+'2.1meta'!N95+'2.1meta'!N112+'2.1meta'!N129+'2.1meta'!N146+'2.1meta'!N163+'2.1meta'!N180+'2.1meta'!N290+'2.1meta'!N307+'2.1meta'!N324</f>
        <v>0</v>
      </c>
      <c r="N8" s="88">
        <f>'2.1meta'!O9+'2.1meta'!O26+'2.1meta'!O43+'2.1meta'!O60+'2.1meta'!O78+'2.1meta'!O95+'2.1meta'!O112+'2.1meta'!O129+'2.1meta'!O146+'2.1meta'!O163+'2.1meta'!O180+'2.1meta'!O290+'2.1meta'!O307+'2.1meta'!O324</f>
        <v>0</v>
      </c>
      <c r="O8" s="88">
        <f>'2.1meta'!P9+'2.1meta'!P26+'2.1meta'!P43+'2.1meta'!P60+'2.1meta'!P78+'2.1meta'!P95+'2.1meta'!P112+'2.1meta'!P129+'2.1meta'!P146+'2.1meta'!P163+'2.1meta'!P180+'2.1meta'!P290+'2.1meta'!P307+'2.1meta'!P324</f>
        <v>0</v>
      </c>
      <c r="P8" s="89">
        <f t="shared" si="4"/>
        <v>0</v>
      </c>
      <c r="Q8" s="111">
        <f t="shared" si="2"/>
        <v>0</v>
      </c>
      <c r="R8" s="88">
        <f>'2.1meta'!S9+'2.1meta'!S26+'2.1meta'!S43+'2.1meta'!S60+'2.1meta'!S78+'2.1meta'!S95+'2.1meta'!S112+'2.1meta'!S129+'2.1meta'!S146+'2.1meta'!S163+'2.1meta'!S180+'2.1meta'!S290+'2.1meta'!S307+'2.1meta'!S324</f>
        <v>0</v>
      </c>
      <c r="S8" s="88">
        <f>'2.1meta'!T9+'2.1meta'!T26+'2.1meta'!T43+'2.1meta'!T60+'2.1meta'!T78+'2.1meta'!T95+'2.1meta'!T112+'2.1meta'!T129+'2.1meta'!T146+'2.1meta'!T163+'2.1meta'!T180+'2.1meta'!T290+'2.1meta'!T307+'2.1meta'!T324</f>
        <v>0</v>
      </c>
      <c r="T8" s="88">
        <f>'2.1meta'!U9+'2.1meta'!U26+'2.1meta'!U43+'2.1meta'!U60+'2.1meta'!U78+'2.1meta'!U95+'2.1meta'!U112+'2.1meta'!U129+'2.1meta'!U146+'2.1meta'!U163+'2.1meta'!U180+'2.1meta'!U290+'2.1meta'!U307+'2.1meta'!U324</f>
        <v>0</v>
      </c>
      <c r="U8" s="88">
        <f>'2.1meta'!V9+'2.1meta'!V26+'2.1meta'!V43+'2.1meta'!V60+'2.1meta'!V78+'2.1meta'!V95+'2.1meta'!V112+'2.1meta'!V129+'2.1meta'!V146+'2.1meta'!V163+'2.1meta'!V180+'2.1meta'!V290+'2.1meta'!V307+'2.1meta'!V324</f>
        <v>0</v>
      </c>
      <c r="V8" s="88">
        <f>'2.1meta'!W9+'2.1meta'!W26+'2.1meta'!W43+'2.1meta'!W60+'2.1meta'!W78+'2.1meta'!W95+'2.1meta'!W112+'2.1meta'!W129+'2.1meta'!W146+'2.1meta'!W163+'2.1meta'!W180+'2.1meta'!W290+'2.1meta'!W307+'2.1meta'!W324</f>
        <v>0</v>
      </c>
      <c r="W8" s="88">
        <f>'2.1meta'!X9+'2.1meta'!X26+'2.1meta'!X43+'2.1meta'!X60+'2.1meta'!X78+'2.1meta'!X95+'2.1meta'!X112+'2.1meta'!X129+'2.1meta'!X146+'2.1meta'!X163+'2.1meta'!X180+'2.1meta'!X290+'2.1meta'!X307+'2.1meta'!X324</f>
        <v>0</v>
      </c>
      <c r="X8" s="90">
        <f>SUM(R8:W8)</f>
        <v>0</v>
      </c>
      <c r="Y8" s="91">
        <f>P8+X8</f>
        <v>0</v>
      </c>
      <c r="Z8" s="92">
        <f>C8-Y8</f>
        <v>0</v>
      </c>
    </row>
    <row r="9" spans="1:26">
      <c r="A9" s="93" t="s">
        <v>35</v>
      </c>
      <c r="B9" s="114" t="s">
        <v>36</v>
      </c>
      <c r="C9" s="88">
        <f>'2.1meta'!D10+'2.1meta'!D27+'2.1meta'!D44+'2.1meta'!D61+'2.1meta'!D79+'2.1meta'!D96+'2.1meta'!D113+'2.1meta'!D130+'2.1meta'!D147+'2.1meta'!D164+'2.1meta'!D181+'2.1meta'!D291+'2.1meta'!D308+'2.1meta'!D325</f>
        <v>0</v>
      </c>
      <c r="D9" s="88">
        <f>'2.1meta'!E9+'2.1meta'!E26+'2.1meta'!E43+'2.1meta'!E61+'2.1meta'!E78+'2.1meta'!E95+'2.1meta'!E112+'2.1meta'!E129+'2.1meta'!E146+'2.1meta'!E163+'2.1meta'!E180+'2.1meta'!E290+'2.1meta'!E307+'2.1meta'!E324</f>
        <v>0</v>
      </c>
      <c r="E9" s="88">
        <f>'2.1meta'!F9+'2.1meta'!F26+'2.1meta'!F43+'2.1meta'!F61+'2.1meta'!F78+'2.1meta'!F95+'2.1meta'!F112+'2.1meta'!F129+'2.1meta'!F146+'2.1meta'!F163+'2.1meta'!F180+'2.1meta'!F290+'2.1meta'!F307+'2.1meta'!F324</f>
        <v>0</v>
      </c>
      <c r="F9" s="88">
        <f>'2.1meta'!G10+'2.1meta'!G27+'2.1meta'!G44+'2.1meta'!G61+'2.1meta'!G79+'2.1meta'!G96+'2.1meta'!G113+'2.1meta'!G130+'2.1meta'!G147+'2.1meta'!G164+'2.1meta'!G181+'2.1meta'!G291+'2.1meta'!G308+'2.1meta'!G325</f>
        <v>0</v>
      </c>
      <c r="G9" s="88">
        <f>'2.1meta'!H10+'2.1meta'!H27+'2.1meta'!H44+'2.1meta'!H61+'2.1meta'!H79+'2.1meta'!H96+'2.1meta'!H113+'2.1meta'!H130+'2.1meta'!H147+'2.1meta'!H164+'2.1meta'!H181+'2.1meta'!H291+'2.1meta'!H308+'2.1meta'!H325</f>
        <v>0</v>
      </c>
      <c r="H9" s="88">
        <f>'2.1meta'!I10+'2.1meta'!I27+'2.1meta'!I44+'2.1meta'!I61+'2.1meta'!I79+'2.1meta'!I96+'2.1meta'!I113+'2.1meta'!I130+'2.1meta'!I147+'2.1meta'!I164+'2.1meta'!I181+'2.1meta'!I291+'2.1meta'!I308+'2.1meta'!I325</f>
        <v>0</v>
      </c>
      <c r="I9" s="88">
        <f>'2.1meta'!J10+'2.1meta'!J27+'2.1meta'!J44+'2.1meta'!J61+'2.1meta'!J79+'2.1meta'!J96+'2.1meta'!J113+'2.1meta'!J130+'2.1meta'!J147+'2.1meta'!J164+'2.1meta'!J181+'2.1meta'!J291+'2.1meta'!J308+'2.1meta'!J325</f>
        <v>0</v>
      </c>
      <c r="J9" s="88">
        <f>'2.1meta'!K10+'2.1meta'!K27+'2.1meta'!K44+'2.1meta'!K61+'2.1meta'!K79+'2.1meta'!K96+'2.1meta'!K113+'2.1meta'!K130+'2.1meta'!K147+'2.1meta'!K164+'2.1meta'!K181+'2.1meta'!K291+'2.1meta'!K308+'2.1meta'!K325</f>
        <v>0</v>
      </c>
      <c r="K9" s="88">
        <f>'2.1meta'!L10+'2.1meta'!L27+'2.1meta'!L44+'2.1meta'!L61+'2.1meta'!L79+'2.1meta'!L96+'2.1meta'!L113+'2.1meta'!L130+'2.1meta'!L147+'2.1meta'!L164+'2.1meta'!L181+'2.1meta'!L291+'2.1meta'!L308+'2.1meta'!L325</f>
        <v>0</v>
      </c>
      <c r="L9" s="88">
        <f>'2.1meta'!M10+'2.1meta'!M27+'2.1meta'!M44+'2.1meta'!M61+'2.1meta'!M79+'2.1meta'!M96+'2.1meta'!M113+'2.1meta'!M130+'2.1meta'!M147+'2.1meta'!M164+'2.1meta'!M181+'2.1meta'!M291+'2.1meta'!M308+'2.1meta'!M325</f>
        <v>0</v>
      </c>
      <c r="M9" s="88">
        <f>'2.1meta'!N10+'2.1meta'!N27+'2.1meta'!N44+'2.1meta'!N61+'2.1meta'!N79+'2.1meta'!N96+'2.1meta'!N113+'2.1meta'!N130+'2.1meta'!N147+'2.1meta'!N164+'2.1meta'!N181+'2.1meta'!N291+'2.1meta'!N308+'2.1meta'!N325</f>
        <v>0</v>
      </c>
      <c r="N9" s="88">
        <f>'2.1meta'!O10+'2.1meta'!O27+'2.1meta'!O44+'2.1meta'!O61+'2.1meta'!O79+'2.1meta'!O96+'2.1meta'!O113+'2.1meta'!O130+'2.1meta'!O147+'2.1meta'!O164+'2.1meta'!O181+'2.1meta'!O291+'2.1meta'!O308+'2.1meta'!O325</f>
        <v>0</v>
      </c>
      <c r="O9" s="88">
        <f>'2.1meta'!P10+'2.1meta'!P27+'2.1meta'!P44+'2.1meta'!P61+'2.1meta'!P79+'2.1meta'!P96+'2.1meta'!P113+'2.1meta'!P130+'2.1meta'!P147+'2.1meta'!P164+'2.1meta'!P181+'2.1meta'!P291+'2.1meta'!P308+'2.1meta'!P325</f>
        <v>0</v>
      </c>
      <c r="P9" s="89">
        <f t="shared" si="4"/>
        <v>0</v>
      </c>
      <c r="Q9" s="111">
        <f t="shared" si="2"/>
        <v>0</v>
      </c>
      <c r="R9" s="88">
        <f>'2.1meta'!S10+'2.1meta'!S27+'2.1meta'!S44+'2.1meta'!S61+'2.1meta'!S79+'2.1meta'!S96+'2.1meta'!S113+'2.1meta'!S130+'2.1meta'!S147+'2.1meta'!S164+'2.1meta'!S181+'2.1meta'!S291+'2.1meta'!S308+'2.1meta'!S325</f>
        <v>0</v>
      </c>
      <c r="S9" s="88">
        <f>'2.1meta'!T10+'2.1meta'!T27+'2.1meta'!T44+'2.1meta'!T61+'2.1meta'!T79+'2.1meta'!T96+'2.1meta'!T113+'2.1meta'!T130+'2.1meta'!T147+'2.1meta'!T164+'2.1meta'!T181+'2.1meta'!T291+'2.1meta'!T308+'2.1meta'!T325</f>
        <v>0</v>
      </c>
      <c r="T9" s="88">
        <f>'2.1meta'!U10+'2.1meta'!U27+'2.1meta'!U44+'2.1meta'!U61+'2.1meta'!U79+'2.1meta'!U96+'2.1meta'!U113+'2.1meta'!U130+'2.1meta'!U147+'2.1meta'!U164+'2.1meta'!U181+'2.1meta'!U291+'2.1meta'!U308+'2.1meta'!U325</f>
        <v>0</v>
      </c>
      <c r="U9" s="88">
        <f>'2.1meta'!V10+'2.1meta'!V27+'2.1meta'!V44+'2.1meta'!V61+'2.1meta'!V79+'2.1meta'!V96+'2.1meta'!V113+'2.1meta'!V130+'2.1meta'!V147+'2.1meta'!V164+'2.1meta'!V181+'2.1meta'!V291+'2.1meta'!V308+'2.1meta'!V325</f>
        <v>0</v>
      </c>
      <c r="V9" s="88">
        <f>'2.1meta'!W10+'2.1meta'!W27+'2.1meta'!W44+'2.1meta'!W61+'2.1meta'!W79+'2.1meta'!W96+'2.1meta'!W113+'2.1meta'!W130+'2.1meta'!W147+'2.1meta'!W164+'2.1meta'!W181+'2.1meta'!W291+'2.1meta'!W308+'2.1meta'!W325</f>
        <v>0</v>
      </c>
      <c r="W9" s="88">
        <f>'2.1meta'!X10+'2.1meta'!X27+'2.1meta'!X44+'2.1meta'!X61+'2.1meta'!X79+'2.1meta'!X96+'2.1meta'!X113+'2.1meta'!X130+'2.1meta'!X147+'2.1meta'!X164+'2.1meta'!X181+'2.1meta'!X291+'2.1meta'!X308+'2.1meta'!X325</f>
        <v>0</v>
      </c>
      <c r="X9" s="90">
        <f>SUM(R9:W9)</f>
        <v>0</v>
      </c>
      <c r="Y9" s="91">
        <f>P9+X9</f>
        <v>0</v>
      </c>
      <c r="Z9" s="92">
        <f>C9-Y9</f>
        <v>0</v>
      </c>
    </row>
    <row r="10" spans="1:26" ht="13.5" customHeight="1">
      <c r="A10" s="93" t="s">
        <v>64</v>
      </c>
      <c r="B10" s="115" t="s">
        <v>65</v>
      </c>
      <c r="C10" s="88">
        <f>'2.1meta'!D62</f>
        <v>0</v>
      </c>
      <c r="D10" s="88">
        <f>'2.1meta'!E10+'2.1meta'!E27+'2.1meta'!E44+'2.1meta'!E62+'2.1meta'!E79+'2.1meta'!E96+'2.1meta'!E113+'2.1meta'!E130+'2.1meta'!E147+'2.1meta'!E164+'2.1meta'!E181+'2.1meta'!E291+'2.1meta'!E308+'2.1meta'!E325</f>
        <v>0</v>
      </c>
      <c r="E10" s="88">
        <f>'2.1meta'!F10+'2.1meta'!F27+'2.1meta'!F44+'2.1meta'!F62+'2.1meta'!F79+'2.1meta'!F96+'2.1meta'!F113+'2.1meta'!F130+'2.1meta'!F147+'2.1meta'!F164+'2.1meta'!F181+'2.1meta'!F291+'2.1meta'!F308+'2.1meta'!F325</f>
        <v>0</v>
      </c>
      <c r="F10" s="88">
        <f>'2.1meta'!G62</f>
        <v>0</v>
      </c>
      <c r="G10" s="88">
        <f>'2.1meta'!H62</f>
        <v>0</v>
      </c>
      <c r="H10" s="88">
        <f>'2.1meta'!I62</f>
        <v>0</v>
      </c>
      <c r="I10" s="88">
        <f>'2.1meta'!J62</f>
        <v>0</v>
      </c>
      <c r="J10" s="88">
        <f>'2.1meta'!K62</f>
        <v>0</v>
      </c>
      <c r="K10" s="88">
        <f>'2.1meta'!L62</f>
        <v>0</v>
      </c>
      <c r="L10" s="88">
        <f>'2.1meta'!M62</f>
        <v>0</v>
      </c>
      <c r="M10" s="88">
        <f>'2.1meta'!N62</f>
        <v>0</v>
      </c>
      <c r="N10" s="88">
        <f>'2.1meta'!O62</f>
        <v>0</v>
      </c>
      <c r="O10" s="88">
        <f>'2.1meta'!P62</f>
        <v>0</v>
      </c>
      <c r="P10" s="89">
        <f t="shared" si="4"/>
        <v>0</v>
      </c>
      <c r="Q10" s="111">
        <f t="shared" si="2"/>
        <v>0</v>
      </c>
      <c r="R10" s="88">
        <f>'2.1meta'!S62</f>
        <v>0</v>
      </c>
      <c r="S10" s="88">
        <f>'2.1meta'!T62</f>
        <v>0</v>
      </c>
      <c r="T10" s="88">
        <f>'2.1meta'!U62</f>
        <v>0</v>
      </c>
      <c r="U10" s="88">
        <f>'2.1meta'!V62</f>
        <v>0</v>
      </c>
      <c r="V10" s="88">
        <f>'2.1meta'!W62</f>
        <v>0</v>
      </c>
      <c r="W10" s="88">
        <f>'2.1meta'!X62</f>
        <v>0</v>
      </c>
      <c r="X10" s="90">
        <f>SUM(R10:W10)</f>
        <v>0</v>
      </c>
      <c r="Y10" s="91">
        <f>P10+X10</f>
        <v>0</v>
      </c>
      <c r="Z10" s="92">
        <f>C10-Y10</f>
        <v>0</v>
      </c>
    </row>
    <row r="11" spans="1:26">
      <c r="A11" s="93" t="s">
        <v>37</v>
      </c>
      <c r="B11" s="114" t="s">
        <v>38</v>
      </c>
      <c r="C11" s="88">
        <f>'2.1meta'!D11+'2.1meta'!D28+'2.1meta'!D45+'2.1meta'!D63+'2.1meta'!D80+'2.1meta'!D97+'2.1meta'!D114+'2.1meta'!D131+'2.1meta'!D148+'2.1meta'!D165+'2.1meta'!D182+'2.1meta'!D292+'2.1meta'!D309+'2.1meta'!D326</f>
        <v>0</v>
      </c>
      <c r="D11" s="88">
        <f>'2.1meta'!E11+'2.1meta'!E28+'2.1meta'!E45+'2.1meta'!E63+'2.1meta'!E80+'2.1meta'!E97+'2.1meta'!E114+'2.1meta'!E131+'2.1meta'!E148+'2.1meta'!E165+'2.1meta'!E182+'2.1meta'!E292+'2.1meta'!E309+'2.1meta'!E326</f>
        <v>0</v>
      </c>
      <c r="E11" s="88">
        <f>'2.1meta'!F11+'2.1meta'!F28+'2.1meta'!F45+'2.1meta'!F63+'2.1meta'!F80+'2.1meta'!F97+'2.1meta'!F114+'2.1meta'!F131+'2.1meta'!F148+'2.1meta'!F165+'2.1meta'!F182+'2.1meta'!F292+'2.1meta'!F309+'2.1meta'!F326</f>
        <v>0</v>
      </c>
      <c r="F11" s="88">
        <f>'2.1meta'!G11+'2.1meta'!G28+'2.1meta'!G45+'2.1meta'!G63+'2.1meta'!G80+'2.1meta'!G97+'2.1meta'!G114+'2.1meta'!G131+'2.1meta'!G148+'2.1meta'!G165+'2.1meta'!G182+'2.1meta'!G292+'2.1meta'!G309+'2.1meta'!G326</f>
        <v>0</v>
      </c>
      <c r="G11" s="88">
        <f>'2.1meta'!H11+'2.1meta'!H28+'2.1meta'!H45+'2.1meta'!H63+'2.1meta'!H80+'2.1meta'!H97+'2.1meta'!H114+'2.1meta'!H131+'2.1meta'!H148+'2.1meta'!H165+'2.1meta'!H182+'2.1meta'!H292+'2.1meta'!H309+'2.1meta'!H326</f>
        <v>0</v>
      </c>
      <c r="H11" s="88">
        <f>'2.1meta'!I11+'2.1meta'!I28+'2.1meta'!I45+'2.1meta'!I63+'2.1meta'!I80+'2.1meta'!I97+'2.1meta'!I114+'2.1meta'!I131+'2.1meta'!I148+'2.1meta'!I165+'2.1meta'!I182+'2.1meta'!I292+'2.1meta'!I309+'2.1meta'!I326</f>
        <v>0</v>
      </c>
      <c r="I11" s="88">
        <f>'2.1meta'!J11+'2.1meta'!J28+'2.1meta'!J45+'2.1meta'!J63+'2.1meta'!J80+'2.1meta'!J97+'2.1meta'!J114+'2.1meta'!J131+'2.1meta'!J148+'2.1meta'!J165+'2.1meta'!J182+'2.1meta'!J292+'2.1meta'!J309+'2.1meta'!J326</f>
        <v>0</v>
      </c>
      <c r="J11" s="88">
        <f>'2.1meta'!K11+'2.1meta'!K28+'2.1meta'!K45+'2.1meta'!K63+'2.1meta'!K80+'2.1meta'!K97+'2.1meta'!K114+'2.1meta'!K131+'2.1meta'!K148+'2.1meta'!K165+'2.1meta'!K182+'2.1meta'!K292+'2.1meta'!K309+'2.1meta'!K326</f>
        <v>0</v>
      </c>
      <c r="K11" s="88">
        <f>'2.1meta'!L11+'2.1meta'!L28+'2.1meta'!L45+'2.1meta'!L63+'2.1meta'!L80+'2.1meta'!L97+'2.1meta'!L114+'2.1meta'!L131+'2.1meta'!L148+'2.1meta'!L165+'2.1meta'!L182+'2.1meta'!L292+'2.1meta'!L309+'2.1meta'!L326</f>
        <v>0</v>
      </c>
      <c r="L11" s="88">
        <f>'2.1meta'!M11+'2.1meta'!M28+'2.1meta'!M45+'2.1meta'!M63+'2.1meta'!M80+'2.1meta'!M97+'2.1meta'!M114+'2.1meta'!M131+'2.1meta'!M148+'2.1meta'!M165+'2.1meta'!M182+'2.1meta'!M292+'2.1meta'!M309+'2.1meta'!M326</f>
        <v>0</v>
      </c>
      <c r="M11" s="88">
        <f>'2.1meta'!N11+'2.1meta'!N28+'2.1meta'!N45+'2.1meta'!N63+'2.1meta'!N80+'2.1meta'!N97+'2.1meta'!N114+'2.1meta'!N131+'2.1meta'!N148+'2.1meta'!N165+'2.1meta'!N182+'2.1meta'!N292+'2.1meta'!N309+'2.1meta'!N326</f>
        <v>0</v>
      </c>
      <c r="N11" s="88">
        <f>'2.1meta'!O11+'2.1meta'!O28+'2.1meta'!O45+'2.1meta'!O63+'2.1meta'!O80+'2.1meta'!O97+'2.1meta'!O114+'2.1meta'!O131+'2.1meta'!O148+'2.1meta'!O165+'2.1meta'!O182+'2.1meta'!O292+'2.1meta'!O309+'2.1meta'!O326</f>
        <v>0</v>
      </c>
      <c r="O11" s="88">
        <f>'2.1meta'!P11+'2.1meta'!P28+'2.1meta'!P45+'2.1meta'!P63+'2.1meta'!P80+'2.1meta'!P97+'2.1meta'!P114+'2.1meta'!P131+'2.1meta'!P148+'2.1meta'!P165+'2.1meta'!P182+'2.1meta'!P292+'2.1meta'!P309+'2.1meta'!P326</f>
        <v>0</v>
      </c>
      <c r="P11" s="89">
        <f t="shared" si="4"/>
        <v>0</v>
      </c>
      <c r="Q11" s="111">
        <f t="shared" si="2"/>
        <v>0</v>
      </c>
      <c r="R11" s="88">
        <f>'2.1meta'!S11+'2.1meta'!S28+'2.1meta'!S45+'2.1meta'!S63+'2.1meta'!S80+'2.1meta'!S97+'2.1meta'!S114+'2.1meta'!S131+'2.1meta'!S148+'2.1meta'!S165+'2.1meta'!S182+'2.1meta'!S292+'2.1meta'!S309+'2.1meta'!S326</f>
        <v>0</v>
      </c>
      <c r="S11" s="88">
        <f>'2.1meta'!T11+'2.1meta'!T28+'2.1meta'!T45+'2.1meta'!T63+'2.1meta'!T80+'2.1meta'!T97+'2.1meta'!T114+'2.1meta'!T131+'2.1meta'!T148+'2.1meta'!T165+'2.1meta'!T182+'2.1meta'!T292+'2.1meta'!T309+'2.1meta'!T326</f>
        <v>0</v>
      </c>
      <c r="T11" s="88">
        <f>'2.1meta'!U11+'2.1meta'!U28+'2.1meta'!U45+'2.1meta'!U63+'2.1meta'!U80+'2.1meta'!U97+'2.1meta'!U114+'2.1meta'!U131+'2.1meta'!U148+'2.1meta'!U165+'2.1meta'!U182+'2.1meta'!U292+'2.1meta'!U309+'2.1meta'!U326</f>
        <v>0</v>
      </c>
      <c r="U11" s="88">
        <f>'2.1meta'!V11+'2.1meta'!V28+'2.1meta'!V45+'2.1meta'!V63+'2.1meta'!V80+'2.1meta'!V97+'2.1meta'!V114+'2.1meta'!V131+'2.1meta'!V148+'2.1meta'!V165+'2.1meta'!V182+'2.1meta'!V292+'2.1meta'!V309+'2.1meta'!V326</f>
        <v>0</v>
      </c>
      <c r="V11" s="88">
        <f>'2.1meta'!W11+'2.1meta'!W28+'2.1meta'!W45+'2.1meta'!W63+'2.1meta'!W80+'2.1meta'!W97+'2.1meta'!W114+'2.1meta'!W131+'2.1meta'!W148+'2.1meta'!W165+'2.1meta'!W182+'2.1meta'!W292+'2.1meta'!W309+'2.1meta'!W326</f>
        <v>0</v>
      </c>
      <c r="W11" s="88">
        <f>'2.1meta'!X11+'2.1meta'!X28+'2.1meta'!X45+'2.1meta'!X63+'2.1meta'!X80+'2.1meta'!X97+'2.1meta'!X114+'2.1meta'!X131+'2.1meta'!X148+'2.1meta'!X165+'2.1meta'!X182+'2.1meta'!X292+'2.1meta'!X309+'2.1meta'!X326</f>
        <v>0</v>
      </c>
      <c r="X11" s="90">
        <f>SUM(R11:W11)</f>
        <v>0</v>
      </c>
      <c r="Y11" s="91">
        <f>P11+X11</f>
        <v>0</v>
      </c>
      <c r="Z11" s="92">
        <f>C11-Y11</f>
        <v>0</v>
      </c>
    </row>
    <row r="12" spans="1:26">
      <c r="A12" s="93" t="s">
        <v>39</v>
      </c>
      <c r="B12" s="114" t="s">
        <v>40</v>
      </c>
      <c r="C12" s="88">
        <f>'2.1meta'!D12+'2.1meta'!D29+'2.1meta'!D46+'2.1meta'!D64+'2.1meta'!D81+'2.1meta'!D98+'2.1meta'!D115+'2.1meta'!D132+'2.1meta'!D149+'2.1meta'!D166+'2.1meta'!D183+'2.1meta'!D293+'2.1meta'!D310+'2.1meta'!D327</f>
        <v>0</v>
      </c>
      <c r="D12" s="88">
        <f>'2.1meta'!E12+'2.1meta'!E29+'2.1meta'!E46+'2.1meta'!E64+'2.1meta'!E81+'2.1meta'!E98+'2.1meta'!E115+'2.1meta'!E132+'2.1meta'!E149+'2.1meta'!E166+'2.1meta'!E183+'2.1meta'!E293+'2.1meta'!E310+'2.1meta'!E327</f>
        <v>0</v>
      </c>
      <c r="E12" s="88">
        <f>'2.1meta'!F12+'2.1meta'!F29+'2.1meta'!F46+'2.1meta'!F64+'2.1meta'!F81+'2.1meta'!F98+'2.1meta'!F115+'2.1meta'!F132+'2.1meta'!F149+'2.1meta'!F166+'2.1meta'!F183+'2.1meta'!F293+'2.1meta'!F310+'2.1meta'!F327</f>
        <v>0</v>
      </c>
      <c r="F12" s="88">
        <f>'2.1meta'!G12+'2.1meta'!G29+'2.1meta'!G46+'2.1meta'!G64+'2.1meta'!G81+'2.1meta'!G98+'2.1meta'!G115+'2.1meta'!G132+'2.1meta'!G149+'2.1meta'!G166+'2.1meta'!G183+'2.1meta'!G293+'2.1meta'!G310+'2.1meta'!G327</f>
        <v>0</v>
      </c>
      <c r="G12" s="88">
        <f>'2.1meta'!H12+'2.1meta'!H29+'2.1meta'!H46+'2.1meta'!H64+'2.1meta'!H81+'2.1meta'!H98+'2.1meta'!H115+'2.1meta'!H132+'2.1meta'!H149+'2.1meta'!H166+'2.1meta'!H183+'2.1meta'!H293+'2.1meta'!H310+'2.1meta'!H327</f>
        <v>0</v>
      </c>
      <c r="H12" s="88">
        <f>'2.1meta'!I12+'2.1meta'!I29+'2.1meta'!I46+'2.1meta'!I64+'2.1meta'!I81+'2.1meta'!I98+'2.1meta'!I115+'2.1meta'!I132+'2.1meta'!I149+'2.1meta'!I166+'2.1meta'!I183+'2.1meta'!I293+'2.1meta'!I310+'2.1meta'!I327</f>
        <v>0</v>
      </c>
      <c r="I12" s="88">
        <f>'2.1meta'!J12+'2.1meta'!J29+'2.1meta'!J46+'2.1meta'!J64+'2.1meta'!J81+'2.1meta'!J98+'2.1meta'!J115+'2.1meta'!J132+'2.1meta'!J149+'2.1meta'!J166+'2.1meta'!J183+'2.1meta'!J293+'2.1meta'!J310+'2.1meta'!J327</f>
        <v>0</v>
      </c>
      <c r="J12" s="88">
        <f>'2.1meta'!K12+'2.1meta'!K29+'2.1meta'!K46+'2.1meta'!K64+'2.1meta'!K81+'2.1meta'!K98+'2.1meta'!K115+'2.1meta'!K132+'2.1meta'!K149+'2.1meta'!K166+'2.1meta'!K183+'2.1meta'!K293+'2.1meta'!K310+'2.1meta'!K327</f>
        <v>0</v>
      </c>
      <c r="K12" s="88">
        <f>'2.1meta'!L12+'2.1meta'!L29+'2.1meta'!L46+'2.1meta'!L64+'2.1meta'!L81+'2.1meta'!L98+'2.1meta'!L115+'2.1meta'!L132+'2.1meta'!L149+'2.1meta'!L166+'2.1meta'!L183+'2.1meta'!L293+'2.1meta'!L310+'2.1meta'!L327</f>
        <v>0</v>
      </c>
      <c r="L12" s="88">
        <f>'2.1meta'!M12+'2.1meta'!M29+'2.1meta'!M46+'2.1meta'!M64+'2.1meta'!M81+'2.1meta'!M98+'2.1meta'!M115+'2.1meta'!M132+'2.1meta'!M149+'2.1meta'!M166+'2.1meta'!M183+'2.1meta'!M293+'2.1meta'!M310+'2.1meta'!M327</f>
        <v>0</v>
      </c>
      <c r="M12" s="88">
        <f>'2.1meta'!N12+'2.1meta'!N29+'2.1meta'!N46+'2.1meta'!N64+'2.1meta'!N81+'2.1meta'!N98+'2.1meta'!N115+'2.1meta'!N132+'2.1meta'!N149+'2.1meta'!N166+'2.1meta'!N183+'2.1meta'!N293+'2.1meta'!N310+'2.1meta'!N327</f>
        <v>0</v>
      </c>
      <c r="N12" s="88">
        <f>'2.1meta'!O12+'2.1meta'!O29+'2.1meta'!O46+'2.1meta'!O64+'2.1meta'!O81+'2.1meta'!O98+'2.1meta'!O115+'2.1meta'!O132+'2.1meta'!O149+'2.1meta'!O166+'2.1meta'!O183+'2.1meta'!O293+'2.1meta'!O310+'2.1meta'!O327</f>
        <v>0</v>
      </c>
      <c r="O12" s="88">
        <f>'2.1meta'!P12+'2.1meta'!P29+'2.1meta'!P46+'2.1meta'!P64+'2.1meta'!P81+'2.1meta'!P98+'2.1meta'!P115+'2.1meta'!P132+'2.1meta'!P149+'2.1meta'!P166+'2.1meta'!P183+'2.1meta'!P293+'2.1meta'!P310+'2.1meta'!P327</f>
        <v>0</v>
      </c>
      <c r="P12" s="89">
        <f t="shared" si="4"/>
        <v>0</v>
      </c>
      <c r="Q12" s="111">
        <f t="shared" si="2"/>
        <v>0</v>
      </c>
      <c r="R12" s="88">
        <f>'2.1meta'!S12+'2.1meta'!S29+'2.1meta'!S46+'2.1meta'!S64+'2.1meta'!S81+'2.1meta'!S98+'2.1meta'!S115+'2.1meta'!S132+'2.1meta'!S149+'2.1meta'!S166+'2.1meta'!S183+'2.1meta'!S293+'2.1meta'!S310+'2.1meta'!S327</f>
        <v>0</v>
      </c>
      <c r="S12" s="88">
        <f>'2.1meta'!T12+'2.1meta'!T29+'2.1meta'!T46+'2.1meta'!T64+'2.1meta'!T81+'2.1meta'!T98+'2.1meta'!T115+'2.1meta'!T132+'2.1meta'!T149+'2.1meta'!T166+'2.1meta'!T183+'2.1meta'!T293+'2.1meta'!T310+'2.1meta'!T327</f>
        <v>0</v>
      </c>
      <c r="T12" s="88">
        <f>'2.1meta'!U12+'2.1meta'!U29+'2.1meta'!U46+'2.1meta'!U64+'2.1meta'!U81+'2.1meta'!U98+'2.1meta'!U115+'2.1meta'!U132+'2.1meta'!U149+'2.1meta'!U166+'2.1meta'!U183+'2.1meta'!U293+'2.1meta'!U310+'2.1meta'!U327</f>
        <v>0</v>
      </c>
      <c r="U12" s="88">
        <f>'2.1meta'!V12+'2.1meta'!V29+'2.1meta'!V46+'2.1meta'!V64+'2.1meta'!V81+'2.1meta'!V98+'2.1meta'!V115+'2.1meta'!V132+'2.1meta'!V149+'2.1meta'!V166+'2.1meta'!V183+'2.1meta'!V293+'2.1meta'!V310+'2.1meta'!V327</f>
        <v>0</v>
      </c>
      <c r="V12" s="88">
        <f>'2.1meta'!W12+'2.1meta'!W29+'2.1meta'!W46+'2.1meta'!W64+'2.1meta'!W81+'2.1meta'!W98+'2.1meta'!W115+'2.1meta'!W132+'2.1meta'!W149+'2.1meta'!W166+'2.1meta'!W183+'2.1meta'!W293+'2.1meta'!W310+'2.1meta'!W327</f>
        <v>0</v>
      </c>
      <c r="W12" s="88">
        <f>'2.1meta'!X13+'2.1meta'!X30+'2.1meta'!X47+'2.1meta'!X64+'2.1meta'!X82+'2.1meta'!X99+'2.1meta'!X116+'2.1meta'!X133+'2.1meta'!X150+'2.1meta'!X167+'2.1meta'!X184+'2.1meta'!X294+'2.1meta'!X311+'2.1meta'!X328</f>
        <v>0</v>
      </c>
      <c r="X12" s="90">
        <f>SUM(R12:W12)</f>
        <v>0</v>
      </c>
      <c r="Y12" s="91">
        <f>P12+X12</f>
        <v>0</v>
      </c>
      <c r="Z12" s="92">
        <f>C12-Y12</f>
        <v>0</v>
      </c>
    </row>
    <row r="13" spans="1:26">
      <c r="A13" s="93" t="s">
        <v>41</v>
      </c>
      <c r="B13" s="114" t="s">
        <v>42</v>
      </c>
      <c r="C13" s="88">
        <f>'2.1meta'!D13+'2.1meta'!D30+'2.1meta'!D47+'2.1meta'!D65+'2.1meta'!D82+'2.1meta'!D99+'2.1meta'!D116+'2.1meta'!D133+'2.1meta'!D150+'2.1meta'!D167+'2.1meta'!D184+'2.1meta'!D294+'2.1meta'!D311+'2.1meta'!D328</f>
        <v>0</v>
      </c>
      <c r="D13" s="88">
        <f>'2.1meta'!E13+'2.1meta'!E30+'2.1meta'!E47+'2.1meta'!E65+'2.1meta'!E82+'2.1meta'!E99+'2.1meta'!E116+'2.1meta'!E133+'2.1meta'!E150+'2.1meta'!E167+'2.1meta'!E184+'2.1meta'!E294+'2.1meta'!E311+'2.1meta'!E328</f>
        <v>0</v>
      </c>
      <c r="E13" s="88">
        <f>'2.1meta'!F13+'2.1meta'!F30+'2.1meta'!F47+'2.1meta'!F65+'2.1meta'!F82+'2.1meta'!F99+'2.1meta'!F116+'2.1meta'!F133+'2.1meta'!F150+'2.1meta'!F167+'2.1meta'!F184+'2.1meta'!F294+'2.1meta'!F311+'2.1meta'!F328</f>
        <v>0</v>
      </c>
      <c r="F13" s="88">
        <f>'2.1meta'!G13+'2.1meta'!G30+'2.1meta'!G47+'2.1meta'!G65+'2.1meta'!G82+'2.1meta'!G99+'2.1meta'!G116+'2.1meta'!G133+'2.1meta'!G150+'2.1meta'!G167+'2.1meta'!G184+'2.1meta'!G294+'2.1meta'!G311+'2.1meta'!G328</f>
        <v>0</v>
      </c>
      <c r="G13" s="88">
        <f>'2.1meta'!H13+'2.1meta'!H30+'2.1meta'!H47+'2.1meta'!H65+'2.1meta'!H82+'2.1meta'!H99+'2.1meta'!H116+'2.1meta'!H133+'2.1meta'!H150+'2.1meta'!H167+'2.1meta'!H184+'2.1meta'!H294+'2.1meta'!H311+'2.1meta'!H328</f>
        <v>0</v>
      </c>
      <c r="H13" s="88">
        <f>'2.1meta'!I13+'2.1meta'!I30+'2.1meta'!I47+'2.1meta'!I65+'2.1meta'!I82+'2.1meta'!I99+'2.1meta'!I116+'2.1meta'!I133+'2.1meta'!I150+'2.1meta'!I167+'2.1meta'!I184+'2.1meta'!I294+'2.1meta'!I311+'2.1meta'!I328</f>
        <v>0</v>
      </c>
      <c r="I13" s="88">
        <f>'2.1meta'!J13+'2.1meta'!J30+'2.1meta'!J47+'2.1meta'!J65+'2.1meta'!J82+'2.1meta'!J99+'2.1meta'!J116+'2.1meta'!J133+'2.1meta'!J150+'2.1meta'!J167+'2.1meta'!J184+'2.1meta'!J294+'2.1meta'!J311+'2.1meta'!J328</f>
        <v>0</v>
      </c>
      <c r="J13" s="88">
        <f>'2.1meta'!K13+'2.1meta'!K30+'2.1meta'!K47+'2.1meta'!K65+'2.1meta'!K82+'2.1meta'!K99+'2.1meta'!K116+'2.1meta'!K133+'2.1meta'!K150+'2.1meta'!K167+'2.1meta'!K184+'2.1meta'!K294+'2.1meta'!K311+'2.1meta'!K328</f>
        <v>0</v>
      </c>
      <c r="K13" s="88">
        <f>'2.1meta'!L13+'2.1meta'!L30+'2.1meta'!L47+'2.1meta'!L65+'2.1meta'!L82+'2.1meta'!L99+'2.1meta'!L116+'2.1meta'!L133+'2.1meta'!L150+'2.1meta'!L167+'2.1meta'!L184+'2.1meta'!L294+'2.1meta'!L311+'2.1meta'!L328</f>
        <v>0</v>
      </c>
      <c r="L13" s="88">
        <f>'2.1meta'!M13+'2.1meta'!M30+'2.1meta'!M47+'2.1meta'!M65+'2.1meta'!M82+'2.1meta'!M99+'2.1meta'!M116+'2.1meta'!M133+'2.1meta'!M150+'2.1meta'!M167+'2.1meta'!M184+'2.1meta'!M294+'2.1meta'!M311+'2.1meta'!M328</f>
        <v>0</v>
      </c>
      <c r="M13" s="88">
        <f>'2.1meta'!N13+'2.1meta'!N30+'2.1meta'!N47+'2.1meta'!N65+'2.1meta'!N82+'2.1meta'!N99+'2.1meta'!N116+'2.1meta'!N133+'2.1meta'!N150+'2.1meta'!N167+'2.1meta'!N184+'2.1meta'!N294+'2.1meta'!N311+'2.1meta'!N328</f>
        <v>0</v>
      </c>
      <c r="N13" s="88">
        <f>'2.1meta'!O13+'2.1meta'!O30+'2.1meta'!O47+'2.1meta'!O65+'2.1meta'!O82+'2.1meta'!O99+'2.1meta'!O116+'2.1meta'!O133+'2.1meta'!O150+'2.1meta'!O167+'2.1meta'!O184+'2.1meta'!O294+'2.1meta'!O311+'2.1meta'!O328</f>
        <v>0</v>
      </c>
      <c r="O13" s="88">
        <f>'2.1meta'!P13+'2.1meta'!P30+'2.1meta'!P47+'2.1meta'!P65+'2.1meta'!P82+'2.1meta'!P99+'2.1meta'!P116+'2.1meta'!P133+'2.1meta'!P150+'2.1meta'!P167+'2.1meta'!P184+'2.1meta'!P294+'2.1meta'!P311+'2.1meta'!P328</f>
        <v>0</v>
      </c>
      <c r="P13" s="89">
        <f t="shared" si="4"/>
        <v>0</v>
      </c>
      <c r="Q13" s="111">
        <f t="shared" si="2"/>
        <v>0</v>
      </c>
      <c r="R13" s="88">
        <f>'2.1meta'!S13+'2.1meta'!S30+'2.1meta'!S47+'2.1meta'!S65+'2.1meta'!S82+'2.1meta'!S99+'2.1meta'!S116+'2.1meta'!S133+'2.1meta'!S150+'2.1meta'!S167+'2.1meta'!S184+'2.1meta'!S294+'2.1meta'!S311+'2.1meta'!S328</f>
        <v>0</v>
      </c>
      <c r="S13" s="88">
        <f>'2.1meta'!T13+'2.1meta'!T30+'2.1meta'!T47+'2.1meta'!T65+'2.1meta'!T82+'2.1meta'!T99+'2.1meta'!T116+'2.1meta'!T133+'2.1meta'!T150+'2.1meta'!T167+'2.1meta'!T184+'2.1meta'!T294+'2.1meta'!T311+'2.1meta'!T328</f>
        <v>0</v>
      </c>
      <c r="T13" s="88">
        <f>'2.1meta'!U13+'2.1meta'!U30+'2.1meta'!U47+'2.1meta'!U65+'2.1meta'!U82+'2.1meta'!U99+'2.1meta'!U116+'2.1meta'!U133+'2.1meta'!U150+'2.1meta'!U167+'2.1meta'!U184+'2.1meta'!U294+'2.1meta'!U311+'2.1meta'!U328</f>
        <v>0</v>
      </c>
      <c r="U13" s="88">
        <f>'2.1meta'!V13+'2.1meta'!V30+'2.1meta'!V47+'2.1meta'!V65+'2.1meta'!V82+'2.1meta'!V99+'2.1meta'!V116+'2.1meta'!V133+'2.1meta'!V150+'2.1meta'!V167+'2.1meta'!V184+'2.1meta'!V294+'2.1meta'!V311+'2.1meta'!V328</f>
        <v>0</v>
      </c>
      <c r="V13" s="88">
        <f>'2.1meta'!W13+'2.1meta'!W30+'2.1meta'!W47+'2.1meta'!W65+'2.1meta'!W82+'2.1meta'!W99+'2.1meta'!W116+'2.1meta'!W133+'2.1meta'!W150+'2.1meta'!W167+'2.1meta'!W184+'2.1meta'!W294+'2.1meta'!W311+'2.1meta'!W328</f>
        <v>0</v>
      </c>
      <c r="W13" s="88">
        <f>'2.1meta'!X13+'2.1meta'!X30+'2.1meta'!X47+'2.1meta'!X65+'2.1meta'!X82+'2.1meta'!X99+'2.1meta'!X116+'2.1meta'!X133+'2.1meta'!X150+'2.1meta'!X167+'2.1meta'!X184+'2.1meta'!X294+'2.1meta'!X311+'2.1meta'!X328</f>
        <v>0</v>
      </c>
      <c r="X13" s="90">
        <f>SUM(R13:W13)</f>
        <v>0</v>
      </c>
      <c r="Y13" s="91">
        <f>P13+X13</f>
        <v>0</v>
      </c>
      <c r="Z13" s="92">
        <f>C13-Y13</f>
        <v>0</v>
      </c>
    </row>
    <row r="14" spans="1:26">
      <c r="A14" s="93" t="s">
        <v>43</v>
      </c>
      <c r="B14" s="114" t="s">
        <v>44</v>
      </c>
      <c r="C14" s="88">
        <f>'2.1meta'!D14+'2.1meta'!D31+'2.1meta'!D48+'2.1meta'!D66+'2.1meta'!D83+'2.1meta'!D100+'2.1meta'!D117+'2.1meta'!D134+'2.1meta'!D151+'2.1meta'!D168+'2.1meta'!D185+'2.1meta'!D295+'2.1meta'!D312+'2.1meta'!D329</f>
        <v>0</v>
      </c>
      <c r="D14" s="88">
        <f>'2.1meta'!E14+'2.1meta'!E31+'2.1meta'!E48+'2.1meta'!E66+'2.1meta'!E83+'2.1meta'!E100+'2.1meta'!E117+'2.1meta'!E134+'2.1meta'!E151+'2.1meta'!E168+'2.1meta'!E185+'2.1meta'!E295+'2.1meta'!E312+'2.1meta'!E329</f>
        <v>0</v>
      </c>
      <c r="E14" s="88">
        <f>'2.1meta'!F14+'2.1meta'!F31+'2.1meta'!F48+'2.1meta'!F66+'2.1meta'!F83+'2.1meta'!F100+'2.1meta'!F117+'2.1meta'!F134+'2.1meta'!F151+'2.1meta'!F168+'2.1meta'!F185+'2.1meta'!F295+'2.1meta'!F312+'2.1meta'!F329</f>
        <v>0</v>
      </c>
      <c r="F14" s="88">
        <f>'2.1meta'!G14+'2.1meta'!G31+'2.1meta'!G48+'2.1meta'!G66+'2.1meta'!G83+'2.1meta'!G100+'2.1meta'!G117+'2.1meta'!G134+'2.1meta'!G151+'2.1meta'!G168+'2.1meta'!G185+'2.1meta'!G295+'2.1meta'!G312+'2.1meta'!G329</f>
        <v>0</v>
      </c>
      <c r="G14" s="88">
        <f>'2.1meta'!H14+'2.1meta'!H31+'2.1meta'!H48+'2.1meta'!H66+'2.1meta'!H83+'2.1meta'!H100+'2.1meta'!H117+'2.1meta'!H134+'2.1meta'!H151+'2.1meta'!H168+'2.1meta'!H185+'2.1meta'!H295+'2.1meta'!H312+'2.1meta'!H329</f>
        <v>0</v>
      </c>
      <c r="H14" s="88">
        <f>'2.1meta'!I14+'2.1meta'!I31+'2.1meta'!I48+'2.1meta'!I66+'2.1meta'!I83+'2.1meta'!I100+'2.1meta'!I117+'2.1meta'!I134+'2.1meta'!I151+'2.1meta'!I168+'2.1meta'!I185+'2.1meta'!I295+'2.1meta'!I312+'2.1meta'!I329</f>
        <v>0</v>
      </c>
      <c r="I14" s="88">
        <f>'2.1meta'!J14+'2.1meta'!J31+'2.1meta'!J48+'2.1meta'!J66+'2.1meta'!J83+'2.1meta'!J100+'2.1meta'!J117+'2.1meta'!J134+'2.1meta'!J151+'2.1meta'!J168+'2.1meta'!J185+'2.1meta'!J295+'2.1meta'!J312+'2.1meta'!J329</f>
        <v>0</v>
      </c>
      <c r="J14" s="88">
        <f>'2.1meta'!K14+'2.1meta'!K31+'2.1meta'!K48+'2.1meta'!K66+'2.1meta'!K83+'2.1meta'!K100+'2.1meta'!K117+'2.1meta'!K134+'2.1meta'!K151+'2.1meta'!K168+'2.1meta'!K185+'2.1meta'!K295+'2.1meta'!K312+'2.1meta'!K329</f>
        <v>0</v>
      </c>
      <c r="K14" s="88">
        <f>'2.1meta'!L14+'2.1meta'!L31+'2.1meta'!L48+'2.1meta'!L66+'2.1meta'!L83+'2.1meta'!L100+'2.1meta'!L117+'2.1meta'!L134+'2.1meta'!L151+'2.1meta'!L168+'2.1meta'!L185+'2.1meta'!L295+'2.1meta'!L312+'2.1meta'!L329</f>
        <v>0</v>
      </c>
      <c r="L14" s="88">
        <f>'2.1meta'!M14+'2.1meta'!M31+'2.1meta'!M48+'2.1meta'!M66+'2.1meta'!M83+'2.1meta'!M100+'2.1meta'!M117+'2.1meta'!M134+'2.1meta'!M151+'2.1meta'!M168+'2.1meta'!M185+'2.1meta'!M295+'2.1meta'!M312+'2.1meta'!M329</f>
        <v>0</v>
      </c>
      <c r="M14" s="88">
        <f>'2.1meta'!N14+'2.1meta'!N31+'2.1meta'!N48+'2.1meta'!N66+'2.1meta'!N83+'2.1meta'!N100+'2.1meta'!N117+'2.1meta'!N134+'2.1meta'!N151+'2.1meta'!N168+'2.1meta'!N185+'2.1meta'!N295+'2.1meta'!N312+'2.1meta'!N329</f>
        <v>0</v>
      </c>
      <c r="N14" s="88">
        <f>'2.1meta'!O14+'2.1meta'!O31+'2.1meta'!O48+'2.1meta'!O66+'2.1meta'!O83+'2.1meta'!O100+'2.1meta'!O117+'2.1meta'!O134+'2.1meta'!O151+'2.1meta'!O168+'2.1meta'!O185+'2.1meta'!O295+'2.1meta'!O312+'2.1meta'!O329</f>
        <v>0</v>
      </c>
      <c r="O14" s="88">
        <f>'2.1meta'!P14+'2.1meta'!P31+'2.1meta'!P48+'2.1meta'!P66+'2.1meta'!P83+'2.1meta'!P100+'2.1meta'!P117+'2.1meta'!P134+'2.1meta'!P151+'2.1meta'!P168+'2.1meta'!P185+'2.1meta'!P295+'2.1meta'!P312+'2.1meta'!P329</f>
        <v>0</v>
      </c>
      <c r="P14" s="89">
        <f t="shared" si="4"/>
        <v>0</v>
      </c>
      <c r="Q14" s="111">
        <f t="shared" si="2"/>
        <v>0</v>
      </c>
      <c r="R14" s="88">
        <f>'2.1meta'!S14+'2.1meta'!S31+'2.1meta'!S48+'2.1meta'!S66+'2.1meta'!S83+'2.1meta'!S100+'2.1meta'!S117+'2.1meta'!S134+'2.1meta'!S151+'2.1meta'!S168+'2.1meta'!S185+'2.1meta'!S295+'2.1meta'!S312+'2.1meta'!S329</f>
        <v>0</v>
      </c>
      <c r="S14" s="88">
        <f>'2.1meta'!T14+'2.1meta'!T31+'2.1meta'!T48+'2.1meta'!T66+'2.1meta'!T83+'2.1meta'!T100+'2.1meta'!T117+'2.1meta'!T134+'2.1meta'!T151+'2.1meta'!T168+'2.1meta'!T185+'2.1meta'!T295+'2.1meta'!T312+'2.1meta'!T329</f>
        <v>0</v>
      </c>
      <c r="T14" s="88">
        <f>'2.1meta'!U14+'2.1meta'!U31+'2.1meta'!U48+'2.1meta'!U66+'2.1meta'!U83+'2.1meta'!U100+'2.1meta'!U117+'2.1meta'!U134+'2.1meta'!U151+'2.1meta'!U168+'2.1meta'!U185+'2.1meta'!U295+'2.1meta'!U312+'2.1meta'!U329</f>
        <v>0</v>
      </c>
      <c r="U14" s="88">
        <f>'2.1meta'!V14+'2.1meta'!V31+'2.1meta'!V48+'2.1meta'!V66+'2.1meta'!V83+'2.1meta'!V100+'2.1meta'!V117+'2.1meta'!V134+'2.1meta'!V151+'2.1meta'!V168+'2.1meta'!V185+'2.1meta'!V295+'2.1meta'!V312+'2.1meta'!V329</f>
        <v>0</v>
      </c>
      <c r="V14" s="88">
        <f>'2.1meta'!W14+'2.1meta'!W31+'2.1meta'!W48+'2.1meta'!W66+'2.1meta'!W83+'2.1meta'!W100+'2.1meta'!W117+'2.1meta'!W134+'2.1meta'!W151+'2.1meta'!W168+'2.1meta'!W185+'2.1meta'!W295+'2.1meta'!W312+'2.1meta'!W329</f>
        <v>0</v>
      </c>
      <c r="W14" s="88">
        <f>'2.1meta'!X14+'2.1meta'!X31+'2.1meta'!X48+'2.1meta'!X66+'2.1meta'!X83+'2.1meta'!X100+'2.1meta'!X117+'2.1meta'!X134+'2.1meta'!X151+'2.1meta'!X168+'2.1meta'!X185+'2.1meta'!X295+'2.1meta'!X312+'2.1meta'!X329</f>
        <v>0</v>
      </c>
      <c r="X14" s="90">
        <f>SUM(R14:W14)</f>
        <v>0</v>
      </c>
      <c r="Y14" s="91">
        <f>P14+X14</f>
        <v>0</v>
      </c>
      <c r="Z14" s="92">
        <f>C14-Y14</f>
        <v>0</v>
      </c>
    </row>
    <row r="15" spans="1:26">
      <c r="A15" s="93" t="s">
        <v>45</v>
      </c>
      <c r="B15" s="114" t="s">
        <v>46</v>
      </c>
      <c r="C15" s="88">
        <f>'2.1meta'!D15+'2.1meta'!D32+'2.1meta'!D49+'2.1meta'!D67+'2.1meta'!D84+'2.1meta'!D101+'2.1meta'!D118+'2.1meta'!D135+'2.1meta'!D152+'2.1meta'!D169+'2.1meta'!D186+'2.1meta'!D296+'2.1meta'!D313+'2.1meta'!D330</f>
        <v>0</v>
      </c>
      <c r="D15" s="88">
        <f>'2.1meta'!E15+'2.1meta'!E32+'2.1meta'!E49+'2.1meta'!E66+'2.1meta'!E84+'2.1meta'!E101+'2.1meta'!E118+'2.1meta'!E135+'2.1meta'!E152+'2.1meta'!E169+'2.1meta'!E186+'2.1meta'!E296+'2.1meta'!E313+'2.1meta'!E330</f>
        <v>0</v>
      </c>
      <c r="E15" s="88">
        <f>'2.1meta'!F15+'2.1meta'!F32+'2.1meta'!F49+'2.1meta'!F66+'2.1meta'!F84+'2.1meta'!F101+'2.1meta'!F118+'2.1meta'!F135+'2.1meta'!F152+'2.1meta'!F169+'2.1meta'!F186+'2.1meta'!F296+'2.1meta'!F313+'2.1meta'!F330</f>
        <v>0</v>
      </c>
      <c r="F15" s="88">
        <f>'2.1meta'!G15+'2.1meta'!G32+'2.1meta'!G49+'2.1meta'!G67+'2.1meta'!G84+'2.1meta'!G101+'2.1meta'!G118+'2.1meta'!G135+'2.1meta'!G152+'2.1meta'!G169+'2.1meta'!G186+'2.1meta'!G296+'2.1meta'!G313+'2.1meta'!G330</f>
        <v>0</v>
      </c>
      <c r="G15" s="88">
        <f>'2.1meta'!H15+'2.1meta'!H32+'2.1meta'!H49+'2.1meta'!H67+'2.1meta'!H84+'2.1meta'!H101+'2.1meta'!H118+'2.1meta'!H135+'2.1meta'!H152+'2.1meta'!H169+'2.1meta'!H186+'2.1meta'!H296+'2.1meta'!H313+'2.1meta'!H330</f>
        <v>0</v>
      </c>
      <c r="H15" s="88">
        <f>'2.1meta'!I15+'2.1meta'!I32+'2.1meta'!I49+'2.1meta'!I67+'2.1meta'!I84+'2.1meta'!I101+'2.1meta'!I118+'2.1meta'!I135+'2.1meta'!I152+'2.1meta'!I169+'2.1meta'!I186+'2.1meta'!I296+'2.1meta'!I313+'2.1meta'!I330</f>
        <v>0</v>
      </c>
      <c r="I15" s="88">
        <f>'2.1meta'!J15+'2.1meta'!J32+'2.1meta'!J49+'2.1meta'!J67+'2.1meta'!J84+'2.1meta'!J101+'2.1meta'!J118+'2.1meta'!J135+'2.1meta'!J152+'2.1meta'!J169+'2.1meta'!J186+'2.1meta'!J296+'2.1meta'!J313+'2.1meta'!J330</f>
        <v>0</v>
      </c>
      <c r="J15" s="88">
        <f>'2.1meta'!K15+'2.1meta'!K32+'2.1meta'!K49+'2.1meta'!K67+'2.1meta'!K84+'2.1meta'!K101+'2.1meta'!K118+'2.1meta'!K135+'2.1meta'!K152+'2.1meta'!K169+'2.1meta'!K186+'2.1meta'!K296+'2.1meta'!K313+'2.1meta'!K330</f>
        <v>0</v>
      </c>
      <c r="K15" s="88">
        <f>'2.1meta'!L15+'2.1meta'!L32+'2.1meta'!L49+'2.1meta'!L67+'2.1meta'!L84+'2.1meta'!L101+'2.1meta'!L118+'2.1meta'!L135+'2.1meta'!L152+'2.1meta'!L169+'2.1meta'!L186+'2.1meta'!L296+'2.1meta'!L313+'2.1meta'!L330</f>
        <v>0</v>
      </c>
      <c r="L15" s="88">
        <f>'2.1meta'!M15+'2.1meta'!M32+'2.1meta'!M49+'2.1meta'!M67+'2.1meta'!M84+'2.1meta'!M101+'2.1meta'!M118+'2.1meta'!M135+'2.1meta'!M152+'2.1meta'!M169+'2.1meta'!M186+'2.1meta'!M296+'2.1meta'!M313+'2.1meta'!M330</f>
        <v>0</v>
      </c>
      <c r="M15" s="88">
        <f>'2.1meta'!N15+'2.1meta'!N32+'2.1meta'!N49+'2.1meta'!N67+'2.1meta'!N84+'2.1meta'!N101+'2.1meta'!N118+'2.1meta'!N135+'2.1meta'!N152+'2.1meta'!N169+'2.1meta'!N186+'2.1meta'!N296+'2.1meta'!N313+'2.1meta'!N330</f>
        <v>0</v>
      </c>
      <c r="N15" s="88">
        <f>'2.1meta'!O15+'2.1meta'!O32+'2.1meta'!O49+'2.1meta'!O67+'2.1meta'!O84+'2.1meta'!O101+'2.1meta'!O118+'2.1meta'!O135+'2.1meta'!O152+'2.1meta'!O169+'2.1meta'!O186+'2.1meta'!O296+'2.1meta'!O313+'2.1meta'!O330</f>
        <v>0</v>
      </c>
      <c r="O15" s="88">
        <f>'2.1meta'!P15+'2.1meta'!P32+'2.1meta'!P49+'2.1meta'!P67+'2.1meta'!P84+'2.1meta'!P101+'2.1meta'!P118+'2.1meta'!P135+'2.1meta'!P152+'2.1meta'!P169+'2.1meta'!P186+'2.1meta'!P296+'2.1meta'!P313+'2.1meta'!P330</f>
        <v>0</v>
      </c>
      <c r="P15" s="89">
        <f t="shared" si="4"/>
        <v>0</v>
      </c>
      <c r="Q15" s="111">
        <f t="shared" si="2"/>
        <v>0</v>
      </c>
      <c r="R15" s="88">
        <f>'2.1meta'!S15+'2.1meta'!S32+'2.1meta'!S49+'2.1meta'!S67+'2.1meta'!S84+'2.1meta'!S101+'2.1meta'!S118+'2.1meta'!S135+'2.1meta'!S152+'2.1meta'!S169+'2.1meta'!S186+'2.1meta'!S296+'2.1meta'!S313+'2.1meta'!S330</f>
        <v>0</v>
      </c>
      <c r="S15" s="88">
        <f>'2.1meta'!T15+'2.1meta'!T32+'2.1meta'!T49+'2.1meta'!T67+'2.1meta'!T84+'2.1meta'!T101+'2.1meta'!T118+'2.1meta'!T135+'2.1meta'!T152+'2.1meta'!T169+'2.1meta'!T186+'2.1meta'!T296+'2.1meta'!T313+'2.1meta'!T330</f>
        <v>0</v>
      </c>
      <c r="T15" s="88">
        <f>'2.1meta'!U15+'2.1meta'!U32+'2.1meta'!U49+'2.1meta'!U67+'2.1meta'!U84+'2.1meta'!U101+'2.1meta'!U118+'2.1meta'!U135+'2.1meta'!U152+'2.1meta'!U169+'2.1meta'!U186+'2.1meta'!U296+'2.1meta'!U313+'2.1meta'!U330</f>
        <v>0</v>
      </c>
      <c r="U15" s="88">
        <f>'2.1meta'!V15+'2.1meta'!V32+'2.1meta'!V49+'2.1meta'!V67+'2.1meta'!V84+'2.1meta'!V101+'2.1meta'!V118+'2.1meta'!V135+'2.1meta'!V152+'2.1meta'!V169+'2.1meta'!V186+'2.1meta'!V296+'2.1meta'!V313+'2.1meta'!V330</f>
        <v>0</v>
      </c>
      <c r="V15" s="88">
        <f>'2.1meta'!W15+'2.1meta'!W32+'2.1meta'!W49+'2.1meta'!W67+'2.1meta'!W84+'2.1meta'!W101+'2.1meta'!W118+'2.1meta'!W135+'2.1meta'!W152+'2.1meta'!W169+'2.1meta'!W186+'2.1meta'!W296+'2.1meta'!W313+'2.1meta'!W330</f>
        <v>0</v>
      </c>
      <c r="W15" s="88">
        <f>'2.1meta'!X15+'2.1meta'!X32+'2.1meta'!X49+'2.1meta'!X67+'2.1meta'!X84+'2.1meta'!X101+'2.1meta'!X118+'2.1meta'!X135+'2.1meta'!X152+'2.1meta'!X169+'2.1meta'!X186+'2.1meta'!X296+'2.1meta'!X313+'2.1meta'!X330</f>
        <v>0</v>
      </c>
      <c r="X15" s="90">
        <f>SUM(R15:W15)</f>
        <v>0</v>
      </c>
      <c r="Y15" s="91">
        <f>P15+X15</f>
        <v>0</v>
      </c>
      <c r="Z15" s="92">
        <f>C15-Y15</f>
        <v>0</v>
      </c>
    </row>
    <row r="16" spans="1:26">
      <c r="A16" s="93" t="s">
        <v>47</v>
      </c>
      <c r="B16" s="114" t="s">
        <v>48</v>
      </c>
      <c r="C16" s="88">
        <f>'2.1meta'!D16+'2.1meta'!D33+'2.1meta'!D50+'2.1meta'!D68+'2.1meta'!D85+'2.1meta'!D102+'2.1meta'!D119+'2.1meta'!D136+'2.1meta'!D153+'2.1meta'!D170+'2.1meta'!D187+'2.1meta'!D297+'2.1meta'!D314+'2.1meta'!D331</f>
        <v>0</v>
      </c>
      <c r="D16" s="88">
        <f>'2.1meta'!E16+'2.1meta'!E33+'2.1meta'!E50+'2.1meta'!E68+'2.1meta'!E85+'2.1meta'!E102+'2.1meta'!E119+'2.1meta'!E136+'2.1meta'!E153+'2.1meta'!E170+'2.1meta'!E187+'2.1meta'!E297+'2.1meta'!E314+'2.1meta'!E331</f>
        <v>0</v>
      </c>
      <c r="E16" s="88">
        <f>'2.1meta'!F16+'2.1meta'!F33+'2.1meta'!F50+'2.1meta'!F68+'2.1meta'!F85+'2.1meta'!F102+'2.1meta'!F119+'2.1meta'!F136+'2.1meta'!F153+'2.1meta'!F170+'2.1meta'!F187+'2.1meta'!F297+'2.1meta'!F314+'2.1meta'!F331</f>
        <v>0</v>
      </c>
      <c r="F16" s="88">
        <f>'2.1meta'!G16+'2.1meta'!G33+'2.1meta'!G50+'2.1meta'!G68+'2.1meta'!G85+'2.1meta'!G102+'2.1meta'!G119+'2.1meta'!G136+'2.1meta'!G153+'2.1meta'!G170+'2.1meta'!G187+'2.1meta'!G297+'2.1meta'!G314+'2.1meta'!G331</f>
        <v>0</v>
      </c>
      <c r="G16" s="88">
        <f>'2.1meta'!H16+'2.1meta'!H33+'2.1meta'!H50+'2.1meta'!H68+'2.1meta'!H85+'2.1meta'!H102+'2.1meta'!H119+'2.1meta'!H136+'2.1meta'!H153+'2.1meta'!H170+'2.1meta'!H187+'2.1meta'!H297+'2.1meta'!H314+'2.1meta'!H331</f>
        <v>0</v>
      </c>
      <c r="H16" s="88">
        <f>'2.1meta'!I16+'2.1meta'!I33+'2.1meta'!I50+'2.1meta'!I68+'2.1meta'!I85+'2.1meta'!I102+'2.1meta'!I119+'2.1meta'!I136+'2.1meta'!I153+'2.1meta'!I170+'2.1meta'!I187+'2.1meta'!I297+'2.1meta'!I314+'2.1meta'!I331</f>
        <v>0</v>
      </c>
      <c r="I16" s="88">
        <f>'2.1meta'!J16+'2.1meta'!J33+'2.1meta'!J50+'2.1meta'!J68+'2.1meta'!J85+'2.1meta'!J102+'2.1meta'!J119+'2.1meta'!J136+'2.1meta'!J153+'2.1meta'!J170+'2.1meta'!J187+'2.1meta'!J297+'2.1meta'!J314+'2.1meta'!J331</f>
        <v>0</v>
      </c>
      <c r="J16" s="88">
        <f>'2.1meta'!K16+'2.1meta'!K33+'2.1meta'!K50+'2.1meta'!K68+'2.1meta'!K85+'2.1meta'!K102+'2.1meta'!K119+'2.1meta'!K136+'2.1meta'!K153+'2.1meta'!K170+'2.1meta'!K187+'2.1meta'!K297+'2.1meta'!K314+'2.1meta'!K331</f>
        <v>0</v>
      </c>
      <c r="K16" s="88">
        <f>'2.1meta'!L16+'2.1meta'!L33+'2.1meta'!L50+'2.1meta'!L68+'2.1meta'!L85+'2.1meta'!L102+'2.1meta'!L119+'2.1meta'!L136+'2.1meta'!L153+'2.1meta'!L170+'2.1meta'!L187+'2.1meta'!L297+'2.1meta'!L314+'2.1meta'!L331</f>
        <v>0</v>
      </c>
      <c r="L16" s="88">
        <f>'2.1meta'!M16+'2.1meta'!M33+'2.1meta'!M50+'2.1meta'!M68+'2.1meta'!M85+'2.1meta'!M102+'2.1meta'!M119+'2.1meta'!M136+'2.1meta'!M153+'2.1meta'!M170+'2.1meta'!M187+'2.1meta'!M297+'2.1meta'!M314+'2.1meta'!M331</f>
        <v>0</v>
      </c>
      <c r="M16" s="88">
        <f>'2.1meta'!N16+'2.1meta'!N33+'2.1meta'!N50+'2.1meta'!N68+'2.1meta'!N85+'2.1meta'!N102+'2.1meta'!N119+'2.1meta'!N136+'2.1meta'!N153+'2.1meta'!N170+'2.1meta'!N187+'2.1meta'!N297+'2.1meta'!N314+'2.1meta'!N331</f>
        <v>0</v>
      </c>
      <c r="N16" s="88">
        <f>'2.1meta'!O16+'2.1meta'!O33+'2.1meta'!O50+'2.1meta'!O68+'2.1meta'!O85+'2.1meta'!O102+'2.1meta'!O119+'2.1meta'!O136+'2.1meta'!O153+'2.1meta'!O170+'2.1meta'!O187+'2.1meta'!O297+'2.1meta'!O314+'2.1meta'!O331</f>
        <v>0</v>
      </c>
      <c r="O16" s="88">
        <f>'2.1meta'!P16+'2.1meta'!P33+'2.1meta'!P50+'2.1meta'!P68+'2.1meta'!P85+'2.1meta'!P102+'2.1meta'!P119+'2.1meta'!P136+'2.1meta'!P153+'2.1meta'!P170+'2.1meta'!P187+'2.1meta'!P297+'2.1meta'!P314+'2.1meta'!P331</f>
        <v>0</v>
      </c>
      <c r="P16" s="89">
        <f t="shared" si="4"/>
        <v>0</v>
      </c>
      <c r="Q16" s="111">
        <f t="shared" si="2"/>
        <v>0</v>
      </c>
      <c r="R16" s="88">
        <f>'2.1meta'!S16+'2.1meta'!S33+'2.1meta'!S50+'2.1meta'!S68+'2.1meta'!S85+'2.1meta'!S102+'2.1meta'!S119+'2.1meta'!S136+'2.1meta'!S153+'2.1meta'!S170+'2.1meta'!S187+'2.1meta'!S297+'2.1meta'!S314+'2.1meta'!S331</f>
        <v>0</v>
      </c>
      <c r="S16" s="88">
        <f>'2.1meta'!T16+'2.1meta'!T33+'2.1meta'!T50+'2.1meta'!T68+'2.1meta'!T85+'2.1meta'!T102+'2.1meta'!T119+'2.1meta'!T136+'2.1meta'!T153+'2.1meta'!T170+'2.1meta'!T187+'2.1meta'!T297+'2.1meta'!T314+'2.1meta'!T331</f>
        <v>0</v>
      </c>
      <c r="T16" s="88">
        <f>'2.1meta'!U16+'2.1meta'!U33+'2.1meta'!U50+'2.1meta'!U68+'2.1meta'!U85+'2.1meta'!U102+'2.1meta'!U119+'2.1meta'!U136+'2.1meta'!U153+'2.1meta'!U170+'2.1meta'!U187+'2.1meta'!U297+'2.1meta'!U314+'2.1meta'!U331</f>
        <v>0</v>
      </c>
      <c r="U16" s="88">
        <f>'2.1meta'!V16+'2.1meta'!V33+'2.1meta'!V50+'2.1meta'!V68+'2.1meta'!V85+'2.1meta'!V102+'2.1meta'!V119+'2.1meta'!V136+'2.1meta'!V153+'2.1meta'!V170+'2.1meta'!V187+'2.1meta'!V297+'2.1meta'!V314+'2.1meta'!V331</f>
        <v>0</v>
      </c>
      <c r="V16" s="88">
        <f>'2.1meta'!W16+'2.1meta'!W33+'2.1meta'!W50+'2.1meta'!W68+'2.1meta'!W85+'2.1meta'!W102+'2.1meta'!W119+'2.1meta'!W136+'2.1meta'!W153+'2.1meta'!W170+'2.1meta'!W187+'2.1meta'!W297+'2.1meta'!W314+'2.1meta'!W331</f>
        <v>0</v>
      </c>
      <c r="W16" s="88">
        <f>'2.1meta'!X16+'2.1meta'!X33+'2.1meta'!X50+'2.1meta'!X68+'2.1meta'!X85+'2.1meta'!X102+'2.1meta'!X119+'2.1meta'!X136+'2.1meta'!X153+'2.1meta'!X170+'2.1meta'!X187+'2.1meta'!X297+'2.1meta'!X314+'2.1meta'!X331</f>
        <v>0</v>
      </c>
      <c r="X16" s="90">
        <f>SUM(R16:W16)</f>
        <v>0</v>
      </c>
      <c r="Y16" s="91">
        <f>P16+X16</f>
        <v>0</v>
      </c>
      <c r="Z16" s="92">
        <f>C16-Y16</f>
        <v>0</v>
      </c>
    </row>
    <row r="17" spans="1:26">
      <c r="A17" s="93" t="s">
        <v>49</v>
      </c>
      <c r="B17" s="114" t="s">
        <v>50</v>
      </c>
      <c r="C17" s="88">
        <f>'2.1meta'!D17+'2.1meta'!D34+'2.1meta'!D51+'2.1meta'!D69+'2.1meta'!D86+'2.1meta'!D103+'2.1meta'!D120+'2.1meta'!D137+'2.1meta'!D154+'2.1meta'!D171+'2.1meta'!D188+'2.1meta'!D298+'2.1meta'!D315+'2.1meta'!D332</f>
        <v>0</v>
      </c>
      <c r="D17" s="88">
        <f>'2.1meta'!E17+'2.1meta'!E34+'2.1meta'!E51+'2.1meta'!E69+'2.1meta'!E86+'2.1meta'!E103+'2.1meta'!E120+'2.1meta'!E137+'2.1meta'!E154+'2.1meta'!E171+'2.1meta'!E188+'2.1meta'!E298+'2.1meta'!E315+'2.1meta'!E332</f>
        <v>0</v>
      </c>
      <c r="E17" s="88">
        <f>'2.1meta'!F17+'2.1meta'!F34+'2.1meta'!F51+'2.1meta'!F69+'2.1meta'!F86+'2.1meta'!F103+'2.1meta'!F120+'2.1meta'!F137+'2.1meta'!F154+'2.1meta'!F171+'2.1meta'!F188+'2.1meta'!F298+'2.1meta'!F315+'2.1meta'!F332</f>
        <v>0</v>
      </c>
      <c r="F17" s="88">
        <f>'2.1meta'!G17+'2.1meta'!G34+'2.1meta'!G51+'2.1meta'!G69+'2.1meta'!G86+'2.1meta'!G103+'2.1meta'!G120+'2.1meta'!G137+'2.1meta'!G154+'2.1meta'!G171+'2.1meta'!G188+'2.1meta'!G298+'2.1meta'!G315+'2.1meta'!G332</f>
        <v>0</v>
      </c>
      <c r="G17" s="88">
        <f>'2.1meta'!H17+'2.1meta'!H34+'2.1meta'!H51+'2.1meta'!H69+'2.1meta'!H86+'2.1meta'!H103+'2.1meta'!H120+'2.1meta'!H137+'2.1meta'!H154+'2.1meta'!H171+'2.1meta'!H188+'2.1meta'!H298+'2.1meta'!H315+'2.1meta'!H332</f>
        <v>0</v>
      </c>
      <c r="H17" s="88">
        <f>'2.1meta'!I17+'2.1meta'!I34+'2.1meta'!I51+'2.1meta'!I69+'2.1meta'!I86+'2.1meta'!I103+'2.1meta'!I120+'2.1meta'!I137+'2.1meta'!I154+'2.1meta'!I171+'2.1meta'!I188+'2.1meta'!I298+'2.1meta'!I315+'2.1meta'!I332</f>
        <v>0</v>
      </c>
      <c r="I17" s="88">
        <f>'2.1meta'!J17+'2.1meta'!J34+'2.1meta'!J51+'2.1meta'!J69+'2.1meta'!J86+'2.1meta'!J103+'2.1meta'!J120+'2.1meta'!J137+'2.1meta'!J154+'2.1meta'!J171+'2.1meta'!J188+'2.1meta'!J298+'2.1meta'!J315+'2.1meta'!J332</f>
        <v>0</v>
      </c>
      <c r="J17" s="88">
        <f>'2.1meta'!K17+'2.1meta'!K34+'2.1meta'!K51+'2.1meta'!K69+'2.1meta'!K86+'2.1meta'!K103+'2.1meta'!K120+'2.1meta'!K137+'2.1meta'!K154+'2.1meta'!K171+'2.1meta'!K188+'2.1meta'!K298+'2.1meta'!K315+'2.1meta'!K332</f>
        <v>0</v>
      </c>
      <c r="K17" s="88">
        <f>'2.1meta'!L17+'2.1meta'!L34+'2.1meta'!L51+'2.1meta'!L69+'2.1meta'!L86+'2.1meta'!L103+'2.1meta'!L120+'2.1meta'!L137+'2.1meta'!L154+'2.1meta'!L171+'2.1meta'!L188+'2.1meta'!L298+'2.1meta'!L315+'2.1meta'!L332</f>
        <v>0</v>
      </c>
      <c r="L17" s="88">
        <f>'2.1meta'!M17+'2.1meta'!M34+'2.1meta'!M51+'2.1meta'!M69+'2.1meta'!M86+'2.1meta'!M103+'2.1meta'!M120+'2.1meta'!M137+'2.1meta'!M154+'2.1meta'!M171+'2.1meta'!M188+'2.1meta'!M298+'2.1meta'!M315+'2.1meta'!M332</f>
        <v>0</v>
      </c>
      <c r="M17" s="88">
        <f>'2.1meta'!N17+'2.1meta'!N34+'2.1meta'!N51+'2.1meta'!N69+'2.1meta'!N86+'2.1meta'!N103+'2.1meta'!N120+'2.1meta'!N137+'2.1meta'!N154+'2.1meta'!N171+'2.1meta'!N188+'2.1meta'!N298+'2.1meta'!N315+'2.1meta'!N332</f>
        <v>0</v>
      </c>
      <c r="N17" s="88">
        <f>'2.1meta'!O17+'2.1meta'!O34+'2.1meta'!O51+'2.1meta'!O69+'2.1meta'!O86+'2.1meta'!O103+'2.1meta'!O120+'2.1meta'!O137+'2.1meta'!O154+'2.1meta'!O171+'2.1meta'!O188+'2.1meta'!O298+'2.1meta'!O315+'2.1meta'!O332</f>
        <v>0</v>
      </c>
      <c r="O17" s="88">
        <f>'2.1meta'!P17+'2.1meta'!P34+'2.1meta'!P51+'2.1meta'!P69+'2.1meta'!P86+'2.1meta'!P103+'2.1meta'!P120+'2.1meta'!P137+'2.1meta'!P154+'2.1meta'!P171+'2.1meta'!P188+'2.1meta'!P298+'2.1meta'!P315+'2.1meta'!P332</f>
        <v>0</v>
      </c>
      <c r="P17" s="89">
        <f t="shared" si="4"/>
        <v>0</v>
      </c>
      <c r="Q17" s="111">
        <f t="shared" si="2"/>
        <v>0</v>
      </c>
      <c r="R17" s="88">
        <f>'2.1meta'!S17+'2.1meta'!S34+'2.1meta'!S51+'2.1meta'!S69+'2.1meta'!S86+'2.1meta'!S103+'2.1meta'!S120+'2.1meta'!S137+'2.1meta'!S154+'2.1meta'!S171+'2.1meta'!S188+'2.1meta'!S298+'2.1meta'!S315+'2.1meta'!S332</f>
        <v>0</v>
      </c>
      <c r="S17" s="88">
        <f>'2.1meta'!T17+'2.1meta'!T34+'2.1meta'!T51+'2.1meta'!T69+'2.1meta'!T86+'2.1meta'!T103+'2.1meta'!T120+'2.1meta'!T137+'2.1meta'!T154+'2.1meta'!T171+'2.1meta'!T188+'2.1meta'!T298+'2.1meta'!T315+'2.1meta'!T332</f>
        <v>0</v>
      </c>
      <c r="T17" s="88">
        <f>'2.1meta'!U17+'2.1meta'!U34+'2.1meta'!U51+'2.1meta'!U69+'2.1meta'!U86+'2.1meta'!U103+'2.1meta'!U120+'2.1meta'!U137+'2.1meta'!U154+'2.1meta'!U171+'2.1meta'!U188+'2.1meta'!U298+'2.1meta'!U315+'2.1meta'!U332</f>
        <v>0</v>
      </c>
      <c r="U17" s="88">
        <f>'2.1meta'!V17+'2.1meta'!V34+'2.1meta'!V51+'2.1meta'!V69+'2.1meta'!V86+'2.1meta'!V103+'2.1meta'!V120+'2.1meta'!V137+'2.1meta'!V154+'2.1meta'!V171+'2.1meta'!V188+'2.1meta'!V298+'2.1meta'!V315+'2.1meta'!V332</f>
        <v>0</v>
      </c>
      <c r="V17" s="88">
        <f>'2.1meta'!W17+'2.1meta'!W34+'2.1meta'!W51+'2.1meta'!W69+'2.1meta'!W86+'2.1meta'!W103+'2.1meta'!W120+'2.1meta'!W137+'2.1meta'!W154+'2.1meta'!W171+'2.1meta'!W188+'2.1meta'!W298+'2.1meta'!W315+'2.1meta'!W332</f>
        <v>0</v>
      </c>
      <c r="W17" s="88">
        <f>'2.1meta'!X17+'2.1meta'!X34+'2.1meta'!X51+'2.1meta'!X69+'2.1meta'!X86+'2.1meta'!X103+'2.1meta'!X120+'2.1meta'!X137+'2.1meta'!X154+'2.1meta'!X171+'2.1meta'!X188+'2.1meta'!X298+'2.1meta'!X315+'2.1meta'!X332</f>
        <v>0</v>
      </c>
      <c r="X17" s="90">
        <f>SUM(R17:W17)</f>
        <v>0</v>
      </c>
      <c r="Y17" s="91">
        <f>P17+X17</f>
        <v>0</v>
      </c>
      <c r="Z17" s="92">
        <f>C17-Y17</f>
        <v>0</v>
      </c>
    </row>
    <row r="18" spans="1:26">
      <c r="A18" s="93" t="s">
        <v>51</v>
      </c>
      <c r="B18" s="114" t="s">
        <v>52</v>
      </c>
      <c r="C18" s="88">
        <f>'2.1meta'!D18+'2.1meta'!D35+'2.1meta'!D52+'2.1meta'!D70+'2.1meta'!D87+'2.1meta'!D104+'2.1meta'!D121+'2.1meta'!D138+'2.1meta'!D155+'2.1meta'!D172+'2.1meta'!D189+'2.1meta'!D299+'2.1meta'!D316+'2.1meta'!D333</f>
        <v>0</v>
      </c>
      <c r="D18" s="88">
        <f>'2.1meta'!E18+'2.1meta'!E35+'2.1meta'!E52+'2.1meta'!E70+'2.1meta'!E87+'2.1meta'!E104+'2.1meta'!E121+'2.1meta'!E138+'2.1meta'!E155+'2.1meta'!E172+'2.1meta'!E189+'2.1meta'!E299+'2.1meta'!E316+'2.1meta'!E333</f>
        <v>0</v>
      </c>
      <c r="E18" s="88">
        <f>'2.1meta'!F18+'2.1meta'!F35+'2.1meta'!F52+'2.1meta'!F70+'2.1meta'!F87+'2.1meta'!F104+'2.1meta'!F121+'2.1meta'!F138+'2.1meta'!F155+'2.1meta'!F172+'2.1meta'!F189+'2.1meta'!F299+'2.1meta'!F316+'2.1meta'!F333</f>
        <v>0</v>
      </c>
      <c r="F18" s="88">
        <f>'2.1meta'!G18+'2.1meta'!G35+'2.1meta'!G52+'2.1meta'!G70+'2.1meta'!G87+'2.1meta'!G104+'2.1meta'!G121+'2.1meta'!G138+'2.1meta'!G155+'2.1meta'!G172+'2.1meta'!G189+'2.1meta'!G299+'2.1meta'!G316+'2.1meta'!G333</f>
        <v>0</v>
      </c>
      <c r="G18" s="88">
        <f>'2.1meta'!H18+'2.1meta'!H35+'2.1meta'!H52+'2.1meta'!H70+'2.1meta'!H87+'2.1meta'!H104+'2.1meta'!H121+'2.1meta'!H138+'2.1meta'!H155+'2.1meta'!H172+'2.1meta'!H189+'2.1meta'!H299+'2.1meta'!H316+'2.1meta'!H333</f>
        <v>0</v>
      </c>
      <c r="H18" s="88">
        <f>'2.1meta'!I18+'2.1meta'!I35+'2.1meta'!I52+'2.1meta'!I70+'2.1meta'!I87+'2.1meta'!I104+'2.1meta'!I121+'2.1meta'!I138+'2.1meta'!I155+'2.1meta'!I172+'2.1meta'!I189+'2.1meta'!I299+'2.1meta'!I316+'2.1meta'!I333</f>
        <v>0</v>
      </c>
      <c r="I18" s="88">
        <f>'2.1meta'!J18+'2.1meta'!J35+'2.1meta'!J52+'2.1meta'!J70+'2.1meta'!J87+'2.1meta'!J104+'2.1meta'!J121+'2.1meta'!J138+'2.1meta'!J155+'2.1meta'!J172+'2.1meta'!J189+'2.1meta'!J299+'2.1meta'!J316+'2.1meta'!J333</f>
        <v>0</v>
      </c>
      <c r="J18" s="88">
        <f>'2.1meta'!K18+'2.1meta'!K35+'2.1meta'!K52+'2.1meta'!K70+'2.1meta'!K87+'2.1meta'!K104+'2.1meta'!K121+'2.1meta'!K138+'2.1meta'!K155+'2.1meta'!K172+'2.1meta'!K189+'2.1meta'!K299+'2.1meta'!K316+'2.1meta'!K333</f>
        <v>0</v>
      </c>
      <c r="K18" s="88">
        <f>'2.1meta'!L18+'2.1meta'!L35+'2.1meta'!L52+'2.1meta'!L70+'2.1meta'!L87+'2.1meta'!L104+'2.1meta'!L121+'2.1meta'!L138+'2.1meta'!L155+'2.1meta'!L172+'2.1meta'!L189+'2.1meta'!L299+'2.1meta'!L316+'2.1meta'!L333</f>
        <v>0</v>
      </c>
      <c r="L18" s="88">
        <f>'2.1meta'!M18+'2.1meta'!M35+'2.1meta'!M52+'2.1meta'!M70+'2.1meta'!M87+'2.1meta'!M104+'2.1meta'!M121+'2.1meta'!M138+'2.1meta'!M155+'2.1meta'!M172+'2.1meta'!M189+'2.1meta'!M299+'2.1meta'!M316+'2.1meta'!M333</f>
        <v>0</v>
      </c>
      <c r="M18" s="88">
        <f>'2.1meta'!N18+'2.1meta'!N35+'2.1meta'!N52+'2.1meta'!N70+'2.1meta'!N87+'2.1meta'!N104+'2.1meta'!N121+'2.1meta'!N138+'2.1meta'!N155+'2.1meta'!N172+'2.1meta'!N189+'2.1meta'!N299+'2.1meta'!N316+'2.1meta'!N333</f>
        <v>0</v>
      </c>
      <c r="N18" s="88">
        <f>'2.1meta'!O18+'2.1meta'!O35+'2.1meta'!O52+'2.1meta'!O70+'2.1meta'!O87+'2.1meta'!O104+'2.1meta'!O121+'2.1meta'!O138+'2.1meta'!O155+'2.1meta'!O172+'2.1meta'!O189+'2.1meta'!O299+'2.1meta'!O316+'2.1meta'!O333</f>
        <v>0</v>
      </c>
      <c r="O18" s="88">
        <f>'2.1meta'!P18+'2.1meta'!P35+'2.1meta'!P52+'2.1meta'!P70+'2.1meta'!P87+'2.1meta'!P104+'2.1meta'!P121+'2.1meta'!P138+'2.1meta'!P155+'2.1meta'!P172+'2.1meta'!P189+'2.1meta'!P299+'2.1meta'!P316+'2.1meta'!P333</f>
        <v>0</v>
      </c>
      <c r="P18" s="89">
        <f t="shared" si="4"/>
        <v>0</v>
      </c>
      <c r="Q18" s="111">
        <f t="shared" si="2"/>
        <v>0</v>
      </c>
      <c r="R18" s="88">
        <f>'2.1meta'!S18+'2.1meta'!S35+'2.1meta'!S52+'2.1meta'!S70+'2.1meta'!S87+'2.1meta'!S104+'2.1meta'!S121+'2.1meta'!S138+'2.1meta'!S155+'2.1meta'!S172+'2.1meta'!S189+'2.1meta'!S299+'2.1meta'!S316+'2.1meta'!S333</f>
        <v>0</v>
      </c>
      <c r="S18" s="88">
        <f>'2.1meta'!T18+'2.1meta'!T35+'2.1meta'!T52+'2.1meta'!T70+'2.1meta'!T87+'2.1meta'!T104+'2.1meta'!T121+'2.1meta'!T138+'2.1meta'!T155+'2.1meta'!T172+'2.1meta'!T189+'2.1meta'!T299+'2.1meta'!T316+'2.1meta'!T333</f>
        <v>0</v>
      </c>
      <c r="T18" s="88">
        <f>'2.1meta'!U18+'2.1meta'!U35+'2.1meta'!U52+'2.1meta'!U70+'2.1meta'!U87+'2.1meta'!U104+'2.1meta'!U121+'2.1meta'!U138+'2.1meta'!U155+'2.1meta'!U172+'2.1meta'!U189+'2.1meta'!U299+'2.1meta'!U316+'2.1meta'!U333</f>
        <v>0</v>
      </c>
      <c r="U18" s="88">
        <f>'2.1meta'!V18+'2.1meta'!V35+'2.1meta'!V52+'2.1meta'!V70+'2.1meta'!V87+'2.1meta'!V104+'2.1meta'!V121+'2.1meta'!V138+'2.1meta'!V155+'2.1meta'!V172+'2.1meta'!V189+'2.1meta'!V299+'2.1meta'!V316+'2.1meta'!V333</f>
        <v>0</v>
      </c>
      <c r="V18" s="88">
        <f>'2.1meta'!W18+'2.1meta'!W35+'2.1meta'!W52+'2.1meta'!W70+'2.1meta'!W87+'2.1meta'!W104+'2.1meta'!W121+'2.1meta'!W138+'2.1meta'!W155+'2.1meta'!W172+'2.1meta'!W189+'2.1meta'!W299+'2.1meta'!W316+'2.1meta'!W333</f>
        <v>0</v>
      </c>
      <c r="W18" s="88">
        <f>'2.1meta'!X18+'2.1meta'!X35+'2.1meta'!X52+'2.1meta'!X70+'2.1meta'!X87+'2.1meta'!X104+'2.1meta'!X121+'2.1meta'!X138+'2.1meta'!X155+'2.1meta'!X172+'2.1meta'!X189+'2.1meta'!X299+'2.1meta'!X316+'2.1meta'!X333</f>
        <v>0</v>
      </c>
      <c r="X18" s="90">
        <f>SUM(R18:W18)</f>
        <v>0</v>
      </c>
      <c r="Y18" s="91">
        <f>P18+X18</f>
        <v>0</v>
      </c>
      <c r="Z18" s="92">
        <f>C18-Y18</f>
        <v>0</v>
      </c>
    </row>
    <row r="19" spans="1:26">
      <c r="A19" s="93" t="s">
        <v>53</v>
      </c>
      <c r="B19" s="114" t="s">
        <v>54</v>
      </c>
      <c r="C19" s="88">
        <f>'2.1meta'!D19+'2.1meta'!D36+'2.1meta'!D53+'2.1meta'!D71+'2.1meta'!D88+'2.1meta'!D105+'2.1meta'!D122+'2.1meta'!D139+'2.1meta'!D156+'2.1meta'!D173+'2.1meta'!D190+'2.1meta'!D300+'2.1meta'!D317+'2.1meta'!D334</f>
        <v>0</v>
      </c>
      <c r="D19" s="88">
        <f>'2.1meta'!E19+'2.1meta'!E36+'2.1meta'!E53+'2.1meta'!E71+'2.1meta'!E88+'2.1meta'!E105+'2.1meta'!E122+'2.1meta'!E139+'2.1meta'!E156+'2.1meta'!E173+'2.1meta'!E190+'2.1meta'!E300+'2.1meta'!E317+'2.1meta'!E334</f>
        <v>0</v>
      </c>
      <c r="E19" s="88">
        <f>'2.1meta'!F19+'2.1meta'!F36+'2.1meta'!F53+'2.1meta'!F71+'2.1meta'!F88+'2.1meta'!F105+'2.1meta'!F122+'2.1meta'!F139+'2.1meta'!F156+'2.1meta'!F173+'2.1meta'!F190+'2.1meta'!F300+'2.1meta'!F317+'2.1meta'!F334</f>
        <v>0</v>
      </c>
      <c r="F19" s="88">
        <f>'2.1meta'!G19+'2.1meta'!G36+'2.1meta'!G53+'2.1meta'!G71+'2.1meta'!G88+'2.1meta'!G105+'2.1meta'!G122+'2.1meta'!G139+'2.1meta'!G156+'2.1meta'!G173+'2.1meta'!G190+'2.1meta'!G300+'2.1meta'!G317+'2.1meta'!G334</f>
        <v>0</v>
      </c>
      <c r="G19" s="88">
        <f>'2.1meta'!H19+'2.1meta'!H36+'2.1meta'!H53+'2.1meta'!H71+'2.1meta'!H88+'2.1meta'!H105+'2.1meta'!H122+'2.1meta'!H139+'2.1meta'!H156+'2.1meta'!H173+'2.1meta'!H190+'2.1meta'!H300+'2.1meta'!H317+'2.1meta'!H334</f>
        <v>0</v>
      </c>
      <c r="H19" s="88">
        <f>'2.1meta'!I19+'2.1meta'!I36+'2.1meta'!I53+'2.1meta'!I71+'2.1meta'!I88+'2.1meta'!I105+'2.1meta'!I122+'2.1meta'!I139+'2.1meta'!I156+'2.1meta'!I173+'2.1meta'!I190+'2.1meta'!I300+'2.1meta'!I317+'2.1meta'!I334</f>
        <v>0</v>
      </c>
      <c r="I19" s="88">
        <f>'2.1meta'!J19+'2.1meta'!J36+'2.1meta'!J53+'2.1meta'!J71+'2.1meta'!J88+'2.1meta'!J105+'2.1meta'!J122+'2.1meta'!J139+'2.1meta'!J156+'2.1meta'!J173+'2.1meta'!J190+'2.1meta'!J300+'2.1meta'!J317+'2.1meta'!J334</f>
        <v>0</v>
      </c>
      <c r="J19" s="88">
        <f>'2.1meta'!K19+'2.1meta'!K36+'2.1meta'!K53+'2.1meta'!K71+'2.1meta'!K88+'2.1meta'!K105+'2.1meta'!K122+'2.1meta'!K139+'2.1meta'!K156+'2.1meta'!K173+'2.1meta'!K190+'2.1meta'!K300+'2.1meta'!K317+'2.1meta'!K334</f>
        <v>0</v>
      </c>
      <c r="K19" s="88">
        <f>'2.1meta'!L19+'2.1meta'!L36+'2.1meta'!L53+'2.1meta'!L71+'2.1meta'!L88+'2.1meta'!L105+'2.1meta'!L122+'2.1meta'!L139+'2.1meta'!L156+'2.1meta'!L173+'2.1meta'!L190+'2.1meta'!L300+'2.1meta'!L317+'2.1meta'!L334</f>
        <v>0</v>
      </c>
      <c r="L19" s="88">
        <f>'2.1meta'!M19+'2.1meta'!M36+'2.1meta'!M53+'2.1meta'!M71+'2.1meta'!M88+'2.1meta'!M105+'2.1meta'!M122+'2.1meta'!M139+'2.1meta'!M156+'2.1meta'!M173+'2.1meta'!M190+'2.1meta'!M300+'2.1meta'!M317+'2.1meta'!M334</f>
        <v>0</v>
      </c>
      <c r="M19" s="88">
        <f>'2.1meta'!N19+'2.1meta'!N36+'2.1meta'!N53+'2.1meta'!N71+'2.1meta'!N88+'2.1meta'!N105+'2.1meta'!N122+'2.1meta'!N139+'2.1meta'!N156+'2.1meta'!N173+'2.1meta'!N190+'2.1meta'!N300+'2.1meta'!N317+'2.1meta'!N334</f>
        <v>0</v>
      </c>
      <c r="N19" s="88">
        <f>'2.1meta'!O19+'2.1meta'!O36+'2.1meta'!O53+'2.1meta'!O71+'2.1meta'!O88+'2.1meta'!O105+'2.1meta'!O122+'2.1meta'!O139+'2.1meta'!O156+'2.1meta'!O173+'2.1meta'!O190+'2.1meta'!O300+'2.1meta'!O317+'2.1meta'!O334</f>
        <v>0</v>
      </c>
      <c r="O19" s="88">
        <f>'2.1meta'!P19+'2.1meta'!P36+'2.1meta'!P53+'2.1meta'!P71+'2.1meta'!P88+'2.1meta'!P105+'2.1meta'!P122+'2.1meta'!P139+'2.1meta'!P156+'2.1meta'!P173+'2.1meta'!P190+'2.1meta'!P300+'2.1meta'!P317+'2.1meta'!P334</f>
        <v>0</v>
      </c>
      <c r="P19" s="89">
        <f t="shared" si="4"/>
        <v>0</v>
      </c>
      <c r="Q19" s="111">
        <f t="shared" si="2"/>
        <v>0</v>
      </c>
      <c r="R19" s="88">
        <f>'2.1meta'!S19+'2.1meta'!S36+'2.1meta'!S53+'2.1meta'!S71+'2.1meta'!S88+'2.1meta'!S105+'2.1meta'!S122+'2.1meta'!S139+'2.1meta'!S156+'2.1meta'!S173+'2.1meta'!S190+'2.1meta'!S300+'2.1meta'!S317+'2.1meta'!S334</f>
        <v>0</v>
      </c>
      <c r="S19" s="88">
        <f>'2.1meta'!T19+'2.1meta'!T36+'2.1meta'!T53+'2.1meta'!T71+'2.1meta'!T88+'2.1meta'!T105+'2.1meta'!T122+'2.1meta'!T139+'2.1meta'!T156+'2.1meta'!T173+'2.1meta'!T190+'2.1meta'!T300+'2.1meta'!T317+'2.1meta'!T334</f>
        <v>0</v>
      </c>
      <c r="T19" s="88">
        <f>'2.1meta'!U19+'2.1meta'!U36+'2.1meta'!U53+'2.1meta'!U71+'2.1meta'!U88+'2.1meta'!U105+'2.1meta'!U122+'2.1meta'!U139+'2.1meta'!U156+'2.1meta'!U173+'2.1meta'!U190+'2.1meta'!U300+'2.1meta'!U317+'2.1meta'!U334</f>
        <v>0</v>
      </c>
      <c r="U19" s="88">
        <f>'2.1meta'!V19+'2.1meta'!V36+'2.1meta'!V53+'2.1meta'!V71+'2.1meta'!V88+'2.1meta'!V105+'2.1meta'!V122+'2.1meta'!V139+'2.1meta'!V156+'2.1meta'!V173+'2.1meta'!V190+'2.1meta'!V300+'2.1meta'!V317+'2.1meta'!V334</f>
        <v>0</v>
      </c>
      <c r="V19" s="88">
        <f>'2.1meta'!W19+'2.1meta'!W36+'2.1meta'!W53+'2.1meta'!W71+'2.1meta'!W88+'2.1meta'!W105+'2.1meta'!W122+'2.1meta'!W139+'2.1meta'!W156+'2.1meta'!W173+'2.1meta'!W190+'2.1meta'!W300+'2.1meta'!W317+'2.1meta'!W334</f>
        <v>0</v>
      </c>
      <c r="W19" s="88">
        <f>'2.1meta'!X19+'2.1meta'!X36+'2.1meta'!X53+'2.1meta'!X71+'2.1meta'!X88+'2.1meta'!X105+'2.1meta'!X122+'2.1meta'!X139+'2.1meta'!X156+'2.1meta'!X173+'2.1meta'!X190+'2.1meta'!X300+'2.1meta'!X317+'2.1meta'!X334</f>
        <v>0</v>
      </c>
      <c r="X19" s="90">
        <f>SUM(R19:W19)</f>
        <v>0</v>
      </c>
      <c r="Y19" s="91">
        <f>P19+X19</f>
        <v>0</v>
      </c>
      <c r="Z19" s="92">
        <f>C19-Y19</f>
        <v>0</v>
      </c>
    </row>
    <row r="20" spans="1:26">
      <c r="A20" s="93" t="s">
        <v>55</v>
      </c>
      <c r="B20" s="114" t="s">
        <v>56</v>
      </c>
      <c r="C20" s="88">
        <f>'2.1meta'!D20+'2.1meta'!D37+'2.1meta'!D54+'2.1meta'!D72+'2.1meta'!D89+'2.1meta'!D106+'2.1meta'!D123+'2.1meta'!D140+'2.1meta'!D157+'2.1meta'!D174+'2.1meta'!D191+'2.1meta'!D301+'2.1meta'!D318+'2.1meta'!D335</f>
        <v>0</v>
      </c>
      <c r="D20" s="88">
        <f>'2.1meta'!E20+'2.1meta'!E37+'2.1meta'!E54+'2.1meta'!E72+'2.1meta'!E89+'2.1meta'!E106+'2.1meta'!E123+'2.1meta'!E140+'2.1meta'!E157+'2.1meta'!E174+'2.1meta'!E191+'2.1meta'!E301+'2.1meta'!E318+'2.1meta'!E335</f>
        <v>0</v>
      </c>
      <c r="E20" s="88">
        <f>'2.1meta'!F20+'2.1meta'!F37+'2.1meta'!F54+'2.1meta'!F72+'2.1meta'!F89+'2.1meta'!F106+'2.1meta'!F123+'2.1meta'!F140+'2.1meta'!F157+'2.1meta'!F174+'2.1meta'!F191+'2.1meta'!F301+'2.1meta'!F318+'2.1meta'!F335</f>
        <v>0</v>
      </c>
      <c r="F20" s="88">
        <f>'2.1meta'!G20+'2.1meta'!G37+'2.1meta'!G54+'2.1meta'!G72+'2.1meta'!G89+'2.1meta'!G106+'2.1meta'!G123+'2.1meta'!G140+'2.1meta'!G157+'2.1meta'!G174+'2.1meta'!G191+'2.1meta'!G301+'2.1meta'!G318+'2.1meta'!G335</f>
        <v>0</v>
      </c>
      <c r="G20" s="88">
        <f>'2.1meta'!H20+'2.1meta'!H37+'2.1meta'!H54+'2.1meta'!H72+'2.1meta'!H89+'2.1meta'!H106+'2.1meta'!H123+'2.1meta'!H140+'2.1meta'!H157+'2.1meta'!H174+'2.1meta'!H191+'2.1meta'!H301+'2.1meta'!H318+'2.1meta'!H335</f>
        <v>0</v>
      </c>
      <c r="H20" s="88">
        <f>'2.1meta'!I20+'2.1meta'!I37+'2.1meta'!I54+'2.1meta'!I72+'2.1meta'!I89+'2.1meta'!I106+'2.1meta'!I123+'2.1meta'!I140+'2.1meta'!I157+'2.1meta'!I174+'2.1meta'!I191+'2.1meta'!I301+'2.1meta'!I318+'2.1meta'!I335</f>
        <v>0</v>
      </c>
      <c r="I20" s="88">
        <f>'2.1meta'!J20+'2.1meta'!J37+'2.1meta'!J54+'2.1meta'!J72+'2.1meta'!J89+'2.1meta'!J106+'2.1meta'!J123+'2.1meta'!J140+'2.1meta'!J157+'2.1meta'!J174+'2.1meta'!J191+'2.1meta'!J301+'2.1meta'!J318+'2.1meta'!J335</f>
        <v>0</v>
      </c>
      <c r="J20" s="88">
        <f>'2.1meta'!K20+'2.1meta'!K37+'2.1meta'!K54+'2.1meta'!K72+'2.1meta'!K89+'2.1meta'!K106+'2.1meta'!K123+'2.1meta'!K140+'2.1meta'!K157+'2.1meta'!K174+'2.1meta'!K191+'2.1meta'!K301+'2.1meta'!K318+'2.1meta'!K335</f>
        <v>0</v>
      </c>
      <c r="K20" s="88">
        <f>'2.1meta'!L20+'2.1meta'!L37+'2.1meta'!L54+'2.1meta'!L72+'2.1meta'!L89+'2.1meta'!L106+'2.1meta'!L123+'2.1meta'!L140+'2.1meta'!L157+'2.1meta'!L174+'2.1meta'!L191+'2.1meta'!L301+'2.1meta'!L318+'2.1meta'!L335</f>
        <v>0</v>
      </c>
      <c r="L20" s="88">
        <f>'2.1meta'!M20+'2.1meta'!M37+'2.1meta'!M54+'2.1meta'!M72+'2.1meta'!M89+'2.1meta'!M106+'2.1meta'!M123+'2.1meta'!M140+'2.1meta'!M157+'2.1meta'!M174+'2.1meta'!M191+'2.1meta'!M301+'2.1meta'!M318+'2.1meta'!M335</f>
        <v>0</v>
      </c>
      <c r="M20" s="88">
        <f>'2.1meta'!N20+'2.1meta'!N37+'2.1meta'!N54+'2.1meta'!N72+'2.1meta'!N89+'2.1meta'!N106+'2.1meta'!N123+'2.1meta'!N140+'2.1meta'!N157+'2.1meta'!N174+'2.1meta'!N191+'2.1meta'!N301+'2.1meta'!N318+'2.1meta'!N335</f>
        <v>0</v>
      </c>
      <c r="N20" s="88">
        <f>'2.1meta'!O20+'2.1meta'!O37+'2.1meta'!O54+'2.1meta'!O72+'2.1meta'!O89+'2.1meta'!O106+'2.1meta'!O123+'2.1meta'!O140+'2.1meta'!O157+'2.1meta'!O174+'2.1meta'!O191+'2.1meta'!O301+'2.1meta'!O318+'2.1meta'!O335</f>
        <v>0</v>
      </c>
      <c r="O20" s="88">
        <f>'2.1meta'!P20+'2.1meta'!P37+'2.1meta'!P54+'2.1meta'!P72+'2.1meta'!P89+'2.1meta'!P106+'2.1meta'!P123+'2.1meta'!P140+'2.1meta'!P157+'2.1meta'!P174+'2.1meta'!P191+'2.1meta'!P301+'2.1meta'!P318+'2.1meta'!P335</f>
        <v>0</v>
      </c>
      <c r="P20" s="89">
        <f t="shared" si="4"/>
        <v>0</v>
      </c>
      <c r="Q20" s="111">
        <f t="shared" si="2"/>
        <v>0</v>
      </c>
      <c r="R20" s="88">
        <f>'2.1meta'!S20+'2.1meta'!S37+'2.1meta'!S54+'2.1meta'!S72+'2.1meta'!S89+'2.1meta'!S106+'2.1meta'!S123+'2.1meta'!S140+'2.1meta'!S157+'2.1meta'!S174+'2.1meta'!S191+'2.1meta'!S301+'2.1meta'!S318+'2.1meta'!S335</f>
        <v>0</v>
      </c>
      <c r="S20" s="88">
        <f>'2.1meta'!T20+'2.1meta'!T37+'2.1meta'!T54+'2.1meta'!T72+'2.1meta'!T89+'2.1meta'!T106+'2.1meta'!T123+'2.1meta'!T140+'2.1meta'!T157+'2.1meta'!T174+'2.1meta'!T191+'2.1meta'!T301+'2.1meta'!T318+'2.1meta'!T335</f>
        <v>0</v>
      </c>
      <c r="T20" s="88">
        <f>'2.1meta'!U20+'2.1meta'!U37+'2.1meta'!U54+'2.1meta'!U72+'2.1meta'!U89+'2.1meta'!U106+'2.1meta'!U123+'2.1meta'!U140+'2.1meta'!U157+'2.1meta'!U174+'2.1meta'!U191+'2.1meta'!U301+'2.1meta'!U318+'2.1meta'!U335</f>
        <v>0</v>
      </c>
      <c r="U20" s="88">
        <f>'2.1meta'!V20+'2.1meta'!V37+'2.1meta'!V54+'2.1meta'!V72+'2.1meta'!V89+'2.1meta'!V106+'2.1meta'!V123+'2.1meta'!V140+'2.1meta'!V157+'2.1meta'!V174+'2.1meta'!V191+'2.1meta'!V301+'2.1meta'!V318+'2.1meta'!V335</f>
        <v>0</v>
      </c>
      <c r="V20" s="88">
        <f>'2.1meta'!W20+'2.1meta'!W37+'2.1meta'!W54+'2.1meta'!W72+'2.1meta'!W89+'2.1meta'!W106+'2.1meta'!W123+'2.1meta'!W140+'2.1meta'!W157+'2.1meta'!W174+'2.1meta'!W191+'2.1meta'!W301+'2.1meta'!W318+'2.1meta'!W335</f>
        <v>0</v>
      </c>
      <c r="W20" s="88">
        <f>'2.1meta'!X20+'2.1meta'!X37+'2.1meta'!X54+'2.1meta'!X72+'2.1meta'!X89+'2.1meta'!X106+'2.1meta'!X123+'2.1meta'!X140+'2.1meta'!X157+'2.1meta'!X174+'2.1meta'!X191+'2.1meta'!X301+'2.1meta'!X318+'2.1meta'!X335</f>
        <v>0</v>
      </c>
      <c r="X20" s="90">
        <f>SUM(R20:W20)</f>
        <v>0</v>
      </c>
      <c r="Y20" s="91">
        <f>P20+X20</f>
        <v>0</v>
      </c>
      <c r="Z20" s="92">
        <f>C20-Y20</f>
        <v>0</v>
      </c>
    </row>
    <row r="21" spans="1:26">
      <c r="A21" s="93" t="s">
        <v>57</v>
      </c>
      <c r="B21" s="114" t="s">
        <v>58</v>
      </c>
      <c r="C21" s="88">
        <f>'2.1meta'!D21+'2.1meta'!D38+'2.1meta'!D55+'2.1meta'!D73+'2.1meta'!D90+'2.1meta'!D107+'2.1meta'!D124+'2.1meta'!D141+'2.1meta'!D158+'2.1meta'!D175+'2.1meta'!D192+'2.1meta'!D302+'2.1meta'!D319+'2.1meta'!D336</f>
        <v>0</v>
      </c>
      <c r="D21" s="88">
        <f>'2.1meta'!E21+'2.1meta'!E38+'2.1meta'!E55+'2.1meta'!E73+'2.1meta'!E90+'2.1meta'!E107+'2.1meta'!E124+'2.1meta'!E141+'2.1meta'!E158+'2.1meta'!E175+'2.1meta'!E192+'2.1meta'!E302+'2.1meta'!E319+'2.1meta'!E336</f>
        <v>0</v>
      </c>
      <c r="E21" s="88">
        <f>'2.1meta'!F21+'2.1meta'!F38+'2.1meta'!F55+'2.1meta'!F73+'2.1meta'!F90+'2.1meta'!F107+'2.1meta'!F124+'2.1meta'!F141+'2.1meta'!F158+'2.1meta'!F175+'2.1meta'!F192+'2.1meta'!F302+'2.1meta'!F319+'2.1meta'!F336</f>
        <v>0</v>
      </c>
      <c r="F21" s="88">
        <f>'2.1meta'!G21+'2.1meta'!G38+'2.1meta'!G55+'2.1meta'!G73+'2.1meta'!G90+'2.1meta'!G107+'2.1meta'!G124+'2.1meta'!G141+'2.1meta'!G158+'2.1meta'!G175+'2.1meta'!G192+'2.1meta'!G302+'2.1meta'!G319+'2.1meta'!G336</f>
        <v>0</v>
      </c>
      <c r="G21" s="88">
        <f>'2.1meta'!H21+'2.1meta'!H38+'2.1meta'!H55+'2.1meta'!H73+'2.1meta'!H90+'2.1meta'!H107+'2.1meta'!H124+'2.1meta'!H141+'2.1meta'!H158+'2.1meta'!H175+'2.1meta'!H192+'2.1meta'!H302+'2.1meta'!H319+'2.1meta'!H336</f>
        <v>0</v>
      </c>
      <c r="H21" s="88">
        <f>'2.1meta'!I21+'2.1meta'!I38+'2.1meta'!I55+'2.1meta'!I73+'2.1meta'!I90+'2.1meta'!I107+'2.1meta'!I124+'2.1meta'!I141+'2.1meta'!I158+'2.1meta'!I175+'2.1meta'!I192+'2.1meta'!I302+'2.1meta'!I319+'2.1meta'!I336</f>
        <v>0</v>
      </c>
      <c r="I21" s="88">
        <f>'2.1meta'!J21+'2.1meta'!J38+'2.1meta'!J55+'2.1meta'!J73+'2.1meta'!J90+'2.1meta'!J107+'2.1meta'!J124+'2.1meta'!J141+'2.1meta'!J158+'2.1meta'!J175+'2.1meta'!J192+'2.1meta'!J302+'2.1meta'!J319+'2.1meta'!J336</f>
        <v>0</v>
      </c>
      <c r="J21" s="88">
        <f>'2.1meta'!K21+'2.1meta'!K38+'2.1meta'!K55+'2.1meta'!K73+'2.1meta'!K90+'2.1meta'!K107+'2.1meta'!K124+'2.1meta'!K141+'2.1meta'!K158+'2.1meta'!K175+'2.1meta'!K192+'2.1meta'!K302+'2.1meta'!K319+'2.1meta'!K336</f>
        <v>0</v>
      </c>
      <c r="K21" s="88">
        <f>'2.1meta'!L21+'2.1meta'!L38+'2.1meta'!L55+'2.1meta'!L73+'2.1meta'!L90+'2.1meta'!L107+'2.1meta'!L124+'2.1meta'!L141+'2.1meta'!L158+'2.1meta'!L175+'2.1meta'!L192+'2.1meta'!L302+'2.1meta'!L319+'2.1meta'!L336</f>
        <v>0</v>
      </c>
      <c r="L21" s="88">
        <f>'2.1meta'!M21+'2.1meta'!M38+'2.1meta'!M55+'2.1meta'!M73+'2.1meta'!M90+'2.1meta'!M107+'2.1meta'!M124+'2.1meta'!M141+'2.1meta'!M158+'2.1meta'!M175+'2.1meta'!M192+'2.1meta'!M302+'2.1meta'!M319+'2.1meta'!M336</f>
        <v>0</v>
      </c>
      <c r="M21" s="88">
        <f>'2.1meta'!N21+'2.1meta'!N38+'2.1meta'!N55+'2.1meta'!N73+'2.1meta'!N90+'2.1meta'!N107+'2.1meta'!N124+'2.1meta'!N141+'2.1meta'!N158+'2.1meta'!N175+'2.1meta'!N192+'2.1meta'!N302+'2.1meta'!N319+'2.1meta'!N336</f>
        <v>0</v>
      </c>
      <c r="N21" s="88">
        <f>'2.1meta'!O21+'2.1meta'!O38+'2.1meta'!O55+'2.1meta'!O73+'2.1meta'!O90+'2.1meta'!O107+'2.1meta'!O124+'2.1meta'!O141+'2.1meta'!O158+'2.1meta'!O175+'2.1meta'!O192+'2.1meta'!O302+'2.1meta'!O319+'2.1meta'!O336</f>
        <v>0</v>
      </c>
      <c r="O21" s="88">
        <f>'2.1meta'!P21+'2.1meta'!P38+'2.1meta'!P55+'2.1meta'!P73+'2.1meta'!P90+'2.1meta'!P107+'2.1meta'!P124+'2.1meta'!P141+'2.1meta'!P158+'2.1meta'!P175+'2.1meta'!P192+'2.1meta'!P302+'2.1meta'!P319+'2.1meta'!P336</f>
        <v>0</v>
      </c>
      <c r="P21" s="89">
        <f t="shared" si="4"/>
        <v>0</v>
      </c>
      <c r="Q21" s="111">
        <f t="shared" si="2"/>
        <v>0</v>
      </c>
      <c r="R21" s="88">
        <f>'2.1meta'!S21+'2.1meta'!S38+'2.1meta'!S55+'2.1meta'!S73+'2.1meta'!S90+'2.1meta'!S107+'2.1meta'!S124+'2.1meta'!S141+'2.1meta'!S158+'2.1meta'!S175+'2.1meta'!S192+'2.1meta'!S302+'2.1meta'!S319+'2.1meta'!S336</f>
        <v>0</v>
      </c>
      <c r="S21" s="88">
        <f>'2.1meta'!T21+'2.1meta'!T38+'2.1meta'!T55+'2.1meta'!T73+'2.1meta'!T90+'2.1meta'!T107+'2.1meta'!T124+'2.1meta'!T141+'2.1meta'!T158+'2.1meta'!T175+'2.1meta'!T192+'2.1meta'!T302+'2.1meta'!T319+'2.1meta'!T336</f>
        <v>0</v>
      </c>
      <c r="T21" s="88">
        <f>'2.1meta'!U21+'2.1meta'!U38+'2.1meta'!U55+'2.1meta'!U73+'2.1meta'!U90+'2.1meta'!U107+'2.1meta'!U124+'2.1meta'!U141+'2.1meta'!U158+'2.1meta'!U175+'2.1meta'!U192+'2.1meta'!U302+'2.1meta'!U319+'2.1meta'!U336</f>
        <v>0</v>
      </c>
      <c r="U21" s="88">
        <f>'2.1meta'!V21+'2.1meta'!V38+'2.1meta'!V55+'2.1meta'!V73+'2.1meta'!V90+'2.1meta'!V107+'2.1meta'!V124+'2.1meta'!V141+'2.1meta'!V158+'2.1meta'!V175+'2.1meta'!V192+'2.1meta'!V302+'2.1meta'!V319+'2.1meta'!V336</f>
        <v>0</v>
      </c>
      <c r="V21" s="88">
        <f>'2.1meta'!W21+'2.1meta'!W38+'2.1meta'!W55+'2.1meta'!W73+'2.1meta'!W90+'2.1meta'!W107+'2.1meta'!W124+'2.1meta'!W141+'2.1meta'!W158+'2.1meta'!W175+'2.1meta'!W192+'2.1meta'!W302+'2.1meta'!W319+'2.1meta'!W336</f>
        <v>0</v>
      </c>
      <c r="W21" s="88">
        <f>'2.1meta'!X21+'2.1meta'!X38+'2.1meta'!X55+'2.1meta'!X73+'2.1meta'!X90+'2.1meta'!X107+'2.1meta'!X124+'2.1meta'!X141+'2.1meta'!X158+'2.1meta'!X175+'2.1meta'!X192+'2.1meta'!X302+'2.1meta'!X319+'2.1meta'!X336</f>
        <v>0</v>
      </c>
      <c r="X21" s="90">
        <f>SUM(R21:W21)</f>
        <v>0</v>
      </c>
      <c r="Y21" s="91">
        <f>P21+X21</f>
        <v>0</v>
      </c>
      <c r="Z21" s="92">
        <f>C21-Y21</f>
        <v>0</v>
      </c>
    </row>
    <row r="22" spans="1:26">
      <c r="A22" s="96" t="s">
        <v>59</v>
      </c>
      <c r="B22" s="116" t="s">
        <v>60</v>
      </c>
      <c r="C22" s="88">
        <f>'2.1meta'!D22+'2.1meta'!D39+'2.1meta'!D56+'2.1meta'!D74+'2.1meta'!D91+'2.1meta'!D108+'2.1meta'!D125+'2.1meta'!D142+'2.1meta'!D159+'2.1meta'!D176+'2.1meta'!D193+'2.1meta'!D303+'2.1meta'!D320+'2.1meta'!D337</f>
        <v>0</v>
      </c>
      <c r="D22" s="88">
        <f>'2.1meta'!E22+'2.1meta'!E39+'2.1meta'!E56+'2.1meta'!E74+'2.1meta'!E92+'2.1meta'!E108+'2.1meta'!E125+'2.1meta'!E142+'2.1meta'!E159+'2.1meta'!E176+'2.1meta'!E193+'2.1meta'!E303+'2.1meta'!E320+'2.1meta'!E337</f>
        <v>0</v>
      </c>
      <c r="E22" s="88">
        <f>'2.1meta'!F22+'2.1meta'!F39+'2.1meta'!F56+'2.1meta'!F74+'2.1meta'!F92+'2.1meta'!F108+'2.1meta'!F125+'2.1meta'!F142+'2.1meta'!F159+'2.1meta'!F176+'2.1meta'!F193+'2.1meta'!F303+'2.1meta'!F320+'2.1meta'!F337</f>
        <v>0</v>
      </c>
      <c r="F22" s="88">
        <f>'2.1meta'!G22+'2.1meta'!G39+'2.1meta'!G56+'2.1meta'!G74+'2.1meta'!G91+'2.1meta'!G108+'2.1meta'!G125+'2.1meta'!G142+'2.1meta'!G159+'2.1meta'!G176+'2.1meta'!G193+'2.1meta'!G303+'2.1meta'!G320+'2.1meta'!G337</f>
        <v>0</v>
      </c>
      <c r="G22" s="88">
        <f>'2.1meta'!H22+'2.1meta'!H39+'2.1meta'!H56+'2.1meta'!H74+'2.1meta'!H91+'2.1meta'!H108+'2.1meta'!H125+'2.1meta'!H142+'2.1meta'!H159+'2.1meta'!H176+'2.1meta'!H193+'2.1meta'!H303+'2.1meta'!H320+'2.1meta'!H337</f>
        <v>0</v>
      </c>
      <c r="H22" s="88">
        <f>'2.1meta'!I22+'2.1meta'!I39+'2.1meta'!I56+'2.1meta'!I74+'2.1meta'!I91+'2.1meta'!I108+'2.1meta'!I125+'2.1meta'!I142+'2.1meta'!I159+'2.1meta'!I176+'2.1meta'!I193+'2.1meta'!I303+'2.1meta'!I320+'2.1meta'!I337</f>
        <v>0</v>
      </c>
      <c r="I22" s="88">
        <f>'2.1meta'!J22+'2.1meta'!J39+'2.1meta'!J56+'2.1meta'!J74+'2.1meta'!J91+'2.1meta'!J108+'2.1meta'!J125+'2.1meta'!J142+'2.1meta'!J159+'2.1meta'!J176+'2.1meta'!J193+'2.1meta'!J303+'2.1meta'!J320+'2.1meta'!J337</f>
        <v>0</v>
      </c>
      <c r="J22" s="88">
        <f>'2.1meta'!K22+'2.1meta'!K39+'2.1meta'!K56+'2.1meta'!K74+'2.1meta'!K91+'2.1meta'!K108+'2.1meta'!K125+'2.1meta'!K142+'2.1meta'!K159+'2.1meta'!K176+'2.1meta'!K193+'2.1meta'!K303+'2.1meta'!K320+'2.1meta'!K337</f>
        <v>0</v>
      </c>
      <c r="K22" s="88">
        <f>'2.1meta'!L22+'2.1meta'!L39+'2.1meta'!L56+'2.1meta'!L74+'2.1meta'!L91+'2.1meta'!L108+'2.1meta'!L125+'2.1meta'!L142+'2.1meta'!L159+'2.1meta'!L176+'2.1meta'!L193+'2.1meta'!L303+'2.1meta'!L320+'2.1meta'!L337</f>
        <v>0</v>
      </c>
      <c r="L22" s="88">
        <f>'2.1meta'!M22+'2.1meta'!M39+'2.1meta'!M56+'2.1meta'!M74+'2.1meta'!M91+'2.1meta'!M108+'2.1meta'!M125+'2.1meta'!M142+'2.1meta'!M159+'2.1meta'!M176+'2.1meta'!M193+'2.1meta'!M303+'2.1meta'!M320+'2.1meta'!M337</f>
        <v>0</v>
      </c>
      <c r="M22" s="88">
        <f>'2.1meta'!N22+'2.1meta'!N39+'2.1meta'!N56+'2.1meta'!N74+'2.1meta'!N91+'2.1meta'!N108+'2.1meta'!N125+'2.1meta'!N142+'2.1meta'!N159+'2.1meta'!N176+'2.1meta'!N193+'2.1meta'!N303+'2.1meta'!N320+'2.1meta'!N337</f>
        <v>0</v>
      </c>
      <c r="N22" s="88">
        <f>'2.1meta'!O22+'2.1meta'!O39+'2.1meta'!O56+'2.1meta'!O74+'2.1meta'!O91+'2.1meta'!O108+'2.1meta'!O125+'2.1meta'!O142+'2.1meta'!O159+'2.1meta'!O176+'2.1meta'!O193+'2.1meta'!O303+'2.1meta'!O320+'2.1meta'!O337</f>
        <v>0</v>
      </c>
      <c r="O22" s="88">
        <f>'2.1meta'!P22+'2.1meta'!P39+'2.1meta'!P56+'2.1meta'!P74+'2.1meta'!P91+'2.1meta'!P108+'2.1meta'!P125+'2.1meta'!P142+'2.1meta'!P159+'2.1meta'!P176+'2.1meta'!P193+'2.1meta'!P303+'2.1meta'!P320+'2.1meta'!P337</f>
        <v>0</v>
      </c>
      <c r="P22" s="89">
        <f t="shared" si="4"/>
        <v>0</v>
      </c>
      <c r="Q22" s="111">
        <f t="shared" si="2"/>
        <v>0</v>
      </c>
      <c r="R22" s="88">
        <f>'2.1meta'!S22+'2.1meta'!S39+'2.1meta'!S56+'2.1meta'!S74+'2.1meta'!S91+'2.1meta'!S108+'2.1meta'!S125+'2.1meta'!S142+'2.1meta'!S159+'2.1meta'!S176+'2.1meta'!S193+'2.1meta'!S303+'2.1meta'!S320+'2.1meta'!S337</f>
        <v>0</v>
      </c>
      <c r="S22" s="88">
        <f>'2.1meta'!T22+'2.1meta'!T39+'2.1meta'!T56+'2.1meta'!T74+'2.1meta'!T91+'2.1meta'!T108+'2.1meta'!T125+'2.1meta'!T142+'2.1meta'!T159+'2.1meta'!T176+'2.1meta'!T193+'2.1meta'!T303+'2.1meta'!T320+'2.1meta'!T337</f>
        <v>0</v>
      </c>
      <c r="T22" s="88">
        <f>'2.1meta'!U22+'2.1meta'!U39+'2.1meta'!U56+'2.1meta'!U74+'2.1meta'!U91+'2.1meta'!U108+'2.1meta'!U125+'2.1meta'!U142+'2.1meta'!U159+'2.1meta'!U176+'2.1meta'!U193+'2.1meta'!U303+'2.1meta'!U320+'2.1meta'!U337</f>
        <v>0</v>
      </c>
      <c r="U22" s="88">
        <f>'2.1meta'!V22+'2.1meta'!V39+'2.1meta'!V56+'2.1meta'!V74+'2.1meta'!V91+'2.1meta'!V108+'2.1meta'!V125+'2.1meta'!V142+'2.1meta'!V159+'2.1meta'!V176+'2.1meta'!V193+'2.1meta'!V303+'2.1meta'!V320+'2.1meta'!V337</f>
        <v>0</v>
      </c>
      <c r="V22" s="88">
        <f>'2.1meta'!W22+'2.1meta'!W39+'2.1meta'!W56+'2.1meta'!W74+'2.1meta'!W91+'2.1meta'!W108+'2.1meta'!W125+'2.1meta'!W142+'2.1meta'!W159+'2.1meta'!W176+'2.1meta'!W193+'2.1meta'!W303+'2.1meta'!W320+'2.1meta'!W337</f>
        <v>0</v>
      </c>
      <c r="W22" s="88">
        <f>'2.1meta'!X22+'2.1meta'!X39+'2.1meta'!X56+'2.1meta'!X74+'2.1meta'!X91+'2.1meta'!X108+'2.1meta'!X125+'2.1meta'!X142+'2.1meta'!X159+'2.1meta'!X176+'2.1meta'!X193+'2.1meta'!X303+'2.1meta'!X320+'2.1meta'!X337</f>
        <v>0</v>
      </c>
      <c r="X22" s="90">
        <f>SUM(R22:W22)</f>
        <v>0</v>
      </c>
      <c r="Y22" s="91">
        <f>P22+X22</f>
        <v>0</v>
      </c>
      <c r="Z22" s="92">
        <f>C22-Y22</f>
        <v>0</v>
      </c>
    </row>
    <row r="23" spans="1:26" s="100" customFormat="1" ht="15" customHeight="1">
      <c r="A23" s="97" t="s">
        <v>102</v>
      </c>
      <c r="B23" s="98"/>
      <c r="C23" s="85">
        <f>SUBTOTAL(9,C24:C37)</f>
        <v>0</v>
      </c>
      <c r="D23" s="85"/>
      <c r="E23" s="85"/>
      <c r="F23" s="85">
        <f t="shared" ref="F23:P23" si="5">SUBTOTAL(9,F24:F37)</f>
        <v>0</v>
      </c>
      <c r="G23" s="85">
        <f t="shared" si="5"/>
        <v>0</v>
      </c>
      <c r="H23" s="85">
        <f t="shared" si="5"/>
        <v>0</v>
      </c>
      <c r="I23" s="85">
        <f t="shared" si="5"/>
        <v>0</v>
      </c>
      <c r="J23" s="85">
        <f t="shared" ref="J23:M23" si="6">SUBTOTAL(9,J24:J37)</f>
        <v>0</v>
      </c>
      <c r="K23" s="85">
        <f t="shared" si="6"/>
        <v>0</v>
      </c>
      <c r="L23" s="85">
        <f t="shared" si="6"/>
        <v>0</v>
      </c>
      <c r="M23" s="85">
        <f t="shared" si="6"/>
        <v>0</v>
      </c>
      <c r="N23" s="85">
        <f t="shared" si="5"/>
        <v>0</v>
      </c>
      <c r="O23" s="85">
        <f t="shared" si="5"/>
        <v>0</v>
      </c>
      <c r="P23" s="85">
        <f t="shared" si="5"/>
        <v>0</v>
      </c>
      <c r="Q23" s="64">
        <f t="shared" si="2"/>
        <v>0</v>
      </c>
      <c r="R23" s="85">
        <f t="shared" ref="R23:Z23" si="7">SUBTOTAL(9,R24:R37)</f>
        <v>0</v>
      </c>
      <c r="S23" s="85">
        <f t="shared" si="7"/>
        <v>0</v>
      </c>
      <c r="T23" s="85">
        <f t="shared" si="7"/>
        <v>0</v>
      </c>
      <c r="U23" s="85">
        <f t="shared" si="7"/>
        <v>0</v>
      </c>
      <c r="V23" s="85">
        <f t="shared" si="7"/>
        <v>0</v>
      </c>
      <c r="W23" s="85">
        <f t="shared" si="7"/>
        <v>0</v>
      </c>
      <c r="X23" s="85">
        <f t="shared" si="7"/>
        <v>0</v>
      </c>
      <c r="Y23" s="85">
        <f t="shared" si="7"/>
        <v>0</v>
      </c>
      <c r="Z23" s="99">
        <f t="shared" si="7"/>
        <v>0</v>
      </c>
    </row>
    <row r="24" spans="1:26">
      <c r="A24" s="93" t="s">
        <v>29</v>
      </c>
      <c r="B24" s="114" t="s">
        <v>30</v>
      </c>
      <c r="C24" s="88">
        <f>'2.1meta'!D271</f>
        <v>0</v>
      </c>
      <c r="D24" s="88">
        <f>'2.1meta'!E254</f>
        <v>0</v>
      </c>
      <c r="E24" s="88">
        <f>'2.1meta'!F254</f>
        <v>0</v>
      </c>
      <c r="F24" s="88">
        <f>'2.1meta'!G271</f>
        <v>0</v>
      </c>
      <c r="G24" s="88">
        <f>'2.1meta'!H271</f>
        <v>0</v>
      </c>
      <c r="H24" s="88">
        <f>'2.1meta'!I271</f>
        <v>0</v>
      </c>
      <c r="I24" s="88">
        <f>'2.1meta'!J271</f>
        <v>0</v>
      </c>
      <c r="J24" s="88">
        <f>'2.1meta'!K271</f>
        <v>0</v>
      </c>
      <c r="K24" s="88">
        <f>'2.1meta'!L271</f>
        <v>0</v>
      </c>
      <c r="L24" s="88">
        <f>'2.1meta'!M271</f>
        <v>0</v>
      </c>
      <c r="M24" s="88">
        <f>'2.1meta'!N271</f>
        <v>0</v>
      </c>
      <c r="N24" s="88">
        <f>'2.1meta'!O271</f>
        <v>0</v>
      </c>
      <c r="O24" s="88">
        <f>'2.1meta'!P271</f>
        <v>0</v>
      </c>
      <c r="P24" s="89">
        <f t="shared" ref="P24:P37" si="8">SUM(F24:O24)</f>
        <v>0</v>
      </c>
      <c r="Q24" s="111">
        <f t="shared" si="2"/>
        <v>0</v>
      </c>
      <c r="R24" s="88">
        <f>'2.1meta'!S271</f>
        <v>0</v>
      </c>
      <c r="S24" s="88">
        <f>'2.1meta'!T271</f>
        <v>0</v>
      </c>
      <c r="T24" s="88">
        <f>'2.1meta'!U271</f>
        <v>0</v>
      </c>
      <c r="U24" s="88">
        <f>'2.1meta'!V271</f>
        <v>0</v>
      </c>
      <c r="V24" s="88">
        <f>'2.1meta'!W271</f>
        <v>0</v>
      </c>
      <c r="W24" s="88">
        <f>'2.1meta'!X271</f>
        <v>0</v>
      </c>
      <c r="X24" s="90">
        <f>SUM(R24:W24)</f>
        <v>0</v>
      </c>
      <c r="Y24" s="94">
        <f>P24+X24</f>
        <v>0</v>
      </c>
      <c r="Z24" s="95">
        <f>C24-Y24</f>
        <v>0</v>
      </c>
    </row>
    <row r="25" spans="1:26">
      <c r="A25" s="93" t="s">
        <v>31</v>
      </c>
      <c r="B25" s="114" t="s">
        <v>100</v>
      </c>
      <c r="C25" s="88">
        <f>'2.1meta'!D272</f>
        <v>0</v>
      </c>
      <c r="D25" s="88">
        <f>'2.1meta'!E255</f>
        <v>0</v>
      </c>
      <c r="E25" s="88">
        <f>'2.1meta'!F255</f>
        <v>0</v>
      </c>
      <c r="F25" s="88">
        <f>'2.1meta'!G272</f>
        <v>0</v>
      </c>
      <c r="G25" s="88">
        <f>'2.1meta'!H272</f>
        <v>0</v>
      </c>
      <c r="H25" s="88">
        <f>'2.1meta'!I272</f>
        <v>0</v>
      </c>
      <c r="I25" s="88">
        <f>'2.1meta'!J272</f>
        <v>0</v>
      </c>
      <c r="J25" s="88">
        <f>'2.1meta'!K272</f>
        <v>0</v>
      </c>
      <c r="K25" s="88">
        <f>'2.1meta'!L272</f>
        <v>0</v>
      </c>
      <c r="L25" s="88">
        <f>'2.1meta'!M272</f>
        <v>0</v>
      </c>
      <c r="M25" s="88">
        <f>'2.1meta'!N272</f>
        <v>0</v>
      </c>
      <c r="N25" s="88">
        <f>'2.1meta'!O272</f>
        <v>0</v>
      </c>
      <c r="O25" s="88">
        <f>'2.1meta'!P272</f>
        <v>0</v>
      </c>
      <c r="P25" s="89">
        <f t="shared" si="8"/>
        <v>0</v>
      </c>
      <c r="Q25" s="111">
        <f t="shared" si="2"/>
        <v>0</v>
      </c>
      <c r="R25" s="88">
        <f>'2.1meta'!S272</f>
        <v>0</v>
      </c>
      <c r="S25" s="88">
        <f>'2.1meta'!T272</f>
        <v>0</v>
      </c>
      <c r="T25" s="88">
        <f>'2.1meta'!U272</f>
        <v>0</v>
      </c>
      <c r="U25" s="88">
        <f>'2.1meta'!V272</f>
        <v>0</v>
      </c>
      <c r="V25" s="88">
        <f>'2.1meta'!W272</f>
        <v>0</v>
      </c>
      <c r="W25" s="88">
        <f>'2.1meta'!X272</f>
        <v>0</v>
      </c>
      <c r="X25" s="90">
        <f>SUM(R25:W25)</f>
        <v>0</v>
      </c>
      <c r="Y25" s="94">
        <f>P25+X25</f>
        <v>0</v>
      </c>
      <c r="Z25" s="95">
        <f>C25-Y25</f>
        <v>0</v>
      </c>
    </row>
    <row r="26" spans="1:26">
      <c r="A26" s="93" t="s">
        <v>33</v>
      </c>
      <c r="B26" s="114" t="s">
        <v>101</v>
      </c>
      <c r="C26" s="88">
        <f>'2.1meta'!D273</f>
        <v>0</v>
      </c>
      <c r="D26" s="88">
        <f>'2.1meta'!E256</f>
        <v>0</v>
      </c>
      <c r="E26" s="88">
        <f>'2.1meta'!F256</f>
        <v>0</v>
      </c>
      <c r="F26" s="88">
        <f>'2.1meta'!G273</f>
        <v>0</v>
      </c>
      <c r="G26" s="88">
        <f>'2.1meta'!H273</f>
        <v>0</v>
      </c>
      <c r="H26" s="88">
        <f>'2.1meta'!I273</f>
        <v>0</v>
      </c>
      <c r="I26" s="88">
        <f>'2.1meta'!J273</f>
        <v>0</v>
      </c>
      <c r="J26" s="88">
        <f>'2.1meta'!K273</f>
        <v>0</v>
      </c>
      <c r="K26" s="88">
        <f>'2.1meta'!L273</f>
        <v>0</v>
      </c>
      <c r="L26" s="88">
        <f>'2.1meta'!M273</f>
        <v>0</v>
      </c>
      <c r="M26" s="88">
        <f>'2.1meta'!N273</f>
        <v>0</v>
      </c>
      <c r="N26" s="88">
        <f>'2.1meta'!O273</f>
        <v>0</v>
      </c>
      <c r="O26" s="88">
        <f>'2.1meta'!P273</f>
        <v>0</v>
      </c>
      <c r="P26" s="89">
        <f t="shared" si="8"/>
        <v>0</v>
      </c>
      <c r="Q26" s="111">
        <f t="shared" si="2"/>
        <v>0</v>
      </c>
      <c r="R26" s="88">
        <f>'2.1meta'!S273</f>
        <v>0</v>
      </c>
      <c r="S26" s="88">
        <f>'2.1meta'!T273</f>
        <v>0</v>
      </c>
      <c r="T26" s="88">
        <f>'2.1meta'!U273</f>
        <v>0</v>
      </c>
      <c r="U26" s="88">
        <f>'2.1meta'!V273</f>
        <v>0</v>
      </c>
      <c r="V26" s="88">
        <f>'2.1meta'!W273</f>
        <v>0</v>
      </c>
      <c r="W26" s="88">
        <f>'2.1meta'!X273</f>
        <v>0</v>
      </c>
      <c r="X26" s="90">
        <f>SUM(R26:W26)</f>
        <v>0</v>
      </c>
      <c r="Y26" s="94">
        <f>P26+X26</f>
        <v>0</v>
      </c>
      <c r="Z26" s="95">
        <f>C26-Y26</f>
        <v>0</v>
      </c>
    </row>
    <row r="27" spans="1:26">
      <c r="A27" s="93" t="s">
        <v>35</v>
      </c>
      <c r="B27" s="114" t="s">
        <v>36</v>
      </c>
      <c r="C27" s="88">
        <f>'2.1meta'!D274</f>
        <v>0</v>
      </c>
      <c r="D27" s="88">
        <f>'2.1meta'!E257</f>
        <v>0</v>
      </c>
      <c r="E27" s="88">
        <f>'2.1meta'!F257</f>
        <v>0</v>
      </c>
      <c r="F27" s="88">
        <f>'2.1meta'!G274</f>
        <v>0</v>
      </c>
      <c r="G27" s="88">
        <f>'2.1meta'!H274</f>
        <v>0</v>
      </c>
      <c r="H27" s="88">
        <f>'2.1meta'!I274</f>
        <v>0</v>
      </c>
      <c r="I27" s="88">
        <f>'2.1meta'!J274</f>
        <v>0</v>
      </c>
      <c r="J27" s="88">
        <f>'2.1meta'!K274</f>
        <v>0</v>
      </c>
      <c r="K27" s="88">
        <f>'2.1meta'!L274</f>
        <v>0</v>
      </c>
      <c r="L27" s="88">
        <f>'2.1meta'!M274</f>
        <v>0</v>
      </c>
      <c r="M27" s="88">
        <f>'2.1meta'!N274</f>
        <v>0</v>
      </c>
      <c r="N27" s="88">
        <f>'2.1meta'!O274</f>
        <v>0</v>
      </c>
      <c r="O27" s="88">
        <f>'2.1meta'!P274</f>
        <v>0</v>
      </c>
      <c r="P27" s="89">
        <f t="shared" si="8"/>
        <v>0</v>
      </c>
      <c r="Q27" s="111">
        <f t="shared" si="2"/>
        <v>0</v>
      </c>
      <c r="R27" s="88">
        <f>'2.1meta'!S274</f>
        <v>0</v>
      </c>
      <c r="S27" s="88">
        <f>'2.1meta'!T274</f>
        <v>0</v>
      </c>
      <c r="T27" s="88">
        <f>'2.1meta'!U274</f>
        <v>0</v>
      </c>
      <c r="U27" s="88">
        <f>'2.1meta'!V274</f>
        <v>0</v>
      </c>
      <c r="V27" s="88">
        <f>'2.1meta'!W274</f>
        <v>0</v>
      </c>
      <c r="W27" s="88">
        <f>'2.1meta'!X274</f>
        <v>0</v>
      </c>
      <c r="X27" s="90">
        <f>SUM(R27:W27)</f>
        <v>0</v>
      </c>
      <c r="Y27" s="94">
        <f>P27+X27</f>
        <v>0</v>
      </c>
      <c r="Z27" s="95">
        <f>C27-Y27</f>
        <v>0</v>
      </c>
    </row>
    <row r="28" spans="1:26">
      <c r="A28" s="93" t="s">
        <v>37</v>
      </c>
      <c r="B28" s="114" t="s">
        <v>38</v>
      </c>
      <c r="C28" s="88">
        <f>'2.1meta'!D275</f>
        <v>0</v>
      </c>
      <c r="D28" s="88">
        <f>'2.1meta'!E258</f>
        <v>0</v>
      </c>
      <c r="E28" s="88">
        <f>'2.1meta'!F258</f>
        <v>0</v>
      </c>
      <c r="F28" s="88">
        <f>'2.1meta'!G275</f>
        <v>0</v>
      </c>
      <c r="G28" s="88">
        <f>'2.1meta'!H275</f>
        <v>0</v>
      </c>
      <c r="H28" s="88">
        <f>'2.1meta'!I275</f>
        <v>0</v>
      </c>
      <c r="I28" s="88">
        <f>'2.1meta'!J275</f>
        <v>0</v>
      </c>
      <c r="J28" s="88">
        <f>'2.1meta'!K275</f>
        <v>0</v>
      </c>
      <c r="K28" s="88">
        <f>'2.1meta'!L275</f>
        <v>0</v>
      </c>
      <c r="L28" s="88">
        <f>'2.1meta'!M275</f>
        <v>0</v>
      </c>
      <c r="M28" s="88">
        <f>'2.1meta'!N275</f>
        <v>0</v>
      </c>
      <c r="N28" s="88">
        <f>'2.1meta'!O275</f>
        <v>0</v>
      </c>
      <c r="O28" s="88">
        <f>'2.1meta'!P275</f>
        <v>0</v>
      </c>
      <c r="P28" s="89">
        <f t="shared" si="8"/>
        <v>0</v>
      </c>
      <c r="Q28" s="111">
        <f t="shared" si="2"/>
        <v>0</v>
      </c>
      <c r="R28" s="88">
        <f>'2.1meta'!S275</f>
        <v>0</v>
      </c>
      <c r="S28" s="88">
        <f>'2.1meta'!T275</f>
        <v>0</v>
      </c>
      <c r="T28" s="88">
        <f>'2.1meta'!U275</f>
        <v>0</v>
      </c>
      <c r="U28" s="88">
        <f>'2.1meta'!V275</f>
        <v>0</v>
      </c>
      <c r="V28" s="88">
        <f>'2.1meta'!W275</f>
        <v>0</v>
      </c>
      <c r="W28" s="88">
        <f>'2.1meta'!X275</f>
        <v>0</v>
      </c>
      <c r="X28" s="90">
        <f>SUM(R28:W28)</f>
        <v>0</v>
      </c>
      <c r="Y28" s="94">
        <f>P28+X28</f>
        <v>0</v>
      </c>
      <c r="Z28" s="95">
        <f>C28-Y28</f>
        <v>0</v>
      </c>
    </row>
    <row r="29" spans="1:26">
      <c r="A29" s="93" t="s">
        <v>39</v>
      </c>
      <c r="B29" s="114" t="s">
        <v>40</v>
      </c>
      <c r="C29" s="88">
        <f>'2.1meta'!D276</f>
        <v>0</v>
      </c>
      <c r="D29" s="88">
        <f>'2.1meta'!E259</f>
        <v>0</v>
      </c>
      <c r="E29" s="88">
        <f>'2.1meta'!F259</f>
        <v>0</v>
      </c>
      <c r="F29" s="88">
        <f>'2.1meta'!G276</f>
        <v>0</v>
      </c>
      <c r="G29" s="88">
        <f>'2.1meta'!H276</f>
        <v>0</v>
      </c>
      <c r="H29" s="88">
        <f>'2.1meta'!I276</f>
        <v>0</v>
      </c>
      <c r="I29" s="88">
        <f>'2.1meta'!J276</f>
        <v>0</v>
      </c>
      <c r="J29" s="88">
        <f>'2.1meta'!K276</f>
        <v>0</v>
      </c>
      <c r="K29" s="88">
        <f>'2.1meta'!L276</f>
        <v>0</v>
      </c>
      <c r="L29" s="88">
        <f>'2.1meta'!M276</f>
        <v>0</v>
      </c>
      <c r="M29" s="88">
        <f>'2.1meta'!N276</f>
        <v>0</v>
      </c>
      <c r="N29" s="88">
        <f>'2.1meta'!O276</f>
        <v>0</v>
      </c>
      <c r="O29" s="88">
        <f>'2.1meta'!P276</f>
        <v>0</v>
      </c>
      <c r="P29" s="89">
        <f t="shared" si="8"/>
        <v>0</v>
      </c>
      <c r="Q29" s="111">
        <f t="shared" si="2"/>
        <v>0</v>
      </c>
      <c r="R29" s="88">
        <f>'2.1meta'!S276</f>
        <v>0</v>
      </c>
      <c r="S29" s="88">
        <f>'2.1meta'!T276</f>
        <v>0</v>
      </c>
      <c r="T29" s="88">
        <f>'2.1meta'!U276</f>
        <v>0</v>
      </c>
      <c r="U29" s="88">
        <f>'2.1meta'!V276</f>
        <v>0</v>
      </c>
      <c r="V29" s="88">
        <f>'2.1meta'!W276</f>
        <v>0</v>
      </c>
      <c r="W29" s="88">
        <f>'2.1meta'!X276</f>
        <v>0</v>
      </c>
      <c r="X29" s="90">
        <f>SUM(R29:W29)</f>
        <v>0</v>
      </c>
      <c r="Y29" s="94">
        <f>P29+X29</f>
        <v>0</v>
      </c>
      <c r="Z29" s="95">
        <f>C29-Y29</f>
        <v>0</v>
      </c>
    </row>
    <row r="30" spans="1:26">
      <c r="A30" s="93" t="s">
        <v>41</v>
      </c>
      <c r="B30" s="114" t="s">
        <v>42</v>
      </c>
      <c r="C30" s="88">
        <f>'2.1meta'!D277</f>
        <v>0</v>
      </c>
      <c r="D30" s="88">
        <f>'2.1meta'!E260</f>
        <v>0</v>
      </c>
      <c r="E30" s="88">
        <f>'2.1meta'!F260</f>
        <v>0</v>
      </c>
      <c r="F30" s="88">
        <f>'2.1meta'!G277</f>
        <v>0</v>
      </c>
      <c r="G30" s="88">
        <f>'2.1meta'!H277</f>
        <v>0</v>
      </c>
      <c r="H30" s="88">
        <f>'2.1meta'!I277</f>
        <v>0</v>
      </c>
      <c r="I30" s="88">
        <f>'2.1meta'!J277</f>
        <v>0</v>
      </c>
      <c r="J30" s="88">
        <f>'2.1meta'!K277</f>
        <v>0</v>
      </c>
      <c r="K30" s="88">
        <f>'2.1meta'!L277</f>
        <v>0</v>
      </c>
      <c r="L30" s="88">
        <f>'2.1meta'!M277</f>
        <v>0</v>
      </c>
      <c r="M30" s="88">
        <f>'2.1meta'!N277</f>
        <v>0</v>
      </c>
      <c r="N30" s="88">
        <f>'2.1meta'!O277</f>
        <v>0</v>
      </c>
      <c r="O30" s="88">
        <f>'2.1meta'!P277</f>
        <v>0</v>
      </c>
      <c r="P30" s="89">
        <f t="shared" si="8"/>
        <v>0</v>
      </c>
      <c r="Q30" s="111">
        <f t="shared" si="2"/>
        <v>0</v>
      </c>
      <c r="R30" s="88">
        <f>'2.1meta'!S277</f>
        <v>0</v>
      </c>
      <c r="S30" s="88">
        <f>'2.1meta'!T277</f>
        <v>0</v>
      </c>
      <c r="T30" s="88">
        <f>'2.1meta'!U277</f>
        <v>0</v>
      </c>
      <c r="U30" s="88">
        <f>'2.1meta'!V277</f>
        <v>0</v>
      </c>
      <c r="V30" s="88">
        <f>'2.1meta'!W277</f>
        <v>0</v>
      </c>
      <c r="W30" s="88">
        <f>'2.1meta'!X277</f>
        <v>0</v>
      </c>
      <c r="X30" s="90">
        <f>SUM(R30:W30)</f>
        <v>0</v>
      </c>
      <c r="Y30" s="94">
        <f>P30+X30</f>
        <v>0</v>
      </c>
      <c r="Z30" s="95">
        <f>C30-Y30</f>
        <v>0</v>
      </c>
    </row>
    <row r="31" spans="1:26">
      <c r="A31" s="93" t="s">
        <v>43</v>
      </c>
      <c r="B31" s="114" t="s">
        <v>44</v>
      </c>
      <c r="C31" s="88">
        <f>'2.1meta'!D278</f>
        <v>0</v>
      </c>
      <c r="D31" s="88">
        <f>'2.1meta'!E261</f>
        <v>0</v>
      </c>
      <c r="E31" s="88">
        <f>'2.1meta'!F261</f>
        <v>0</v>
      </c>
      <c r="F31" s="88">
        <f>'2.1meta'!G278</f>
        <v>0</v>
      </c>
      <c r="G31" s="88">
        <f>'2.1meta'!H278</f>
        <v>0</v>
      </c>
      <c r="H31" s="88">
        <f>'2.1meta'!I278</f>
        <v>0</v>
      </c>
      <c r="I31" s="88">
        <f>'2.1meta'!J278</f>
        <v>0</v>
      </c>
      <c r="J31" s="88">
        <f>'2.1meta'!K278</f>
        <v>0</v>
      </c>
      <c r="K31" s="88">
        <f>'2.1meta'!L278</f>
        <v>0</v>
      </c>
      <c r="L31" s="88">
        <f>'2.1meta'!M278</f>
        <v>0</v>
      </c>
      <c r="M31" s="88">
        <f>'2.1meta'!N278</f>
        <v>0</v>
      </c>
      <c r="N31" s="88">
        <f>'2.1meta'!O278</f>
        <v>0</v>
      </c>
      <c r="O31" s="88">
        <f>'2.1meta'!P278</f>
        <v>0</v>
      </c>
      <c r="P31" s="89">
        <f t="shared" si="8"/>
        <v>0</v>
      </c>
      <c r="Q31" s="111">
        <f t="shared" si="2"/>
        <v>0</v>
      </c>
      <c r="R31" s="88">
        <f>'2.1meta'!S278</f>
        <v>0</v>
      </c>
      <c r="S31" s="88">
        <f>'2.1meta'!T278</f>
        <v>0</v>
      </c>
      <c r="T31" s="88">
        <f>'2.1meta'!U278</f>
        <v>0</v>
      </c>
      <c r="U31" s="88">
        <f>'2.1meta'!V278</f>
        <v>0</v>
      </c>
      <c r="V31" s="88">
        <f>'2.1meta'!W278</f>
        <v>0</v>
      </c>
      <c r="W31" s="88">
        <f>'2.1meta'!X278</f>
        <v>0</v>
      </c>
      <c r="X31" s="90">
        <f>SUM(R31:W31)</f>
        <v>0</v>
      </c>
      <c r="Y31" s="94">
        <f>P31+X31</f>
        <v>0</v>
      </c>
      <c r="Z31" s="95">
        <f>C31-Y31</f>
        <v>0</v>
      </c>
    </row>
    <row r="32" spans="1:26">
      <c r="A32" s="93" t="s">
        <v>45</v>
      </c>
      <c r="B32" s="114" t="s">
        <v>46</v>
      </c>
      <c r="C32" s="88">
        <f>'2.1meta'!D279</f>
        <v>0</v>
      </c>
      <c r="D32" s="88">
        <f>'2.1meta'!E262</f>
        <v>0</v>
      </c>
      <c r="E32" s="88">
        <f>'2.1meta'!F262</f>
        <v>0</v>
      </c>
      <c r="F32" s="88">
        <f>'2.1meta'!G279</f>
        <v>0</v>
      </c>
      <c r="G32" s="88">
        <f>'2.1meta'!H279</f>
        <v>0</v>
      </c>
      <c r="H32" s="88">
        <f>'2.1meta'!I279</f>
        <v>0</v>
      </c>
      <c r="I32" s="88">
        <f>'2.1meta'!J279</f>
        <v>0</v>
      </c>
      <c r="J32" s="88">
        <f>'2.1meta'!K279</f>
        <v>0</v>
      </c>
      <c r="K32" s="88">
        <f>'2.1meta'!L279</f>
        <v>0</v>
      </c>
      <c r="L32" s="88">
        <f>'2.1meta'!M279</f>
        <v>0</v>
      </c>
      <c r="M32" s="88">
        <f>'2.1meta'!N279</f>
        <v>0</v>
      </c>
      <c r="N32" s="88">
        <f>'2.1meta'!O279</f>
        <v>0</v>
      </c>
      <c r="O32" s="88">
        <f>'2.1meta'!P279</f>
        <v>0</v>
      </c>
      <c r="P32" s="89">
        <f t="shared" si="8"/>
        <v>0</v>
      </c>
      <c r="Q32" s="111">
        <f t="shared" si="2"/>
        <v>0</v>
      </c>
      <c r="R32" s="88">
        <f>'2.1meta'!S279</f>
        <v>0</v>
      </c>
      <c r="S32" s="88">
        <f>'2.1meta'!T279</f>
        <v>0</v>
      </c>
      <c r="T32" s="88">
        <f>'2.1meta'!U279</f>
        <v>0</v>
      </c>
      <c r="U32" s="88">
        <f>'2.1meta'!V279</f>
        <v>0</v>
      </c>
      <c r="V32" s="88">
        <f>'2.1meta'!W279</f>
        <v>0</v>
      </c>
      <c r="W32" s="88">
        <f>'2.1meta'!X279</f>
        <v>0</v>
      </c>
      <c r="X32" s="90">
        <f>SUM(R32:W32)</f>
        <v>0</v>
      </c>
      <c r="Y32" s="94">
        <f>P32+X32</f>
        <v>0</v>
      </c>
      <c r="Z32" s="95">
        <f>C32-Y32</f>
        <v>0</v>
      </c>
    </row>
    <row r="33" spans="1:26">
      <c r="A33" s="93" t="s">
        <v>47</v>
      </c>
      <c r="B33" s="114" t="s">
        <v>48</v>
      </c>
      <c r="C33" s="88">
        <f>'2.1meta'!D280</f>
        <v>0</v>
      </c>
      <c r="D33" s="88">
        <f>'2.1meta'!E263</f>
        <v>0</v>
      </c>
      <c r="E33" s="88">
        <f>'2.1meta'!F263</f>
        <v>0</v>
      </c>
      <c r="F33" s="88">
        <f>'2.1meta'!G280</f>
        <v>0</v>
      </c>
      <c r="G33" s="88">
        <f>'2.1meta'!H280</f>
        <v>0</v>
      </c>
      <c r="H33" s="88">
        <f>'2.1meta'!I280</f>
        <v>0</v>
      </c>
      <c r="I33" s="88">
        <f>'2.1meta'!J280</f>
        <v>0</v>
      </c>
      <c r="J33" s="88">
        <f>'2.1meta'!K280</f>
        <v>0</v>
      </c>
      <c r="K33" s="88">
        <f>'2.1meta'!L280</f>
        <v>0</v>
      </c>
      <c r="L33" s="88">
        <f>'2.1meta'!M280</f>
        <v>0</v>
      </c>
      <c r="M33" s="88">
        <f>'2.1meta'!N280</f>
        <v>0</v>
      </c>
      <c r="N33" s="88">
        <f>'2.1meta'!O280</f>
        <v>0</v>
      </c>
      <c r="O33" s="88">
        <f>'2.1meta'!P280</f>
        <v>0</v>
      </c>
      <c r="P33" s="89">
        <f t="shared" si="8"/>
        <v>0</v>
      </c>
      <c r="Q33" s="111">
        <f t="shared" si="2"/>
        <v>0</v>
      </c>
      <c r="R33" s="88">
        <f>'2.1meta'!S280</f>
        <v>0</v>
      </c>
      <c r="S33" s="88">
        <f>'2.1meta'!T280</f>
        <v>0</v>
      </c>
      <c r="T33" s="88">
        <f>'2.1meta'!U280</f>
        <v>0</v>
      </c>
      <c r="U33" s="88">
        <f>'2.1meta'!V280</f>
        <v>0</v>
      </c>
      <c r="V33" s="88">
        <f>'2.1meta'!W280</f>
        <v>0</v>
      </c>
      <c r="W33" s="88">
        <f>'2.1meta'!X280</f>
        <v>0</v>
      </c>
      <c r="X33" s="90">
        <f>SUM(R33:W33)</f>
        <v>0</v>
      </c>
      <c r="Y33" s="94">
        <f>P33+X33</f>
        <v>0</v>
      </c>
      <c r="Z33" s="95">
        <f>C33-Y33</f>
        <v>0</v>
      </c>
    </row>
    <row r="34" spans="1:26">
      <c r="A34" s="93" t="s">
        <v>49</v>
      </c>
      <c r="B34" s="114" t="s">
        <v>50</v>
      </c>
      <c r="C34" s="88">
        <f>'2.1meta'!D281</f>
        <v>0</v>
      </c>
      <c r="D34" s="88">
        <f>'2.1meta'!E264</f>
        <v>0</v>
      </c>
      <c r="E34" s="88">
        <f>'2.1meta'!F264</f>
        <v>0</v>
      </c>
      <c r="F34" s="88">
        <f>'2.1meta'!G281</f>
        <v>0</v>
      </c>
      <c r="G34" s="88">
        <f>'2.1meta'!H281</f>
        <v>0</v>
      </c>
      <c r="H34" s="88">
        <f>'2.1meta'!I281</f>
        <v>0</v>
      </c>
      <c r="I34" s="88">
        <f>'2.1meta'!J281</f>
        <v>0</v>
      </c>
      <c r="J34" s="88">
        <f>'2.1meta'!K281</f>
        <v>0</v>
      </c>
      <c r="K34" s="88">
        <f>'2.1meta'!L281</f>
        <v>0</v>
      </c>
      <c r="L34" s="88">
        <f>'2.1meta'!M281</f>
        <v>0</v>
      </c>
      <c r="M34" s="88">
        <f>'2.1meta'!N281</f>
        <v>0</v>
      </c>
      <c r="N34" s="88">
        <f>'2.1meta'!O281</f>
        <v>0</v>
      </c>
      <c r="O34" s="88">
        <f>'2.1meta'!P281</f>
        <v>0</v>
      </c>
      <c r="P34" s="89">
        <f t="shared" si="8"/>
        <v>0</v>
      </c>
      <c r="Q34" s="111">
        <f t="shared" si="2"/>
        <v>0</v>
      </c>
      <c r="R34" s="88">
        <f>'2.1meta'!S281</f>
        <v>0</v>
      </c>
      <c r="S34" s="88">
        <f>'2.1meta'!T281</f>
        <v>0</v>
      </c>
      <c r="T34" s="88">
        <f>'2.1meta'!U281</f>
        <v>0</v>
      </c>
      <c r="U34" s="88">
        <f>'2.1meta'!V281</f>
        <v>0</v>
      </c>
      <c r="V34" s="88">
        <f>'2.1meta'!W281</f>
        <v>0</v>
      </c>
      <c r="W34" s="88">
        <f>'2.1meta'!X281</f>
        <v>0</v>
      </c>
      <c r="X34" s="90">
        <f>SUM(R34:W34)</f>
        <v>0</v>
      </c>
      <c r="Y34" s="94">
        <f>P34+X34</f>
        <v>0</v>
      </c>
      <c r="Z34" s="95">
        <f>C34-Y34</f>
        <v>0</v>
      </c>
    </row>
    <row r="35" spans="1:26">
      <c r="A35" s="93" t="s">
        <v>53</v>
      </c>
      <c r="B35" s="114" t="s">
        <v>54</v>
      </c>
      <c r="C35" s="88">
        <f>'2.1meta'!D283</f>
        <v>0</v>
      </c>
      <c r="D35" s="88">
        <f>'2.1meta'!E266</f>
        <v>0</v>
      </c>
      <c r="E35" s="88">
        <f>'2.1meta'!F266</f>
        <v>0</v>
      </c>
      <c r="F35" s="88">
        <f>'2.1meta'!G283</f>
        <v>0</v>
      </c>
      <c r="G35" s="88">
        <f>'2.1meta'!H283</f>
        <v>0</v>
      </c>
      <c r="H35" s="88">
        <f>'2.1meta'!I283</f>
        <v>0</v>
      </c>
      <c r="I35" s="88">
        <f>'2.1meta'!J283</f>
        <v>0</v>
      </c>
      <c r="J35" s="88">
        <f>'2.1meta'!K283</f>
        <v>0</v>
      </c>
      <c r="K35" s="88">
        <f>'2.1meta'!L283</f>
        <v>0</v>
      </c>
      <c r="L35" s="88">
        <f>'2.1meta'!M283</f>
        <v>0</v>
      </c>
      <c r="M35" s="88">
        <f>'2.1meta'!N283</f>
        <v>0</v>
      </c>
      <c r="N35" s="88">
        <f>'2.1meta'!O283</f>
        <v>0</v>
      </c>
      <c r="O35" s="88">
        <f>'2.1meta'!P283</f>
        <v>0</v>
      </c>
      <c r="P35" s="89">
        <f t="shared" si="8"/>
        <v>0</v>
      </c>
      <c r="Q35" s="111">
        <f t="shared" si="2"/>
        <v>0</v>
      </c>
      <c r="R35" s="88">
        <f>'2.1meta'!S283</f>
        <v>0</v>
      </c>
      <c r="S35" s="88">
        <f>'2.1meta'!T283</f>
        <v>0</v>
      </c>
      <c r="T35" s="88">
        <f>'2.1meta'!U283</f>
        <v>0</v>
      </c>
      <c r="U35" s="88">
        <f>'2.1meta'!V283</f>
        <v>0</v>
      </c>
      <c r="V35" s="88">
        <f>'2.1meta'!W283</f>
        <v>0</v>
      </c>
      <c r="W35" s="88">
        <f>'2.1meta'!X283</f>
        <v>0</v>
      </c>
      <c r="X35" s="90">
        <f>SUM(R35:W35)</f>
        <v>0</v>
      </c>
      <c r="Y35" s="94">
        <f>P35+X35</f>
        <v>0</v>
      </c>
      <c r="Z35" s="95">
        <f>C35-Y35</f>
        <v>0</v>
      </c>
    </row>
    <row r="36" spans="1:26">
      <c r="A36" s="93" t="s">
        <v>55</v>
      </c>
      <c r="B36" s="114" t="s">
        <v>56</v>
      </c>
      <c r="C36" s="88">
        <f>'2.1meta'!D284</f>
        <v>0</v>
      </c>
      <c r="D36" s="88">
        <f>'2.1meta'!E267</f>
        <v>0</v>
      </c>
      <c r="E36" s="88">
        <f>'2.1meta'!F267</f>
        <v>0</v>
      </c>
      <c r="F36" s="88">
        <f>'2.1meta'!G284</f>
        <v>0</v>
      </c>
      <c r="G36" s="88">
        <f>'2.1meta'!H284</f>
        <v>0</v>
      </c>
      <c r="H36" s="88">
        <f>'2.1meta'!I284</f>
        <v>0</v>
      </c>
      <c r="I36" s="88">
        <f>'2.1meta'!J284</f>
        <v>0</v>
      </c>
      <c r="J36" s="88">
        <f>'2.1meta'!K284</f>
        <v>0</v>
      </c>
      <c r="K36" s="88">
        <f>'2.1meta'!L284</f>
        <v>0</v>
      </c>
      <c r="L36" s="88">
        <f>'2.1meta'!M284</f>
        <v>0</v>
      </c>
      <c r="M36" s="88">
        <f>'2.1meta'!N284</f>
        <v>0</v>
      </c>
      <c r="N36" s="88">
        <f>'2.1meta'!O284</f>
        <v>0</v>
      </c>
      <c r="O36" s="88">
        <f>'2.1meta'!P284</f>
        <v>0</v>
      </c>
      <c r="P36" s="89">
        <f t="shared" si="8"/>
        <v>0</v>
      </c>
      <c r="Q36" s="111">
        <f t="shared" si="2"/>
        <v>0</v>
      </c>
      <c r="R36" s="88">
        <f>'2.1meta'!S284</f>
        <v>0</v>
      </c>
      <c r="S36" s="88">
        <f>'2.1meta'!T284</f>
        <v>0</v>
      </c>
      <c r="T36" s="88">
        <f>'2.1meta'!U284</f>
        <v>0</v>
      </c>
      <c r="U36" s="88">
        <f>'2.1meta'!V284</f>
        <v>0</v>
      </c>
      <c r="V36" s="88">
        <f>'2.1meta'!W284</f>
        <v>0</v>
      </c>
      <c r="W36" s="88">
        <f>'2.1meta'!X284</f>
        <v>0</v>
      </c>
      <c r="X36" s="90">
        <f>SUM(R36:W36)</f>
        <v>0</v>
      </c>
      <c r="Y36" s="94">
        <f>P36+X36</f>
        <v>0</v>
      </c>
      <c r="Z36" s="95">
        <f>C36-Y36</f>
        <v>0</v>
      </c>
    </row>
    <row r="37" spans="1:26">
      <c r="A37" s="96" t="s">
        <v>59</v>
      </c>
      <c r="B37" s="116" t="s">
        <v>60</v>
      </c>
      <c r="C37" s="88">
        <f>'2.1meta'!D286</f>
        <v>0</v>
      </c>
      <c r="D37" s="88">
        <f>'2.1meta'!E269</f>
        <v>0</v>
      </c>
      <c r="E37" s="88">
        <f>'2.1meta'!F269</f>
        <v>0</v>
      </c>
      <c r="F37" s="88">
        <f>'2.1meta'!G286</f>
        <v>0</v>
      </c>
      <c r="G37" s="88">
        <f>'2.1meta'!H286</f>
        <v>0</v>
      </c>
      <c r="H37" s="88">
        <f>'2.1meta'!I286</f>
        <v>0</v>
      </c>
      <c r="I37" s="88">
        <f>'2.1meta'!J286</f>
        <v>0</v>
      </c>
      <c r="J37" s="88">
        <f>'2.1meta'!K286</f>
        <v>0</v>
      </c>
      <c r="K37" s="88">
        <f>'2.1meta'!L286</f>
        <v>0</v>
      </c>
      <c r="L37" s="88">
        <f>'2.1meta'!M286</f>
        <v>0</v>
      </c>
      <c r="M37" s="88">
        <f>'2.1meta'!N286</f>
        <v>0</v>
      </c>
      <c r="N37" s="88">
        <f>'2.1meta'!O286</f>
        <v>0</v>
      </c>
      <c r="O37" s="88">
        <f>'2.1meta'!P286</f>
        <v>0</v>
      </c>
      <c r="P37" s="89">
        <f t="shared" si="8"/>
        <v>0</v>
      </c>
      <c r="Q37" s="111">
        <f t="shared" ref="Q37:Q67" si="9">C37-P37</f>
        <v>0</v>
      </c>
      <c r="R37" s="88">
        <f>'2.1meta'!S286</f>
        <v>0</v>
      </c>
      <c r="S37" s="88">
        <f>'2.1meta'!T286</f>
        <v>0</v>
      </c>
      <c r="T37" s="88">
        <f>'2.1meta'!U286</f>
        <v>0</v>
      </c>
      <c r="U37" s="88">
        <f>'2.1meta'!V286</f>
        <v>0</v>
      </c>
      <c r="V37" s="88">
        <f>'2.1meta'!W286</f>
        <v>0</v>
      </c>
      <c r="W37" s="88">
        <f>'2.1meta'!X286</f>
        <v>0</v>
      </c>
      <c r="X37" s="90">
        <f>SUM(R37:W37)</f>
        <v>0</v>
      </c>
      <c r="Y37" s="94">
        <f>P37+X37</f>
        <v>0</v>
      </c>
      <c r="Z37" s="95">
        <f>C37-Y37</f>
        <v>0</v>
      </c>
    </row>
    <row r="38" spans="1:26" s="86" customFormat="1" ht="15" customHeight="1">
      <c r="A38" s="84" t="s">
        <v>103</v>
      </c>
      <c r="B38" s="84"/>
      <c r="C38" s="85">
        <f>SUBTOTAL(9,C39:C50)</f>
        <v>0</v>
      </c>
      <c r="D38" s="85"/>
      <c r="E38" s="85"/>
      <c r="F38" s="85">
        <f t="shared" ref="F38:P38" si="10">SUBTOTAL(9,F39:F50)</f>
        <v>0</v>
      </c>
      <c r="G38" s="85">
        <f t="shared" si="10"/>
        <v>0</v>
      </c>
      <c r="H38" s="85">
        <f t="shared" si="10"/>
        <v>0</v>
      </c>
      <c r="I38" s="85">
        <f t="shared" si="10"/>
        <v>0</v>
      </c>
      <c r="J38" s="85">
        <f t="shared" ref="J38:M38" si="11">SUBTOTAL(9,J39:J50)</f>
        <v>0</v>
      </c>
      <c r="K38" s="85">
        <f t="shared" si="11"/>
        <v>0</v>
      </c>
      <c r="L38" s="85">
        <f t="shared" si="11"/>
        <v>0</v>
      </c>
      <c r="M38" s="85">
        <f t="shared" si="11"/>
        <v>0</v>
      </c>
      <c r="N38" s="85">
        <f t="shared" si="10"/>
        <v>0</v>
      </c>
      <c r="O38" s="85">
        <f t="shared" si="10"/>
        <v>0</v>
      </c>
      <c r="P38" s="85">
        <f t="shared" si="10"/>
        <v>0</v>
      </c>
      <c r="Q38" s="64">
        <f t="shared" si="9"/>
        <v>0</v>
      </c>
      <c r="R38" s="85">
        <f t="shared" ref="R38:Z38" si="12">SUBTOTAL(9,R39:R50)</f>
        <v>0</v>
      </c>
      <c r="S38" s="85">
        <f t="shared" si="12"/>
        <v>0</v>
      </c>
      <c r="T38" s="85">
        <f t="shared" si="12"/>
        <v>0</v>
      </c>
      <c r="U38" s="85">
        <f t="shared" si="12"/>
        <v>0</v>
      </c>
      <c r="V38" s="85">
        <f t="shared" si="12"/>
        <v>0</v>
      </c>
      <c r="W38" s="85">
        <f t="shared" si="12"/>
        <v>0</v>
      </c>
      <c r="X38" s="85">
        <f t="shared" si="12"/>
        <v>0</v>
      </c>
      <c r="Y38" s="85">
        <f t="shared" si="12"/>
        <v>0</v>
      </c>
      <c r="Z38" s="99">
        <f t="shared" si="12"/>
        <v>0</v>
      </c>
    </row>
    <row r="39" spans="1:26">
      <c r="A39" s="93" t="s">
        <v>29</v>
      </c>
      <c r="B39" s="114" t="s">
        <v>30</v>
      </c>
      <c r="C39" s="88">
        <f>'2.1meta'!D195+'2.1meta'!D212</f>
        <v>0</v>
      </c>
      <c r="D39" s="88">
        <f>'2.1meta'!E76</f>
        <v>0</v>
      </c>
      <c r="E39" s="88">
        <f>'2.1meta'!F76</f>
        <v>0</v>
      </c>
      <c r="F39" s="88">
        <f>'2.1meta'!G195+'2.1meta'!G212</f>
        <v>0</v>
      </c>
      <c r="G39" s="88">
        <f>'2.1meta'!H195+'2.1meta'!H212</f>
        <v>0</v>
      </c>
      <c r="H39" s="88">
        <f>'2.1meta'!I195+'2.1meta'!I212</f>
        <v>0</v>
      </c>
      <c r="I39" s="88">
        <f>'2.1meta'!J195+'2.1meta'!J212</f>
        <v>0</v>
      </c>
      <c r="J39" s="88">
        <f>'2.1meta'!K195+'2.1meta'!K212</f>
        <v>0</v>
      </c>
      <c r="K39" s="88">
        <f>'2.1meta'!L195+'2.1meta'!L212</f>
        <v>0</v>
      </c>
      <c r="L39" s="88">
        <f>'2.1meta'!M195+'2.1meta'!M212</f>
        <v>0</v>
      </c>
      <c r="M39" s="88">
        <f>'2.1meta'!N195+'2.1meta'!N212</f>
        <v>0</v>
      </c>
      <c r="N39" s="88">
        <f>'2.1meta'!O195+'2.1meta'!O212</f>
        <v>0</v>
      </c>
      <c r="O39" s="88">
        <f>'2.1meta'!P195+'2.1meta'!P212</f>
        <v>0</v>
      </c>
      <c r="P39" s="89">
        <f t="shared" ref="P39:P50" si="13">SUM(F39:O39)</f>
        <v>0</v>
      </c>
      <c r="Q39" s="111">
        <f t="shared" si="9"/>
        <v>0</v>
      </c>
      <c r="R39" s="88">
        <f>'2.1meta'!S195+'2.1meta'!S212</f>
        <v>0</v>
      </c>
      <c r="S39" s="88">
        <f>'2.1meta'!T195+'2.1meta'!T212</f>
        <v>0</v>
      </c>
      <c r="T39" s="88">
        <f>'2.1meta'!U195+'2.1meta'!U212</f>
        <v>0</v>
      </c>
      <c r="U39" s="88">
        <f>'2.1meta'!V195+'2.1meta'!V212</f>
        <v>0</v>
      </c>
      <c r="V39" s="88">
        <f>'2.1meta'!W195+'2.1meta'!W212</f>
        <v>0</v>
      </c>
      <c r="W39" s="88">
        <f>'2.1meta'!X195+'2.1meta'!X212</f>
        <v>0</v>
      </c>
      <c r="X39" s="90">
        <f>SUM(R39:W39)</f>
        <v>0</v>
      </c>
      <c r="Y39" s="94">
        <f>P39+X39</f>
        <v>0</v>
      </c>
      <c r="Z39" s="95">
        <f>C39-Y39</f>
        <v>0</v>
      </c>
    </row>
    <row r="40" spans="1:26">
      <c r="A40" s="93" t="s">
        <v>31</v>
      </c>
      <c r="B40" s="114" t="s">
        <v>100</v>
      </c>
      <c r="C40" s="88">
        <f>'2.1meta'!D196+'2.1meta'!D213</f>
        <v>0</v>
      </c>
      <c r="D40" s="88">
        <f>'2.1meta'!E77</f>
        <v>0</v>
      </c>
      <c r="E40" s="88">
        <f>'2.1meta'!F77</f>
        <v>0</v>
      </c>
      <c r="F40" s="88">
        <f>'2.1meta'!G196+'2.1meta'!G213</f>
        <v>0</v>
      </c>
      <c r="G40" s="88">
        <f>'2.1meta'!H196+'2.1meta'!H213</f>
        <v>0</v>
      </c>
      <c r="H40" s="88">
        <f>'2.1meta'!I196+'2.1meta'!I213</f>
        <v>0</v>
      </c>
      <c r="I40" s="88">
        <f>'2.1meta'!J196+'2.1meta'!J213</f>
        <v>0</v>
      </c>
      <c r="J40" s="88">
        <f>'2.1meta'!K196+'2.1meta'!K213</f>
        <v>0</v>
      </c>
      <c r="K40" s="88">
        <f>'2.1meta'!L196+'2.1meta'!L213</f>
        <v>0</v>
      </c>
      <c r="L40" s="88">
        <f>'2.1meta'!M196+'2.1meta'!M213</f>
        <v>0</v>
      </c>
      <c r="M40" s="88">
        <f>'2.1meta'!N196+'2.1meta'!N213</f>
        <v>0</v>
      </c>
      <c r="N40" s="88">
        <f>'2.1meta'!O196+'2.1meta'!O213</f>
        <v>0</v>
      </c>
      <c r="O40" s="88">
        <f>'2.1meta'!P196+'2.1meta'!P213</f>
        <v>0</v>
      </c>
      <c r="P40" s="89">
        <f t="shared" si="13"/>
        <v>0</v>
      </c>
      <c r="Q40" s="111">
        <f t="shared" si="9"/>
        <v>0</v>
      </c>
      <c r="R40" s="88">
        <f>'2.1meta'!S196+'2.1meta'!S213</f>
        <v>0</v>
      </c>
      <c r="S40" s="88">
        <f>'2.1meta'!T196+'2.1meta'!T213</f>
        <v>0</v>
      </c>
      <c r="T40" s="88">
        <f>'2.1meta'!U196+'2.1meta'!U213</f>
        <v>0</v>
      </c>
      <c r="U40" s="88">
        <f>'2.1meta'!V196+'2.1meta'!V213</f>
        <v>0</v>
      </c>
      <c r="V40" s="88">
        <f>'2.1meta'!W196+'2.1meta'!W213</f>
        <v>0</v>
      </c>
      <c r="W40" s="88">
        <f>'2.1meta'!X196+'2.1meta'!X213</f>
        <v>0</v>
      </c>
      <c r="X40" s="90">
        <f>SUM(R40:W40)</f>
        <v>0</v>
      </c>
      <c r="Y40" s="94">
        <f>P40+X40</f>
        <v>0</v>
      </c>
      <c r="Z40" s="95">
        <f>C40-Y40</f>
        <v>0</v>
      </c>
    </row>
    <row r="41" spans="1:26">
      <c r="A41" s="93" t="s">
        <v>33</v>
      </c>
      <c r="B41" s="114" t="s">
        <v>101</v>
      </c>
      <c r="C41" s="88">
        <f>'2.1meta'!D197+'2.1meta'!D214</f>
        <v>0</v>
      </c>
      <c r="D41" s="88">
        <f>'2.1meta'!E78</f>
        <v>0</v>
      </c>
      <c r="E41" s="88">
        <f>'2.1meta'!F78</f>
        <v>0</v>
      </c>
      <c r="F41" s="88">
        <f>'2.1meta'!G197+'2.1meta'!G214</f>
        <v>0</v>
      </c>
      <c r="G41" s="88">
        <f>'2.1meta'!H197+'2.1meta'!H214</f>
        <v>0</v>
      </c>
      <c r="H41" s="88">
        <f>'2.1meta'!I197+'2.1meta'!I214</f>
        <v>0</v>
      </c>
      <c r="I41" s="88">
        <f>'2.1meta'!J197+'2.1meta'!J214</f>
        <v>0</v>
      </c>
      <c r="J41" s="88">
        <f>'2.1meta'!K197+'2.1meta'!K214</f>
        <v>0</v>
      </c>
      <c r="K41" s="88">
        <f>'2.1meta'!L197+'2.1meta'!L214</f>
        <v>0</v>
      </c>
      <c r="L41" s="88">
        <f>'2.1meta'!M197+'2.1meta'!M214</f>
        <v>0</v>
      </c>
      <c r="M41" s="88">
        <f>'2.1meta'!N197+'2.1meta'!N214</f>
        <v>0</v>
      </c>
      <c r="N41" s="88">
        <f>'2.1meta'!O197+'2.1meta'!O214</f>
        <v>0</v>
      </c>
      <c r="O41" s="88">
        <f>'2.1meta'!P197+'2.1meta'!P214</f>
        <v>0</v>
      </c>
      <c r="P41" s="89">
        <f t="shared" si="13"/>
        <v>0</v>
      </c>
      <c r="Q41" s="111">
        <f t="shared" si="9"/>
        <v>0</v>
      </c>
      <c r="R41" s="88">
        <f>'2.1meta'!S197+'2.1meta'!S214</f>
        <v>0</v>
      </c>
      <c r="S41" s="88">
        <f>'2.1meta'!T197+'2.1meta'!T214</f>
        <v>0</v>
      </c>
      <c r="T41" s="88">
        <f>'2.1meta'!U197+'2.1meta'!U214</f>
        <v>0</v>
      </c>
      <c r="U41" s="88">
        <f>'2.1meta'!V197+'2.1meta'!V214</f>
        <v>0</v>
      </c>
      <c r="V41" s="88">
        <f>'2.1meta'!W197+'2.1meta'!W214</f>
        <v>0</v>
      </c>
      <c r="W41" s="88">
        <f>'2.1meta'!X197+'2.1meta'!X214</f>
        <v>0</v>
      </c>
      <c r="X41" s="90">
        <f>SUM(R41:W41)</f>
        <v>0</v>
      </c>
      <c r="Y41" s="94">
        <f>P41+X41</f>
        <v>0</v>
      </c>
      <c r="Z41" s="95">
        <f>C41-Y41</f>
        <v>0</v>
      </c>
    </row>
    <row r="42" spans="1:26">
      <c r="A42" s="93" t="s">
        <v>35</v>
      </c>
      <c r="B42" s="114" t="s">
        <v>36</v>
      </c>
      <c r="C42" s="88">
        <f>'2.1meta'!D198+'2.1meta'!D215</f>
        <v>0</v>
      </c>
      <c r="D42" s="88">
        <f>'2.1meta'!E79</f>
        <v>0</v>
      </c>
      <c r="E42" s="88">
        <f>'2.1meta'!F79</f>
        <v>0</v>
      </c>
      <c r="F42" s="88">
        <f>'2.1meta'!G198+'2.1meta'!G215</f>
        <v>0</v>
      </c>
      <c r="G42" s="88">
        <f>'2.1meta'!H198+'2.1meta'!H215</f>
        <v>0</v>
      </c>
      <c r="H42" s="88">
        <f>'2.1meta'!I198+'2.1meta'!I215</f>
        <v>0</v>
      </c>
      <c r="I42" s="88">
        <f>'2.1meta'!J198+'2.1meta'!J215</f>
        <v>0</v>
      </c>
      <c r="J42" s="88">
        <f>'2.1meta'!K198+'2.1meta'!K215</f>
        <v>0</v>
      </c>
      <c r="K42" s="88">
        <f>'2.1meta'!L198+'2.1meta'!L215</f>
        <v>0</v>
      </c>
      <c r="L42" s="88">
        <f>'2.1meta'!M198+'2.1meta'!M215</f>
        <v>0</v>
      </c>
      <c r="M42" s="88">
        <f>'2.1meta'!N198+'2.1meta'!N215</f>
        <v>0</v>
      </c>
      <c r="N42" s="88">
        <f>'2.1meta'!O198+'2.1meta'!O215</f>
        <v>0</v>
      </c>
      <c r="O42" s="88">
        <f>'2.1meta'!P198+'2.1meta'!P215</f>
        <v>0</v>
      </c>
      <c r="P42" s="89">
        <f t="shared" si="13"/>
        <v>0</v>
      </c>
      <c r="Q42" s="111">
        <f t="shared" si="9"/>
        <v>0</v>
      </c>
      <c r="R42" s="88">
        <f>'2.1meta'!S198+'2.1meta'!S215</f>
        <v>0</v>
      </c>
      <c r="S42" s="88">
        <f>'2.1meta'!T198+'2.1meta'!T215</f>
        <v>0</v>
      </c>
      <c r="T42" s="88">
        <f>'2.1meta'!U198+'2.1meta'!U215</f>
        <v>0</v>
      </c>
      <c r="U42" s="88">
        <f>'2.1meta'!V198+'2.1meta'!V215</f>
        <v>0</v>
      </c>
      <c r="V42" s="88">
        <f>'2.1meta'!W198+'2.1meta'!W215</f>
        <v>0</v>
      </c>
      <c r="W42" s="88">
        <f>'2.1meta'!X198+'2.1meta'!X215</f>
        <v>0</v>
      </c>
      <c r="X42" s="90">
        <f>SUM(R42:W42)</f>
        <v>0</v>
      </c>
      <c r="Y42" s="94">
        <f>P42+X42</f>
        <v>0</v>
      </c>
      <c r="Z42" s="95">
        <f>C42-Y42</f>
        <v>0</v>
      </c>
    </row>
    <row r="43" spans="1:26">
      <c r="A43" s="93" t="s">
        <v>43</v>
      </c>
      <c r="B43" s="114" t="s">
        <v>44</v>
      </c>
      <c r="C43" s="88">
        <f>'2.1meta'!D202+'2.1meta'!D219</f>
        <v>0</v>
      </c>
      <c r="D43" s="88">
        <f>'2.1meta'!E83</f>
        <v>0</v>
      </c>
      <c r="E43" s="88">
        <f>'2.1meta'!F83</f>
        <v>0</v>
      </c>
      <c r="F43" s="88">
        <f>'2.1meta'!G202+'2.1meta'!G219</f>
        <v>0</v>
      </c>
      <c r="G43" s="88">
        <f>'2.1meta'!H202+'2.1meta'!H219</f>
        <v>0</v>
      </c>
      <c r="H43" s="88">
        <f>'2.1meta'!I202+'2.1meta'!I219</f>
        <v>0</v>
      </c>
      <c r="I43" s="88">
        <f>'2.1meta'!J202+'2.1meta'!J219</f>
        <v>0</v>
      </c>
      <c r="J43" s="88">
        <f>'2.1meta'!K202+'2.1meta'!K219</f>
        <v>0</v>
      </c>
      <c r="K43" s="88">
        <f>'2.1meta'!L202+'2.1meta'!L219</f>
        <v>0</v>
      </c>
      <c r="L43" s="88">
        <f>'2.1meta'!M202+'2.1meta'!M219</f>
        <v>0</v>
      </c>
      <c r="M43" s="88">
        <f>'2.1meta'!N202+'2.1meta'!N219</f>
        <v>0</v>
      </c>
      <c r="N43" s="88">
        <f>'2.1meta'!O202+'2.1meta'!O219</f>
        <v>0</v>
      </c>
      <c r="O43" s="88">
        <f>'2.1meta'!P202+'2.1meta'!P219</f>
        <v>0</v>
      </c>
      <c r="P43" s="89">
        <f t="shared" si="13"/>
        <v>0</v>
      </c>
      <c r="Q43" s="111">
        <f t="shared" si="9"/>
        <v>0</v>
      </c>
      <c r="R43" s="88">
        <f>'2.1meta'!S202+'2.1meta'!S219</f>
        <v>0</v>
      </c>
      <c r="S43" s="88">
        <f>'2.1meta'!T202+'2.1meta'!T219</f>
        <v>0</v>
      </c>
      <c r="T43" s="88">
        <f>'2.1meta'!U202+'2.1meta'!U219</f>
        <v>0</v>
      </c>
      <c r="U43" s="88">
        <f>'2.1meta'!V202+'2.1meta'!V219</f>
        <v>0</v>
      </c>
      <c r="V43" s="88">
        <f>'2.1meta'!W202+'2.1meta'!W219</f>
        <v>0</v>
      </c>
      <c r="W43" s="88">
        <f>'2.1meta'!X202+'2.1meta'!X219</f>
        <v>0</v>
      </c>
      <c r="X43" s="90">
        <f>SUM(R43:W43)</f>
        <v>0</v>
      </c>
      <c r="Y43" s="94">
        <f>P43+X43</f>
        <v>0</v>
      </c>
      <c r="Z43" s="95">
        <f>C43-Y43</f>
        <v>0</v>
      </c>
    </row>
    <row r="44" spans="1:26">
      <c r="A44" s="93" t="s">
        <v>45</v>
      </c>
      <c r="B44" s="114" t="s">
        <v>46</v>
      </c>
      <c r="C44" s="88">
        <f>'2.1meta'!D203+'2.1meta'!D220</f>
        <v>0</v>
      </c>
      <c r="D44" s="88">
        <f>'2.1meta'!E84</f>
        <v>0</v>
      </c>
      <c r="E44" s="88">
        <f>'2.1meta'!F84</f>
        <v>0</v>
      </c>
      <c r="F44" s="88">
        <f>'2.1meta'!G203+'2.1meta'!G220</f>
        <v>0</v>
      </c>
      <c r="G44" s="88">
        <f>'2.1meta'!H203+'2.1meta'!H220</f>
        <v>0</v>
      </c>
      <c r="H44" s="88">
        <f>'2.1meta'!I203+'2.1meta'!I220</f>
        <v>0</v>
      </c>
      <c r="I44" s="88">
        <f>'2.1meta'!J203+'2.1meta'!J220</f>
        <v>0</v>
      </c>
      <c r="J44" s="88">
        <f>'2.1meta'!K203+'2.1meta'!K220</f>
        <v>0</v>
      </c>
      <c r="K44" s="88">
        <f>'2.1meta'!L203+'2.1meta'!L220</f>
        <v>0</v>
      </c>
      <c r="L44" s="88">
        <f>'2.1meta'!M203+'2.1meta'!M220</f>
        <v>0</v>
      </c>
      <c r="M44" s="88">
        <f>'2.1meta'!N203+'2.1meta'!N220</f>
        <v>0</v>
      </c>
      <c r="N44" s="88">
        <f>'2.1meta'!O203+'2.1meta'!O220</f>
        <v>0</v>
      </c>
      <c r="O44" s="88">
        <f>'2.1meta'!P203+'2.1meta'!P220</f>
        <v>0</v>
      </c>
      <c r="P44" s="89">
        <f t="shared" si="13"/>
        <v>0</v>
      </c>
      <c r="Q44" s="111">
        <f t="shared" si="9"/>
        <v>0</v>
      </c>
      <c r="R44" s="88">
        <f>'2.1meta'!S203+'2.1meta'!S220</f>
        <v>0</v>
      </c>
      <c r="S44" s="88">
        <f>'2.1meta'!T203+'2.1meta'!T220</f>
        <v>0</v>
      </c>
      <c r="T44" s="88">
        <f>'2.1meta'!U203+'2.1meta'!U220</f>
        <v>0</v>
      </c>
      <c r="U44" s="88">
        <f>'2.1meta'!V203+'2.1meta'!V220</f>
        <v>0</v>
      </c>
      <c r="V44" s="88">
        <f>'2.1meta'!W203+'2.1meta'!W220</f>
        <v>0</v>
      </c>
      <c r="W44" s="88">
        <f>'2.1meta'!X203+'2.1meta'!X220</f>
        <v>0</v>
      </c>
      <c r="X44" s="90">
        <f>SUM(R44:W44)</f>
        <v>0</v>
      </c>
      <c r="Y44" s="94">
        <f>P44+X44</f>
        <v>0</v>
      </c>
      <c r="Z44" s="95">
        <f>C44-Y44</f>
        <v>0</v>
      </c>
    </row>
    <row r="45" spans="1:26">
      <c r="A45" s="93" t="s">
        <v>47</v>
      </c>
      <c r="B45" s="114" t="s">
        <v>48</v>
      </c>
      <c r="C45" s="88">
        <f>'2.1meta'!D204+'2.1meta'!D221</f>
        <v>0</v>
      </c>
      <c r="D45" s="88">
        <f>'2.1meta'!E85</f>
        <v>0</v>
      </c>
      <c r="E45" s="88">
        <f>'2.1meta'!F85</f>
        <v>0</v>
      </c>
      <c r="F45" s="88">
        <f>'2.1meta'!G204+'2.1meta'!G221</f>
        <v>0</v>
      </c>
      <c r="G45" s="88">
        <f>'2.1meta'!H204+'2.1meta'!H221</f>
        <v>0</v>
      </c>
      <c r="H45" s="88">
        <f>'2.1meta'!I204+'2.1meta'!I221</f>
        <v>0</v>
      </c>
      <c r="I45" s="88">
        <f>'2.1meta'!J204+'2.1meta'!J221</f>
        <v>0</v>
      </c>
      <c r="J45" s="88">
        <f>'2.1meta'!K204+'2.1meta'!K221</f>
        <v>0</v>
      </c>
      <c r="K45" s="88">
        <f>'2.1meta'!L204+'2.1meta'!L221</f>
        <v>0</v>
      </c>
      <c r="L45" s="88">
        <f>'2.1meta'!M204+'2.1meta'!M221</f>
        <v>0</v>
      </c>
      <c r="M45" s="88">
        <f>'2.1meta'!N204+'2.1meta'!N221</f>
        <v>0</v>
      </c>
      <c r="N45" s="88">
        <f>'2.1meta'!O204+'2.1meta'!O221</f>
        <v>0</v>
      </c>
      <c r="O45" s="88">
        <f>'2.1meta'!P204+'2.1meta'!P221</f>
        <v>0</v>
      </c>
      <c r="P45" s="89">
        <f t="shared" si="13"/>
        <v>0</v>
      </c>
      <c r="Q45" s="111">
        <f t="shared" si="9"/>
        <v>0</v>
      </c>
      <c r="R45" s="88">
        <f>'2.1meta'!S204+'2.1meta'!S221</f>
        <v>0</v>
      </c>
      <c r="S45" s="88">
        <f>'2.1meta'!T204+'2.1meta'!T221</f>
        <v>0</v>
      </c>
      <c r="T45" s="88">
        <f>'2.1meta'!U204+'2.1meta'!U221</f>
        <v>0</v>
      </c>
      <c r="U45" s="88">
        <f>'2.1meta'!V204+'2.1meta'!V221</f>
        <v>0</v>
      </c>
      <c r="V45" s="88">
        <f>'2.1meta'!W204+'2.1meta'!W221</f>
        <v>0</v>
      </c>
      <c r="W45" s="88">
        <f>'2.1meta'!X204+'2.1meta'!X221</f>
        <v>0</v>
      </c>
      <c r="X45" s="90">
        <f>SUM(R45:W45)</f>
        <v>0</v>
      </c>
      <c r="Y45" s="94">
        <f>P45+X45</f>
        <v>0</v>
      </c>
      <c r="Z45" s="95">
        <f>C45-Y45</f>
        <v>0</v>
      </c>
    </row>
    <row r="46" spans="1:26">
      <c r="A46" s="93" t="s">
        <v>49</v>
      </c>
      <c r="B46" s="114" t="s">
        <v>50</v>
      </c>
      <c r="C46" s="88">
        <f>'2.1meta'!D205+'2.1meta'!D222</f>
        <v>0</v>
      </c>
      <c r="D46" s="88">
        <f>'2.1meta'!E86</f>
        <v>0</v>
      </c>
      <c r="E46" s="88">
        <f>'2.1meta'!F86</f>
        <v>0</v>
      </c>
      <c r="F46" s="88">
        <f>'2.1meta'!G205+'2.1meta'!G222</f>
        <v>0</v>
      </c>
      <c r="G46" s="88">
        <f>'2.1meta'!H205+'2.1meta'!H222</f>
        <v>0</v>
      </c>
      <c r="H46" s="88">
        <f>'2.1meta'!I205+'2.1meta'!I222</f>
        <v>0</v>
      </c>
      <c r="I46" s="88">
        <f>'2.1meta'!J205+'2.1meta'!J222</f>
        <v>0</v>
      </c>
      <c r="J46" s="88">
        <f>'2.1meta'!K205+'2.1meta'!K222</f>
        <v>0</v>
      </c>
      <c r="K46" s="88">
        <f>'2.1meta'!L205+'2.1meta'!L222</f>
        <v>0</v>
      </c>
      <c r="L46" s="88">
        <f>'2.1meta'!M205+'2.1meta'!M222</f>
        <v>0</v>
      </c>
      <c r="M46" s="88">
        <f>'2.1meta'!N205+'2.1meta'!N222</f>
        <v>0</v>
      </c>
      <c r="N46" s="88">
        <f>'2.1meta'!O205+'2.1meta'!O222</f>
        <v>0</v>
      </c>
      <c r="O46" s="88">
        <f>'2.1meta'!P205+'2.1meta'!P222</f>
        <v>0</v>
      </c>
      <c r="P46" s="89">
        <f t="shared" si="13"/>
        <v>0</v>
      </c>
      <c r="Q46" s="111">
        <f t="shared" si="9"/>
        <v>0</v>
      </c>
      <c r="R46" s="88">
        <f>'2.1meta'!S205+'2.1meta'!S222</f>
        <v>0</v>
      </c>
      <c r="S46" s="88">
        <f>'2.1meta'!T205+'2.1meta'!T222</f>
        <v>0</v>
      </c>
      <c r="T46" s="88">
        <f>'2.1meta'!U205+'2.1meta'!U222</f>
        <v>0</v>
      </c>
      <c r="U46" s="88">
        <f>'2.1meta'!V205+'2.1meta'!V222</f>
        <v>0</v>
      </c>
      <c r="V46" s="88">
        <f>'2.1meta'!W205+'2.1meta'!W222</f>
        <v>0</v>
      </c>
      <c r="W46" s="88">
        <f>'2.1meta'!X205+'2.1meta'!X222</f>
        <v>0</v>
      </c>
      <c r="X46" s="90">
        <f>SUM(R46:W46)</f>
        <v>0</v>
      </c>
      <c r="Y46" s="94">
        <f>P46+X46</f>
        <v>0</v>
      </c>
      <c r="Z46" s="95">
        <f>C46-Y46</f>
        <v>0</v>
      </c>
    </row>
    <row r="47" spans="1:26">
      <c r="A47" s="93" t="s">
        <v>51</v>
      </c>
      <c r="B47" s="114" t="s">
        <v>52</v>
      </c>
      <c r="C47" s="88">
        <f>'2.1meta'!D206+'2.1meta'!D223</f>
        <v>0</v>
      </c>
      <c r="D47" s="88">
        <f>'2.1meta'!E87</f>
        <v>0</v>
      </c>
      <c r="E47" s="88">
        <f>'2.1meta'!F87</f>
        <v>0</v>
      </c>
      <c r="F47" s="88">
        <f>'2.1meta'!G206+'2.1meta'!G223</f>
        <v>0</v>
      </c>
      <c r="G47" s="88">
        <f>'2.1meta'!H206+'2.1meta'!H223</f>
        <v>0</v>
      </c>
      <c r="H47" s="88">
        <f>'2.1meta'!I206+'2.1meta'!I223</f>
        <v>0</v>
      </c>
      <c r="I47" s="88">
        <f>'2.1meta'!J206+'2.1meta'!J223</f>
        <v>0</v>
      </c>
      <c r="J47" s="88">
        <f>'2.1meta'!K206+'2.1meta'!K223</f>
        <v>0</v>
      </c>
      <c r="K47" s="88">
        <f>'2.1meta'!L206+'2.1meta'!L223</f>
        <v>0</v>
      </c>
      <c r="L47" s="88">
        <f>'2.1meta'!M206+'2.1meta'!M223</f>
        <v>0</v>
      </c>
      <c r="M47" s="88">
        <f>'2.1meta'!N206+'2.1meta'!N223</f>
        <v>0</v>
      </c>
      <c r="N47" s="88">
        <f>'2.1meta'!O206+'2.1meta'!O223</f>
        <v>0</v>
      </c>
      <c r="O47" s="88">
        <f>'2.1meta'!P206+'2.1meta'!P223</f>
        <v>0</v>
      </c>
      <c r="P47" s="89">
        <f t="shared" si="13"/>
        <v>0</v>
      </c>
      <c r="Q47" s="111">
        <f t="shared" si="9"/>
        <v>0</v>
      </c>
      <c r="R47" s="88">
        <f>'2.1meta'!S206+'2.1meta'!S223</f>
        <v>0</v>
      </c>
      <c r="S47" s="88">
        <f>'2.1meta'!T206+'2.1meta'!T223</f>
        <v>0</v>
      </c>
      <c r="T47" s="88">
        <f>'2.1meta'!U206+'2.1meta'!U223</f>
        <v>0</v>
      </c>
      <c r="U47" s="88">
        <f>'2.1meta'!V206+'2.1meta'!V223</f>
        <v>0</v>
      </c>
      <c r="V47" s="88">
        <f>'2.1meta'!W206+'2.1meta'!W223</f>
        <v>0</v>
      </c>
      <c r="W47" s="88">
        <f>'2.1meta'!X206+'2.1meta'!X223</f>
        <v>0</v>
      </c>
      <c r="X47" s="90">
        <f>SUM(R47:W47)</f>
        <v>0</v>
      </c>
      <c r="Y47" s="94">
        <f>P47+X47</f>
        <v>0</v>
      </c>
      <c r="Z47" s="95">
        <f>C47-Y47</f>
        <v>0</v>
      </c>
    </row>
    <row r="48" spans="1:26">
      <c r="A48" s="93" t="s">
        <v>53</v>
      </c>
      <c r="B48" s="114" t="s">
        <v>54</v>
      </c>
      <c r="C48" s="88">
        <f>'2.1meta'!D207+'2.1meta'!D224</f>
        <v>0</v>
      </c>
      <c r="D48" s="88">
        <f>'2.1meta'!E88</f>
        <v>0</v>
      </c>
      <c r="E48" s="88">
        <f>'2.1meta'!F88</f>
        <v>0</v>
      </c>
      <c r="F48" s="88">
        <f>'2.1meta'!G207+'2.1meta'!G224</f>
        <v>0</v>
      </c>
      <c r="G48" s="88">
        <f>'2.1meta'!H207+'2.1meta'!H224</f>
        <v>0</v>
      </c>
      <c r="H48" s="88">
        <f>'2.1meta'!I207+'2.1meta'!I224</f>
        <v>0</v>
      </c>
      <c r="I48" s="88">
        <f>'2.1meta'!J207+'2.1meta'!J224</f>
        <v>0</v>
      </c>
      <c r="J48" s="88">
        <f>'2.1meta'!K207+'2.1meta'!K224</f>
        <v>0</v>
      </c>
      <c r="K48" s="88">
        <f>'2.1meta'!L207+'2.1meta'!L224</f>
        <v>0</v>
      </c>
      <c r="L48" s="88">
        <f>'2.1meta'!M207+'2.1meta'!M224</f>
        <v>0</v>
      </c>
      <c r="M48" s="88">
        <f>'2.1meta'!N207+'2.1meta'!N224</f>
        <v>0</v>
      </c>
      <c r="N48" s="88">
        <f>'2.1meta'!O207+'2.1meta'!O224</f>
        <v>0</v>
      </c>
      <c r="O48" s="88">
        <f>'2.1meta'!P207+'2.1meta'!P224</f>
        <v>0</v>
      </c>
      <c r="P48" s="89">
        <f t="shared" si="13"/>
        <v>0</v>
      </c>
      <c r="Q48" s="111">
        <f t="shared" si="9"/>
        <v>0</v>
      </c>
      <c r="R48" s="88">
        <f>'2.1meta'!S207+'2.1meta'!S224</f>
        <v>0</v>
      </c>
      <c r="S48" s="88">
        <f>'2.1meta'!T207+'2.1meta'!T224</f>
        <v>0</v>
      </c>
      <c r="T48" s="88">
        <f>'2.1meta'!U207+'2.1meta'!U224</f>
        <v>0</v>
      </c>
      <c r="U48" s="88">
        <f>'2.1meta'!V207+'2.1meta'!V224</f>
        <v>0</v>
      </c>
      <c r="V48" s="88">
        <f>'2.1meta'!W207+'2.1meta'!W224</f>
        <v>0</v>
      </c>
      <c r="W48" s="88">
        <f>'2.1meta'!X207+'2.1meta'!X224</f>
        <v>0</v>
      </c>
      <c r="X48" s="90">
        <f>SUM(R48:W48)</f>
        <v>0</v>
      </c>
      <c r="Y48" s="94">
        <f>P48+X48</f>
        <v>0</v>
      </c>
      <c r="Z48" s="95">
        <f>C48-Y48</f>
        <v>0</v>
      </c>
    </row>
    <row r="49" spans="1:26">
      <c r="A49" s="93" t="s">
        <v>55</v>
      </c>
      <c r="B49" s="114" t="s">
        <v>56</v>
      </c>
      <c r="C49" s="88">
        <f>'2.1meta'!D208+'2.1meta'!D225</f>
        <v>0</v>
      </c>
      <c r="D49" s="88">
        <f>'2.1meta'!E89</f>
        <v>0</v>
      </c>
      <c r="E49" s="88">
        <f>'2.1meta'!F89</f>
        <v>0</v>
      </c>
      <c r="F49" s="88">
        <f>'2.1meta'!G208+'2.1meta'!G225</f>
        <v>0</v>
      </c>
      <c r="G49" s="88">
        <f>'2.1meta'!H208+'2.1meta'!H225</f>
        <v>0</v>
      </c>
      <c r="H49" s="88">
        <f>'2.1meta'!I208+'2.1meta'!I225</f>
        <v>0</v>
      </c>
      <c r="I49" s="88">
        <f>'2.1meta'!J208+'2.1meta'!J225</f>
        <v>0</v>
      </c>
      <c r="J49" s="88">
        <f>'2.1meta'!K208+'2.1meta'!K225</f>
        <v>0</v>
      </c>
      <c r="K49" s="88">
        <f>'2.1meta'!L208+'2.1meta'!L225</f>
        <v>0</v>
      </c>
      <c r="L49" s="88">
        <f>'2.1meta'!M208+'2.1meta'!M225</f>
        <v>0</v>
      </c>
      <c r="M49" s="88">
        <f>'2.1meta'!N208+'2.1meta'!N225</f>
        <v>0</v>
      </c>
      <c r="N49" s="88">
        <f>'2.1meta'!O208+'2.1meta'!O225</f>
        <v>0</v>
      </c>
      <c r="O49" s="88">
        <f>'2.1meta'!P208+'2.1meta'!P225</f>
        <v>0</v>
      </c>
      <c r="P49" s="89">
        <f t="shared" si="13"/>
        <v>0</v>
      </c>
      <c r="Q49" s="111">
        <f t="shared" si="9"/>
        <v>0</v>
      </c>
      <c r="R49" s="88">
        <f>'2.1meta'!S208+'2.1meta'!S225</f>
        <v>0</v>
      </c>
      <c r="S49" s="88">
        <f>'2.1meta'!T208+'2.1meta'!T225</f>
        <v>0</v>
      </c>
      <c r="T49" s="88">
        <f>'2.1meta'!U208+'2.1meta'!U225</f>
        <v>0</v>
      </c>
      <c r="U49" s="88">
        <f>'2.1meta'!V208+'2.1meta'!V225</f>
        <v>0</v>
      </c>
      <c r="V49" s="88">
        <f>'2.1meta'!W208+'2.1meta'!W225</f>
        <v>0</v>
      </c>
      <c r="W49" s="88">
        <f>'2.1meta'!X208+'2.1meta'!X225</f>
        <v>0</v>
      </c>
      <c r="X49" s="90">
        <f>SUM(R49:W49)</f>
        <v>0</v>
      </c>
      <c r="Y49" s="94">
        <f>P49+X49</f>
        <v>0</v>
      </c>
      <c r="Z49" s="95">
        <f>C49-Y49</f>
        <v>0</v>
      </c>
    </row>
    <row r="50" spans="1:26">
      <c r="A50" s="96" t="s">
        <v>59</v>
      </c>
      <c r="B50" s="116" t="s">
        <v>60</v>
      </c>
      <c r="C50" s="88">
        <f>'2.1meta'!D210+'2.1meta'!D227</f>
        <v>0</v>
      </c>
      <c r="D50" s="88">
        <f>'2.1meta'!E91</f>
        <v>0</v>
      </c>
      <c r="E50" s="88">
        <f>'2.1meta'!F91</f>
        <v>0</v>
      </c>
      <c r="F50" s="88">
        <f>'2.1meta'!G210+'2.1meta'!G227</f>
        <v>0</v>
      </c>
      <c r="G50" s="88">
        <f>'2.1meta'!H210+'2.1meta'!H227</f>
        <v>0</v>
      </c>
      <c r="H50" s="88">
        <f>'2.1meta'!I210+'2.1meta'!I227</f>
        <v>0</v>
      </c>
      <c r="I50" s="88">
        <f>'2.1meta'!J210+'2.1meta'!J227</f>
        <v>0</v>
      </c>
      <c r="J50" s="88">
        <f>'2.1meta'!K210+'2.1meta'!K227</f>
        <v>0</v>
      </c>
      <c r="K50" s="88">
        <f>'2.1meta'!L210+'2.1meta'!L227</f>
        <v>0</v>
      </c>
      <c r="L50" s="88">
        <f>'2.1meta'!M210+'2.1meta'!M227</f>
        <v>0</v>
      </c>
      <c r="M50" s="88">
        <f>'2.1meta'!N210+'2.1meta'!N227</f>
        <v>0</v>
      </c>
      <c r="N50" s="88">
        <f>'2.1meta'!O210+'2.1meta'!O227</f>
        <v>0</v>
      </c>
      <c r="O50" s="88">
        <f>'2.1meta'!P210+'2.1meta'!P227</f>
        <v>0</v>
      </c>
      <c r="P50" s="89">
        <f t="shared" si="13"/>
        <v>0</v>
      </c>
      <c r="Q50" s="111">
        <f t="shared" si="9"/>
        <v>0</v>
      </c>
      <c r="R50" s="88">
        <f>'2.1meta'!S210+'2.1meta'!S227</f>
        <v>0</v>
      </c>
      <c r="S50" s="88">
        <f>'2.1meta'!T210+'2.1meta'!T227</f>
        <v>0</v>
      </c>
      <c r="T50" s="88">
        <f>'2.1meta'!U210+'2.1meta'!U227</f>
        <v>0</v>
      </c>
      <c r="U50" s="88">
        <f>'2.1meta'!V210+'2.1meta'!V227</f>
        <v>0</v>
      </c>
      <c r="V50" s="88">
        <f>'2.1meta'!W210+'2.1meta'!W227</f>
        <v>0</v>
      </c>
      <c r="W50" s="88">
        <f>'2.1meta'!X210+'2.1meta'!X227</f>
        <v>0</v>
      </c>
      <c r="X50" s="90">
        <f>SUM(R50:W50)</f>
        <v>0</v>
      </c>
      <c r="Y50" s="94">
        <f>P50+X50</f>
        <v>0</v>
      </c>
      <c r="Z50" s="95">
        <f>C50-Y50</f>
        <v>0</v>
      </c>
    </row>
    <row r="51" spans="1:26" s="86" customFormat="1" ht="15" customHeight="1">
      <c r="A51" s="84" t="s">
        <v>104</v>
      </c>
      <c r="B51" s="84"/>
      <c r="C51" s="85">
        <f>SUBTOTAL(9,C52:C66)</f>
        <v>0</v>
      </c>
      <c r="D51" s="85"/>
      <c r="E51" s="85"/>
      <c r="F51" s="85">
        <f t="shared" ref="F51:P51" si="14">SUBTOTAL(9,F52:F66)</f>
        <v>0</v>
      </c>
      <c r="G51" s="85">
        <f t="shared" si="14"/>
        <v>0</v>
      </c>
      <c r="H51" s="85">
        <f t="shared" si="14"/>
        <v>0</v>
      </c>
      <c r="I51" s="85">
        <f t="shared" si="14"/>
        <v>0</v>
      </c>
      <c r="J51" s="85">
        <f t="shared" ref="J51:M51" si="15">SUBTOTAL(9,J52:J66)</f>
        <v>0</v>
      </c>
      <c r="K51" s="85">
        <f t="shared" si="15"/>
        <v>0</v>
      </c>
      <c r="L51" s="85">
        <f t="shared" si="15"/>
        <v>0</v>
      </c>
      <c r="M51" s="85">
        <f t="shared" si="15"/>
        <v>0</v>
      </c>
      <c r="N51" s="85">
        <f t="shared" si="14"/>
        <v>0</v>
      </c>
      <c r="O51" s="85">
        <f t="shared" si="14"/>
        <v>0</v>
      </c>
      <c r="P51" s="85">
        <f t="shared" si="14"/>
        <v>0</v>
      </c>
      <c r="Q51" s="64">
        <f t="shared" si="9"/>
        <v>0</v>
      </c>
      <c r="R51" s="85">
        <f t="shared" ref="R51:Z51" si="16">SUBTOTAL(9,R52:R66)</f>
        <v>0</v>
      </c>
      <c r="S51" s="85">
        <f t="shared" si="16"/>
        <v>0</v>
      </c>
      <c r="T51" s="85">
        <f t="shared" si="16"/>
        <v>0</v>
      </c>
      <c r="U51" s="85">
        <f t="shared" si="16"/>
        <v>0</v>
      </c>
      <c r="V51" s="85">
        <f t="shared" si="16"/>
        <v>0</v>
      </c>
      <c r="W51" s="85">
        <f t="shared" si="16"/>
        <v>0</v>
      </c>
      <c r="X51" s="85">
        <f t="shared" si="16"/>
        <v>0</v>
      </c>
      <c r="Y51" s="85">
        <f t="shared" si="16"/>
        <v>0</v>
      </c>
      <c r="Z51" s="99">
        <f t="shared" si="16"/>
        <v>0</v>
      </c>
    </row>
    <row r="52" spans="1:26">
      <c r="A52" s="93" t="s">
        <v>29</v>
      </c>
      <c r="B52" s="114" t="s">
        <v>30</v>
      </c>
      <c r="C52" s="88">
        <f>'2.1meta'!D237+'2.1meta'!D254</f>
        <v>0</v>
      </c>
      <c r="D52" s="88">
        <f>'2.1meta'!E144</f>
        <v>0</v>
      </c>
      <c r="E52" s="88">
        <f>'2.1meta'!F144</f>
        <v>0</v>
      </c>
      <c r="F52" s="88">
        <f>'2.1meta'!G237+'2.1meta'!G254</f>
        <v>0</v>
      </c>
      <c r="G52" s="88">
        <f>'2.1meta'!H237+'2.1meta'!H254</f>
        <v>0</v>
      </c>
      <c r="H52" s="88">
        <f>'2.1meta'!I237+'2.1meta'!I254</f>
        <v>0</v>
      </c>
      <c r="I52" s="88">
        <f>'2.1meta'!J237+'2.1meta'!J254</f>
        <v>0</v>
      </c>
      <c r="J52" s="88">
        <f>'2.1meta'!K237+'2.1meta'!K254</f>
        <v>0</v>
      </c>
      <c r="K52" s="88">
        <f>'2.1meta'!L237+'2.1meta'!L254</f>
        <v>0</v>
      </c>
      <c r="L52" s="88">
        <f>'2.1meta'!M237+'2.1meta'!M254</f>
        <v>0</v>
      </c>
      <c r="M52" s="88">
        <f>'2.1meta'!N237+'2.1meta'!N254</f>
        <v>0</v>
      </c>
      <c r="N52" s="88">
        <f>'2.1meta'!O237+'2.1meta'!O254</f>
        <v>0</v>
      </c>
      <c r="O52" s="88">
        <f>'2.1meta'!P237+'2.1meta'!P254</f>
        <v>0</v>
      </c>
      <c r="P52" s="89">
        <f t="shared" ref="P52:P66" si="17">SUM(F52:O52)</f>
        <v>0</v>
      </c>
      <c r="Q52" s="111">
        <f t="shared" si="9"/>
        <v>0</v>
      </c>
      <c r="R52" s="88">
        <f>'2.1meta'!S237+'2.1meta'!S254</f>
        <v>0</v>
      </c>
      <c r="S52" s="88">
        <f>'2.1meta'!T237+'2.1meta'!T254</f>
        <v>0</v>
      </c>
      <c r="T52" s="88">
        <f>'2.1meta'!U237+'2.1meta'!U254</f>
        <v>0</v>
      </c>
      <c r="U52" s="88">
        <f>'2.1meta'!V237+'2.1meta'!V254</f>
        <v>0</v>
      </c>
      <c r="V52" s="88">
        <f>'2.1meta'!W237+'2.1meta'!W254</f>
        <v>0</v>
      </c>
      <c r="W52" s="88">
        <f>'2.1meta'!X237+'2.1meta'!X254</f>
        <v>0</v>
      </c>
      <c r="X52" s="90">
        <f>SUM(R52:W52)</f>
        <v>0</v>
      </c>
      <c r="Y52" s="94">
        <f>P52+X52</f>
        <v>0</v>
      </c>
      <c r="Z52" s="95">
        <f>C52-Y52</f>
        <v>0</v>
      </c>
    </row>
    <row r="53" spans="1:26">
      <c r="A53" s="93" t="s">
        <v>31</v>
      </c>
      <c r="B53" s="114" t="s">
        <v>100</v>
      </c>
      <c r="C53" s="88">
        <f>'2.1meta'!D238+'2.1meta'!D255</f>
        <v>0</v>
      </c>
      <c r="D53" s="88">
        <f>'2.1meta'!E145</f>
        <v>0</v>
      </c>
      <c r="E53" s="88">
        <f>'2.1meta'!F145</f>
        <v>0</v>
      </c>
      <c r="F53" s="88">
        <f>'2.1meta'!G238+'2.1meta'!G255</f>
        <v>0</v>
      </c>
      <c r="G53" s="88">
        <f>'2.1meta'!H238+'2.1meta'!H255</f>
        <v>0</v>
      </c>
      <c r="H53" s="88">
        <f>'2.1meta'!I238+'2.1meta'!I255</f>
        <v>0</v>
      </c>
      <c r="I53" s="88">
        <f>'2.1meta'!J238+'2.1meta'!J255</f>
        <v>0</v>
      </c>
      <c r="J53" s="88">
        <f>'2.1meta'!K238+'2.1meta'!K255</f>
        <v>0</v>
      </c>
      <c r="K53" s="88">
        <f>'2.1meta'!L238+'2.1meta'!L255</f>
        <v>0</v>
      </c>
      <c r="L53" s="88">
        <f>'2.1meta'!M238+'2.1meta'!M255</f>
        <v>0</v>
      </c>
      <c r="M53" s="88">
        <f>'2.1meta'!N238+'2.1meta'!N255</f>
        <v>0</v>
      </c>
      <c r="N53" s="88">
        <f>'2.1meta'!O238+'2.1meta'!O255</f>
        <v>0</v>
      </c>
      <c r="O53" s="88">
        <f>'2.1meta'!P238+'2.1meta'!P255</f>
        <v>0</v>
      </c>
      <c r="P53" s="89">
        <f t="shared" si="17"/>
        <v>0</v>
      </c>
      <c r="Q53" s="111">
        <f t="shared" si="9"/>
        <v>0</v>
      </c>
      <c r="R53" s="88">
        <f>'2.1meta'!S238+'2.1meta'!S255</f>
        <v>0</v>
      </c>
      <c r="S53" s="88">
        <f>'2.1meta'!T238+'2.1meta'!T255</f>
        <v>0</v>
      </c>
      <c r="T53" s="88">
        <f>'2.1meta'!U238+'2.1meta'!U255</f>
        <v>0</v>
      </c>
      <c r="U53" s="88">
        <f>'2.1meta'!V238+'2.1meta'!V255</f>
        <v>0</v>
      </c>
      <c r="V53" s="88">
        <f>'2.1meta'!W238+'2.1meta'!W255</f>
        <v>0</v>
      </c>
      <c r="W53" s="88">
        <f>'2.1meta'!X238+'2.1meta'!X255</f>
        <v>0</v>
      </c>
      <c r="X53" s="90">
        <f>SUM(R53:W53)</f>
        <v>0</v>
      </c>
      <c r="Y53" s="94">
        <f>P53+X53</f>
        <v>0</v>
      </c>
      <c r="Z53" s="95">
        <f>C53-Y53</f>
        <v>0</v>
      </c>
    </row>
    <row r="54" spans="1:26">
      <c r="A54" s="93" t="s">
        <v>33</v>
      </c>
      <c r="B54" s="114" t="s">
        <v>101</v>
      </c>
      <c r="C54" s="88">
        <f>'2.1meta'!D239+'2.1meta'!D256</f>
        <v>0</v>
      </c>
      <c r="D54" s="88">
        <f>'2.1meta'!E146</f>
        <v>0</v>
      </c>
      <c r="E54" s="88">
        <f>'2.1meta'!F146</f>
        <v>0</v>
      </c>
      <c r="F54" s="88">
        <f>'2.1meta'!G239+'2.1meta'!G256</f>
        <v>0</v>
      </c>
      <c r="G54" s="88">
        <f>'2.1meta'!H239+'2.1meta'!H256</f>
        <v>0</v>
      </c>
      <c r="H54" s="88">
        <f>'2.1meta'!I239+'2.1meta'!I256</f>
        <v>0</v>
      </c>
      <c r="I54" s="88">
        <f>'2.1meta'!J239+'2.1meta'!J256</f>
        <v>0</v>
      </c>
      <c r="J54" s="88">
        <f>'2.1meta'!K239+'2.1meta'!K256</f>
        <v>0</v>
      </c>
      <c r="K54" s="88">
        <f>'2.1meta'!L239+'2.1meta'!L256</f>
        <v>0</v>
      </c>
      <c r="L54" s="88">
        <f>'2.1meta'!M239+'2.1meta'!M256</f>
        <v>0</v>
      </c>
      <c r="M54" s="88">
        <f>'2.1meta'!N239+'2.1meta'!N256</f>
        <v>0</v>
      </c>
      <c r="N54" s="88">
        <f>'2.1meta'!O239+'2.1meta'!O256</f>
        <v>0</v>
      </c>
      <c r="O54" s="88">
        <f>'2.1meta'!P239+'2.1meta'!P256</f>
        <v>0</v>
      </c>
      <c r="P54" s="89">
        <f t="shared" si="17"/>
        <v>0</v>
      </c>
      <c r="Q54" s="111">
        <f t="shared" si="9"/>
        <v>0</v>
      </c>
      <c r="R54" s="88">
        <f>'2.1meta'!S239+'2.1meta'!S256</f>
        <v>0</v>
      </c>
      <c r="S54" s="88">
        <f>'2.1meta'!T239+'2.1meta'!T256</f>
        <v>0</v>
      </c>
      <c r="T54" s="88">
        <f>'2.1meta'!U239+'2.1meta'!U256</f>
        <v>0</v>
      </c>
      <c r="U54" s="88">
        <f>'2.1meta'!V239+'2.1meta'!V256</f>
        <v>0</v>
      </c>
      <c r="V54" s="88">
        <f>'2.1meta'!W239+'2.1meta'!W256</f>
        <v>0</v>
      </c>
      <c r="W54" s="88">
        <f>'2.1meta'!X239+'2.1meta'!X256</f>
        <v>0</v>
      </c>
      <c r="X54" s="90">
        <f>SUM(R54:W54)</f>
        <v>0</v>
      </c>
      <c r="Y54" s="94">
        <f>P54+X54</f>
        <v>0</v>
      </c>
      <c r="Z54" s="95">
        <f>C54-Y54</f>
        <v>0</v>
      </c>
    </row>
    <row r="55" spans="1:26">
      <c r="A55" s="93" t="s">
        <v>35</v>
      </c>
      <c r="B55" s="114" t="s">
        <v>36</v>
      </c>
      <c r="C55" s="88">
        <f>'2.1meta'!D240+'2.1meta'!D257</f>
        <v>0</v>
      </c>
      <c r="D55" s="88">
        <f>'2.1meta'!E147</f>
        <v>0</v>
      </c>
      <c r="E55" s="88">
        <f>'2.1meta'!F147</f>
        <v>0</v>
      </c>
      <c r="F55" s="88">
        <f>'2.1meta'!G240+'2.1meta'!G257</f>
        <v>0</v>
      </c>
      <c r="G55" s="88">
        <f>'2.1meta'!H240+'2.1meta'!H257</f>
        <v>0</v>
      </c>
      <c r="H55" s="88">
        <f>'2.1meta'!I240+'2.1meta'!I257</f>
        <v>0</v>
      </c>
      <c r="I55" s="88">
        <f>'2.1meta'!J240+'2.1meta'!J257</f>
        <v>0</v>
      </c>
      <c r="J55" s="88">
        <f>'2.1meta'!K240+'2.1meta'!K257</f>
        <v>0</v>
      </c>
      <c r="K55" s="88">
        <f>'2.1meta'!L240+'2.1meta'!L257</f>
        <v>0</v>
      </c>
      <c r="L55" s="88">
        <f>'2.1meta'!M240+'2.1meta'!M257</f>
        <v>0</v>
      </c>
      <c r="M55" s="88">
        <f>'2.1meta'!N240+'2.1meta'!N257</f>
        <v>0</v>
      </c>
      <c r="N55" s="88">
        <f>'2.1meta'!O240+'2.1meta'!O257</f>
        <v>0</v>
      </c>
      <c r="O55" s="88">
        <f>'2.1meta'!P240+'2.1meta'!P257</f>
        <v>0</v>
      </c>
      <c r="P55" s="89">
        <f t="shared" si="17"/>
        <v>0</v>
      </c>
      <c r="Q55" s="111">
        <f t="shared" si="9"/>
        <v>0</v>
      </c>
      <c r="R55" s="88">
        <f>'2.1meta'!S240+'2.1meta'!S257</f>
        <v>0</v>
      </c>
      <c r="S55" s="88">
        <f>'2.1meta'!T240+'2.1meta'!T257</f>
        <v>0</v>
      </c>
      <c r="T55" s="88">
        <f>'2.1meta'!U240+'2.1meta'!U257</f>
        <v>0</v>
      </c>
      <c r="U55" s="88">
        <f>'2.1meta'!V240+'2.1meta'!V257</f>
        <v>0</v>
      </c>
      <c r="V55" s="88">
        <f>'2.1meta'!W240+'2.1meta'!W257</f>
        <v>0</v>
      </c>
      <c r="W55" s="88">
        <f>'2.1meta'!X240+'2.1meta'!X257</f>
        <v>0</v>
      </c>
      <c r="X55" s="90">
        <f>SUM(R55:W55)</f>
        <v>0</v>
      </c>
      <c r="Y55" s="94">
        <f>P55+X55</f>
        <v>0</v>
      </c>
      <c r="Z55" s="95">
        <f>C55-Y55</f>
        <v>0</v>
      </c>
    </row>
    <row r="56" spans="1:26">
      <c r="A56" s="93" t="s">
        <v>37</v>
      </c>
      <c r="B56" s="114" t="s">
        <v>38</v>
      </c>
      <c r="C56" s="88">
        <f>'2.1meta'!D229+'2.1meta'!D241+'2.1meta'!D258</f>
        <v>0</v>
      </c>
      <c r="D56" s="88">
        <f>'2.1meta'!E148</f>
        <v>0</v>
      </c>
      <c r="E56" s="88">
        <f>'2.1meta'!F148</f>
        <v>0</v>
      </c>
      <c r="F56" s="88">
        <f>'2.1meta'!G229+'2.1meta'!G241+'2.1meta'!G258</f>
        <v>0</v>
      </c>
      <c r="G56" s="88">
        <f>'2.1meta'!H229+'2.1meta'!H241+'2.1meta'!H258</f>
        <v>0</v>
      </c>
      <c r="H56" s="88">
        <f>'2.1meta'!I229+'2.1meta'!I241+'2.1meta'!I258</f>
        <v>0</v>
      </c>
      <c r="I56" s="88">
        <f>'2.1meta'!J229+'2.1meta'!J241+'2.1meta'!J258</f>
        <v>0</v>
      </c>
      <c r="J56" s="88">
        <f>'2.1meta'!K229+'2.1meta'!K241+'2.1meta'!K258</f>
        <v>0</v>
      </c>
      <c r="K56" s="88">
        <f>'2.1meta'!L229+'2.1meta'!L241+'2.1meta'!L258</f>
        <v>0</v>
      </c>
      <c r="L56" s="88">
        <f>'2.1meta'!M229+'2.1meta'!M241+'2.1meta'!M258</f>
        <v>0</v>
      </c>
      <c r="M56" s="88">
        <f>'2.1meta'!N229+'2.1meta'!N241+'2.1meta'!N258</f>
        <v>0</v>
      </c>
      <c r="N56" s="88">
        <f>'2.1meta'!O229+'2.1meta'!O241+'2.1meta'!O258</f>
        <v>0</v>
      </c>
      <c r="O56" s="88">
        <f>'2.1meta'!P229+'2.1meta'!P241+'2.1meta'!P258</f>
        <v>0</v>
      </c>
      <c r="P56" s="89">
        <f t="shared" si="17"/>
        <v>0</v>
      </c>
      <c r="Q56" s="111">
        <f t="shared" si="9"/>
        <v>0</v>
      </c>
      <c r="R56" s="88">
        <f>'2.1meta'!S229+'2.1meta'!S241+'2.1meta'!S258</f>
        <v>0</v>
      </c>
      <c r="S56" s="88">
        <f>'2.1meta'!T229+'2.1meta'!T241+'2.1meta'!T258</f>
        <v>0</v>
      </c>
      <c r="T56" s="88">
        <f>'2.1meta'!U229+'2.1meta'!U241+'2.1meta'!U258</f>
        <v>0</v>
      </c>
      <c r="U56" s="88">
        <f>'2.1meta'!V229+'2.1meta'!V241+'2.1meta'!V258</f>
        <v>0</v>
      </c>
      <c r="V56" s="88">
        <f>'2.1meta'!W229+'2.1meta'!W241+'2.1meta'!W258</f>
        <v>0</v>
      </c>
      <c r="W56" s="88">
        <f>'2.1meta'!X229+'2.1meta'!X241+'2.1meta'!X258</f>
        <v>0</v>
      </c>
      <c r="X56" s="90">
        <f>SUM(R56:W56)</f>
        <v>0</v>
      </c>
      <c r="Y56" s="94">
        <f>P56+X56</f>
        <v>0</v>
      </c>
      <c r="Z56" s="95">
        <f>C56-Y56</f>
        <v>0</v>
      </c>
    </row>
    <row r="57" spans="1:26">
      <c r="A57" s="93" t="s">
        <v>39</v>
      </c>
      <c r="B57" s="114" t="s">
        <v>40</v>
      </c>
      <c r="C57" s="88">
        <f>'2.1meta'!D230+'2.1meta'!D242+'2.1meta'!D259</f>
        <v>0</v>
      </c>
      <c r="D57" s="88">
        <f>'2.1meta'!E149</f>
        <v>0</v>
      </c>
      <c r="E57" s="88">
        <f>'2.1meta'!F149</f>
        <v>0</v>
      </c>
      <c r="F57" s="88">
        <f>'2.1meta'!G230+'2.1meta'!G242+'2.1meta'!G259</f>
        <v>0</v>
      </c>
      <c r="G57" s="88">
        <f>'2.1meta'!H230+'2.1meta'!H242+'2.1meta'!H259</f>
        <v>0</v>
      </c>
      <c r="H57" s="88">
        <f>'2.1meta'!I230+'2.1meta'!I242+'2.1meta'!I259</f>
        <v>0</v>
      </c>
      <c r="I57" s="88">
        <f>'2.1meta'!J230+'2.1meta'!J242+'2.1meta'!J259</f>
        <v>0</v>
      </c>
      <c r="J57" s="88">
        <f>'2.1meta'!K230+'2.1meta'!K242+'2.1meta'!K259</f>
        <v>0</v>
      </c>
      <c r="K57" s="88">
        <f>'2.1meta'!L230+'2.1meta'!L242+'2.1meta'!L259</f>
        <v>0</v>
      </c>
      <c r="L57" s="88">
        <f>'2.1meta'!M230+'2.1meta'!M242+'2.1meta'!M259</f>
        <v>0</v>
      </c>
      <c r="M57" s="88">
        <f>'2.1meta'!N230+'2.1meta'!N242+'2.1meta'!N259</f>
        <v>0</v>
      </c>
      <c r="N57" s="88">
        <f>'2.1meta'!O230+'2.1meta'!O242+'2.1meta'!O259</f>
        <v>0</v>
      </c>
      <c r="O57" s="88">
        <f>'2.1meta'!P230+'2.1meta'!P242+'2.1meta'!P259</f>
        <v>0</v>
      </c>
      <c r="P57" s="89">
        <f t="shared" si="17"/>
        <v>0</v>
      </c>
      <c r="Q57" s="111">
        <f t="shared" si="9"/>
        <v>0</v>
      </c>
      <c r="R57" s="88">
        <f>'2.1meta'!S230+'2.1meta'!S242+'2.1meta'!S259</f>
        <v>0</v>
      </c>
      <c r="S57" s="88">
        <f>'2.1meta'!T230+'2.1meta'!T242+'2.1meta'!T259</f>
        <v>0</v>
      </c>
      <c r="T57" s="88">
        <f>'2.1meta'!U230+'2.1meta'!U242+'2.1meta'!U259</f>
        <v>0</v>
      </c>
      <c r="U57" s="88">
        <f>'2.1meta'!V230+'2.1meta'!V242+'2.1meta'!V259</f>
        <v>0</v>
      </c>
      <c r="V57" s="88">
        <f>'2.1meta'!W230+'2.1meta'!W242+'2.1meta'!W259</f>
        <v>0</v>
      </c>
      <c r="W57" s="88">
        <f>'2.1meta'!X230+'2.1meta'!X242+'2.1meta'!X259</f>
        <v>0</v>
      </c>
      <c r="X57" s="90">
        <f>SUM(R57:W57)</f>
        <v>0</v>
      </c>
      <c r="Y57" s="94">
        <f>P57+X57</f>
        <v>0</v>
      </c>
      <c r="Z57" s="95">
        <f>C57-Y57</f>
        <v>0</v>
      </c>
    </row>
    <row r="58" spans="1:26">
      <c r="A58" s="93" t="s">
        <v>41</v>
      </c>
      <c r="B58" s="114" t="s">
        <v>42</v>
      </c>
      <c r="C58" s="88">
        <f>'2.1meta'!D231+'2.1meta'!D243+'2.1meta'!D260</f>
        <v>0</v>
      </c>
      <c r="D58" s="88">
        <f>'2.1meta'!E150</f>
        <v>0</v>
      </c>
      <c r="E58" s="88">
        <f>'2.1meta'!F150</f>
        <v>0</v>
      </c>
      <c r="F58" s="88">
        <f>'2.1meta'!G231+'2.1meta'!G243+'2.1meta'!G260</f>
        <v>0</v>
      </c>
      <c r="G58" s="88">
        <f>'2.1meta'!H231+'2.1meta'!H243+'2.1meta'!H260</f>
        <v>0</v>
      </c>
      <c r="H58" s="88">
        <f>'2.1meta'!I231+'2.1meta'!I243+'2.1meta'!I260</f>
        <v>0</v>
      </c>
      <c r="I58" s="88">
        <f>'2.1meta'!J231+'2.1meta'!J243+'2.1meta'!J260</f>
        <v>0</v>
      </c>
      <c r="J58" s="88">
        <f>'2.1meta'!K231+'2.1meta'!K243+'2.1meta'!K260</f>
        <v>0</v>
      </c>
      <c r="K58" s="88">
        <f>'2.1meta'!L231+'2.1meta'!L243+'2.1meta'!L260</f>
        <v>0</v>
      </c>
      <c r="L58" s="88">
        <f>'2.1meta'!M231+'2.1meta'!M243+'2.1meta'!M260</f>
        <v>0</v>
      </c>
      <c r="M58" s="88">
        <f>'2.1meta'!N231+'2.1meta'!N243+'2.1meta'!N260</f>
        <v>0</v>
      </c>
      <c r="N58" s="88">
        <f>'2.1meta'!O231+'2.1meta'!O243+'2.1meta'!O260</f>
        <v>0</v>
      </c>
      <c r="O58" s="88">
        <f>'2.1meta'!P231+'2.1meta'!P243+'2.1meta'!P260</f>
        <v>0</v>
      </c>
      <c r="P58" s="89">
        <f t="shared" si="17"/>
        <v>0</v>
      </c>
      <c r="Q58" s="111">
        <f t="shared" si="9"/>
        <v>0</v>
      </c>
      <c r="R58" s="88">
        <f>'2.1meta'!S231+'2.1meta'!S243+'2.1meta'!S260</f>
        <v>0</v>
      </c>
      <c r="S58" s="88">
        <f>'2.1meta'!T231+'2.1meta'!T243+'2.1meta'!T260</f>
        <v>0</v>
      </c>
      <c r="T58" s="88">
        <f>'2.1meta'!U231+'2.1meta'!U243+'2.1meta'!U260</f>
        <v>0</v>
      </c>
      <c r="U58" s="88">
        <f>'2.1meta'!V231+'2.1meta'!V243+'2.1meta'!V260</f>
        <v>0</v>
      </c>
      <c r="V58" s="88">
        <f>'2.1meta'!W231+'2.1meta'!W243+'2.1meta'!W260</f>
        <v>0</v>
      </c>
      <c r="W58" s="88">
        <f>'2.1meta'!X231+'2.1meta'!X243+'2.1meta'!X260</f>
        <v>0</v>
      </c>
      <c r="X58" s="90">
        <f>SUM(R58:W58)</f>
        <v>0</v>
      </c>
      <c r="Y58" s="94">
        <f>P58+X58</f>
        <v>0</v>
      </c>
      <c r="Z58" s="95">
        <f>C58-Y58</f>
        <v>0</v>
      </c>
    </row>
    <row r="59" spans="1:26">
      <c r="A59" s="93" t="s">
        <v>43</v>
      </c>
      <c r="B59" s="114" t="s">
        <v>44</v>
      </c>
      <c r="C59" s="88">
        <f>'2.1meta'!D244+'2.1meta'!D261</f>
        <v>0</v>
      </c>
      <c r="D59" s="88">
        <f>'2.1meta'!E151</f>
        <v>0</v>
      </c>
      <c r="E59" s="88">
        <f>'2.1meta'!F151</f>
        <v>0</v>
      </c>
      <c r="F59" s="88">
        <f>'2.1meta'!G244+'2.1meta'!G261</f>
        <v>0</v>
      </c>
      <c r="G59" s="88">
        <f>'2.1meta'!H244+'2.1meta'!H261</f>
        <v>0</v>
      </c>
      <c r="H59" s="88">
        <f>'2.1meta'!I244+'2.1meta'!I261</f>
        <v>0</v>
      </c>
      <c r="I59" s="88">
        <f>'2.1meta'!J244+'2.1meta'!J261</f>
        <v>0</v>
      </c>
      <c r="J59" s="88">
        <f>'2.1meta'!K244+'2.1meta'!K261</f>
        <v>0</v>
      </c>
      <c r="K59" s="88">
        <f>'2.1meta'!L244+'2.1meta'!L261</f>
        <v>0</v>
      </c>
      <c r="L59" s="88">
        <f>'2.1meta'!M244+'2.1meta'!M261</f>
        <v>0</v>
      </c>
      <c r="M59" s="88">
        <f>'2.1meta'!N244+'2.1meta'!N261</f>
        <v>0</v>
      </c>
      <c r="N59" s="88">
        <f>'2.1meta'!O244+'2.1meta'!O261</f>
        <v>0</v>
      </c>
      <c r="O59" s="88">
        <f>'2.1meta'!P244+'2.1meta'!P261</f>
        <v>0</v>
      </c>
      <c r="P59" s="89">
        <f t="shared" si="17"/>
        <v>0</v>
      </c>
      <c r="Q59" s="111">
        <f t="shared" si="9"/>
        <v>0</v>
      </c>
      <c r="R59" s="88">
        <f>'2.1meta'!S244+'2.1meta'!S261</f>
        <v>0</v>
      </c>
      <c r="S59" s="88">
        <f>'2.1meta'!T244+'2.1meta'!T261</f>
        <v>0</v>
      </c>
      <c r="T59" s="88">
        <f>'2.1meta'!U244+'2.1meta'!U261</f>
        <v>0</v>
      </c>
      <c r="U59" s="88">
        <f>'2.1meta'!V244+'2.1meta'!V261</f>
        <v>0</v>
      </c>
      <c r="V59" s="88">
        <f>'2.1meta'!W244+'2.1meta'!W261</f>
        <v>0</v>
      </c>
      <c r="W59" s="88">
        <f>'2.1meta'!X244+'2.1meta'!X261</f>
        <v>0</v>
      </c>
      <c r="X59" s="90">
        <f>SUM(R59:W59)</f>
        <v>0</v>
      </c>
      <c r="Y59" s="94">
        <f>P59+X59</f>
        <v>0</v>
      </c>
      <c r="Z59" s="95">
        <f>C59-Y59</f>
        <v>0</v>
      </c>
    </row>
    <row r="60" spans="1:26">
      <c r="A60" s="93" t="s">
        <v>45</v>
      </c>
      <c r="B60" s="114" t="s">
        <v>46</v>
      </c>
      <c r="C60" s="88">
        <f>'2.1meta'!D232+'2.1meta'!D245+'2.1meta'!D262</f>
        <v>0</v>
      </c>
      <c r="D60" s="88">
        <f>'2.1meta'!E152+'2.1meta'!E296</f>
        <v>0</v>
      </c>
      <c r="E60" s="88">
        <f>'2.1meta'!F152+'2.1meta'!F296</f>
        <v>0</v>
      </c>
      <c r="F60" s="88">
        <f>'2.1meta'!G232+'2.1meta'!G245+'2.1meta'!G262</f>
        <v>0</v>
      </c>
      <c r="G60" s="88">
        <f>'2.1meta'!H232+'2.1meta'!H245+'2.1meta'!H262</f>
        <v>0</v>
      </c>
      <c r="H60" s="88">
        <f>'2.1meta'!I232+'2.1meta'!I245+'2.1meta'!I262</f>
        <v>0</v>
      </c>
      <c r="I60" s="88">
        <f>'2.1meta'!J232+'2.1meta'!J245+'2.1meta'!J262</f>
        <v>0</v>
      </c>
      <c r="J60" s="88">
        <f>'2.1meta'!K232+'2.1meta'!K245+'2.1meta'!K262</f>
        <v>0</v>
      </c>
      <c r="K60" s="88">
        <f>'2.1meta'!L232+'2.1meta'!L245+'2.1meta'!L262</f>
        <v>0</v>
      </c>
      <c r="L60" s="88">
        <f>'2.1meta'!M232+'2.1meta'!M245+'2.1meta'!M262</f>
        <v>0</v>
      </c>
      <c r="M60" s="88">
        <f>'2.1meta'!N232+'2.1meta'!N245+'2.1meta'!N262</f>
        <v>0</v>
      </c>
      <c r="N60" s="88">
        <f>'2.1meta'!O232+'2.1meta'!O245+'2.1meta'!O262</f>
        <v>0</v>
      </c>
      <c r="O60" s="88">
        <f>'2.1meta'!P232+'2.1meta'!P245+'2.1meta'!P262</f>
        <v>0</v>
      </c>
      <c r="P60" s="89">
        <f t="shared" si="17"/>
        <v>0</v>
      </c>
      <c r="Q60" s="111">
        <f t="shared" si="9"/>
        <v>0</v>
      </c>
      <c r="R60" s="88">
        <f>'2.1meta'!S232+'2.1meta'!S245+'2.1meta'!S262</f>
        <v>0</v>
      </c>
      <c r="S60" s="88">
        <f>'2.1meta'!T232+'2.1meta'!T245+'2.1meta'!T262</f>
        <v>0</v>
      </c>
      <c r="T60" s="88">
        <f>'2.1meta'!U232+'2.1meta'!U245+'2.1meta'!U262</f>
        <v>0</v>
      </c>
      <c r="U60" s="88">
        <f>'2.1meta'!V232+'2.1meta'!V245+'2.1meta'!V262</f>
        <v>0</v>
      </c>
      <c r="V60" s="88">
        <f>'2.1meta'!W232+'2.1meta'!W245+'2.1meta'!W262</f>
        <v>0</v>
      </c>
      <c r="W60" s="88">
        <f>'2.1meta'!X232+'2.1meta'!X245+'2.1meta'!X262</f>
        <v>0</v>
      </c>
      <c r="X60" s="90">
        <f>SUM(R60:W60)</f>
        <v>0</v>
      </c>
      <c r="Y60" s="94">
        <f>P60+X60</f>
        <v>0</v>
      </c>
      <c r="Z60" s="95">
        <f>C60-Y60</f>
        <v>0</v>
      </c>
    </row>
    <row r="61" spans="1:26">
      <c r="A61" s="93" t="s">
        <v>47</v>
      </c>
      <c r="B61" s="114" t="s">
        <v>48</v>
      </c>
      <c r="C61" s="88">
        <f>'2.1meta'!D233+'2.1meta'!D246+'2.1meta'!D263</f>
        <v>0</v>
      </c>
      <c r="D61" s="88">
        <f>'2.1meta'!E153+'2.1meta'!E297</f>
        <v>0</v>
      </c>
      <c r="E61" s="88">
        <f>'2.1meta'!F153+'2.1meta'!F297</f>
        <v>0</v>
      </c>
      <c r="F61" s="88">
        <f>'2.1meta'!G233+'2.1meta'!G246+'2.1meta'!G263</f>
        <v>0</v>
      </c>
      <c r="G61" s="88">
        <f>'2.1meta'!H233+'2.1meta'!H246+'2.1meta'!H263</f>
        <v>0</v>
      </c>
      <c r="H61" s="88">
        <f>'2.1meta'!I233+'2.1meta'!I246+'2.1meta'!I263</f>
        <v>0</v>
      </c>
      <c r="I61" s="88">
        <f>'2.1meta'!J233+'2.1meta'!J246+'2.1meta'!J263</f>
        <v>0</v>
      </c>
      <c r="J61" s="88">
        <f>'2.1meta'!K233+'2.1meta'!K246+'2.1meta'!K263</f>
        <v>0</v>
      </c>
      <c r="K61" s="88">
        <f>'2.1meta'!L233+'2.1meta'!L246+'2.1meta'!L263</f>
        <v>0</v>
      </c>
      <c r="L61" s="88">
        <f>'2.1meta'!M233+'2.1meta'!M246+'2.1meta'!M263</f>
        <v>0</v>
      </c>
      <c r="M61" s="88">
        <f>'2.1meta'!N233+'2.1meta'!N246+'2.1meta'!N263</f>
        <v>0</v>
      </c>
      <c r="N61" s="88">
        <f>'2.1meta'!O233+'2.1meta'!O246+'2.1meta'!O263</f>
        <v>0</v>
      </c>
      <c r="O61" s="88">
        <f>'2.1meta'!P233+'2.1meta'!P246+'2.1meta'!P263</f>
        <v>0</v>
      </c>
      <c r="P61" s="89">
        <f t="shared" si="17"/>
        <v>0</v>
      </c>
      <c r="Q61" s="111">
        <f t="shared" si="9"/>
        <v>0</v>
      </c>
      <c r="R61" s="88">
        <f>'2.1meta'!S233+'2.1meta'!S246+'2.1meta'!S263</f>
        <v>0</v>
      </c>
      <c r="S61" s="88">
        <f>'2.1meta'!T233+'2.1meta'!T246+'2.1meta'!T263</f>
        <v>0</v>
      </c>
      <c r="T61" s="88">
        <f>'2.1meta'!U233+'2.1meta'!U246+'2.1meta'!U263</f>
        <v>0</v>
      </c>
      <c r="U61" s="88">
        <f>'2.1meta'!V233+'2.1meta'!V246+'2.1meta'!V263</f>
        <v>0</v>
      </c>
      <c r="V61" s="88">
        <f>'2.1meta'!W233+'2.1meta'!W246+'2.1meta'!W263</f>
        <v>0</v>
      </c>
      <c r="W61" s="88">
        <f>'2.1meta'!X233+'2.1meta'!X246+'2.1meta'!X263</f>
        <v>0</v>
      </c>
      <c r="X61" s="90">
        <f>SUM(R61:W61)</f>
        <v>0</v>
      </c>
      <c r="Y61" s="94">
        <f>P61+X61</f>
        <v>0</v>
      </c>
      <c r="Z61" s="95">
        <f>C61-Y61</f>
        <v>0</v>
      </c>
    </row>
    <row r="62" spans="1:26">
      <c r="A62" s="93" t="s">
        <v>49</v>
      </c>
      <c r="B62" s="114" t="s">
        <v>50</v>
      </c>
      <c r="C62" s="88">
        <f>'2.1meta'!D247+'2.1meta'!D264</f>
        <v>0</v>
      </c>
      <c r="D62" s="88">
        <f>'2.1meta'!E154</f>
        <v>0</v>
      </c>
      <c r="E62" s="88">
        <f>'2.1meta'!F154</f>
        <v>0</v>
      </c>
      <c r="F62" s="88">
        <f>'2.1meta'!G247+'2.1meta'!G264</f>
        <v>0</v>
      </c>
      <c r="G62" s="88">
        <f>'2.1meta'!H247+'2.1meta'!H264</f>
        <v>0</v>
      </c>
      <c r="H62" s="88">
        <f>'2.1meta'!I247+'2.1meta'!I264</f>
        <v>0</v>
      </c>
      <c r="I62" s="88">
        <f>'2.1meta'!J247+'2.1meta'!J264</f>
        <v>0</v>
      </c>
      <c r="J62" s="88">
        <f>'2.1meta'!K247+'2.1meta'!K264</f>
        <v>0</v>
      </c>
      <c r="K62" s="88">
        <f>'2.1meta'!L247+'2.1meta'!L264</f>
        <v>0</v>
      </c>
      <c r="L62" s="88">
        <f>'2.1meta'!M247+'2.1meta'!M264</f>
        <v>0</v>
      </c>
      <c r="M62" s="88">
        <f>'2.1meta'!N247+'2.1meta'!N264</f>
        <v>0</v>
      </c>
      <c r="N62" s="88">
        <f>'2.1meta'!O247+'2.1meta'!O264</f>
        <v>0</v>
      </c>
      <c r="O62" s="88">
        <f>'2.1meta'!P247+'2.1meta'!P264</f>
        <v>0</v>
      </c>
      <c r="P62" s="89">
        <f t="shared" si="17"/>
        <v>0</v>
      </c>
      <c r="Q62" s="111">
        <f t="shared" si="9"/>
        <v>0</v>
      </c>
      <c r="R62" s="88">
        <f>'2.1meta'!S247+'2.1meta'!S264</f>
        <v>0</v>
      </c>
      <c r="S62" s="88">
        <f>'2.1meta'!T247+'2.1meta'!T264</f>
        <v>0</v>
      </c>
      <c r="T62" s="88">
        <f>'2.1meta'!U247+'2.1meta'!U264</f>
        <v>0</v>
      </c>
      <c r="U62" s="88">
        <f>'2.1meta'!V247+'2.1meta'!V264</f>
        <v>0</v>
      </c>
      <c r="V62" s="88">
        <f>'2.1meta'!W247+'2.1meta'!W264</f>
        <v>0</v>
      </c>
      <c r="W62" s="88">
        <f>'2.1meta'!X247+'2.1meta'!X264</f>
        <v>0</v>
      </c>
      <c r="X62" s="90">
        <f>SUM(R62:W62)</f>
        <v>0</v>
      </c>
      <c r="Y62" s="94">
        <f>P62+X62</f>
        <v>0</v>
      </c>
      <c r="Z62" s="95">
        <f>C62-Y62</f>
        <v>0</v>
      </c>
    </row>
    <row r="63" spans="1:26">
      <c r="A63" s="93" t="s">
        <v>53</v>
      </c>
      <c r="B63" s="114" t="s">
        <v>54</v>
      </c>
      <c r="C63" s="88">
        <f>'2.1meta'!D249+'2.1meta'!D266</f>
        <v>0</v>
      </c>
      <c r="D63" s="88">
        <f>'2.1meta'!E156+'2.1meta'!E300</f>
        <v>0</v>
      </c>
      <c r="E63" s="88">
        <f>'2.1meta'!F156+'2.1meta'!F300</f>
        <v>0</v>
      </c>
      <c r="F63" s="88">
        <f>'2.1meta'!G249+'2.1meta'!G266</f>
        <v>0</v>
      </c>
      <c r="G63" s="88">
        <f>'2.1meta'!H249+'2.1meta'!H266</f>
        <v>0</v>
      </c>
      <c r="H63" s="88">
        <f>'2.1meta'!I249+'2.1meta'!I266</f>
        <v>0</v>
      </c>
      <c r="I63" s="88">
        <f>'2.1meta'!J249+'2.1meta'!J266</f>
        <v>0</v>
      </c>
      <c r="J63" s="88">
        <f>'2.1meta'!K249+'2.1meta'!K266</f>
        <v>0</v>
      </c>
      <c r="K63" s="88">
        <f>'2.1meta'!L249+'2.1meta'!L266</f>
        <v>0</v>
      </c>
      <c r="L63" s="88">
        <f>'2.1meta'!M249+'2.1meta'!M266</f>
        <v>0</v>
      </c>
      <c r="M63" s="88">
        <f>'2.1meta'!N249+'2.1meta'!N266</f>
        <v>0</v>
      </c>
      <c r="N63" s="88">
        <f>'2.1meta'!O249+'2.1meta'!O266</f>
        <v>0</v>
      </c>
      <c r="O63" s="88">
        <f>'2.1meta'!P249+'2.1meta'!P266</f>
        <v>0</v>
      </c>
      <c r="P63" s="89">
        <f t="shared" si="17"/>
        <v>0</v>
      </c>
      <c r="Q63" s="111">
        <f t="shared" si="9"/>
        <v>0</v>
      </c>
      <c r="R63" s="88">
        <f>'2.1meta'!S249+'2.1meta'!S266</f>
        <v>0</v>
      </c>
      <c r="S63" s="88">
        <f>'2.1meta'!T249+'2.1meta'!T266</f>
        <v>0</v>
      </c>
      <c r="T63" s="88">
        <f>'2.1meta'!U249+'2.1meta'!U266</f>
        <v>0</v>
      </c>
      <c r="U63" s="88">
        <f>'2.1meta'!V249+'2.1meta'!V266</f>
        <v>0</v>
      </c>
      <c r="V63" s="88">
        <f>'2.1meta'!W249+'2.1meta'!W266</f>
        <v>0</v>
      </c>
      <c r="W63" s="88">
        <f>'2.1meta'!X249+'2.1meta'!X266</f>
        <v>0</v>
      </c>
      <c r="X63" s="90">
        <f>SUM(R63:W63)</f>
        <v>0</v>
      </c>
      <c r="Y63" s="94">
        <f>P63+X63</f>
        <v>0</v>
      </c>
      <c r="Z63" s="95">
        <f>C63-Y63</f>
        <v>0</v>
      </c>
    </row>
    <row r="64" spans="1:26">
      <c r="A64" s="93" t="s">
        <v>55</v>
      </c>
      <c r="B64" s="114" t="s">
        <v>56</v>
      </c>
      <c r="C64" s="88">
        <f>'2.1meta'!D234+'2.1meta'!D250+'2.1meta'!D267</f>
        <v>0</v>
      </c>
      <c r="D64" s="88">
        <f>'2.1meta'!E157+'2.1meta'!E301</f>
        <v>0</v>
      </c>
      <c r="E64" s="88">
        <f>'2.1meta'!F157+'2.1meta'!F301</f>
        <v>0</v>
      </c>
      <c r="F64" s="88">
        <f>'2.1meta'!G234+'2.1meta'!G250+'2.1meta'!G267</f>
        <v>0</v>
      </c>
      <c r="G64" s="88">
        <f>'2.1meta'!H234+'2.1meta'!H250+'2.1meta'!H267</f>
        <v>0</v>
      </c>
      <c r="H64" s="88">
        <f>'2.1meta'!I234+'2.1meta'!I250+'2.1meta'!I267</f>
        <v>0</v>
      </c>
      <c r="I64" s="88">
        <f>'2.1meta'!J234+'2.1meta'!J250+'2.1meta'!J267</f>
        <v>0</v>
      </c>
      <c r="J64" s="88">
        <f>'2.1meta'!K234+'2.1meta'!K250+'2.1meta'!K267</f>
        <v>0</v>
      </c>
      <c r="K64" s="88">
        <f>'2.1meta'!L234+'2.1meta'!L250+'2.1meta'!L267</f>
        <v>0</v>
      </c>
      <c r="L64" s="88">
        <f>'2.1meta'!M234+'2.1meta'!M250+'2.1meta'!M267</f>
        <v>0</v>
      </c>
      <c r="M64" s="88">
        <f>'2.1meta'!N234+'2.1meta'!N250+'2.1meta'!N267</f>
        <v>0</v>
      </c>
      <c r="N64" s="88">
        <f>'2.1meta'!O234+'2.1meta'!O250+'2.1meta'!O267</f>
        <v>0</v>
      </c>
      <c r="O64" s="88">
        <f>'2.1meta'!P234+'2.1meta'!P250+'2.1meta'!P267</f>
        <v>0</v>
      </c>
      <c r="P64" s="89">
        <f t="shared" si="17"/>
        <v>0</v>
      </c>
      <c r="Q64" s="111">
        <f t="shared" si="9"/>
        <v>0</v>
      </c>
      <c r="R64" s="88">
        <f>'2.1meta'!S234+'2.1meta'!S250+'2.1meta'!S267</f>
        <v>0</v>
      </c>
      <c r="S64" s="88">
        <f>'2.1meta'!T234+'2.1meta'!T250+'2.1meta'!T267</f>
        <v>0</v>
      </c>
      <c r="T64" s="88">
        <f>'2.1meta'!U234+'2.1meta'!U250+'2.1meta'!U267</f>
        <v>0</v>
      </c>
      <c r="U64" s="88">
        <f>'2.1meta'!V234+'2.1meta'!V250+'2.1meta'!V267</f>
        <v>0</v>
      </c>
      <c r="V64" s="88">
        <f>'2.1meta'!W234+'2.1meta'!W250+'2.1meta'!W267</f>
        <v>0</v>
      </c>
      <c r="W64" s="88">
        <f>'2.1meta'!X234+'2.1meta'!X250+'2.1meta'!X267</f>
        <v>0</v>
      </c>
      <c r="X64" s="90">
        <f>SUM(R64:W64)</f>
        <v>0</v>
      </c>
      <c r="Y64" s="94">
        <f>P64+X64</f>
        <v>0</v>
      </c>
      <c r="Z64" s="95">
        <f>C64-Y64</f>
        <v>0</v>
      </c>
    </row>
    <row r="65" spans="1:26">
      <c r="A65" s="93" t="s">
        <v>57</v>
      </c>
      <c r="B65" s="114" t="s">
        <v>58</v>
      </c>
      <c r="C65" s="88">
        <f>'2.1meta'!D251+'2.1meta'!D268</f>
        <v>0</v>
      </c>
      <c r="D65" s="88">
        <f>'2.1meta'!E158+'2.1meta'!E302</f>
        <v>0</v>
      </c>
      <c r="E65" s="88">
        <f>'2.1meta'!F158+'2.1meta'!F302</f>
        <v>0</v>
      </c>
      <c r="F65" s="88">
        <f>'2.1meta'!G251+'2.1meta'!G268</f>
        <v>0</v>
      </c>
      <c r="G65" s="88">
        <f>'2.1meta'!H251+'2.1meta'!H268</f>
        <v>0</v>
      </c>
      <c r="H65" s="88">
        <f>'2.1meta'!I251+'2.1meta'!I268</f>
        <v>0</v>
      </c>
      <c r="I65" s="88">
        <f>'2.1meta'!J251+'2.1meta'!J268</f>
        <v>0</v>
      </c>
      <c r="J65" s="88">
        <f>'2.1meta'!K251+'2.1meta'!K268</f>
        <v>0</v>
      </c>
      <c r="K65" s="88">
        <f>'2.1meta'!L251+'2.1meta'!L268</f>
        <v>0</v>
      </c>
      <c r="L65" s="88">
        <f>'2.1meta'!M251+'2.1meta'!M268</f>
        <v>0</v>
      </c>
      <c r="M65" s="88">
        <f>'2.1meta'!N251+'2.1meta'!N268</f>
        <v>0</v>
      </c>
      <c r="N65" s="88">
        <f>'2.1meta'!O251+'2.1meta'!O268</f>
        <v>0</v>
      </c>
      <c r="O65" s="88">
        <f>'2.1meta'!P251+'2.1meta'!P268</f>
        <v>0</v>
      </c>
      <c r="P65" s="89">
        <f t="shared" si="17"/>
        <v>0</v>
      </c>
      <c r="Q65" s="111">
        <f t="shared" si="9"/>
        <v>0</v>
      </c>
      <c r="R65" s="88">
        <f>'2.1meta'!S251+'2.1meta'!S268</f>
        <v>0</v>
      </c>
      <c r="S65" s="88">
        <f>'2.1meta'!T251+'2.1meta'!T268</f>
        <v>0</v>
      </c>
      <c r="T65" s="88">
        <f>'2.1meta'!U251+'2.1meta'!U268</f>
        <v>0</v>
      </c>
      <c r="U65" s="88">
        <f>'2.1meta'!V251+'2.1meta'!V268</f>
        <v>0</v>
      </c>
      <c r="V65" s="88">
        <f>'2.1meta'!W251+'2.1meta'!W268</f>
        <v>0</v>
      </c>
      <c r="W65" s="88">
        <f>'2.1meta'!X251+'2.1meta'!X268</f>
        <v>0</v>
      </c>
      <c r="X65" s="90">
        <f>SUM(R65:W65)</f>
        <v>0</v>
      </c>
      <c r="Y65" s="94">
        <f>P65+X65</f>
        <v>0</v>
      </c>
      <c r="Z65" s="95">
        <f>C65-Y65</f>
        <v>0</v>
      </c>
    </row>
    <row r="66" spans="1:26">
      <c r="A66" s="93" t="s">
        <v>59</v>
      </c>
      <c r="B66" s="114" t="s">
        <v>60</v>
      </c>
      <c r="C66" s="88">
        <f>'2.1meta'!D235+'2.1meta'!D252+'2.1meta'!D269</f>
        <v>0</v>
      </c>
      <c r="D66" s="88">
        <f>'2.1meta'!E159+'2.1meta'!E303</f>
        <v>0</v>
      </c>
      <c r="E66" s="88">
        <f>'2.1meta'!F159+'2.1meta'!F303</f>
        <v>0</v>
      </c>
      <c r="F66" s="88">
        <f>'2.1meta'!G235+'2.1meta'!G252+'2.1meta'!G269</f>
        <v>0</v>
      </c>
      <c r="G66" s="88">
        <f>'2.1meta'!H235+'2.1meta'!H252+'2.1meta'!H269</f>
        <v>0</v>
      </c>
      <c r="H66" s="88">
        <f>'2.1meta'!I235+'2.1meta'!I252+'2.1meta'!I269</f>
        <v>0</v>
      </c>
      <c r="I66" s="88">
        <f>'2.1meta'!J235+'2.1meta'!J252+'2.1meta'!J269</f>
        <v>0</v>
      </c>
      <c r="J66" s="88">
        <f>'2.1meta'!K235+'2.1meta'!K252+'2.1meta'!K269</f>
        <v>0</v>
      </c>
      <c r="K66" s="88">
        <f>'2.1meta'!L235+'2.1meta'!L252+'2.1meta'!L269</f>
        <v>0</v>
      </c>
      <c r="L66" s="88">
        <f>'2.1meta'!M235+'2.1meta'!M252+'2.1meta'!M269</f>
        <v>0</v>
      </c>
      <c r="M66" s="88">
        <f>'2.1meta'!N235+'2.1meta'!N252+'2.1meta'!N269</f>
        <v>0</v>
      </c>
      <c r="N66" s="88">
        <f>'2.1meta'!O235+'2.1meta'!O252+'2.1meta'!O269</f>
        <v>0</v>
      </c>
      <c r="O66" s="88">
        <f>'2.1meta'!P235+'2.1meta'!P252+'2.1meta'!P269</f>
        <v>0</v>
      </c>
      <c r="P66" s="89">
        <f t="shared" si="17"/>
        <v>0</v>
      </c>
      <c r="Q66" s="111">
        <f t="shared" si="9"/>
        <v>0</v>
      </c>
      <c r="R66" s="88">
        <f>'2.1meta'!S235+'2.1meta'!S252+'2.1meta'!S269</f>
        <v>0</v>
      </c>
      <c r="S66" s="88">
        <f>'2.1meta'!T235+'2.1meta'!T252+'2.1meta'!T269</f>
        <v>0</v>
      </c>
      <c r="T66" s="88">
        <f>'2.1meta'!U235+'2.1meta'!U252+'2.1meta'!U269</f>
        <v>0</v>
      </c>
      <c r="U66" s="88">
        <f>'2.1meta'!V235+'2.1meta'!V252+'2.1meta'!V269</f>
        <v>0</v>
      </c>
      <c r="V66" s="88">
        <f>'2.1meta'!W235+'2.1meta'!W252+'2.1meta'!W269</f>
        <v>0</v>
      </c>
      <c r="W66" s="88">
        <f>'2.1meta'!X235+'2.1meta'!X252+'2.1meta'!X269</f>
        <v>0</v>
      </c>
      <c r="X66" s="90">
        <f>SUM(R66:W66)</f>
        <v>0</v>
      </c>
      <c r="Y66" s="94">
        <f>P66+X66</f>
        <v>0</v>
      </c>
      <c r="Z66" s="95">
        <f>C66-Y66</f>
        <v>0</v>
      </c>
    </row>
    <row r="67" spans="1:26" s="47" customFormat="1">
      <c r="A67" s="101" t="s">
        <v>105</v>
      </c>
      <c r="B67" s="102"/>
      <c r="C67" s="103">
        <f>SUBTOTAL(9,C5:C66)</f>
        <v>0</v>
      </c>
      <c r="D67" s="103"/>
      <c r="E67" s="103"/>
      <c r="F67" s="103">
        <f t="shared" ref="F67:P67" si="18">SUBTOTAL(9,F5:F66)</f>
        <v>0</v>
      </c>
      <c r="G67" s="103">
        <f t="shared" si="18"/>
        <v>0</v>
      </c>
      <c r="H67" s="103">
        <f t="shared" si="18"/>
        <v>0</v>
      </c>
      <c r="I67" s="103">
        <f t="shared" si="18"/>
        <v>0</v>
      </c>
      <c r="J67" s="103">
        <f t="shared" ref="J67:M67" si="19">SUBTOTAL(9,J5:J66)</f>
        <v>0</v>
      </c>
      <c r="K67" s="103">
        <f t="shared" si="19"/>
        <v>0</v>
      </c>
      <c r="L67" s="103">
        <f t="shared" si="19"/>
        <v>0</v>
      </c>
      <c r="M67" s="103">
        <f t="shared" si="19"/>
        <v>0</v>
      </c>
      <c r="N67" s="103">
        <f t="shared" si="18"/>
        <v>0</v>
      </c>
      <c r="O67" s="103">
        <f t="shared" si="18"/>
        <v>0</v>
      </c>
      <c r="P67" s="103">
        <f t="shared" si="18"/>
        <v>0</v>
      </c>
      <c r="Q67" s="64">
        <f t="shared" si="9"/>
        <v>0</v>
      </c>
      <c r="R67" s="103">
        <f t="shared" ref="R67:Z67" si="20">SUBTOTAL(9,R5:R66)</f>
        <v>0</v>
      </c>
      <c r="S67" s="103">
        <f t="shared" si="20"/>
        <v>0</v>
      </c>
      <c r="T67" s="103">
        <f t="shared" si="20"/>
        <v>0</v>
      </c>
      <c r="U67" s="103">
        <f t="shared" si="20"/>
        <v>0</v>
      </c>
      <c r="V67" s="103">
        <f t="shared" si="20"/>
        <v>0</v>
      </c>
      <c r="W67" s="103">
        <f t="shared" si="20"/>
        <v>0</v>
      </c>
      <c r="X67" s="103">
        <f t="shared" si="20"/>
        <v>0</v>
      </c>
      <c r="Y67" s="104">
        <f t="shared" si="20"/>
        <v>0</v>
      </c>
      <c r="Z67" s="105">
        <f t="shared" si="20"/>
        <v>0</v>
      </c>
    </row>
    <row r="69" spans="1:26">
      <c r="C69" s="106"/>
      <c r="D69" s="106"/>
      <c r="E69" s="106"/>
      <c r="P69" s="32"/>
      <c r="Q69" s="32"/>
    </row>
    <row r="70" spans="1:26">
      <c r="C70" s="34"/>
      <c r="D70" s="34"/>
      <c r="E70" s="34"/>
    </row>
    <row r="71" spans="1:26">
      <c r="C71" s="34"/>
      <c r="D71" s="34"/>
      <c r="E71" s="34"/>
    </row>
    <row r="72" spans="1:26">
      <c r="C72" s="34"/>
      <c r="D72" s="34"/>
      <c r="E72" s="34"/>
    </row>
    <row r="73" spans="1:26">
      <c r="C73" s="34"/>
      <c r="D73" s="34"/>
      <c r="E73" s="34"/>
    </row>
    <row r="74" spans="1:26">
      <c r="C74" s="34"/>
      <c r="D74" s="34"/>
      <c r="E74" s="34"/>
    </row>
    <row r="75" spans="1:26">
      <c r="C75" s="34"/>
      <c r="D75" s="34"/>
      <c r="E75" s="34"/>
    </row>
    <row r="76" spans="1:26">
      <c r="C76" s="34"/>
      <c r="D76" s="34"/>
      <c r="E76" s="34"/>
    </row>
    <row r="77" spans="1:26">
      <c r="C77" s="34"/>
      <c r="D77" s="34"/>
      <c r="E77" s="34"/>
    </row>
  </sheetData>
  <sheetProtection formatCells="0" formatColumns="0" formatRows="0" insertColumns="0" insertRows="0" insertHyperlinks="0" deleteColumns="0" deleteRows="0" sort="0" autoFilter="0" pivotTables="0"/>
  <mergeCells count="14">
    <mergeCell ref="A3:B4"/>
    <mergeCell ref="C3:C4"/>
    <mergeCell ref="P3:P4"/>
    <mergeCell ref="X3:X4"/>
    <mergeCell ref="Y3:Y4"/>
    <mergeCell ref="Z3:Z4"/>
    <mergeCell ref="D3:D4"/>
    <mergeCell ref="E3:E4"/>
    <mergeCell ref="R3:S3"/>
    <mergeCell ref="T3:U3"/>
    <mergeCell ref="V3:V4"/>
    <mergeCell ref="W3:W4"/>
    <mergeCell ref="F3:O3"/>
    <mergeCell ref="Q3:Q4"/>
  </mergeCells>
  <pageMargins left="0.31496062992126" right="0.31496062992126" top="0.74803149606299002" bottom="0.35433070866142002" header="0.31496062992126" footer="0.31496062992126"/>
  <pageSetup paperSize="9" scale="5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Z32"/>
  <sheetViews>
    <sheetView topLeftCell="B1" workbookViewId="0">
      <selection activeCell="G5" sqref="G5"/>
    </sheetView>
  </sheetViews>
  <sheetFormatPr baseColWidth="10" defaultColWidth="9.140625" defaultRowHeight="12.75"/>
  <cols>
    <col min="1" max="1" width="9.140625" customWidth="1"/>
    <col min="2" max="2" width="30.42578125" customWidth="1"/>
    <col min="3" max="3" width="10.5703125" customWidth="1"/>
    <col min="4" max="5" width="10.5703125" hidden="1" customWidth="1"/>
    <col min="6" max="6" width="10.42578125" customWidth="1"/>
    <col min="7" max="14" width="11.140625" customWidth="1"/>
    <col min="15" max="15" width="10.42578125" customWidth="1"/>
    <col min="17" max="17" width="0" hidden="1" customWidth="1"/>
    <col min="18" max="18" width="11.5703125" customWidth="1"/>
    <col min="19" max="19" width="11.140625" customWidth="1"/>
    <col min="20" max="20" width="9" customWidth="1"/>
    <col min="21" max="21" width="9.140625" customWidth="1"/>
    <col min="22" max="22" width="9.5703125" customWidth="1"/>
    <col min="23" max="23" width="11.7109375" customWidth="1"/>
    <col min="24" max="24" width="12.28515625" customWidth="1"/>
    <col min="25" max="25" width="12.42578125" customWidth="1"/>
    <col min="26" max="26" width="10.85546875" customWidth="1"/>
  </cols>
  <sheetData>
    <row r="1" spans="1:26" ht="15.75" customHeight="1">
      <c r="A1" s="82" t="s">
        <v>83</v>
      </c>
      <c r="P1" s="1"/>
      <c r="Q1" s="1"/>
      <c r="Z1" s="1"/>
    </row>
    <row r="2" spans="1:26">
      <c r="P2" s="1"/>
      <c r="Q2" s="1"/>
      <c r="Z2" s="1"/>
    </row>
    <row r="3" spans="1:26" ht="27.75" customHeight="1">
      <c r="A3" s="227" t="s">
        <v>84</v>
      </c>
      <c r="B3" s="245"/>
      <c r="C3" s="231" t="s">
        <v>85</v>
      </c>
      <c r="D3" s="231" t="s">
        <v>5</v>
      </c>
      <c r="E3" s="231" t="s">
        <v>6</v>
      </c>
      <c r="F3" s="244" t="s">
        <v>7</v>
      </c>
      <c r="G3" s="240"/>
      <c r="H3" s="240"/>
      <c r="I3" s="240"/>
      <c r="J3" s="240"/>
      <c r="K3" s="240"/>
      <c r="L3" s="240"/>
      <c r="M3" s="240"/>
      <c r="N3" s="240"/>
      <c r="O3" s="240"/>
      <c r="P3" s="231" t="s">
        <v>82</v>
      </c>
      <c r="Q3" s="223" t="s">
        <v>8</v>
      </c>
      <c r="R3" s="240"/>
      <c r="S3" s="241"/>
      <c r="T3" s="235" t="s">
        <v>9</v>
      </c>
      <c r="U3" s="234"/>
      <c r="V3" s="237" t="s">
        <v>10</v>
      </c>
      <c r="W3" s="236" t="s">
        <v>11</v>
      </c>
      <c r="X3" s="231" t="s">
        <v>86</v>
      </c>
      <c r="Y3" s="231" t="s">
        <v>87</v>
      </c>
      <c r="Z3" s="231" t="s">
        <v>88</v>
      </c>
    </row>
    <row r="4" spans="1:26" ht="33" customHeight="1">
      <c r="A4" s="246"/>
      <c r="B4" s="247"/>
      <c r="C4" s="232"/>
      <c r="D4" s="232"/>
      <c r="E4" s="232"/>
      <c r="F4" s="83" t="s">
        <v>89</v>
      </c>
      <c r="G4" s="83" t="s">
        <v>90</v>
      </c>
      <c r="H4" s="217" t="s">
        <v>91</v>
      </c>
      <c r="I4" s="217" t="s">
        <v>92</v>
      </c>
      <c r="J4" s="217" t="s">
        <v>93</v>
      </c>
      <c r="K4" s="217" t="s">
        <v>94</v>
      </c>
      <c r="L4" s="217" t="s">
        <v>95</v>
      </c>
      <c r="M4" s="217" t="s">
        <v>96</v>
      </c>
      <c r="N4" s="217" t="s">
        <v>97</v>
      </c>
      <c r="O4" s="217" t="s">
        <v>98</v>
      </c>
      <c r="P4" s="239"/>
      <c r="Q4" s="224"/>
      <c r="R4" s="112" t="s">
        <v>129</v>
      </c>
      <c r="S4" s="112" t="s">
        <v>130</v>
      </c>
      <c r="T4" s="81">
        <v>276</v>
      </c>
      <c r="U4" s="81">
        <v>728</v>
      </c>
      <c r="V4" s="238"/>
      <c r="W4" s="236"/>
      <c r="X4" s="239"/>
      <c r="Y4" s="239"/>
      <c r="Z4" s="239"/>
    </row>
    <row r="5" spans="1:26" ht="15.75" customHeight="1">
      <c r="A5" s="87" t="s">
        <v>29</v>
      </c>
      <c r="B5" s="113" t="s">
        <v>30</v>
      </c>
      <c r="C5" s="88">
        <f>'2.1meta'!D7+'2.1meta'!D24+'2.1meta'!D41+'2.1meta'!D58+'2.1meta'!D76+'2.1meta'!D93+'2.1meta'!D110+'2.1meta'!D127+'2.1meta'!D144+'2.1meta'!D161++'2.1meta'!D178+'2.1meta'!D195+'2.1meta'!D212+'2.1meta'!D237+'2.1meta'!D254+'2.1meta'!D271+'2.1meta'!D288+'2.1meta'!D305+'2.1meta'!D322</f>
        <v>0</v>
      </c>
      <c r="D5" s="88">
        <f>'2.1meta'!E7+'2.1meta'!E24+'2.1meta'!E41+'2.1meta'!E58+'2.1meta'!E76+'2.1meta'!E93+'2.1meta'!E110+'2.1meta'!E127+'2.1meta'!E144+'2.1meta'!E161++'2.1meta'!E178+'2.1meta'!E195+'2.1meta'!E212+'2.1meta'!E237+'2.1meta'!E254+'2.1meta'!E271+'2.1meta'!E288+'2.1meta'!E305+'2.1meta'!E322</f>
        <v>0</v>
      </c>
      <c r="E5" s="88">
        <f>'2.1meta'!F7+'2.1meta'!F24+'2.1meta'!F41+'2.1meta'!F58+'2.1meta'!F76+'2.1meta'!F93+'2.1meta'!F110+'2.1meta'!F127+'2.1meta'!F144+'2.1meta'!F161++'2.1meta'!F178+'2.1meta'!F195+'2.1meta'!F212+'2.1meta'!F237+'2.1meta'!F254+'2.1meta'!F271+'2.1meta'!F288+'2.1meta'!F305+'2.1meta'!F322</f>
        <v>0</v>
      </c>
      <c r="F5" s="88">
        <f>'2.1meta'!G7+'2.1meta'!G24+'2.1meta'!G41+'2.1meta'!G58+'2.1meta'!G76+'2.1meta'!G93+'2.1meta'!G110+'2.1meta'!G127+'2.1meta'!G144+'2.1meta'!G161++'2.1meta'!G178+'2.1meta'!G195+'2.1meta'!G212+'2.1meta'!G237+'2.1meta'!G254+'2.1meta'!G271+'2.1meta'!G288+'2.1meta'!G305+'2.1meta'!G322</f>
        <v>0</v>
      </c>
      <c r="G5" s="88">
        <f>'2.1meta'!H7+'2.1meta'!H24+'2.1meta'!H41+'2.1meta'!H58+'2.1meta'!H76+'2.1meta'!H93+'2.1meta'!H110+'2.1meta'!H127+'2.1meta'!H144+'2.1meta'!H161++'2.1meta'!H178+'2.1meta'!H195+'2.1meta'!H212+'2.1meta'!H237+'2.1meta'!H254+'2.1meta'!H271+'2.1meta'!H288+'2.1meta'!H305+'2.1meta'!H322</f>
        <v>0</v>
      </c>
      <c r="H5" s="88">
        <f>'2.1meta'!I7+'2.1meta'!I24+'2.1meta'!I41+'2.1meta'!I58+'2.1meta'!I76+'2.1meta'!I93+'2.1meta'!I110+'2.1meta'!I127+'2.1meta'!I144+'2.1meta'!I161++'2.1meta'!I178+'2.1meta'!I195+'2.1meta'!I212+'2.1meta'!I237+'2.1meta'!I254+'2.1meta'!I271+'2.1meta'!I288+'2.1meta'!I305+'2.1meta'!I322</f>
        <v>0</v>
      </c>
      <c r="I5" s="88">
        <f>'2.1meta'!J7+'2.1meta'!J24+'2.1meta'!J41+'2.1meta'!J58+'2.1meta'!J76+'2.1meta'!J93+'2.1meta'!J110+'2.1meta'!J127+'2.1meta'!J144+'2.1meta'!J161++'2.1meta'!J178+'2.1meta'!J195+'2.1meta'!J212+'2.1meta'!J237+'2.1meta'!J254+'2.1meta'!J271+'2.1meta'!J288+'2.1meta'!J305+'2.1meta'!J322</f>
        <v>0</v>
      </c>
      <c r="J5" s="88">
        <f>'2.1meta'!K7+'2.1meta'!K24+'2.1meta'!K41+'2.1meta'!K58+'2.1meta'!K76+'2.1meta'!K93+'2.1meta'!K110+'2.1meta'!K127+'2.1meta'!K144+'2.1meta'!K161++'2.1meta'!K178+'2.1meta'!K195+'2.1meta'!K212+'2.1meta'!K237+'2.1meta'!K254+'2.1meta'!K271+'2.1meta'!K288+'2.1meta'!K305+'2.1meta'!K322</f>
        <v>0</v>
      </c>
      <c r="K5" s="88">
        <f>'2.1meta'!L7+'2.1meta'!L24+'2.1meta'!L41+'2.1meta'!L58+'2.1meta'!L76+'2.1meta'!L93+'2.1meta'!L110+'2.1meta'!L127+'2.1meta'!L144+'2.1meta'!L161++'2.1meta'!L178+'2.1meta'!L195+'2.1meta'!L212+'2.1meta'!L237+'2.1meta'!L254+'2.1meta'!L271+'2.1meta'!L288+'2.1meta'!L305+'2.1meta'!L322</f>
        <v>0</v>
      </c>
      <c r="L5" s="88">
        <f>'2.1meta'!M7+'2.1meta'!M24+'2.1meta'!M41+'2.1meta'!M58+'2.1meta'!M76+'2.1meta'!M93+'2.1meta'!M110+'2.1meta'!M127+'2.1meta'!M144+'2.1meta'!M161++'2.1meta'!M178+'2.1meta'!M195+'2.1meta'!M212+'2.1meta'!M237+'2.1meta'!M254+'2.1meta'!M271+'2.1meta'!M288+'2.1meta'!M305+'2.1meta'!M322</f>
        <v>0</v>
      </c>
      <c r="M5" s="88">
        <f>'2.1meta'!N7+'2.1meta'!N24+'2.1meta'!N41+'2.1meta'!N58+'2.1meta'!N76+'2.1meta'!N93+'2.1meta'!N110+'2.1meta'!N127+'2.1meta'!N144+'2.1meta'!N161++'2.1meta'!N178+'2.1meta'!N195+'2.1meta'!N212+'2.1meta'!N237+'2.1meta'!N254+'2.1meta'!N271+'2.1meta'!N288+'2.1meta'!N305+'2.1meta'!N322</f>
        <v>0</v>
      </c>
      <c r="N5" s="88">
        <f>'2.1meta'!O7+'2.1meta'!O24+'2.1meta'!O41+'2.1meta'!O58+'2.1meta'!O76+'2.1meta'!O93+'2.1meta'!O110+'2.1meta'!O127+'2.1meta'!O144+'2.1meta'!O161++'2.1meta'!O178+'2.1meta'!O195+'2.1meta'!O212+'2.1meta'!O237+'2.1meta'!O254+'2.1meta'!O271+'2.1meta'!O288+'2.1meta'!O305+'2.1meta'!O322</f>
        <v>0</v>
      </c>
      <c r="O5" s="88">
        <f>'2.1meta'!P7+'2.1meta'!P24+'2.1meta'!P41+'2.1meta'!P58+'2.1meta'!P76+'2.1meta'!P93+'2.1meta'!P110+'2.1meta'!P127+'2.1meta'!P144+'2.1meta'!P161++'2.1meta'!P178+'2.1meta'!P195+'2.1meta'!P212+'2.1meta'!P237+'2.1meta'!P254+'2.1meta'!P271+'2.1meta'!P288+'2.1meta'!P305+'2.1meta'!P322</f>
        <v>0</v>
      </c>
      <c r="P5" s="89">
        <f t="shared" ref="P5:P21" si="0">SUM(F5:O5)</f>
        <v>0</v>
      </c>
      <c r="Q5" s="111">
        <f t="shared" ref="Q5:Q22" si="1">C5-P5</f>
        <v>0</v>
      </c>
      <c r="R5" s="88">
        <f>'2.1meta'!S7+'2.1meta'!S24+'2.1meta'!S41+'2.1meta'!S58+'2.1meta'!S76+'2.1meta'!S93+'2.1meta'!S110+'2.1meta'!S127+'2.1meta'!S144+'2.1meta'!S161++'2.1meta'!S178+'2.1meta'!S195+'2.1meta'!S212+'2.1meta'!S237+'2.1meta'!S254+'2.1meta'!S271+'2.1meta'!S288+'2.1meta'!S305+'2.1meta'!S322</f>
        <v>0</v>
      </c>
      <c r="S5" s="88">
        <f>'2.1meta'!T7+'2.1meta'!T24+'2.1meta'!T41+'2.1meta'!T58+'2.1meta'!T76+'2.1meta'!T93+'2.1meta'!T110+'2.1meta'!T127+'2.1meta'!T144+'2.1meta'!T161++'2.1meta'!T178+'2.1meta'!T195+'2.1meta'!T212+'2.1meta'!T237+'2.1meta'!T254+'2.1meta'!T271+'2.1meta'!T288+'2.1meta'!T305+'2.1meta'!T322</f>
        <v>0</v>
      </c>
      <c r="T5" s="88">
        <f>'2.1meta'!U7+'2.1meta'!U24+'2.1meta'!U41+'2.1meta'!U58+'2.1meta'!U76+'2.1meta'!U93+'2.1meta'!U110+'2.1meta'!U127+'2.1meta'!U144+'2.1meta'!U161++'2.1meta'!U178+'2.1meta'!U195+'2.1meta'!U212+'2.1meta'!U237+'2.1meta'!U254+'2.1meta'!U271+'2.1meta'!U288+'2.1meta'!U305+'2.1meta'!U322</f>
        <v>0</v>
      </c>
      <c r="U5" s="88">
        <f>'2.1meta'!V7+'2.1meta'!V24+'2.1meta'!V41+'2.1meta'!V58+'2.1meta'!V76+'2.1meta'!V93+'2.1meta'!V110+'2.1meta'!V127+'2.1meta'!V144+'2.1meta'!V161++'2.1meta'!V178+'2.1meta'!V195+'2.1meta'!V212+'2.1meta'!V237+'2.1meta'!V254+'2.1meta'!V271+'2.1meta'!V288+'2.1meta'!V305+'2.1meta'!V322</f>
        <v>0</v>
      </c>
      <c r="V5" s="88">
        <f>'2.1meta'!W7+'2.1meta'!W24+'2.1meta'!W41+'2.1meta'!W58+'2.1meta'!W76+'2.1meta'!W93+'2.1meta'!W110+'2.1meta'!W127+'2.1meta'!W144+'2.1meta'!W161++'2.1meta'!W178+'2.1meta'!W195+'2.1meta'!W212+'2.1meta'!W237+'2.1meta'!W254+'2.1meta'!W271+'2.1meta'!W288+'2.1meta'!W305+'2.1meta'!W322</f>
        <v>0</v>
      </c>
      <c r="W5" s="88">
        <f>'2.1meta'!X7+'2.1meta'!X24+'2.1meta'!X41+'2.1meta'!X58+'2.1meta'!X76+'2.1meta'!X93+'2.1meta'!X110+'2.1meta'!X127+'2.1meta'!X144+'2.1meta'!X161++'2.1meta'!X178+'2.1meta'!X195+'2.1meta'!X212+'2.1meta'!X237+'2.1meta'!X254+'2.1meta'!X271+'2.1meta'!X288+'2.1meta'!X305+'2.1meta'!X322</f>
        <v>0</v>
      </c>
      <c r="X5" s="90">
        <f>SUM(R5:W5)</f>
        <v>0</v>
      </c>
      <c r="Y5" s="91">
        <f>P5+X5</f>
        <v>0</v>
      </c>
      <c r="Z5" s="92">
        <f>C5-Y5</f>
        <v>0</v>
      </c>
    </row>
    <row r="6" spans="1:26" ht="15.75" customHeight="1">
      <c r="A6" s="93" t="s">
        <v>31</v>
      </c>
      <c r="B6" s="114" t="s">
        <v>100</v>
      </c>
      <c r="C6" s="88">
        <f>'2.1meta'!D8+'2.1meta'!D25+'2.1meta'!D42+'2.1meta'!D59+'2.1meta'!D77+'2.1meta'!D94+'2.1meta'!D111+'2.1meta'!D128+'2.1meta'!D145+'2.1meta'!D162++'2.1meta'!D179+'2.1meta'!D196+'2.1meta'!D213+'2.1meta'!D238+'2.1meta'!D255+'2.1meta'!D272+'2.1meta'!D289+'2.1meta'!D306+'2.1meta'!D323</f>
        <v>0</v>
      </c>
      <c r="D6" s="88">
        <f>'2.1meta'!E8+'2.1meta'!E25+'2.1meta'!E42+'2.1meta'!E59+'2.1meta'!E77+'2.1meta'!E94+'2.1meta'!E111+'2.1meta'!E128+'2.1meta'!E145+'2.1meta'!E162++'2.1meta'!E179+'2.1meta'!E196+'2.1meta'!E213+'2.1meta'!E238+'2.1meta'!E255+'2.1meta'!E272+'2.1meta'!E289+'2.1meta'!E306+'2.1meta'!E323</f>
        <v>0</v>
      </c>
      <c r="E6" s="88">
        <f>'2.1meta'!F8+'2.1meta'!F25+'2.1meta'!F42+'2.1meta'!F59+'2.1meta'!F77+'2.1meta'!F94+'2.1meta'!F111+'2.1meta'!F128+'2.1meta'!F145+'2.1meta'!F162++'2.1meta'!F179+'2.1meta'!F196+'2.1meta'!F213+'2.1meta'!F238+'2.1meta'!F255+'2.1meta'!F272+'2.1meta'!F289+'2.1meta'!F306+'2.1meta'!F323</f>
        <v>0</v>
      </c>
      <c r="F6" s="88">
        <f>'2.1meta'!G8+'2.1meta'!G25+'2.1meta'!G42+'2.1meta'!G59+'2.1meta'!G77+'2.1meta'!G94+'2.1meta'!G111+'2.1meta'!G128+'2.1meta'!G145+'2.1meta'!G162++'2.1meta'!G179+'2.1meta'!G196+'2.1meta'!G213+'2.1meta'!G238+'2.1meta'!G255+'2.1meta'!G272+'2.1meta'!G289+'2.1meta'!G306+'2.1meta'!G323</f>
        <v>0</v>
      </c>
      <c r="G6" s="88">
        <f>'2.1meta'!H8+'2.1meta'!H25+'2.1meta'!H42+'2.1meta'!H59+'2.1meta'!H77+'2.1meta'!H94+'2.1meta'!H111+'2.1meta'!H128+'2.1meta'!H145+'2.1meta'!H162++'2.1meta'!H179+'2.1meta'!H196+'2.1meta'!H213+'2.1meta'!H238+'2.1meta'!H255+'2.1meta'!H272+'2.1meta'!H289+'2.1meta'!H306+'2.1meta'!H323</f>
        <v>0</v>
      </c>
      <c r="H6" s="88">
        <f>'2.1meta'!I8+'2.1meta'!I25+'2.1meta'!I42+'2.1meta'!I59+'2.1meta'!I77+'2.1meta'!I94+'2.1meta'!I111+'2.1meta'!I128+'2.1meta'!I145+'2.1meta'!I162++'2.1meta'!I179+'2.1meta'!I196+'2.1meta'!I213+'2.1meta'!I238+'2.1meta'!I255+'2.1meta'!I272+'2.1meta'!I289+'2.1meta'!I306+'2.1meta'!I323</f>
        <v>0</v>
      </c>
      <c r="I6" s="88">
        <f>'2.1meta'!J8+'2.1meta'!J25+'2.1meta'!J42+'2.1meta'!J59+'2.1meta'!J77+'2.1meta'!J94+'2.1meta'!J111+'2.1meta'!J128+'2.1meta'!J145+'2.1meta'!J162++'2.1meta'!J179+'2.1meta'!J196+'2.1meta'!J213+'2.1meta'!J238+'2.1meta'!J255+'2.1meta'!J272+'2.1meta'!J289+'2.1meta'!J306+'2.1meta'!J323</f>
        <v>0</v>
      </c>
      <c r="J6" s="88">
        <f>'2.1meta'!K8+'2.1meta'!K25+'2.1meta'!K42+'2.1meta'!K59+'2.1meta'!K77+'2.1meta'!K94+'2.1meta'!K111+'2.1meta'!K128+'2.1meta'!K145+'2.1meta'!K162++'2.1meta'!K179+'2.1meta'!K196+'2.1meta'!K213+'2.1meta'!K238+'2.1meta'!K255+'2.1meta'!K272+'2.1meta'!K289+'2.1meta'!K306+'2.1meta'!K323</f>
        <v>0</v>
      </c>
      <c r="K6" s="88">
        <f>'2.1meta'!L8+'2.1meta'!L25+'2.1meta'!L42+'2.1meta'!L59+'2.1meta'!L77+'2.1meta'!L94+'2.1meta'!L111+'2.1meta'!L128+'2.1meta'!L145+'2.1meta'!L162++'2.1meta'!L179+'2.1meta'!L196+'2.1meta'!L213+'2.1meta'!L238+'2.1meta'!L255+'2.1meta'!L272+'2.1meta'!L289+'2.1meta'!L306+'2.1meta'!L323</f>
        <v>0</v>
      </c>
      <c r="L6" s="88">
        <f>'2.1meta'!M8+'2.1meta'!M25+'2.1meta'!M42+'2.1meta'!M59+'2.1meta'!M77+'2.1meta'!M94+'2.1meta'!M111+'2.1meta'!M128+'2.1meta'!M145+'2.1meta'!M162++'2.1meta'!M179+'2.1meta'!M196+'2.1meta'!M213+'2.1meta'!M238+'2.1meta'!M255+'2.1meta'!M272+'2.1meta'!M289+'2.1meta'!M306+'2.1meta'!M323</f>
        <v>0</v>
      </c>
      <c r="M6" s="88">
        <f>'2.1meta'!N8+'2.1meta'!N25+'2.1meta'!N42+'2.1meta'!N59+'2.1meta'!N77+'2.1meta'!N94+'2.1meta'!N111+'2.1meta'!N128+'2.1meta'!N145+'2.1meta'!N162++'2.1meta'!N179+'2.1meta'!N196+'2.1meta'!N213+'2.1meta'!N238+'2.1meta'!N255+'2.1meta'!N272+'2.1meta'!N289+'2.1meta'!N306+'2.1meta'!N323</f>
        <v>0</v>
      </c>
      <c r="N6" s="88">
        <f>'2.1meta'!O8+'2.1meta'!O25+'2.1meta'!O42+'2.1meta'!O59+'2.1meta'!O77+'2.1meta'!O94+'2.1meta'!O111+'2.1meta'!O128+'2.1meta'!O145+'2.1meta'!O162++'2.1meta'!O179+'2.1meta'!O196+'2.1meta'!O213+'2.1meta'!O238+'2.1meta'!O255+'2.1meta'!O272+'2.1meta'!O289+'2.1meta'!O306+'2.1meta'!O323</f>
        <v>0</v>
      </c>
      <c r="O6" s="88">
        <f>'2.1meta'!P8+'2.1meta'!P25+'2.1meta'!P42+'2.1meta'!P59+'2.1meta'!P77+'2.1meta'!P94+'2.1meta'!P111+'2.1meta'!P128+'2.1meta'!P145+'2.1meta'!P162++'2.1meta'!P179+'2.1meta'!P196+'2.1meta'!P213+'2.1meta'!P238+'2.1meta'!P255+'2.1meta'!P272+'2.1meta'!P289+'2.1meta'!P306+'2.1meta'!P323</f>
        <v>0</v>
      </c>
      <c r="P6" s="89">
        <f t="shared" si="0"/>
        <v>0</v>
      </c>
      <c r="Q6" s="111">
        <f t="shared" si="1"/>
        <v>0</v>
      </c>
      <c r="R6" s="88">
        <f>'2.1meta'!S8+'2.1meta'!S25+'2.1meta'!S42+'2.1meta'!S59+'2.1meta'!S77+'2.1meta'!S94+'2.1meta'!S111+'2.1meta'!S128+'2.1meta'!S145+'2.1meta'!S162++'2.1meta'!S179+'2.1meta'!S196+'2.1meta'!S213+'2.1meta'!S238+'2.1meta'!S255+'2.1meta'!S272+'2.1meta'!S289+'2.1meta'!S306+'2.1meta'!S323</f>
        <v>0</v>
      </c>
      <c r="S6" s="88">
        <f>'2.1meta'!T8+'2.1meta'!T25+'2.1meta'!T42+'2.1meta'!T59+'2.1meta'!T77+'2.1meta'!T94+'2.1meta'!T111+'2.1meta'!T128+'2.1meta'!T145+'2.1meta'!T162++'2.1meta'!T179+'2.1meta'!T196+'2.1meta'!T213+'2.1meta'!T238+'2.1meta'!T255+'2.1meta'!T272+'2.1meta'!T289+'2.1meta'!T306+'2.1meta'!T323</f>
        <v>0</v>
      </c>
      <c r="T6" s="88">
        <f>'2.1meta'!U8+'2.1meta'!U25+'2.1meta'!U42+'2.1meta'!U59+'2.1meta'!U77+'2.1meta'!U94+'2.1meta'!U111+'2.1meta'!U128+'2.1meta'!U145+'2.1meta'!U162++'2.1meta'!U179+'2.1meta'!U196+'2.1meta'!U213+'2.1meta'!U238+'2.1meta'!U255+'2.1meta'!U272+'2.1meta'!U289+'2.1meta'!U306+'2.1meta'!U323</f>
        <v>0</v>
      </c>
      <c r="U6" s="88">
        <f>'2.1meta'!V8+'2.1meta'!V25+'2.1meta'!V42+'2.1meta'!V59+'2.1meta'!V77+'2.1meta'!V94+'2.1meta'!V111+'2.1meta'!V128+'2.1meta'!V145+'2.1meta'!V162++'2.1meta'!V179+'2.1meta'!V196+'2.1meta'!V213+'2.1meta'!V238+'2.1meta'!V255+'2.1meta'!V272+'2.1meta'!V289+'2.1meta'!V306+'2.1meta'!V323</f>
        <v>0</v>
      </c>
      <c r="V6" s="88">
        <f>'2.1meta'!W8+'2.1meta'!W25+'2.1meta'!W42+'2.1meta'!W59+'2.1meta'!W77+'2.1meta'!W94+'2.1meta'!W111+'2.1meta'!W128+'2.1meta'!W145+'2.1meta'!W162++'2.1meta'!W179+'2.1meta'!W196+'2.1meta'!W213+'2.1meta'!W238+'2.1meta'!W255+'2.1meta'!W272+'2.1meta'!W289+'2.1meta'!W306+'2.1meta'!W323</f>
        <v>0</v>
      </c>
      <c r="W6" s="88">
        <f>'2.1meta'!X8+'2.1meta'!X25+'2.1meta'!X42+'2.1meta'!X59+'2.1meta'!X77+'2.1meta'!X94+'2.1meta'!X111+'2.1meta'!X128+'2.1meta'!X145+'2.1meta'!X162++'2.1meta'!X179+'2.1meta'!X196+'2.1meta'!X213+'2.1meta'!X238+'2.1meta'!X255+'2.1meta'!X272+'2.1meta'!X289+'2.1meta'!X306+'2.1meta'!X323</f>
        <v>0</v>
      </c>
      <c r="X6" s="90">
        <f>SUM(R6:W6)</f>
        <v>0</v>
      </c>
      <c r="Y6" s="91">
        <f>P6+X6</f>
        <v>0</v>
      </c>
      <c r="Z6" s="92">
        <f>C6-Y6</f>
        <v>0</v>
      </c>
    </row>
    <row r="7" spans="1:26" ht="15.75" customHeight="1">
      <c r="A7" s="93" t="s">
        <v>33</v>
      </c>
      <c r="B7" s="114" t="s">
        <v>101</v>
      </c>
      <c r="C7" s="88">
        <f>'2.1meta'!D9+'2.1meta'!D26+'2.1meta'!D43+'2.1meta'!D60+'2.1meta'!D78+'2.1meta'!D95+'2.1meta'!D112+'2.1meta'!D129+'2.1meta'!D146+'2.1meta'!D163+'2.1meta'!D180+'2.1meta'!D197+'2.1meta'!D214+'2.1meta'!D239+'2.1meta'!D256+'2.1meta'!D273+'2.1meta'!D290+'2.1meta'!D307+'2.1meta'!D324</f>
        <v>0</v>
      </c>
      <c r="D7" s="88">
        <f>'2.1meta'!E9+'2.1meta'!E26+'2.1meta'!E43+'2.1meta'!E60+'2.1meta'!E78+'2.1meta'!E95+'2.1meta'!E112+'2.1meta'!E129+'2.1meta'!E146+'2.1meta'!E163+'2.1meta'!E180+'2.1meta'!E197+'2.1meta'!E214+'2.1meta'!E239+'2.1meta'!E256+'2.1meta'!E273+'2.1meta'!E290+'2.1meta'!E307+'2.1meta'!E324</f>
        <v>0</v>
      </c>
      <c r="E7" s="88">
        <f>'2.1meta'!F9+'2.1meta'!F26+'2.1meta'!F43+'2.1meta'!F60+'2.1meta'!F78+'2.1meta'!F95+'2.1meta'!F112+'2.1meta'!F129+'2.1meta'!F146+'2.1meta'!F163+'2.1meta'!F180+'2.1meta'!F197+'2.1meta'!F214+'2.1meta'!F239+'2.1meta'!F256+'2.1meta'!F273+'2.1meta'!F290+'2.1meta'!F307+'2.1meta'!F324</f>
        <v>0</v>
      </c>
      <c r="F7" s="88">
        <f>'2.1meta'!G9+'2.1meta'!G26+'2.1meta'!G43+'2.1meta'!G60+'2.1meta'!G78+'2.1meta'!G95+'2.1meta'!G112+'2.1meta'!G129+'2.1meta'!G146+'2.1meta'!G163+'2.1meta'!G180+'2.1meta'!G197+'2.1meta'!G214+'2.1meta'!G239+'2.1meta'!G256+'2.1meta'!G273+'2.1meta'!G290+'2.1meta'!G307+'2.1meta'!G324</f>
        <v>0</v>
      </c>
      <c r="G7" s="88">
        <f>'2.1meta'!H9+'2.1meta'!H26+'2.1meta'!H43+'2.1meta'!H60+'2.1meta'!H78+'2.1meta'!H95+'2.1meta'!H112+'2.1meta'!H129+'2.1meta'!H146+'2.1meta'!H163+'2.1meta'!H180+'2.1meta'!H197+'2.1meta'!H214+'2.1meta'!H239+'2.1meta'!H256+'2.1meta'!H273+'2.1meta'!H290+'2.1meta'!H307+'2.1meta'!H324</f>
        <v>0</v>
      </c>
      <c r="H7" s="88">
        <f>'2.1meta'!I9+'2.1meta'!I26+'2.1meta'!I43+'2.1meta'!I60+'2.1meta'!I78+'2.1meta'!I95+'2.1meta'!I112+'2.1meta'!I129+'2.1meta'!I146+'2.1meta'!I163+'2.1meta'!I180+'2.1meta'!I197+'2.1meta'!I214+'2.1meta'!I239+'2.1meta'!I256+'2.1meta'!I273+'2.1meta'!I290+'2.1meta'!I307+'2.1meta'!I324</f>
        <v>0</v>
      </c>
      <c r="I7" s="88">
        <f>'2.1meta'!J9+'2.1meta'!J26+'2.1meta'!J43+'2.1meta'!J60+'2.1meta'!J78+'2.1meta'!J95+'2.1meta'!J112+'2.1meta'!J129+'2.1meta'!J146+'2.1meta'!J163+'2.1meta'!J180+'2.1meta'!J197+'2.1meta'!J214+'2.1meta'!J239+'2.1meta'!J256+'2.1meta'!J273+'2.1meta'!J290+'2.1meta'!J307+'2.1meta'!J324</f>
        <v>0</v>
      </c>
      <c r="J7" s="88">
        <f>'2.1meta'!K9+'2.1meta'!K26+'2.1meta'!K43+'2.1meta'!K60+'2.1meta'!K78+'2.1meta'!K95+'2.1meta'!K112+'2.1meta'!K129+'2.1meta'!K146+'2.1meta'!K163+'2.1meta'!K180+'2.1meta'!K197+'2.1meta'!K214+'2.1meta'!K239+'2.1meta'!K256+'2.1meta'!K273+'2.1meta'!K290+'2.1meta'!K307+'2.1meta'!K324</f>
        <v>0</v>
      </c>
      <c r="K7" s="88">
        <f>'2.1meta'!L9+'2.1meta'!L26+'2.1meta'!L43+'2.1meta'!L60+'2.1meta'!L78+'2.1meta'!L95+'2.1meta'!L112+'2.1meta'!L129+'2.1meta'!L146+'2.1meta'!L163+'2.1meta'!L180+'2.1meta'!L197+'2.1meta'!L214+'2.1meta'!L239+'2.1meta'!L256+'2.1meta'!L273+'2.1meta'!L290+'2.1meta'!L307+'2.1meta'!L324</f>
        <v>0</v>
      </c>
      <c r="L7" s="88">
        <f>'2.1meta'!M9+'2.1meta'!M26+'2.1meta'!M43+'2.1meta'!M60+'2.1meta'!M78+'2.1meta'!M95+'2.1meta'!M112+'2.1meta'!M129+'2.1meta'!M146+'2.1meta'!M163+'2.1meta'!M180+'2.1meta'!M197+'2.1meta'!M214+'2.1meta'!M239+'2.1meta'!M256+'2.1meta'!M273+'2.1meta'!M290+'2.1meta'!M307+'2.1meta'!M324</f>
        <v>0</v>
      </c>
      <c r="M7" s="88">
        <f>'2.1meta'!N9+'2.1meta'!N26+'2.1meta'!N43+'2.1meta'!N60+'2.1meta'!N78+'2.1meta'!N95+'2.1meta'!N112+'2.1meta'!N129+'2.1meta'!N146+'2.1meta'!N163+'2.1meta'!N180+'2.1meta'!N197+'2.1meta'!N214+'2.1meta'!N239+'2.1meta'!N256+'2.1meta'!N273+'2.1meta'!N290+'2.1meta'!N307+'2.1meta'!N324</f>
        <v>0</v>
      </c>
      <c r="N7" s="88">
        <f>'2.1meta'!O9+'2.1meta'!O26+'2.1meta'!O43+'2.1meta'!O60+'2.1meta'!O78+'2.1meta'!O95+'2.1meta'!O112+'2.1meta'!O129+'2.1meta'!O146+'2.1meta'!O163+'2.1meta'!O180+'2.1meta'!O197+'2.1meta'!O214+'2.1meta'!O239+'2.1meta'!O256+'2.1meta'!O273+'2.1meta'!O290+'2.1meta'!O307+'2.1meta'!O324</f>
        <v>0</v>
      </c>
      <c r="O7" s="88">
        <f>'2.1meta'!P9+'2.1meta'!P26+'2.1meta'!P43+'2.1meta'!P60+'2.1meta'!P78+'2.1meta'!P95+'2.1meta'!P112+'2.1meta'!P129+'2.1meta'!P146+'2.1meta'!P163+'2.1meta'!P180+'2.1meta'!P197+'2.1meta'!P214+'2.1meta'!P239+'2.1meta'!P256+'2.1meta'!P273+'2.1meta'!P290+'2.1meta'!P307+'2.1meta'!P324</f>
        <v>0</v>
      </c>
      <c r="P7" s="89">
        <f t="shared" si="0"/>
        <v>0</v>
      </c>
      <c r="Q7" s="111">
        <f t="shared" si="1"/>
        <v>0</v>
      </c>
      <c r="R7" s="88">
        <f>'2.1meta'!S9+'2.1meta'!S26+'2.1meta'!S43+'2.1meta'!S60+'2.1meta'!S78+'2.1meta'!S95+'2.1meta'!S112+'2.1meta'!S129+'2.1meta'!S146+'2.1meta'!S163+'2.1meta'!S180+'2.1meta'!S197+'2.1meta'!S214+'2.1meta'!S239+'2.1meta'!S256+'2.1meta'!S273+'2.1meta'!S290+'2.1meta'!S307+'2.1meta'!S324</f>
        <v>0</v>
      </c>
      <c r="S7" s="88">
        <f>'2.1meta'!T9+'2.1meta'!T26+'2.1meta'!T43+'2.1meta'!T60+'2.1meta'!T78+'2.1meta'!T95+'2.1meta'!T112+'2.1meta'!T129+'2.1meta'!T146+'2.1meta'!T163+'2.1meta'!T180+'2.1meta'!T197+'2.1meta'!T214+'2.1meta'!T239+'2.1meta'!T256+'2.1meta'!T273+'2.1meta'!T290+'2.1meta'!T307+'2.1meta'!T324</f>
        <v>0</v>
      </c>
      <c r="T7" s="88">
        <f>'2.1meta'!U9+'2.1meta'!U26+'2.1meta'!U43+'2.1meta'!U60+'2.1meta'!U78+'2.1meta'!U95+'2.1meta'!U112+'2.1meta'!U129+'2.1meta'!U146+'2.1meta'!U163+'2.1meta'!U180+'2.1meta'!U197+'2.1meta'!U214+'2.1meta'!U239+'2.1meta'!U256+'2.1meta'!U273+'2.1meta'!U290+'2.1meta'!U307+'2.1meta'!U324</f>
        <v>0</v>
      </c>
      <c r="U7" s="88">
        <f>'2.1meta'!V9+'2.1meta'!V26+'2.1meta'!V43+'2.1meta'!V60+'2.1meta'!V78+'2.1meta'!V95+'2.1meta'!V112+'2.1meta'!V129+'2.1meta'!V146+'2.1meta'!V163+'2.1meta'!V180+'2.1meta'!V197+'2.1meta'!V214+'2.1meta'!V239+'2.1meta'!V256+'2.1meta'!V273+'2.1meta'!V290+'2.1meta'!V307+'2.1meta'!V324</f>
        <v>0</v>
      </c>
      <c r="V7" s="88">
        <f>'2.1meta'!W9+'2.1meta'!W26+'2.1meta'!W43+'2.1meta'!W60+'2.1meta'!W78+'2.1meta'!W95+'2.1meta'!W112+'2.1meta'!W129+'2.1meta'!W146+'2.1meta'!W163+'2.1meta'!W180+'2.1meta'!W197+'2.1meta'!W214+'2.1meta'!W239+'2.1meta'!W256+'2.1meta'!W273+'2.1meta'!W290+'2.1meta'!W307+'2.1meta'!W324</f>
        <v>0</v>
      </c>
      <c r="W7" s="88">
        <f>'2.1meta'!X9+'2.1meta'!X26+'2.1meta'!X43+'2.1meta'!X60+'2.1meta'!X78+'2.1meta'!X95+'2.1meta'!X112+'2.1meta'!X129+'2.1meta'!X146+'2.1meta'!X163+'2.1meta'!X180+'2.1meta'!X197+'2.1meta'!X214+'2.1meta'!X239+'2.1meta'!X256+'2.1meta'!X273+'2.1meta'!X290+'2.1meta'!X307+'2.1meta'!X324</f>
        <v>0</v>
      </c>
      <c r="X7" s="90">
        <f>SUM(R7:W7)</f>
        <v>0</v>
      </c>
      <c r="Y7" s="91">
        <f>P7+X7</f>
        <v>0</v>
      </c>
      <c r="Z7" s="92">
        <f>C7-Y7</f>
        <v>0</v>
      </c>
    </row>
    <row r="8" spans="1:26" ht="15.75" customHeight="1">
      <c r="A8" s="93" t="s">
        <v>35</v>
      </c>
      <c r="B8" s="114" t="s">
        <v>36</v>
      </c>
      <c r="C8" s="88">
        <f>'2.1meta'!D10+'2.1meta'!D27+'2.1meta'!D44+'2.1meta'!D61+'2.1meta'!D79+'2.1meta'!D96+'2.1meta'!D113+'2.1meta'!D130+'2.1meta'!D147+'2.1meta'!D164++'2.1meta'!D181+'2.1meta'!D198+'2.1meta'!D215+'2.1meta'!D240+'2.1meta'!D257+'2.1meta'!D274+'2.1meta'!D291+'2.1meta'!D308+'2.1meta'!D325</f>
        <v>0</v>
      </c>
      <c r="D8" s="88">
        <f>'2.1meta'!E10+'2.1meta'!E27+'2.1meta'!E44+'2.1meta'!E61+'2.1meta'!E79+'2.1meta'!E96+'2.1meta'!E113+'2.1meta'!E130+'2.1meta'!E147+'2.1meta'!E164++'2.1meta'!E181+'2.1meta'!E198+'2.1meta'!E215+'2.1meta'!E240+'2.1meta'!E257+'2.1meta'!E274+'2.1meta'!E291+'2.1meta'!E308+'2.1meta'!E325</f>
        <v>0</v>
      </c>
      <c r="E8" s="88">
        <f>'2.1meta'!F10+'2.1meta'!F27+'2.1meta'!F44+'2.1meta'!F61+'2.1meta'!F79+'2.1meta'!F96+'2.1meta'!F113+'2.1meta'!F130+'2.1meta'!F147+'2.1meta'!F164++'2.1meta'!F181+'2.1meta'!F198+'2.1meta'!F215+'2.1meta'!F240+'2.1meta'!F257+'2.1meta'!F274+'2.1meta'!F291+'2.1meta'!F308+'2.1meta'!F325</f>
        <v>0</v>
      </c>
      <c r="F8" s="88">
        <f>'2.1meta'!G10+'2.1meta'!G27+'2.1meta'!G44+'2.1meta'!G61+'2.1meta'!G79+'2.1meta'!G96+'2.1meta'!G113+'2.1meta'!G130+'2.1meta'!G147+'2.1meta'!G164++'2.1meta'!G181+'2.1meta'!G198+'2.1meta'!G215+'2.1meta'!G240+'2.1meta'!G257+'2.1meta'!G274+'2.1meta'!G291+'2.1meta'!G308+'2.1meta'!G325</f>
        <v>0</v>
      </c>
      <c r="G8" s="88">
        <f>'2.1meta'!H10+'2.1meta'!H27+'2.1meta'!H44+'2.1meta'!H61+'2.1meta'!H79+'2.1meta'!H96+'2.1meta'!H113+'2.1meta'!H130+'2.1meta'!H147+'2.1meta'!H164++'2.1meta'!H181+'2.1meta'!H198+'2.1meta'!H215+'2.1meta'!H240+'2.1meta'!H257+'2.1meta'!H274+'2.1meta'!H291+'2.1meta'!H308+'2.1meta'!H325</f>
        <v>0</v>
      </c>
      <c r="H8" s="88">
        <f>'2.1meta'!I10+'2.1meta'!I27+'2.1meta'!I44+'2.1meta'!I61+'2.1meta'!I79+'2.1meta'!I96+'2.1meta'!I113+'2.1meta'!I130+'2.1meta'!I147+'2.1meta'!I164++'2.1meta'!I181+'2.1meta'!I198+'2.1meta'!I215+'2.1meta'!I240+'2.1meta'!I257+'2.1meta'!I274+'2.1meta'!I291+'2.1meta'!I308+'2.1meta'!I325</f>
        <v>0</v>
      </c>
      <c r="I8" s="88">
        <f>'2.1meta'!J10+'2.1meta'!J27+'2.1meta'!J44+'2.1meta'!J61+'2.1meta'!J79+'2.1meta'!J96+'2.1meta'!J113+'2.1meta'!J130+'2.1meta'!J147+'2.1meta'!J164++'2.1meta'!J181+'2.1meta'!J198+'2.1meta'!J215+'2.1meta'!J240+'2.1meta'!J257+'2.1meta'!J274+'2.1meta'!J291+'2.1meta'!J308+'2.1meta'!J325</f>
        <v>0</v>
      </c>
      <c r="J8" s="88">
        <f>'2.1meta'!K10+'2.1meta'!K27+'2.1meta'!K44+'2.1meta'!K61+'2.1meta'!K79+'2.1meta'!K96+'2.1meta'!K113+'2.1meta'!K130+'2.1meta'!K147+'2.1meta'!K164++'2.1meta'!K181+'2.1meta'!K198+'2.1meta'!K215+'2.1meta'!K240+'2.1meta'!K257+'2.1meta'!K274+'2.1meta'!K291+'2.1meta'!K308+'2.1meta'!K325</f>
        <v>0</v>
      </c>
      <c r="K8" s="88">
        <f>'2.1meta'!L10+'2.1meta'!L27+'2.1meta'!L44+'2.1meta'!L61+'2.1meta'!L79+'2.1meta'!L96+'2.1meta'!L113+'2.1meta'!L130+'2.1meta'!L147+'2.1meta'!L164++'2.1meta'!L181+'2.1meta'!L198+'2.1meta'!L215+'2.1meta'!L240+'2.1meta'!L257+'2.1meta'!L274+'2.1meta'!L291+'2.1meta'!L308+'2.1meta'!L325</f>
        <v>0</v>
      </c>
      <c r="L8" s="88">
        <f>'2.1meta'!M10+'2.1meta'!M27+'2.1meta'!M44+'2.1meta'!M61+'2.1meta'!M79+'2.1meta'!M96+'2.1meta'!M113+'2.1meta'!M130+'2.1meta'!M147+'2.1meta'!M164++'2.1meta'!M181+'2.1meta'!M198+'2.1meta'!M215+'2.1meta'!M240+'2.1meta'!M257+'2.1meta'!M274+'2.1meta'!M291+'2.1meta'!M308+'2.1meta'!M325</f>
        <v>0</v>
      </c>
      <c r="M8" s="88">
        <f>'2.1meta'!N10+'2.1meta'!N27+'2.1meta'!N44+'2.1meta'!N61+'2.1meta'!N79+'2.1meta'!N96+'2.1meta'!N113+'2.1meta'!N130+'2.1meta'!N147+'2.1meta'!N164++'2.1meta'!N181+'2.1meta'!N198+'2.1meta'!N215+'2.1meta'!N240+'2.1meta'!N257+'2.1meta'!N274+'2.1meta'!N291+'2.1meta'!N308+'2.1meta'!N325</f>
        <v>0</v>
      </c>
      <c r="N8" s="88">
        <f>'2.1meta'!O10+'2.1meta'!O27+'2.1meta'!O44+'2.1meta'!O61+'2.1meta'!O79+'2.1meta'!O96+'2.1meta'!O113+'2.1meta'!O130+'2.1meta'!O147+'2.1meta'!O164++'2.1meta'!O181+'2.1meta'!O198+'2.1meta'!O215+'2.1meta'!O240+'2.1meta'!O257+'2.1meta'!O274+'2.1meta'!O291+'2.1meta'!O308+'2.1meta'!O325</f>
        <v>0</v>
      </c>
      <c r="O8" s="88">
        <f>'2.1meta'!P10+'2.1meta'!P27+'2.1meta'!P44+'2.1meta'!P61+'2.1meta'!P79+'2.1meta'!P96+'2.1meta'!P113+'2.1meta'!P130+'2.1meta'!P147+'2.1meta'!P164++'2.1meta'!P181+'2.1meta'!P198+'2.1meta'!P215+'2.1meta'!P240+'2.1meta'!P257+'2.1meta'!P274+'2.1meta'!P291+'2.1meta'!P308+'2.1meta'!P325</f>
        <v>0</v>
      </c>
      <c r="P8" s="89">
        <f t="shared" si="0"/>
        <v>0</v>
      </c>
      <c r="Q8" s="111">
        <f t="shared" si="1"/>
        <v>0</v>
      </c>
      <c r="R8" s="88">
        <f>'2.1meta'!S10+'2.1meta'!S27+'2.1meta'!S44+'2.1meta'!S61+'2.1meta'!S79+'2.1meta'!S96+'2.1meta'!S113+'2.1meta'!S130+'2.1meta'!S147+'2.1meta'!S164++'2.1meta'!S181+'2.1meta'!S198+'2.1meta'!S215+'2.1meta'!S240+'2.1meta'!S257+'2.1meta'!S274+'2.1meta'!S291+'2.1meta'!S308+'2.1meta'!S325</f>
        <v>0</v>
      </c>
      <c r="S8" s="88">
        <f>'2.1meta'!T10+'2.1meta'!T27+'2.1meta'!T44+'2.1meta'!T61+'2.1meta'!T79+'2.1meta'!T96+'2.1meta'!T113+'2.1meta'!T130+'2.1meta'!T147+'2.1meta'!T164++'2.1meta'!T181+'2.1meta'!T198+'2.1meta'!T215+'2.1meta'!T240+'2.1meta'!T257+'2.1meta'!T274+'2.1meta'!T291+'2.1meta'!T308+'2.1meta'!T325</f>
        <v>0</v>
      </c>
      <c r="T8" s="88">
        <f>'2.1meta'!U10+'2.1meta'!U27+'2.1meta'!U44+'2.1meta'!U61+'2.1meta'!U79+'2.1meta'!U96+'2.1meta'!U113+'2.1meta'!U130+'2.1meta'!U147+'2.1meta'!U164++'2.1meta'!U181+'2.1meta'!U198+'2.1meta'!U215+'2.1meta'!U240+'2.1meta'!U257+'2.1meta'!U274+'2.1meta'!U291+'2.1meta'!U308+'2.1meta'!U325</f>
        <v>0</v>
      </c>
      <c r="U8" s="88">
        <f>'2.1meta'!V10+'2.1meta'!V27+'2.1meta'!V44+'2.1meta'!V61+'2.1meta'!V79+'2.1meta'!V96+'2.1meta'!V113+'2.1meta'!V130+'2.1meta'!V147+'2.1meta'!V164++'2.1meta'!V181+'2.1meta'!V198+'2.1meta'!V215+'2.1meta'!V240+'2.1meta'!V257+'2.1meta'!V274+'2.1meta'!V291+'2.1meta'!V308+'2.1meta'!V325</f>
        <v>0</v>
      </c>
      <c r="V8" s="88">
        <f>'2.1meta'!W10+'2.1meta'!W27+'2.1meta'!W44+'2.1meta'!W61+'2.1meta'!W79+'2.1meta'!W96+'2.1meta'!W113+'2.1meta'!W130+'2.1meta'!W147+'2.1meta'!W164++'2.1meta'!W181+'2.1meta'!W198+'2.1meta'!W215+'2.1meta'!W240+'2.1meta'!W257+'2.1meta'!W274+'2.1meta'!W291+'2.1meta'!W308+'2.1meta'!W325</f>
        <v>0</v>
      </c>
      <c r="W8" s="88">
        <f>'2.1meta'!X10+'2.1meta'!X27+'2.1meta'!X44+'2.1meta'!X61+'2.1meta'!X79+'2.1meta'!X96+'2.1meta'!X113+'2.1meta'!X130+'2.1meta'!X147+'2.1meta'!X164++'2.1meta'!X181+'2.1meta'!X198+'2.1meta'!X215+'2.1meta'!X240+'2.1meta'!X257+'2.1meta'!X274+'2.1meta'!X291+'2.1meta'!X308+'2.1meta'!X325</f>
        <v>0</v>
      </c>
      <c r="X8" s="90">
        <f>SUM(R8:W8)</f>
        <v>0</v>
      </c>
      <c r="Y8" s="91">
        <f>P8+X8</f>
        <v>0</v>
      </c>
      <c r="Z8" s="92">
        <f>C8-Y8</f>
        <v>0</v>
      </c>
    </row>
    <row r="9" spans="1:26" ht="15.75" customHeight="1">
      <c r="A9" s="93" t="s">
        <v>128</v>
      </c>
      <c r="B9" s="115" t="s">
        <v>65</v>
      </c>
      <c r="C9" s="88">
        <f>'2.1meta'!D62</f>
        <v>0</v>
      </c>
      <c r="D9" s="88">
        <f>'2.1meta'!E62</f>
        <v>0</v>
      </c>
      <c r="E9" s="88">
        <f>'2.1meta'!F62</f>
        <v>0</v>
      </c>
      <c r="F9" s="88">
        <f>'2.1meta'!G62</f>
        <v>0</v>
      </c>
      <c r="G9" s="88">
        <f>'2.1meta'!H62</f>
        <v>0</v>
      </c>
      <c r="H9" s="88">
        <f>'2.1meta'!I62</f>
        <v>0</v>
      </c>
      <c r="I9" s="88">
        <f>'2.1meta'!J62</f>
        <v>0</v>
      </c>
      <c r="J9" s="88">
        <f>'2.1meta'!K62</f>
        <v>0</v>
      </c>
      <c r="K9" s="88">
        <f>'2.1meta'!L62</f>
        <v>0</v>
      </c>
      <c r="L9" s="88">
        <f>'2.1meta'!M62</f>
        <v>0</v>
      </c>
      <c r="M9" s="88">
        <f>'2.1meta'!N62</f>
        <v>0</v>
      </c>
      <c r="N9" s="88">
        <f>'2.1meta'!O62</f>
        <v>0</v>
      </c>
      <c r="O9" s="88">
        <f>'2.1meta'!P62</f>
        <v>0</v>
      </c>
      <c r="P9" s="89">
        <f t="shared" si="0"/>
        <v>0</v>
      </c>
      <c r="Q9" s="111">
        <f t="shared" si="1"/>
        <v>0</v>
      </c>
      <c r="R9" s="88">
        <f>'2.1meta'!S62</f>
        <v>0</v>
      </c>
      <c r="S9" s="88">
        <f>'2.1meta'!T62</f>
        <v>0</v>
      </c>
      <c r="T9" s="88">
        <f>'2.1meta'!U62</f>
        <v>0</v>
      </c>
      <c r="U9" s="88">
        <f>'2.1meta'!V62</f>
        <v>0</v>
      </c>
      <c r="V9" s="88">
        <f>'2.1meta'!W62</f>
        <v>0</v>
      </c>
      <c r="W9" s="88">
        <f>'2.1meta'!X62</f>
        <v>0</v>
      </c>
      <c r="X9" s="90">
        <f>SUM(R9:W9)</f>
        <v>0</v>
      </c>
      <c r="Y9" s="91">
        <f>P9+X9</f>
        <v>0</v>
      </c>
      <c r="Z9" s="92">
        <f>C9-Y9</f>
        <v>0</v>
      </c>
    </row>
    <row r="10" spans="1:26" ht="15.75" customHeight="1">
      <c r="A10" s="93" t="s">
        <v>37</v>
      </c>
      <c r="B10" s="114" t="s">
        <v>38</v>
      </c>
      <c r="C10" s="88">
        <f>'2.1meta'!D11+'2.1meta'!D28+'2.1meta'!D45+'2.1meta'!D63+'2.1meta'!D80+'2.1meta'!D97+'2.1meta'!D114+'2.1meta'!D131+'2.1meta'!D148+'2.1meta'!D165+'2.1meta'!D182+'2.1meta'!D199+'2.1meta'!D216+'2.1meta'!D229+'2.1meta'!D241+'2.1meta'!D258+'2.1meta'!D275+'2.1meta'!D292+'2.1meta'!D309+'2.1meta'!D326</f>
        <v>0</v>
      </c>
      <c r="D10" s="88">
        <f>'2.1meta'!E11+'2.1meta'!E28+'2.1meta'!E45+'2.1meta'!E63+'2.1meta'!E80+'2.1meta'!E97+'2.1meta'!E114+'2.1meta'!E131+'2.1meta'!E148+'2.1meta'!E165+'2.1meta'!E182+'2.1meta'!E199+'2.1meta'!E216+'2.1meta'!E229+'2.1meta'!E241+'2.1meta'!E258+'2.1meta'!E275+'2.1meta'!E292+'2.1meta'!E309+'2.1meta'!E326</f>
        <v>0</v>
      </c>
      <c r="E10" s="88">
        <f>'2.1meta'!F11+'2.1meta'!F28+'2.1meta'!F45+'2.1meta'!F63+'2.1meta'!F80+'2.1meta'!F97+'2.1meta'!F114+'2.1meta'!F131+'2.1meta'!F148+'2.1meta'!F165+'2.1meta'!F182+'2.1meta'!F199+'2.1meta'!F216+'2.1meta'!F229+'2.1meta'!F241+'2.1meta'!F258+'2.1meta'!F275+'2.1meta'!F292+'2.1meta'!F309+'2.1meta'!F326</f>
        <v>0</v>
      </c>
      <c r="F10" s="88">
        <f>'2.1meta'!G11+'2.1meta'!G28+'2.1meta'!G45+'2.1meta'!G63+'2.1meta'!G80+'2.1meta'!G97+'2.1meta'!G114+'2.1meta'!G131+'2.1meta'!G148+'2.1meta'!G165+'2.1meta'!G182+'2.1meta'!G199+'2.1meta'!G216+'2.1meta'!G229+'2.1meta'!G241+'2.1meta'!G258+'2.1meta'!G275+'2.1meta'!G292+'2.1meta'!G309+'2.1meta'!G326</f>
        <v>0</v>
      </c>
      <c r="G10" s="88">
        <f>'2.1meta'!H11+'2.1meta'!H28+'2.1meta'!H45+'2.1meta'!H63+'2.1meta'!H80+'2.1meta'!H97+'2.1meta'!H114+'2.1meta'!H131+'2.1meta'!H148+'2.1meta'!H165+'2.1meta'!H182+'2.1meta'!H199+'2.1meta'!H216+'2.1meta'!H229+'2.1meta'!H241+'2.1meta'!H258+'2.1meta'!H275+'2.1meta'!H292+'2.1meta'!H309+'2.1meta'!H326</f>
        <v>0</v>
      </c>
      <c r="H10" s="88">
        <f>'2.1meta'!I11+'2.1meta'!I28+'2.1meta'!I45+'2.1meta'!I63+'2.1meta'!I80+'2.1meta'!I97+'2.1meta'!I114+'2.1meta'!I131+'2.1meta'!I148+'2.1meta'!I165+'2.1meta'!I182+'2.1meta'!I199+'2.1meta'!I216+'2.1meta'!I229+'2.1meta'!I241+'2.1meta'!I258+'2.1meta'!I275+'2.1meta'!I292+'2.1meta'!I309+'2.1meta'!I326</f>
        <v>0</v>
      </c>
      <c r="I10" s="88">
        <f>'2.1meta'!J11+'2.1meta'!J28+'2.1meta'!J45+'2.1meta'!J63+'2.1meta'!J80+'2.1meta'!J97+'2.1meta'!J114+'2.1meta'!J131+'2.1meta'!J148+'2.1meta'!J165+'2.1meta'!J182+'2.1meta'!J199+'2.1meta'!J216+'2.1meta'!J229+'2.1meta'!J241+'2.1meta'!J258+'2.1meta'!J275+'2.1meta'!J292+'2.1meta'!J309+'2.1meta'!J326</f>
        <v>0</v>
      </c>
      <c r="J10" s="88">
        <f>'2.1meta'!K11+'2.1meta'!K28+'2.1meta'!K45+'2.1meta'!K63+'2.1meta'!K80+'2.1meta'!K97+'2.1meta'!K114+'2.1meta'!K131+'2.1meta'!K148+'2.1meta'!K165+'2.1meta'!K182+'2.1meta'!K199+'2.1meta'!K216+'2.1meta'!K229+'2.1meta'!K241+'2.1meta'!K258+'2.1meta'!K275+'2.1meta'!K292+'2.1meta'!K309+'2.1meta'!K326</f>
        <v>0</v>
      </c>
      <c r="K10" s="88">
        <f>'2.1meta'!L11+'2.1meta'!L28+'2.1meta'!L45+'2.1meta'!L63+'2.1meta'!L80+'2.1meta'!L97+'2.1meta'!L114+'2.1meta'!L131+'2.1meta'!L148+'2.1meta'!L165+'2.1meta'!L182+'2.1meta'!L199+'2.1meta'!L216+'2.1meta'!L229+'2.1meta'!L241+'2.1meta'!L258+'2.1meta'!L275+'2.1meta'!L292+'2.1meta'!L309+'2.1meta'!L326</f>
        <v>0</v>
      </c>
      <c r="L10" s="88">
        <f>'2.1meta'!M11+'2.1meta'!M28+'2.1meta'!M45+'2.1meta'!M63+'2.1meta'!M80+'2.1meta'!M97+'2.1meta'!M114+'2.1meta'!M131+'2.1meta'!M148+'2.1meta'!M165+'2.1meta'!M182+'2.1meta'!M199+'2.1meta'!M216+'2.1meta'!M229+'2.1meta'!M241+'2.1meta'!M258+'2.1meta'!M275+'2.1meta'!M292+'2.1meta'!M309+'2.1meta'!M326</f>
        <v>0</v>
      </c>
      <c r="M10" s="88">
        <f>'2.1meta'!N11+'2.1meta'!N28+'2.1meta'!N45+'2.1meta'!N63+'2.1meta'!N80+'2.1meta'!N97+'2.1meta'!N114+'2.1meta'!N131+'2.1meta'!N148+'2.1meta'!N165+'2.1meta'!N182+'2.1meta'!N199+'2.1meta'!N216+'2.1meta'!N229+'2.1meta'!N241+'2.1meta'!N258+'2.1meta'!N275+'2.1meta'!N292+'2.1meta'!N309+'2.1meta'!N326</f>
        <v>0</v>
      </c>
      <c r="N10" s="88">
        <f>'2.1meta'!O11+'2.1meta'!O28+'2.1meta'!O45+'2.1meta'!O63+'2.1meta'!O80+'2.1meta'!O97+'2.1meta'!O114+'2.1meta'!O131+'2.1meta'!O148+'2.1meta'!O165+'2.1meta'!O182+'2.1meta'!O199+'2.1meta'!O216+'2.1meta'!O229+'2.1meta'!O241+'2.1meta'!O258+'2.1meta'!O275+'2.1meta'!O292+'2.1meta'!O309+'2.1meta'!O326</f>
        <v>0</v>
      </c>
      <c r="O10" s="88">
        <f>'2.1meta'!P11+'2.1meta'!P28+'2.1meta'!P45+'2.1meta'!P63+'2.1meta'!P80+'2.1meta'!P97+'2.1meta'!P114+'2.1meta'!P131+'2.1meta'!P148+'2.1meta'!P165+'2.1meta'!P182+'2.1meta'!P199+'2.1meta'!P216+'2.1meta'!P229+'2.1meta'!P241+'2.1meta'!P258+'2.1meta'!P275+'2.1meta'!P292+'2.1meta'!P309+'2.1meta'!P326</f>
        <v>0</v>
      </c>
      <c r="P10" s="89">
        <f t="shared" si="0"/>
        <v>0</v>
      </c>
      <c r="Q10" s="111">
        <f t="shared" si="1"/>
        <v>0</v>
      </c>
      <c r="R10" s="88">
        <f>'2.1meta'!S11+'2.1meta'!S28+'2.1meta'!S45+'2.1meta'!S63+'2.1meta'!S80+'2.1meta'!S97+'2.1meta'!S114+'2.1meta'!S131+'2.1meta'!S148+'2.1meta'!S165+'2.1meta'!S182+'2.1meta'!S199+'2.1meta'!S216+'2.1meta'!S229+'2.1meta'!S241+'2.1meta'!S258+'2.1meta'!S275+'2.1meta'!S292+'2.1meta'!S309+'2.1meta'!S326</f>
        <v>0</v>
      </c>
      <c r="S10" s="88">
        <f>'2.1meta'!T11+'2.1meta'!T28+'2.1meta'!T45+'2.1meta'!T63+'2.1meta'!T80+'2.1meta'!T97+'2.1meta'!T114+'2.1meta'!T131+'2.1meta'!T148+'2.1meta'!T165+'2.1meta'!T182+'2.1meta'!T199+'2.1meta'!T216+'2.1meta'!T229+'2.1meta'!T241+'2.1meta'!T258+'2.1meta'!T275+'2.1meta'!T292+'2.1meta'!T309+'2.1meta'!T326</f>
        <v>0</v>
      </c>
      <c r="T10" s="88">
        <f>'2.1meta'!U11+'2.1meta'!U28+'2.1meta'!U45+'2.1meta'!U63+'2.1meta'!U80+'2.1meta'!U97+'2.1meta'!U114+'2.1meta'!U131+'2.1meta'!U148+'2.1meta'!U165+'2.1meta'!U182+'2.1meta'!U199+'2.1meta'!U216+'2.1meta'!U229+'2.1meta'!U241+'2.1meta'!U258+'2.1meta'!U275+'2.1meta'!U292+'2.1meta'!U309+'2.1meta'!U326</f>
        <v>0</v>
      </c>
      <c r="U10" s="88">
        <f>'2.1meta'!V11+'2.1meta'!V28+'2.1meta'!V45+'2.1meta'!V63+'2.1meta'!V80+'2.1meta'!V97+'2.1meta'!V114+'2.1meta'!V131+'2.1meta'!V148+'2.1meta'!V165+'2.1meta'!V182+'2.1meta'!V199+'2.1meta'!V216+'2.1meta'!V229+'2.1meta'!V241+'2.1meta'!V258+'2.1meta'!V275+'2.1meta'!V292+'2.1meta'!V309+'2.1meta'!V326</f>
        <v>0</v>
      </c>
      <c r="V10" s="88">
        <f>'2.1meta'!W11+'2.1meta'!W28+'2.1meta'!W45+'2.1meta'!W63+'2.1meta'!W80+'2.1meta'!W97+'2.1meta'!W114+'2.1meta'!W131+'2.1meta'!W148+'2.1meta'!W165+'2.1meta'!W182+'2.1meta'!W199+'2.1meta'!W216+'2.1meta'!W229+'2.1meta'!W241+'2.1meta'!W258+'2.1meta'!W275+'2.1meta'!W292+'2.1meta'!W309+'2.1meta'!W326</f>
        <v>0</v>
      </c>
      <c r="W10" s="88">
        <f>'2.1meta'!X11+'2.1meta'!X28+'2.1meta'!X45+'2.1meta'!X63+'2.1meta'!X80+'2.1meta'!X97+'2.1meta'!X114+'2.1meta'!X131+'2.1meta'!X148+'2.1meta'!X165+'2.1meta'!X182+'2.1meta'!X199+'2.1meta'!X216+'2.1meta'!X229+'2.1meta'!X241+'2.1meta'!X258+'2.1meta'!X275+'2.1meta'!X292+'2.1meta'!X309+'2.1meta'!X326</f>
        <v>0</v>
      </c>
      <c r="X10" s="90">
        <f>SUM(R10:W10)</f>
        <v>0</v>
      </c>
      <c r="Y10" s="91">
        <f>P10+X10</f>
        <v>0</v>
      </c>
      <c r="Z10" s="92">
        <f>C10-Y10</f>
        <v>0</v>
      </c>
    </row>
    <row r="11" spans="1:26" ht="15.75" customHeight="1">
      <c r="A11" s="93" t="s">
        <v>39</v>
      </c>
      <c r="B11" s="114" t="s">
        <v>40</v>
      </c>
      <c r="C11" s="88">
        <f>'2.1meta'!D12+'2.1meta'!D29+'2.1meta'!D46+'2.1meta'!D64+'2.1meta'!D81+'2.1meta'!D98+'2.1meta'!D115+'2.1meta'!D132+'2.1meta'!D149+'2.1meta'!D166+'2.1meta'!D183+'2.1meta'!D200+'2.1meta'!D217+'2.1meta'!D230+'2.1meta'!D242+'2.1meta'!D259+'2.1meta'!D276+'2.1meta'!D293+'2.1meta'!D310+'2.1meta'!D327</f>
        <v>0</v>
      </c>
      <c r="D11" s="88">
        <f>'2.1meta'!E12+'2.1meta'!E29+'2.1meta'!E46+'2.1meta'!E64+'2.1meta'!E81+'2.1meta'!E98+'2.1meta'!E115+'2.1meta'!E132+'2.1meta'!E149+'2.1meta'!E166+'2.1meta'!E183+'2.1meta'!E200+'2.1meta'!E217+'2.1meta'!E230+'2.1meta'!E242+'2.1meta'!E259+'2.1meta'!E276+'2.1meta'!E293+'2.1meta'!E310+'2.1meta'!E327</f>
        <v>0</v>
      </c>
      <c r="E11" s="88">
        <f>'2.1meta'!F12+'2.1meta'!F29+'2.1meta'!F46+'2.1meta'!F64+'2.1meta'!F81+'2.1meta'!F98+'2.1meta'!F115+'2.1meta'!F132+'2.1meta'!F149+'2.1meta'!F166+'2.1meta'!F183+'2.1meta'!F200+'2.1meta'!F217+'2.1meta'!F230+'2.1meta'!F242+'2.1meta'!F259+'2.1meta'!F276+'2.1meta'!F293+'2.1meta'!F310+'2.1meta'!F327</f>
        <v>0</v>
      </c>
      <c r="F11" s="88">
        <f>'2.1meta'!G12+'2.1meta'!G29+'2.1meta'!G46+'2.1meta'!G64+'2.1meta'!G81+'2.1meta'!G98+'2.1meta'!G115+'2.1meta'!G132+'2.1meta'!G149+'2.1meta'!G166+'2.1meta'!G183+'2.1meta'!G200+'2.1meta'!G217+'2.1meta'!G230+'2.1meta'!G242+'2.1meta'!G259+'2.1meta'!G276+'2.1meta'!G293+'2.1meta'!G310+'2.1meta'!G327</f>
        <v>0</v>
      </c>
      <c r="G11" s="88">
        <f>'2.1meta'!H12+'2.1meta'!H29+'2.1meta'!H46+'2.1meta'!H64+'2.1meta'!H81+'2.1meta'!H98+'2.1meta'!H115+'2.1meta'!H132+'2.1meta'!H149+'2.1meta'!H166+'2.1meta'!H183+'2.1meta'!H200+'2.1meta'!H217+'2.1meta'!H230+'2.1meta'!H242+'2.1meta'!H259+'2.1meta'!H276+'2.1meta'!H293+'2.1meta'!H310+'2.1meta'!H327</f>
        <v>0</v>
      </c>
      <c r="H11" s="88">
        <f>'2.1meta'!I12+'2.1meta'!I29+'2.1meta'!I46+'2.1meta'!I64+'2.1meta'!I81+'2.1meta'!I98+'2.1meta'!I115+'2.1meta'!I132+'2.1meta'!I149+'2.1meta'!I166+'2.1meta'!I183+'2.1meta'!I200+'2.1meta'!I217+'2.1meta'!I230+'2.1meta'!I242+'2.1meta'!I259+'2.1meta'!I276+'2.1meta'!I293+'2.1meta'!I310+'2.1meta'!I327</f>
        <v>0</v>
      </c>
      <c r="I11" s="88">
        <f>'2.1meta'!J12+'2.1meta'!J29+'2.1meta'!J46+'2.1meta'!J64+'2.1meta'!J81+'2.1meta'!J98+'2.1meta'!J115+'2.1meta'!J132+'2.1meta'!J149+'2.1meta'!J166+'2.1meta'!J183+'2.1meta'!J200+'2.1meta'!J217+'2.1meta'!J230+'2.1meta'!J242+'2.1meta'!J259+'2.1meta'!J276+'2.1meta'!J293+'2.1meta'!J310+'2.1meta'!J327</f>
        <v>0</v>
      </c>
      <c r="J11" s="88">
        <f>'2.1meta'!K12+'2.1meta'!K29+'2.1meta'!K46+'2.1meta'!K64+'2.1meta'!K81+'2.1meta'!K98+'2.1meta'!K115+'2.1meta'!K132+'2.1meta'!K149+'2.1meta'!K166+'2.1meta'!K183+'2.1meta'!K200+'2.1meta'!K217+'2.1meta'!K230+'2.1meta'!K242+'2.1meta'!K259+'2.1meta'!K276+'2.1meta'!K293+'2.1meta'!K310+'2.1meta'!K327</f>
        <v>0</v>
      </c>
      <c r="K11" s="88">
        <f>'2.1meta'!L12+'2.1meta'!L29+'2.1meta'!L46+'2.1meta'!L64+'2.1meta'!L81+'2.1meta'!L98+'2.1meta'!L115+'2.1meta'!L132+'2.1meta'!L149+'2.1meta'!L166+'2.1meta'!L183+'2.1meta'!L200+'2.1meta'!L217+'2.1meta'!L230+'2.1meta'!L242+'2.1meta'!L259+'2.1meta'!L276+'2.1meta'!L293+'2.1meta'!L310+'2.1meta'!L327</f>
        <v>0</v>
      </c>
      <c r="L11" s="88">
        <f>'2.1meta'!M12+'2.1meta'!M29+'2.1meta'!M46+'2.1meta'!M64+'2.1meta'!M81+'2.1meta'!M98+'2.1meta'!M115+'2.1meta'!M132+'2.1meta'!M149+'2.1meta'!M166+'2.1meta'!M183+'2.1meta'!M200+'2.1meta'!M217+'2.1meta'!M230+'2.1meta'!M242+'2.1meta'!M259+'2.1meta'!M276+'2.1meta'!M293+'2.1meta'!M310+'2.1meta'!M327</f>
        <v>0</v>
      </c>
      <c r="M11" s="88">
        <f>'2.1meta'!N12+'2.1meta'!N29+'2.1meta'!N46+'2.1meta'!N64+'2.1meta'!N81+'2.1meta'!N98+'2.1meta'!N115+'2.1meta'!N132+'2.1meta'!N149+'2.1meta'!N166+'2.1meta'!N183+'2.1meta'!N200+'2.1meta'!N217+'2.1meta'!N230+'2.1meta'!N242+'2.1meta'!N259+'2.1meta'!N276+'2.1meta'!N293+'2.1meta'!N310+'2.1meta'!N327</f>
        <v>0</v>
      </c>
      <c r="N11" s="88">
        <f>'2.1meta'!O12+'2.1meta'!O29+'2.1meta'!O46+'2.1meta'!O64+'2.1meta'!O81+'2.1meta'!O98+'2.1meta'!O115+'2.1meta'!O132+'2.1meta'!O149+'2.1meta'!O166+'2.1meta'!O183+'2.1meta'!O200+'2.1meta'!O217+'2.1meta'!O230+'2.1meta'!O242+'2.1meta'!O259+'2.1meta'!O276+'2.1meta'!O293+'2.1meta'!O310+'2.1meta'!O327</f>
        <v>0</v>
      </c>
      <c r="O11" s="88">
        <f>'2.1meta'!P12+'2.1meta'!P29+'2.1meta'!P46+'2.1meta'!P64+'2.1meta'!P81+'2.1meta'!P98+'2.1meta'!P115+'2.1meta'!P132+'2.1meta'!P149+'2.1meta'!P166+'2.1meta'!P183+'2.1meta'!P200+'2.1meta'!P217+'2.1meta'!P230+'2.1meta'!P242+'2.1meta'!P259+'2.1meta'!P276+'2.1meta'!P293+'2.1meta'!P310+'2.1meta'!P327</f>
        <v>0</v>
      </c>
      <c r="P11" s="89">
        <f t="shared" si="0"/>
        <v>0</v>
      </c>
      <c r="Q11" s="111">
        <f t="shared" si="1"/>
        <v>0</v>
      </c>
      <c r="R11" s="88">
        <f>'2.1meta'!S12+'2.1meta'!S29+'2.1meta'!S46+'2.1meta'!S64+'2.1meta'!S81+'2.1meta'!S98+'2.1meta'!S115+'2.1meta'!S132+'2.1meta'!S149+'2.1meta'!S166+'2.1meta'!S183+'2.1meta'!S200+'2.1meta'!S217+'2.1meta'!S230+'2.1meta'!S242+'2.1meta'!S259+'2.1meta'!S276+'2.1meta'!S293+'2.1meta'!S310+'2.1meta'!S327</f>
        <v>0</v>
      </c>
      <c r="S11" s="88">
        <f>'2.1meta'!T12+'2.1meta'!T29+'2.1meta'!T46+'2.1meta'!T64+'2.1meta'!T81+'2.1meta'!T98+'2.1meta'!T115+'2.1meta'!T132+'2.1meta'!T149+'2.1meta'!T166+'2.1meta'!T183+'2.1meta'!T200+'2.1meta'!T217+'2.1meta'!T230+'2.1meta'!T242+'2.1meta'!T259+'2.1meta'!T276+'2.1meta'!T293+'2.1meta'!T310+'2.1meta'!T327</f>
        <v>0</v>
      </c>
      <c r="T11" s="88">
        <f>'2.1meta'!U12+'2.1meta'!U29+'2.1meta'!U46+'2.1meta'!U64+'2.1meta'!U81+'2.1meta'!U98+'2.1meta'!U115+'2.1meta'!U132+'2.1meta'!U149+'2.1meta'!U166+'2.1meta'!U183+'2.1meta'!U200+'2.1meta'!U217+'2.1meta'!U230+'2.1meta'!U242+'2.1meta'!U259+'2.1meta'!U276+'2.1meta'!U293+'2.1meta'!U310+'2.1meta'!U327</f>
        <v>0</v>
      </c>
      <c r="U11" s="88">
        <f>'2.1meta'!V12+'2.1meta'!V29+'2.1meta'!V46+'2.1meta'!V64+'2.1meta'!V81+'2.1meta'!V98+'2.1meta'!V115+'2.1meta'!V132+'2.1meta'!V149+'2.1meta'!V166+'2.1meta'!V183+'2.1meta'!V200+'2.1meta'!V217+'2.1meta'!V230+'2.1meta'!V242+'2.1meta'!V259+'2.1meta'!V276+'2.1meta'!V293+'2.1meta'!V310+'2.1meta'!V327</f>
        <v>0</v>
      </c>
      <c r="V11" s="88">
        <f>'2.1meta'!W12+'2.1meta'!W29+'2.1meta'!W46+'2.1meta'!W64+'2.1meta'!W81+'2.1meta'!W98+'2.1meta'!W115+'2.1meta'!W132+'2.1meta'!W149+'2.1meta'!W166+'2.1meta'!W183+'2.1meta'!W200+'2.1meta'!W217+'2.1meta'!W230+'2.1meta'!W242+'2.1meta'!W259+'2.1meta'!W276+'2.1meta'!W293+'2.1meta'!W310+'2.1meta'!W327</f>
        <v>0</v>
      </c>
      <c r="W11" s="88">
        <f>'2.1meta'!X12+'2.1meta'!X29+'2.1meta'!X46+'2.1meta'!X64+'2.1meta'!X81+'2.1meta'!X98+'2.1meta'!X115+'2.1meta'!X132+'2.1meta'!X149+'2.1meta'!X166+'2.1meta'!X183+'2.1meta'!X200+'2.1meta'!X217+'2.1meta'!X230+'2.1meta'!X242+'2.1meta'!X259+'2.1meta'!X276+'2.1meta'!X293+'2.1meta'!X310+'2.1meta'!X327</f>
        <v>0</v>
      </c>
      <c r="X11" s="90">
        <f>SUM(R11:W11)</f>
        <v>0</v>
      </c>
      <c r="Y11" s="91">
        <f>P11+X11</f>
        <v>0</v>
      </c>
      <c r="Z11" s="92">
        <f>C11-Y11</f>
        <v>0</v>
      </c>
    </row>
    <row r="12" spans="1:26" ht="15.75" customHeight="1">
      <c r="A12" s="93" t="s">
        <v>41</v>
      </c>
      <c r="B12" s="114" t="s">
        <v>42</v>
      </c>
      <c r="C12" s="88">
        <f>'2.1meta'!D13+'2.1meta'!D30+'2.1meta'!D47+'2.1meta'!D65+'2.1meta'!D82+'2.1meta'!D99+'2.1meta'!D116+'2.1meta'!D133+'2.1meta'!D150+'2.1meta'!D167+'2.1meta'!D184+'2.1meta'!D201+'2.1meta'!D218+'2.1meta'!D231+'2.1meta'!D243+'2.1meta'!D260+'2.1meta'!D277+'2.1meta'!D294+'2.1meta'!D311+'2.1meta'!D328</f>
        <v>0</v>
      </c>
      <c r="D12" s="88">
        <f>'2.1meta'!E13+'2.1meta'!E30+'2.1meta'!E47+'2.1meta'!E65+'2.1meta'!E82+'2.1meta'!E99+'2.1meta'!E116+'2.1meta'!E133+'2.1meta'!E150+'2.1meta'!E167+'2.1meta'!E184+'2.1meta'!E201+'2.1meta'!E218+'2.1meta'!E231+'2.1meta'!E243+'2.1meta'!E260+'2.1meta'!E277+'2.1meta'!E294+'2.1meta'!E311+'2.1meta'!E328</f>
        <v>0</v>
      </c>
      <c r="E12" s="88">
        <f>'2.1meta'!F13+'2.1meta'!F30+'2.1meta'!F47+'2.1meta'!F65+'2.1meta'!F82+'2.1meta'!F99+'2.1meta'!F116+'2.1meta'!F133+'2.1meta'!F150+'2.1meta'!F167+'2.1meta'!F184+'2.1meta'!F201+'2.1meta'!F218+'2.1meta'!F231+'2.1meta'!F243+'2.1meta'!F260+'2.1meta'!F277+'2.1meta'!F294+'2.1meta'!F311+'2.1meta'!F328</f>
        <v>0</v>
      </c>
      <c r="F12" s="88">
        <f>'2.1meta'!G13+'2.1meta'!G30+'2.1meta'!G47+'2.1meta'!G65+'2.1meta'!G82+'2.1meta'!G99+'2.1meta'!G116+'2.1meta'!G133+'2.1meta'!G150+'2.1meta'!G167+'2.1meta'!G184+'2.1meta'!G201+'2.1meta'!G218+'2.1meta'!G231+'2.1meta'!G243+'2.1meta'!G260+'2.1meta'!G277+'2.1meta'!G294+'2.1meta'!G311+'2.1meta'!G328</f>
        <v>0</v>
      </c>
      <c r="G12" s="88">
        <f>'2.1meta'!H13+'2.1meta'!H30+'2.1meta'!H47+'2.1meta'!H65+'2.1meta'!H82+'2.1meta'!H99+'2.1meta'!H116+'2.1meta'!H133+'2.1meta'!H150+'2.1meta'!H167+'2.1meta'!H184+'2.1meta'!H201+'2.1meta'!H218+'2.1meta'!H231+'2.1meta'!H243+'2.1meta'!H260+'2.1meta'!H277+'2.1meta'!H294+'2.1meta'!H311+'2.1meta'!H328</f>
        <v>0</v>
      </c>
      <c r="H12" s="88">
        <f>'2.1meta'!I13+'2.1meta'!I30+'2.1meta'!I47+'2.1meta'!I65+'2.1meta'!I82+'2.1meta'!I99+'2.1meta'!I116+'2.1meta'!I133+'2.1meta'!I150+'2.1meta'!I167+'2.1meta'!I184+'2.1meta'!I201+'2.1meta'!I218+'2.1meta'!I231+'2.1meta'!I243+'2.1meta'!I260+'2.1meta'!I277+'2.1meta'!I294+'2.1meta'!I311+'2.1meta'!I328</f>
        <v>0</v>
      </c>
      <c r="I12" s="88">
        <f>'2.1meta'!J13+'2.1meta'!J30+'2.1meta'!J47+'2.1meta'!J65+'2.1meta'!J82+'2.1meta'!J99+'2.1meta'!J116+'2.1meta'!J133+'2.1meta'!J150+'2.1meta'!J167+'2.1meta'!J184+'2.1meta'!J201+'2.1meta'!J218+'2.1meta'!J231+'2.1meta'!J243+'2.1meta'!J260+'2.1meta'!J277+'2.1meta'!J294+'2.1meta'!J311+'2.1meta'!J328</f>
        <v>0</v>
      </c>
      <c r="J12" s="88">
        <f>'2.1meta'!K13+'2.1meta'!K30+'2.1meta'!K47+'2.1meta'!K65+'2.1meta'!K82+'2.1meta'!K99+'2.1meta'!K116+'2.1meta'!K133+'2.1meta'!K150+'2.1meta'!K167+'2.1meta'!K184+'2.1meta'!K201+'2.1meta'!K218+'2.1meta'!K231+'2.1meta'!K243+'2.1meta'!K260+'2.1meta'!K277+'2.1meta'!K294+'2.1meta'!K311+'2.1meta'!K328</f>
        <v>0</v>
      </c>
      <c r="K12" s="88">
        <f>'2.1meta'!L13+'2.1meta'!L30+'2.1meta'!L47+'2.1meta'!L65+'2.1meta'!L82+'2.1meta'!L99+'2.1meta'!L116+'2.1meta'!L133+'2.1meta'!L150+'2.1meta'!L167+'2.1meta'!L184+'2.1meta'!L201+'2.1meta'!L218+'2.1meta'!L231+'2.1meta'!L243+'2.1meta'!L260+'2.1meta'!L277+'2.1meta'!L294+'2.1meta'!L311+'2.1meta'!L328</f>
        <v>0</v>
      </c>
      <c r="L12" s="88">
        <f>'2.1meta'!M13+'2.1meta'!M30+'2.1meta'!M47+'2.1meta'!M65+'2.1meta'!M82+'2.1meta'!M99+'2.1meta'!M116+'2.1meta'!M133+'2.1meta'!M150+'2.1meta'!M167+'2.1meta'!M184+'2.1meta'!M201+'2.1meta'!M218+'2.1meta'!M231+'2.1meta'!M243+'2.1meta'!M260+'2.1meta'!M277+'2.1meta'!M294+'2.1meta'!M311+'2.1meta'!M328</f>
        <v>0</v>
      </c>
      <c r="M12" s="88">
        <f>'2.1meta'!N13+'2.1meta'!N30+'2.1meta'!N47+'2.1meta'!N65+'2.1meta'!N82+'2.1meta'!N99+'2.1meta'!N116+'2.1meta'!N133+'2.1meta'!N150+'2.1meta'!N167+'2.1meta'!N184+'2.1meta'!N201+'2.1meta'!N218+'2.1meta'!N231+'2.1meta'!N243+'2.1meta'!N260+'2.1meta'!N277+'2.1meta'!N294+'2.1meta'!N311+'2.1meta'!N328</f>
        <v>0</v>
      </c>
      <c r="N12" s="88">
        <f>'2.1meta'!O13+'2.1meta'!O30+'2.1meta'!O47+'2.1meta'!O65+'2.1meta'!O82+'2.1meta'!O99+'2.1meta'!O116+'2.1meta'!O133+'2.1meta'!O150+'2.1meta'!O167+'2.1meta'!O184+'2.1meta'!O201+'2.1meta'!O218+'2.1meta'!O231+'2.1meta'!O243+'2.1meta'!O260+'2.1meta'!O277+'2.1meta'!O294+'2.1meta'!O311+'2.1meta'!O328</f>
        <v>0</v>
      </c>
      <c r="O12" s="88">
        <f>'2.1meta'!P13+'2.1meta'!P30+'2.1meta'!P47+'2.1meta'!P65+'2.1meta'!P82+'2.1meta'!P99+'2.1meta'!P116+'2.1meta'!P133+'2.1meta'!P150+'2.1meta'!P167+'2.1meta'!P184+'2.1meta'!P201+'2.1meta'!P218+'2.1meta'!P231+'2.1meta'!P243+'2.1meta'!P260+'2.1meta'!P277+'2.1meta'!P294+'2.1meta'!P311+'2.1meta'!P328</f>
        <v>0</v>
      </c>
      <c r="P12" s="89">
        <f t="shared" si="0"/>
        <v>0</v>
      </c>
      <c r="Q12" s="111">
        <f t="shared" si="1"/>
        <v>0</v>
      </c>
      <c r="R12" s="88">
        <f>'2.1meta'!S13+'2.1meta'!S30+'2.1meta'!S47+'2.1meta'!S65+'2.1meta'!S82+'2.1meta'!S99+'2.1meta'!S116+'2.1meta'!S133+'2.1meta'!S150+'2.1meta'!S167+'2.1meta'!S184+'2.1meta'!S201+'2.1meta'!S218+'2.1meta'!S231+'2.1meta'!S243+'2.1meta'!S260+'2.1meta'!S277+'2.1meta'!S294+'2.1meta'!S311+'2.1meta'!S328</f>
        <v>0</v>
      </c>
      <c r="S12" s="88">
        <f>'2.1meta'!T13+'2.1meta'!T30+'2.1meta'!T47+'2.1meta'!T65+'2.1meta'!T82+'2.1meta'!T99+'2.1meta'!T116+'2.1meta'!T133+'2.1meta'!T150+'2.1meta'!T167+'2.1meta'!T184+'2.1meta'!T201+'2.1meta'!T218+'2.1meta'!T231+'2.1meta'!T243+'2.1meta'!T260+'2.1meta'!T277+'2.1meta'!T294+'2.1meta'!T311+'2.1meta'!T328</f>
        <v>0</v>
      </c>
      <c r="T12" s="88">
        <f>'2.1meta'!U13+'2.1meta'!U30+'2.1meta'!U47+'2.1meta'!U65+'2.1meta'!U82+'2.1meta'!U99+'2.1meta'!U116+'2.1meta'!U133+'2.1meta'!U150+'2.1meta'!U167+'2.1meta'!U184+'2.1meta'!U201+'2.1meta'!U218+'2.1meta'!U231+'2.1meta'!U243+'2.1meta'!U260+'2.1meta'!U277+'2.1meta'!U294+'2.1meta'!U311+'2.1meta'!U328</f>
        <v>0</v>
      </c>
      <c r="U12" s="88">
        <f>'2.1meta'!V13+'2.1meta'!V30+'2.1meta'!V47+'2.1meta'!V65+'2.1meta'!V82+'2.1meta'!V99+'2.1meta'!V116+'2.1meta'!V133+'2.1meta'!V150+'2.1meta'!V167+'2.1meta'!V184+'2.1meta'!V201+'2.1meta'!V218+'2.1meta'!V231+'2.1meta'!V243+'2.1meta'!V260+'2.1meta'!V277+'2.1meta'!V294+'2.1meta'!V311+'2.1meta'!V328</f>
        <v>0</v>
      </c>
      <c r="V12" s="88">
        <f>'2.1meta'!W13+'2.1meta'!W30+'2.1meta'!W47+'2.1meta'!W65+'2.1meta'!W82+'2.1meta'!W99+'2.1meta'!W116+'2.1meta'!W133+'2.1meta'!W150+'2.1meta'!W167+'2.1meta'!W184+'2.1meta'!W201+'2.1meta'!W218+'2.1meta'!W231+'2.1meta'!W243+'2.1meta'!W260+'2.1meta'!W277+'2.1meta'!W294+'2.1meta'!W311+'2.1meta'!W328</f>
        <v>0</v>
      </c>
      <c r="W12" s="88">
        <f>'2.1meta'!X13+'2.1meta'!X30+'2.1meta'!X47+'2.1meta'!X65+'2.1meta'!X82+'2.1meta'!X99+'2.1meta'!X116+'2.1meta'!X133+'2.1meta'!X150+'2.1meta'!X167+'2.1meta'!X184+'2.1meta'!X201+'2.1meta'!X218+'2.1meta'!X231+'2.1meta'!X243+'2.1meta'!X260+'2.1meta'!X277+'2.1meta'!X294+'2.1meta'!X311+'2.1meta'!X328</f>
        <v>0</v>
      </c>
      <c r="X12" s="90">
        <f>SUM(R12:W12)</f>
        <v>0</v>
      </c>
      <c r="Y12" s="91">
        <f>P12+X12</f>
        <v>0</v>
      </c>
      <c r="Z12" s="92">
        <f>C12-Y12</f>
        <v>0</v>
      </c>
    </row>
    <row r="13" spans="1:26" ht="15.75" customHeight="1">
      <c r="A13" s="93" t="s">
        <v>43</v>
      </c>
      <c r="B13" s="114" t="s">
        <v>44</v>
      </c>
      <c r="C13" s="88">
        <f>'2.1meta'!D14+'2.1meta'!D31+'2.1meta'!D48+'2.1meta'!D66+'2.1meta'!D83+'2.1meta'!D100+'2.1meta'!D117+'2.1meta'!D134+'2.1meta'!D151+'2.1meta'!D168+'2.1meta'!D185+'2.1meta'!D202+'2.1meta'!D219+'2.1meta'!D244+'2.1meta'!D261+'2.1meta'!D278+'2.1meta'!D295+'2.1meta'!D312+'2.1meta'!D329</f>
        <v>0</v>
      </c>
      <c r="D13" s="88">
        <f>'2.1meta'!E14+'2.1meta'!E31+'2.1meta'!E48+'2.1meta'!E66+'2.1meta'!E83+'2.1meta'!E100+'2.1meta'!E117+'2.1meta'!E134+'2.1meta'!E151+'2.1meta'!E168+'2.1meta'!E185+'2.1meta'!E202+'2.1meta'!E219+'2.1meta'!E244+'2.1meta'!E261+'2.1meta'!E278+'2.1meta'!E295+'2.1meta'!E312+'2.1meta'!E329</f>
        <v>0</v>
      </c>
      <c r="E13" s="88">
        <f>'2.1meta'!F14+'2.1meta'!F31+'2.1meta'!F48+'2.1meta'!F66+'2.1meta'!F83+'2.1meta'!F100+'2.1meta'!F117+'2.1meta'!F134+'2.1meta'!F151+'2.1meta'!F168+'2.1meta'!F185+'2.1meta'!F202+'2.1meta'!F219+'2.1meta'!F244+'2.1meta'!F261+'2.1meta'!F278+'2.1meta'!F295+'2.1meta'!F312+'2.1meta'!F329</f>
        <v>0</v>
      </c>
      <c r="F13" s="88">
        <f>'2.1meta'!G14+'2.1meta'!G31+'2.1meta'!G48+'2.1meta'!G66+'2.1meta'!G83+'2.1meta'!G100+'2.1meta'!G117+'2.1meta'!G134+'2.1meta'!G151+'2.1meta'!G168+'2.1meta'!G185+'2.1meta'!G202+'2.1meta'!G219+'2.1meta'!G244+'2.1meta'!G261+'2.1meta'!G278+'2.1meta'!G295+'2.1meta'!G312+'2.1meta'!G329</f>
        <v>0</v>
      </c>
      <c r="G13" s="88">
        <f>'2.1meta'!H14+'2.1meta'!H31+'2.1meta'!H48+'2.1meta'!H66+'2.1meta'!H83+'2.1meta'!H100+'2.1meta'!H117+'2.1meta'!H134+'2.1meta'!H151+'2.1meta'!H168+'2.1meta'!H185+'2.1meta'!H202+'2.1meta'!H219+'2.1meta'!H244+'2.1meta'!H261+'2.1meta'!H278+'2.1meta'!H295+'2.1meta'!H312+'2.1meta'!H329</f>
        <v>0</v>
      </c>
      <c r="H13" s="88">
        <f>'2.1meta'!I14+'2.1meta'!I31+'2.1meta'!I48+'2.1meta'!I66+'2.1meta'!I83+'2.1meta'!I100+'2.1meta'!I117+'2.1meta'!I134+'2.1meta'!I151+'2.1meta'!I168+'2.1meta'!I185+'2.1meta'!I202+'2.1meta'!I219+'2.1meta'!I244+'2.1meta'!I261+'2.1meta'!I278+'2.1meta'!I295+'2.1meta'!I312+'2.1meta'!I329</f>
        <v>0</v>
      </c>
      <c r="I13" s="88">
        <f>'2.1meta'!J14+'2.1meta'!J31+'2.1meta'!J48+'2.1meta'!J66+'2.1meta'!J83+'2.1meta'!J100+'2.1meta'!J117+'2.1meta'!J134+'2.1meta'!J151+'2.1meta'!J168+'2.1meta'!J185+'2.1meta'!J202+'2.1meta'!J219+'2.1meta'!J244+'2.1meta'!J261+'2.1meta'!J278+'2.1meta'!J295+'2.1meta'!J312+'2.1meta'!J329</f>
        <v>0</v>
      </c>
      <c r="J13" s="88">
        <f>'2.1meta'!K14+'2.1meta'!K31+'2.1meta'!K48+'2.1meta'!K66+'2.1meta'!K83+'2.1meta'!K100+'2.1meta'!K117+'2.1meta'!K134+'2.1meta'!K151+'2.1meta'!K168+'2.1meta'!K185+'2.1meta'!K202+'2.1meta'!K219+'2.1meta'!K244+'2.1meta'!K261+'2.1meta'!K278+'2.1meta'!K295+'2.1meta'!K312+'2.1meta'!K329</f>
        <v>0</v>
      </c>
      <c r="K13" s="88">
        <f>'2.1meta'!L14+'2.1meta'!L31+'2.1meta'!L48+'2.1meta'!L66+'2.1meta'!L83+'2.1meta'!L100+'2.1meta'!L117+'2.1meta'!L134+'2.1meta'!L151+'2.1meta'!L168+'2.1meta'!L185+'2.1meta'!L202+'2.1meta'!L219+'2.1meta'!L244+'2.1meta'!L261+'2.1meta'!L278+'2.1meta'!L295+'2.1meta'!L312+'2.1meta'!L329</f>
        <v>0</v>
      </c>
      <c r="L13" s="88">
        <f>'2.1meta'!M14+'2.1meta'!M31+'2.1meta'!M48+'2.1meta'!M66+'2.1meta'!M83+'2.1meta'!M100+'2.1meta'!M117+'2.1meta'!M134+'2.1meta'!M151+'2.1meta'!M168+'2.1meta'!M185+'2.1meta'!M202+'2.1meta'!M219+'2.1meta'!M244+'2.1meta'!M261+'2.1meta'!M278+'2.1meta'!M295+'2.1meta'!M312+'2.1meta'!M329</f>
        <v>0</v>
      </c>
      <c r="M13" s="88">
        <f>'2.1meta'!N14+'2.1meta'!N31+'2.1meta'!N48+'2.1meta'!N66+'2.1meta'!N83+'2.1meta'!N100+'2.1meta'!N117+'2.1meta'!N134+'2.1meta'!N151+'2.1meta'!N168+'2.1meta'!N185+'2.1meta'!N202+'2.1meta'!N219+'2.1meta'!N244+'2.1meta'!N261+'2.1meta'!N278+'2.1meta'!N295+'2.1meta'!N312+'2.1meta'!N329</f>
        <v>0</v>
      </c>
      <c r="N13" s="88">
        <f>'2.1meta'!O14+'2.1meta'!O31+'2.1meta'!O48+'2.1meta'!O66+'2.1meta'!O83+'2.1meta'!O100+'2.1meta'!O117+'2.1meta'!O134+'2.1meta'!O151+'2.1meta'!O168+'2.1meta'!O185+'2.1meta'!O202+'2.1meta'!O219+'2.1meta'!O244+'2.1meta'!O261+'2.1meta'!O278+'2.1meta'!O295+'2.1meta'!O312+'2.1meta'!O329</f>
        <v>0</v>
      </c>
      <c r="O13" s="88">
        <f>'2.1meta'!P14+'2.1meta'!P31+'2.1meta'!P48+'2.1meta'!P66+'2.1meta'!P83+'2.1meta'!P100+'2.1meta'!P117+'2.1meta'!P134+'2.1meta'!P151+'2.1meta'!P168+'2.1meta'!P185+'2.1meta'!P202+'2.1meta'!P219+'2.1meta'!P244+'2.1meta'!P261+'2.1meta'!P278+'2.1meta'!P295+'2.1meta'!P312+'2.1meta'!P329</f>
        <v>0</v>
      </c>
      <c r="P13" s="89">
        <f t="shared" si="0"/>
        <v>0</v>
      </c>
      <c r="Q13" s="111">
        <f t="shared" si="1"/>
        <v>0</v>
      </c>
      <c r="R13" s="88">
        <f>'2.1meta'!S14+'2.1meta'!S31+'2.1meta'!S48+'2.1meta'!S66+'2.1meta'!S83+'2.1meta'!S100+'2.1meta'!S117+'2.1meta'!S134+'2.1meta'!S151+'2.1meta'!S168+'2.1meta'!S185+'2.1meta'!S202+'2.1meta'!S219+'2.1meta'!S244+'2.1meta'!S261+'2.1meta'!S278+'2.1meta'!S295+'2.1meta'!S312+'2.1meta'!S329</f>
        <v>0</v>
      </c>
      <c r="S13" s="88">
        <f>'2.1meta'!T14+'2.1meta'!T31+'2.1meta'!T48+'2.1meta'!T66+'2.1meta'!T83+'2.1meta'!T100+'2.1meta'!T117+'2.1meta'!T134+'2.1meta'!T151+'2.1meta'!T168+'2.1meta'!T185+'2.1meta'!T202+'2.1meta'!T219+'2.1meta'!T244+'2.1meta'!T261+'2.1meta'!T278+'2.1meta'!T295+'2.1meta'!T312+'2.1meta'!T329</f>
        <v>0</v>
      </c>
      <c r="T13" s="88">
        <f>'2.1meta'!U14+'2.1meta'!U31+'2.1meta'!U48+'2.1meta'!U66+'2.1meta'!U83+'2.1meta'!U100+'2.1meta'!U117+'2.1meta'!U134+'2.1meta'!U151+'2.1meta'!U168+'2.1meta'!U185+'2.1meta'!U202+'2.1meta'!U219+'2.1meta'!U244+'2.1meta'!U261+'2.1meta'!U278+'2.1meta'!U295+'2.1meta'!U312+'2.1meta'!U329</f>
        <v>0</v>
      </c>
      <c r="U13" s="88">
        <f>'2.1meta'!V14+'2.1meta'!V31+'2.1meta'!V48+'2.1meta'!V66+'2.1meta'!V83+'2.1meta'!V100+'2.1meta'!V117+'2.1meta'!V134+'2.1meta'!V151+'2.1meta'!V168+'2.1meta'!V185+'2.1meta'!V202+'2.1meta'!V219+'2.1meta'!V244+'2.1meta'!V261+'2.1meta'!V278+'2.1meta'!V295+'2.1meta'!V312+'2.1meta'!V329</f>
        <v>0</v>
      </c>
      <c r="V13" s="88">
        <f>'2.1meta'!W14+'2.1meta'!W31+'2.1meta'!W48+'2.1meta'!W66+'2.1meta'!W83+'2.1meta'!W100+'2.1meta'!W117+'2.1meta'!W134+'2.1meta'!W151+'2.1meta'!W168+'2.1meta'!W185+'2.1meta'!W202+'2.1meta'!W219+'2.1meta'!W244+'2.1meta'!W261+'2.1meta'!W278+'2.1meta'!W295+'2.1meta'!W312+'2.1meta'!W329</f>
        <v>0</v>
      </c>
      <c r="W13" s="88">
        <f>'2.1meta'!X14+'2.1meta'!X31+'2.1meta'!X48+'2.1meta'!X66+'2.1meta'!X83+'2.1meta'!X100+'2.1meta'!X117+'2.1meta'!X134+'2.1meta'!X151+'2.1meta'!X168+'2.1meta'!X185+'2.1meta'!X202+'2.1meta'!X219+'2.1meta'!X244+'2.1meta'!X261+'2.1meta'!X278+'2.1meta'!X295+'2.1meta'!X312+'2.1meta'!X329</f>
        <v>0</v>
      </c>
      <c r="X13" s="90">
        <f>SUM(R13:W13)</f>
        <v>0</v>
      </c>
      <c r="Y13" s="91">
        <f>P13+X13</f>
        <v>0</v>
      </c>
      <c r="Z13" s="92">
        <f>C13-Y13</f>
        <v>0</v>
      </c>
    </row>
    <row r="14" spans="1:26" ht="15.75" customHeight="1">
      <c r="A14" s="93" t="s">
        <v>45</v>
      </c>
      <c r="B14" s="114" t="s">
        <v>46</v>
      </c>
      <c r="C14" s="88">
        <f>'2.1meta'!D15+'2.1meta'!D32+'2.1meta'!D49+'2.1meta'!D67+'2.1meta'!D84+'2.1meta'!D101+'2.1meta'!D118+'2.1meta'!D135+'2.1meta'!D152+'2.1meta'!D169+'2.1meta'!D186+'2.1meta'!D203+'2.1meta'!D220+'2.1meta'!D232+'2.1meta'!D245+'2.1meta'!D262+'2.1meta'!D279+'2.1meta'!D296+'2.1meta'!D313+'2.1meta'!D330</f>
        <v>0</v>
      </c>
      <c r="D14" s="88">
        <f>'2.1meta'!E15+'2.1meta'!E32+'2.1meta'!E49+'2.1meta'!E67+'2.1meta'!E84+'2.1meta'!E101+'2.1meta'!E118+'2.1meta'!E135+'2.1meta'!E152+'2.1meta'!E169+'2.1meta'!E186+'2.1meta'!E203+'2.1meta'!E220+'2.1meta'!E232+'2.1meta'!E245+'2.1meta'!E262+'2.1meta'!E279+'2.1meta'!E296+'2.1meta'!E313+'2.1meta'!E330</f>
        <v>0</v>
      </c>
      <c r="E14" s="88">
        <f>'2.1meta'!F15+'2.1meta'!F32+'2.1meta'!F49+'2.1meta'!F67+'2.1meta'!F84+'2.1meta'!F101+'2.1meta'!F118+'2.1meta'!F135+'2.1meta'!F152+'2.1meta'!F169+'2.1meta'!F186+'2.1meta'!F203+'2.1meta'!F220+'2.1meta'!F232+'2.1meta'!F245+'2.1meta'!F262+'2.1meta'!F279+'2.1meta'!F296+'2.1meta'!F313+'2.1meta'!F330</f>
        <v>0</v>
      </c>
      <c r="F14" s="88">
        <f>'2.1meta'!G15+'2.1meta'!G32+'2.1meta'!G49+'2.1meta'!G67+'2.1meta'!G84+'2.1meta'!G101+'2.1meta'!G118+'2.1meta'!G135+'2.1meta'!G152+'2.1meta'!G169+'2.1meta'!G186+'2.1meta'!G203+'2.1meta'!G220+'2.1meta'!G232+'2.1meta'!G245+'2.1meta'!G262+'2.1meta'!G279+'2.1meta'!G296+'2.1meta'!G313+'2.1meta'!G330</f>
        <v>0</v>
      </c>
      <c r="G14" s="88">
        <f>'2.1meta'!H15+'2.1meta'!H32+'2.1meta'!H49+'2.1meta'!H67+'2.1meta'!H84+'2.1meta'!H101+'2.1meta'!H118+'2.1meta'!H135+'2.1meta'!H152+'2.1meta'!H169+'2.1meta'!H186+'2.1meta'!H203+'2.1meta'!H220+'2.1meta'!H232+'2.1meta'!H245+'2.1meta'!H262+'2.1meta'!H279+'2.1meta'!H296+'2.1meta'!H313+'2.1meta'!H330</f>
        <v>0</v>
      </c>
      <c r="H14" s="88">
        <f>'2.1meta'!I15+'2.1meta'!I32+'2.1meta'!I49+'2.1meta'!I67+'2.1meta'!I84+'2.1meta'!I101+'2.1meta'!I118+'2.1meta'!I135+'2.1meta'!I152+'2.1meta'!I169+'2.1meta'!I186+'2.1meta'!I203+'2.1meta'!I220+'2.1meta'!I232+'2.1meta'!I245+'2.1meta'!I262+'2.1meta'!I279+'2.1meta'!I296+'2.1meta'!I313+'2.1meta'!I330</f>
        <v>0</v>
      </c>
      <c r="I14" s="88">
        <f>'2.1meta'!J15+'2.1meta'!J32+'2.1meta'!J49+'2.1meta'!J67+'2.1meta'!J84+'2.1meta'!J101+'2.1meta'!J118+'2.1meta'!J135+'2.1meta'!J152+'2.1meta'!J169+'2.1meta'!J186+'2.1meta'!J203+'2.1meta'!J220+'2.1meta'!J232+'2.1meta'!J245+'2.1meta'!J262+'2.1meta'!J279+'2.1meta'!J296+'2.1meta'!J313+'2.1meta'!J330</f>
        <v>0</v>
      </c>
      <c r="J14" s="88">
        <f>'2.1meta'!K15+'2.1meta'!K32+'2.1meta'!K49+'2.1meta'!K67+'2.1meta'!K84+'2.1meta'!K101+'2.1meta'!K118+'2.1meta'!K135+'2.1meta'!K152+'2.1meta'!K169+'2.1meta'!K186+'2.1meta'!K203+'2.1meta'!K220+'2.1meta'!K232+'2.1meta'!K245+'2.1meta'!K262+'2.1meta'!K279+'2.1meta'!K296+'2.1meta'!K313+'2.1meta'!K330</f>
        <v>0</v>
      </c>
      <c r="K14" s="88">
        <f>'2.1meta'!L15+'2.1meta'!L32+'2.1meta'!L49+'2.1meta'!L67+'2.1meta'!L84+'2.1meta'!L101+'2.1meta'!L118+'2.1meta'!L135+'2.1meta'!L152+'2.1meta'!L169+'2.1meta'!L186+'2.1meta'!L203+'2.1meta'!L220+'2.1meta'!L232+'2.1meta'!L245+'2.1meta'!L262+'2.1meta'!L279+'2.1meta'!L296+'2.1meta'!L313+'2.1meta'!L330</f>
        <v>0</v>
      </c>
      <c r="L14" s="88">
        <f>'2.1meta'!M15+'2.1meta'!M32+'2.1meta'!M49+'2.1meta'!M67+'2.1meta'!M84+'2.1meta'!M101+'2.1meta'!M118+'2.1meta'!M135+'2.1meta'!M152+'2.1meta'!M169+'2.1meta'!M186+'2.1meta'!M203+'2.1meta'!M220+'2.1meta'!M232+'2.1meta'!M245+'2.1meta'!M262+'2.1meta'!M279+'2.1meta'!M296+'2.1meta'!M313+'2.1meta'!M330</f>
        <v>0</v>
      </c>
      <c r="M14" s="88">
        <f>'2.1meta'!N15+'2.1meta'!N32+'2.1meta'!N49+'2.1meta'!N67+'2.1meta'!N84+'2.1meta'!N101+'2.1meta'!N118+'2.1meta'!N135+'2.1meta'!N152+'2.1meta'!N169+'2.1meta'!N186+'2.1meta'!N203+'2.1meta'!N220+'2.1meta'!N232+'2.1meta'!N245+'2.1meta'!N262+'2.1meta'!N279+'2.1meta'!N296+'2.1meta'!N313+'2.1meta'!N330</f>
        <v>0</v>
      </c>
      <c r="N14" s="88">
        <f>'2.1meta'!O15+'2.1meta'!O32+'2.1meta'!O49+'2.1meta'!O67+'2.1meta'!O84+'2.1meta'!O101+'2.1meta'!O118+'2.1meta'!O135+'2.1meta'!O152+'2.1meta'!O169+'2.1meta'!O186+'2.1meta'!O203+'2.1meta'!O220+'2.1meta'!O232+'2.1meta'!O245+'2.1meta'!O262+'2.1meta'!O279+'2.1meta'!O296+'2.1meta'!O313+'2.1meta'!O330</f>
        <v>0</v>
      </c>
      <c r="O14" s="88">
        <f>'2.1meta'!P15+'2.1meta'!P32+'2.1meta'!P49+'2.1meta'!P67+'2.1meta'!P84+'2.1meta'!P101+'2.1meta'!P118+'2.1meta'!P135+'2.1meta'!P152+'2.1meta'!P169+'2.1meta'!P186+'2.1meta'!P203+'2.1meta'!P220+'2.1meta'!P232+'2.1meta'!P245+'2.1meta'!P262+'2.1meta'!P279+'2.1meta'!P296+'2.1meta'!P313+'2.1meta'!P330</f>
        <v>0</v>
      </c>
      <c r="P14" s="89">
        <f t="shared" si="0"/>
        <v>0</v>
      </c>
      <c r="Q14" s="111">
        <f t="shared" si="1"/>
        <v>0</v>
      </c>
      <c r="R14" s="88">
        <f>'2.1meta'!S15+'2.1meta'!S32+'2.1meta'!S49+'2.1meta'!S67+'2.1meta'!S84+'2.1meta'!S101+'2.1meta'!S118+'2.1meta'!S135+'2.1meta'!S152+'2.1meta'!S169+'2.1meta'!S186+'2.1meta'!S203+'2.1meta'!S220+'2.1meta'!S232+'2.1meta'!S245+'2.1meta'!S262+'2.1meta'!S279+'2.1meta'!S296+'2.1meta'!S313+'2.1meta'!S330</f>
        <v>0</v>
      </c>
      <c r="S14" s="88">
        <f>'2.1meta'!T15+'2.1meta'!T32+'2.1meta'!T49+'2.1meta'!T67+'2.1meta'!T84+'2.1meta'!T101+'2.1meta'!T118+'2.1meta'!T135+'2.1meta'!T152+'2.1meta'!T169+'2.1meta'!T186+'2.1meta'!T203+'2.1meta'!T220+'2.1meta'!T232+'2.1meta'!T245+'2.1meta'!T262+'2.1meta'!T279+'2.1meta'!T296+'2.1meta'!T313+'2.1meta'!T330</f>
        <v>0</v>
      </c>
      <c r="T14" s="88">
        <f>'2.1meta'!U15+'2.1meta'!U32+'2.1meta'!U49+'2.1meta'!U67+'2.1meta'!U84+'2.1meta'!U101+'2.1meta'!U118+'2.1meta'!U135+'2.1meta'!U152+'2.1meta'!U169+'2.1meta'!U186+'2.1meta'!U203+'2.1meta'!U220+'2.1meta'!U232+'2.1meta'!U245+'2.1meta'!U262+'2.1meta'!U279+'2.1meta'!U296+'2.1meta'!U313+'2.1meta'!U330</f>
        <v>0</v>
      </c>
      <c r="U14" s="88">
        <f>'2.1meta'!V15+'2.1meta'!V32+'2.1meta'!V49+'2.1meta'!V67+'2.1meta'!V84+'2.1meta'!V101+'2.1meta'!V118+'2.1meta'!V135+'2.1meta'!V152+'2.1meta'!V169+'2.1meta'!V186+'2.1meta'!V203+'2.1meta'!V220+'2.1meta'!V232+'2.1meta'!V245+'2.1meta'!V262+'2.1meta'!V279+'2.1meta'!V296+'2.1meta'!V313+'2.1meta'!V330</f>
        <v>0</v>
      </c>
      <c r="V14" s="88">
        <f>'2.1meta'!W15+'2.1meta'!W32+'2.1meta'!W49+'2.1meta'!W67+'2.1meta'!W84+'2.1meta'!W101+'2.1meta'!W118+'2.1meta'!W135+'2.1meta'!W152+'2.1meta'!W169+'2.1meta'!W186+'2.1meta'!W203+'2.1meta'!W220+'2.1meta'!W232+'2.1meta'!W245+'2.1meta'!W262+'2.1meta'!W279+'2.1meta'!W296+'2.1meta'!W313+'2.1meta'!W330</f>
        <v>0</v>
      </c>
      <c r="W14" s="88">
        <f>'2.1meta'!X15+'2.1meta'!X32+'2.1meta'!X49+'2.1meta'!X67+'2.1meta'!X84+'2.1meta'!X101+'2.1meta'!X118+'2.1meta'!X135+'2.1meta'!X152+'2.1meta'!X169+'2.1meta'!X186+'2.1meta'!X203+'2.1meta'!X220+'2.1meta'!X232+'2.1meta'!X245+'2.1meta'!X262+'2.1meta'!X279+'2.1meta'!X296+'2.1meta'!X313+'2.1meta'!X330</f>
        <v>0</v>
      </c>
      <c r="X14" s="90">
        <f>SUM(R14:W14)</f>
        <v>0</v>
      </c>
      <c r="Y14" s="91">
        <f>P14+X14</f>
        <v>0</v>
      </c>
      <c r="Z14" s="92">
        <f>C14-Y14</f>
        <v>0</v>
      </c>
    </row>
    <row r="15" spans="1:26" ht="15.75" customHeight="1">
      <c r="A15" s="93" t="s">
        <v>47</v>
      </c>
      <c r="B15" s="114" t="s">
        <v>48</v>
      </c>
      <c r="C15" s="88">
        <f>'2.1meta'!D16+'2.1meta'!D33+'2.1meta'!D50+'2.1meta'!D68+'2.1meta'!D85+'2.1meta'!D102+'2.1meta'!D119+'2.1meta'!D136+'2.1meta'!D153+'2.1meta'!D170+'2.1meta'!D187+'2.1meta'!D204+'2.1meta'!D221+'2.1meta'!D233+'2.1meta'!D246+'2.1meta'!D263+'2.1meta'!D280+'2.1meta'!D297+'2.1meta'!D314+'2.1meta'!D331</f>
        <v>0</v>
      </c>
      <c r="D15" s="88">
        <f>'2.1meta'!E16+'2.1meta'!E33+'2.1meta'!E50+'2.1meta'!E68+'2.1meta'!E85+'2.1meta'!E102+'2.1meta'!E119+'2.1meta'!E136+'2.1meta'!E153+'2.1meta'!E170+'2.1meta'!E187+'2.1meta'!E204+'2.1meta'!E221+'2.1meta'!E233+'2.1meta'!E246+'2.1meta'!E263+'2.1meta'!E280+'2.1meta'!E297+'2.1meta'!E314+'2.1meta'!E331</f>
        <v>0</v>
      </c>
      <c r="E15" s="88">
        <f>'2.1meta'!F16+'2.1meta'!F33+'2.1meta'!F50+'2.1meta'!F68+'2.1meta'!F85+'2.1meta'!F102+'2.1meta'!F119+'2.1meta'!F136+'2.1meta'!F153+'2.1meta'!F170+'2.1meta'!F187+'2.1meta'!F204+'2.1meta'!F221+'2.1meta'!F233+'2.1meta'!F246+'2.1meta'!F263+'2.1meta'!F280+'2.1meta'!F297+'2.1meta'!F314+'2.1meta'!F331</f>
        <v>0</v>
      </c>
      <c r="F15" s="88">
        <f>'2.1meta'!G16+'2.1meta'!G33+'2.1meta'!G50+'2.1meta'!G68+'2.1meta'!G85+'2.1meta'!G102+'2.1meta'!G119+'2.1meta'!G136+'2.1meta'!G153+'2.1meta'!G170+'2.1meta'!G187+'2.1meta'!G204+'2.1meta'!G221+'2.1meta'!G233+'2.1meta'!G246+'2.1meta'!G263+'2.1meta'!G280+'2.1meta'!G297+'2.1meta'!G314+'2.1meta'!G331</f>
        <v>0</v>
      </c>
      <c r="G15" s="88">
        <f>'2.1meta'!H16+'2.1meta'!H33+'2.1meta'!H50+'2.1meta'!H68+'2.1meta'!H85+'2.1meta'!H102+'2.1meta'!H119+'2.1meta'!H136+'2.1meta'!H153+'2.1meta'!H170+'2.1meta'!H187+'2.1meta'!H204+'2.1meta'!H221+'2.1meta'!H233+'2.1meta'!H246+'2.1meta'!H263+'2.1meta'!H280+'2.1meta'!H297+'2.1meta'!H314+'2.1meta'!H331</f>
        <v>0</v>
      </c>
      <c r="H15" s="88">
        <f>'2.1meta'!I16+'2.1meta'!I33+'2.1meta'!I50+'2.1meta'!I68+'2.1meta'!I85+'2.1meta'!I102+'2.1meta'!I119+'2.1meta'!I136+'2.1meta'!I153+'2.1meta'!I170+'2.1meta'!I187+'2.1meta'!I204+'2.1meta'!I221+'2.1meta'!I233+'2.1meta'!I246+'2.1meta'!I263+'2.1meta'!I280+'2.1meta'!I297+'2.1meta'!I314+'2.1meta'!I331</f>
        <v>0</v>
      </c>
      <c r="I15" s="88">
        <f>'2.1meta'!J16+'2.1meta'!J33+'2.1meta'!J50+'2.1meta'!J68+'2.1meta'!J85+'2.1meta'!J102+'2.1meta'!J119+'2.1meta'!J136+'2.1meta'!J153+'2.1meta'!J170+'2.1meta'!J187+'2.1meta'!J204+'2.1meta'!J221+'2.1meta'!J233+'2.1meta'!J246+'2.1meta'!J263+'2.1meta'!J280+'2.1meta'!J297+'2.1meta'!J314+'2.1meta'!J331</f>
        <v>0</v>
      </c>
      <c r="J15" s="88">
        <f>'2.1meta'!K16+'2.1meta'!K33+'2.1meta'!K50+'2.1meta'!K68+'2.1meta'!K85+'2.1meta'!K102+'2.1meta'!K119+'2.1meta'!K136+'2.1meta'!K153+'2.1meta'!K170+'2.1meta'!K187+'2.1meta'!K204+'2.1meta'!K221+'2.1meta'!K233+'2.1meta'!K246+'2.1meta'!K263+'2.1meta'!K280+'2.1meta'!K297+'2.1meta'!K314+'2.1meta'!K331</f>
        <v>0</v>
      </c>
      <c r="K15" s="88">
        <f>'2.1meta'!L16+'2.1meta'!L33+'2.1meta'!L50+'2.1meta'!L68+'2.1meta'!L85+'2.1meta'!L102+'2.1meta'!L119+'2.1meta'!L136+'2.1meta'!L153+'2.1meta'!L170+'2.1meta'!L187+'2.1meta'!L204+'2.1meta'!L221+'2.1meta'!L233+'2.1meta'!L246+'2.1meta'!L263+'2.1meta'!L280+'2.1meta'!L297+'2.1meta'!L314+'2.1meta'!L331</f>
        <v>0</v>
      </c>
      <c r="L15" s="88">
        <f>'2.1meta'!M16+'2.1meta'!M33+'2.1meta'!M50+'2.1meta'!M68+'2.1meta'!M85+'2.1meta'!M102+'2.1meta'!M119+'2.1meta'!M136+'2.1meta'!M153+'2.1meta'!M170+'2.1meta'!M187+'2.1meta'!M204+'2.1meta'!M221+'2.1meta'!M233+'2.1meta'!M246+'2.1meta'!M263+'2.1meta'!M280+'2.1meta'!M297+'2.1meta'!M314+'2.1meta'!M331</f>
        <v>0</v>
      </c>
      <c r="M15" s="88">
        <f>'2.1meta'!N16+'2.1meta'!N33+'2.1meta'!N50+'2.1meta'!N68+'2.1meta'!N85+'2.1meta'!N102+'2.1meta'!N119+'2.1meta'!N136+'2.1meta'!N153+'2.1meta'!N170+'2.1meta'!N187+'2.1meta'!N204+'2.1meta'!N221+'2.1meta'!N233+'2.1meta'!N246+'2.1meta'!N263+'2.1meta'!N280+'2.1meta'!N297+'2.1meta'!N314+'2.1meta'!N331</f>
        <v>0</v>
      </c>
      <c r="N15" s="88">
        <f>'2.1meta'!O16+'2.1meta'!O33+'2.1meta'!O50+'2.1meta'!O68+'2.1meta'!O85+'2.1meta'!O102+'2.1meta'!O119+'2.1meta'!O136+'2.1meta'!O153+'2.1meta'!O170+'2.1meta'!O187+'2.1meta'!O204+'2.1meta'!O221+'2.1meta'!O233+'2.1meta'!O246+'2.1meta'!O263+'2.1meta'!O280+'2.1meta'!O297+'2.1meta'!O314+'2.1meta'!O331</f>
        <v>0</v>
      </c>
      <c r="O15" s="88">
        <f>'2.1meta'!P16+'2.1meta'!P33+'2.1meta'!P50+'2.1meta'!P68+'2.1meta'!P85+'2.1meta'!P102+'2.1meta'!P119+'2.1meta'!P136+'2.1meta'!P153+'2.1meta'!P170+'2.1meta'!P187+'2.1meta'!P204+'2.1meta'!P221+'2.1meta'!P233+'2.1meta'!P246+'2.1meta'!P263+'2.1meta'!P280+'2.1meta'!P297+'2.1meta'!P314+'2.1meta'!P331</f>
        <v>0</v>
      </c>
      <c r="P15" s="89">
        <f t="shared" si="0"/>
        <v>0</v>
      </c>
      <c r="Q15" s="111">
        <f t="shared" si="1"/>
        <v>0</v>
      </c>
      <c r="R15" s="88">
        <f>'2.1meta'!S16+'2.1meta'!S33+'2.1meta'!S50+'2.1meta'!S68+'2.1meta'!S85+'2.1meta'!S102+'2.1meta'!S119+'2.1meta'!S136+'2.1meta'!S153+'2.1meta'!S170+'2.1meta'!S187+'2.1meta'!S204+'2.1meta'!S221+'2.1meta'!S233+'2.1meta'!S246+'2.1meta'!S263+'2.1meta'!S280+'2.1meta'!S297+'2.1meta'!S314+'2.1meta'!S331</f>
        <v>0</v>
      </c>
      <c r="S15" s="88">
        <f>'2.1meta'!T16+'2.1meta'!T33+'2.1meta'!T50+'2.1meta'!T68+'2.1meta'!T85+'2.1meta'!T102+'2.1meta'!T119+'2.1meta'!T136+'2.1meta'!T153+'2.1meta'!T170+'2.1meta'!T187+'2.1meta'!T204+'2.1meta'!T221+'2.1meta'!T233+'2.1meta'!T246+'2.1meta'!T263+'2.1meta'!T280+'2.1meta'!T297+'2.1meta'!T314+'2.1meta'!T331</f>
        <v>0</v>
      </c>
      <c r="T15" s="88">
        <f>'2.1meta'!U16+'2.1meta'!U33+'2.1meta'!U50+'2.1meta'!U68+'2.1meta'!U85+'2.1meta'!U102+'2.1meta'!U119+'2.1meta'!U136+'2.1meta'!U153+'2.1meta'!U170+'2.1meta'!U187+'2.1meta'!U204+'2.1meta'!U221+'2.1meta'!U233+'2.1meta'!U246+'2.1meta'!U263+'2.1meta'!U280+'2.1meta'!U297+'2.1meta'!U314+'2.1meta'!U331</f>
        <v>0</v>
      </c>
      <c r="U15" s="88">
        <f>'2.1meta'!V16+'2.1meta'!V33+'2.1meta'!V50+'2.1meta'!V68+'2.1meta'!V85+'2.1meta'!V102+'2.1meta'!V119+'2.1meta'!V136+'2.1meta'!V153+'2.1meta'!V170+'2.1meta'!V187+'2.1meta'!V204+'2.1meta'!V221+'2.1meta'!V233+'2.1meta'!V246+'2.1meta'!V263+'2.1meta'!V280+'2.1meta'!V297+'2.1meta'!V314+'2.1meta'!V331</f>
        <v>0</v>
      </c>
      <c r="V15" s="88">
        <f>'2.1meta'!W16+'2.1meta'!W33+'2.1meta'!W50+'2.1meta'!W68+'2.1meta'!W85+'2.1meta'!W102+'2.1meta'!W119+'2.1meta'!W136+'2.1meta'!W153+'2.1meta'!W170+'2.1meta'!W187+'2.1meta'!W204+'2.1meta'!W221+'2.1meta'!W233+'2.1meta'!W246+'2.1meta'!W263+'2.1meta'!W280+'2.1meta'!W297+'2.1meta'!W314+'2.1meta'!W331</f>
        <v>0</v>
      </c>
      <c r="W15" s="88">
        <f>'2.1meta'!X16+'2.1meta'!X33+'2.1meta'!X50+'2.1meta'!X68+'2.1meta'!X85+'2.1meta'!X102+'2.1meta'!X119+'2.1meta'!X136+'2.1meta'!X153+'2.1meta'!X170+'2.1meta'!X187+'2.1meta'!X204+'2.1meta'!X221+'2.1meta'!X233+'2.1meta'!X246+'2.1meta'!X263+'2.1meta'!X280+'2.1meta'!X297+'2.1meta'!X314+'2.1meta'!X331</f>
        <v>0</v>
      </c>
      <c r="X15" s="90">
        <f>SUM(R15:W15)</f>
        <v>0</v>
      </c>
      <c r="Y15" s="91">
        <f>P15+X15</f>
        <v>0</v>
      </c>
      <c r="Z15" s="92">
        <f>C15-Y15</f>
        <v>0</v>
      </c>
    </row>
    <row r="16" spans="1:26" ht="15.75" customHeight="1">
      <c r="A16" s="93" t="s">
        <v>49</v>
      </c>
      <c r="B16" s="114" t="s">
        <v>50</v>
      </c>
      <c r="C16" s="88">
        <f>'2.1meta'!D17+'2.1meta'!D34+'2.1meta'!D51+'2.1meta'!D69+'2.1meta'!D86+'2.1meta'!D103+'2.1meta'!D120+'2.1meta'!D137+'2.1meta'!D154+'2.1meta'!D171++'2.1meta'!D188+'2.1meta'!D205+'2.1meta'!D222+'2.1meta'!D247+'2.1meta'!D264+'2.1meta'!D281+'2.1meta'!D298+'2.1meta'!D315+'2.1meta'!D332</f>
        <v>0</v>
      </c>
      <c r="D16" s="88">
        <f>'2.1meta'!E17+'2.1meta'!E34+'2.1meta'!E51+'2.1meta'!E69+'2.1meta'!E86+'2.1meta'!E103+'2.1meta'!E120+'2.1meta'!E137+'2.1meta'!E154+'2.1meta'!E171++'2.1meta'!E188+'2.1meta'!E205+'2.1meta'!E222+'2.1meta'!E247+'2.1meta'!E264+'2.1meta'!E281+'2.1meta'!E298+'2.1meta'!E315+'2.1meta'!E332</f>
        <v>0</v>
      </c>
      <c r="E16" s="88">
        <f>'2.1meta'!F17+'2.1meta'!F34+'2.1meta'!F51+'2.1meta'!F69+'2.1meta'!F86+'2.1meta'!F103+'2.1meta'!F120+'2.1meta'!F137+'2.1meta'!F154+'2.1meta'!F171++'2.1meta'!F188+'2.1meta'!F205+'2.1meta'!F222+'2.1meta'!F247+'2.1meta'!F264+'2.1meta'!F281+'2.1meta'!F298+'2.1meta'!F315+'2.1meta'!F332</f>
        <v>0</v>
      </c>
      <c r="F16" s="88">
        <f>'2.1meta'!G17+'2.1meta'!G34+'2.1meta'!G51+'2.1meta'!G69+'2.1meta'!G86+'2.1meta'!G103+'2.1meta'!G120+'2.1meta'!G137+'2.1meta'!G154+'2.1meta'!G171++'2.1meta'!G188+'2.1meta'!G205+'2.1meta'!G222+'2.1meta'!G247+'2.1meta'!G264+'2.1meta'!G281+'2.1meta'!G298+'2.1meta'!G315+'2.1meta'!G332</f>
        <v>0</v>
      </c>
      <c r="G16" s="88">
        <f>'2.1meta'!H17+'2.1meta'!H34+'2.1meta'!H51+'2.1meta'!H69+'2.1meta'!H86+'2.1meta'!H103+'2.1meta'!H120+'2.1meta'!H137+'2.1meta'!H154+'2.1meta'!H171++'2.1meta'!H188+'2.1meta'!H205+'2.1meta'!H222+'2.1meta'!H247+'2.1meta'!H264+'2.1meta'!H281+'2.1meta'!H298+'2.1meta'!H315+'2.1meta'!H332</f>
        <v>0</v>
      </c>
      <c r="H16" s="88">
        <f>'2.1meta'!I17+'2.1meta'!I34+'2.1meta'!I51+'2.1meta'!I69+'2.1meta'!I86+'2.1meta'!I103+'2.1meta'!I120+'2.1meta'!I137+'2.1meta'!I154+'2.1meta'!I171++'2.1meta'!I188+'2.1meta'!I205+'2.1meta'!I222+'2.1meta'!I247+'2.1meta'!I264+'2.1meta'!I281+'2.1meta'!I298+'2.1meta'!I315+'2.1meta'!I332</f>
        <v>0</v>
      </c>
      <c r="I16" s="88">
        <f>'2.1meta'!J17+'2.1meta'!J34+'2.1meta'!J51+'2.1meta'!J69+'2.1meta'!J86+'2.1meta'!J103+'2.1meta'!J120+'2.1meta'!J137+'2.1meta'!J154+'2.1meta'!J171++'2.1meta'!J188+'2.1meta'!J205+'2.1meta'!J222+'2.1meta'!J247+'2.1meta'!J264+'2.1meta'!J281+'2.1meta'!J298+'2.1meta'!J315+'2.1meta'!J332</f>
        <v>0</v>
      </c>
      <c r="J16" s="88">
        <f>'2.1meta'!K17+'2.1meta'!K34+'2.1meta'!K51+'2.1meta'!K69+'2.1meta'!K86+'2.1meta'!K103+'2.1meta'!K120+'2.1meta'!K137+'2.1meta'!K154+'2.1meta'!K171++'2.1meta'!K188+'2.1meta'!K205+'2.1meta'!K222+'2.1meta'!K247+'2.1meta'!K264+'2.1meta'!K281+'2.1meta'!K298+'2.1meta'!K315+'2.1meta'!K332</f>
        <v>0</v>
      </c>
      <c r="K16" s="88">
        <f>'2.1meta'!L17+'2.1meta'!L34+'2.1meta'!L51+'2.1meta'!L69+'2.1meta'!L86+'2.1meta'!L103+'2.1meta'!L120+'2.1meta'!L137+'2.1meta'!L154+'2.1meta'!L171++'2.1meta'!L188+'2.1meta'!L205+'2.1meta'!L222+'2.1meta'!L247+'2.1meta'!L264+'2.1meta'!L281+'2.1meta'!L298+'2.1meta'!L315+'2.1meta'!L332</f>
        <v>0</v>
      </c>
      <c r="L16" s="88">
        <f>'2.1meta'!M17+'2.1meta'!M34+'2.1meta'!M51+'2.1meta'!M69+'2.1meta'!M86+'2.1meta'!M103+'2.1meta'!M120+'2.1meta'!M137+'2.1meta'!M154+'2.1meta'!M171++'2.1meta'!M188+'2.1meta'!M205+'2.1meta'!M222+'2.1meta'!M247+'2.1meta'!M264+'2.1meta'!M281+'2.1meta'!M298+'2.1meta'!M315+'2.1meta'!M332</f>
        <v>0</v>
      </c>
      <c r="M16" s="88">
        <f>'2.1meta'!N17+'2.1meta'!N34+'2.1meta'!N51+'2.1meta'!N69+'2.1meta'!N86+'2.1meta'!N103+'2.1meta'!N120+'2.1meta'!N137+'2.1meta'!N154+'2.1meta'!N171++'2.1meta'!N188+'2.1meta'!N205+'2.1meta'!N222+'2.1meta'!N247+'2.1meta'!N264+'2.1meta'!N281+'2.1meta'!N298+'2.1meta'!N315+'2.1meta'!N332</f>
        <v>0</v>
      </c>
      <c r="N16" s="88">
        <f>'2.1meta'!O17+'2.1meta'!O34+'2.1meta'!O51+'2.1meta'!O69+'2.1meta'!O86+'2.1meta'!O103+'2.1meta'!O120+'2.1meta'!O137+'2.1meta'!O154+'2.1meta'!O171++'2.1meta'!O188+'2.1meta'!O205+'2.1meta'!O222+'2.1meta'!O247+'2.1meta'!O264+'2.1meta'!O281+'2.1meta'!O298+'2.1meta'!O315+'2.1meta'!O332</f>
        <v>0</v>
      </c>
      <c r="O16" s="88">
        <f>'2.1meta'!P17+'2.1meta'!P34+'2.1meta'!P51+'2.1meta'!P69+'2.1meta'!P86+'2.1meta'!P103+'2.1meta'!P120+'2.1meta'!P137+'2.1meta'!P154+'2.1meta'!P171++'2.1meta'!P188+'2.1meta'!P205+'2.1meta'!P222+'2.1meta'!P247+'2.1meta'!P264+'2.1meta'!P281+'2.1meta'!P298+'2.1meta'!P315+'2.1meta'!P332</f>
        <v>0</v>
      </c>
      <c r="P16" s="89">
        <f t="shared" si="0"/>
        <v>0</v>
      </c>
      <c r="Q16" s="111">
        <f t="shared" si="1"/>
        <v>0</v>
      </c>
      <c r="R16" s="88">
        <f>'2.1meta'!S17+'2.1meta'!S34+'2.1meta'!S51+'2.1meta'!S69+'2.1meta'!S86+'2.1meta'!S103+'2.1meta'!S120+'2.1meta'!S137+'2.1meta'!S154+'2.1meta'!S171++'2.1meta'!S188+'2.1meta'!S205+'2.1meta'!S222+'2.1meta'!S247+'2.1meta'!S264+'2.1meta'!S281+'2.1meta'!S298+'2.1meta'!S315+'2.1meta'!S332</f>
        <v>0</v>
      </c>
      <c r="S16" s="88">
        <f>'2.1meta'!T17+'2.1meta'!T34+'2.1meta'!T51+'2.1meta'!T69+'2.1meta'!T86+'2.1meta'!T103+'2.1meta'!T120+'2.1meta'!T137+'2.1meta'!T154+'2.1meta'!T171++'2.1meta'!T188+'2.1meta'!T205+'2.1meta'!T222+'2.1meta'!T247+'2.1meta'!T264+'2.1meta'!T281+'2.1meta'!T298+'2.1meta'!T315+'2.1meta'!T332</f>
        <v>0</v>
      </c>
      <c r="T16" s="88">
        <f>'2.1meta'!U17+'2.1meta'!U34+'2.1meta'!U51+'2.1meta'!U69+'2.1meta'!U86+'2.1meta'!U103+'2.1meta'!U120+'2.1meta'!U137+'2.1meta'!U154+'2.1meta'!U171++'2.1meta'!U188+'2.1meta'!U205+'2.1meta'!U222+'2.1meta'!U247+'2.1meta'!U264+'2.1meta'!U281+'2.1meta'!U298+'2.1meta'!U315+'2.1meta'!U332</f>
        <v>0</v>
      </c>
      <c r="U16" s="88">
        <f>'2.1meta'!V17+'2.1meta'!V34+'2.1meta'!V51+'2.1meta'!V69+'2.1meta'!V86+'2.1meta'!V103+'2.1meta'!V120+'2.1meta'!V137+'2.1meta'!V154+'2.1meta'!V171++'2.1meta'!V188+'2.1meta'!V205+'2.1meta'!V222+'2.1meta'!V247+'2.1meta'!V264+'2.1meta'!V281+'2.1meta'!V298+'2.1meta'!V315+'2.1meta'!V332</f>
        <v>0</v>
      </c>
      <c r="V16" s="88">
        <f>'2.1meta'!W17+'2.1meta'!W34+'2.1meta'!W51+'2.1meta'!W69+'2.1meta'!W86+'2.1meta'!W103+'2.1meta'!W120+'2.1meta'!W137+'2.1meta'!W154+'2.1meta'!W171++'2.1meta'!W188+'2.1meta'!W205+'2.1meta'!W222+'2.1meta'!W247+'2.1meta'!W264+'2.1meta'!W281+'2.1meta'!W298+'2.1meta'!W315+'2.1meta'!W332</f>
        <v>0</v>
      </c>
      <c r="W16" s="88">
        <f>'2.1meta'!X17+'2.1meta'!X34+'2.1meta'!X51+'2.1meta'!X69+'2.1meta'!X86+'2.1meta'!X103+'2.1meta'!X120+'2.1meta'!X137+'2.1meta'!X154+'2.1meta'!X171++'2.1meta'!X188+'2.1meta'!X205+'2.1meta'!X222+'2.1meta'!X247+'2.1meta'!X264+'2.1meta'!X281+'2.1meta'!X298+'2.1meta'!X315+'2.1meta'!X332</f>
        <v>0</v>
      </c>
      <c r="X16" s="90">
        <f>SUM(R16:W16)</f>
        <v>0</v>
      </c>
      <c r="Y16" s="91">
        <f>P16+X16</f>
        <v>0</v>
      </c>
      <c r="Z16" s="92">
        <f>C16-Y16</f>
        <v>0</v>
      </c>
    </row>
    <row r="17" spans="1:26" ht="15.75" customHeight="1">
      <c r="A17" s="93" t="s">
        <v>51</v>
      </c>
      <c r="B17" s="114" t="s">
        <v>52</v>
      </c>
      <c r="C17" s="88">
        <f>'2.1meta'!D18+'2.1meta'!D35+'2.1meta'!D52+'2.1meta'!D70+'2.1meta'!D87+'2.1meta'!D104+'2.1meta'!D121+'2.1meta'!D138+'2.1meta'!D155+'2.1meta'!D172+'2.1meta'!D189+'2.1meta'!D206+'2.1meta'!D223+'2.1meta'!D248+'2.1meta'!D265+'2.1meta'!D282+'2.1meta'!D299+'2.1meta'!D316+'2.1meta'!D333</f>
        <v>0</v>
      </c>
      <c r="D17" s="88">
        <f>'2.1meta'!E18+'2.1meta'!E35+'2.1meta'!E52+'2.1meta'!E70+'2.1meta'!E87+'2.1meta'!E104+'2.1meta'!E121+'2.1meta'!E138+'2.1meta'!E155+'2.1meta'!E172+'2.1meta'!E189+'2.1meta'!E206+'2.1meta'!E223+'2.1meta'!E248+'2.1meta'!E265+'2.1meta'!E282+'2.1meta'!E299+'2.1meta'!E316+'2.1meta'!E333</f>
        <v>0</v>
      </c>
      <c r="E17" s="88">
        <f>'2.1meta'!F18+'2.1meta'!F35+'2.1meta'!F52+'2.1meta'!F70+'2.1meta'!F87+'2.1meta'!F104+'2.1meta'!F121+'2.1meta'!F138+'2.1meta'!F155+'2.1meta'!F172+'2.1meta'!F189+'2.1meta'!F206+'2.1meta'!F223+'2.1meta'!F248+'2.1meta'!F265+'2.1meta'!F282+'2.1meta'!F299+'2.1meta'!F316+'2.1meta'!F333</f>
        <v>0</v>
      </c>
      <c r="F17" s="88">
        <f>'2.1meta'!G18+'2.1meta'!G35+'2.1meta'!G52+'2.1meta'!G70+'2.1meta'!G87+'2.1meta'!G104+'2.1meta'!G121+'2.1meta'!G138+'2.1meta'!G155+'2.1meta'!G172+'2.1meta'!G189+'2.1meta'!G206+'2.1meta'!G223+'2.1meta'!G248+'2.1meta'!G265+'2.1meta'!G282+'2.1meta'!G299+'2.1meta'!G316+'2.1meta'!G333</f>
        <v>0</v>
      </c>
      <c r="G17" s="88">
        <f>'2.1meta'!H18+'2.1meta'!H35+'2.1meta'!H52+'2.1meta'!H70+'2.1meta'!H87+'2.1meta'!H104+'2.1meta'!H121+'2.1meta'!H138+'2.1meta'!H155+'2.1meta'!H172+'2.1meta'!H189+'2.1meta'!H206+'2.1meta'!H223+'2.1meta'!H248+'2.1meta'!H265+'2.1meta'!H282+'2.1meta'!H299+'2.1meta'!H316+'2.1meta'!H333</f>
        <v>0</v>
      </c>
      <c r="H17" s="88">
        <f>'2.1meta'!I18+'2.1meta'!I35+'2.1meta'!I52+'2.1meta'!I70+'2.1meta'!I87+'2.1meta'!I104+'2.1meta'!I121+'2.1meta'!I138+'2.1meta'!I155+'2.1meta'!I172+'2.1meta'!I189+'2.1meta'!I206+'2.1meta'!I223+'2.1meta'!I248+'2.1meta'!I265+'2.1meta'!I282+'2.1meta'!I299+'2.1meta'!I316+'2.1meta'!I333</f>
        <v>0</v>
      </c>
      <c r="I17" s="88">
        <f>'2.1meta'!J18+'2.1meta'!J35+'2.1meta'!J52+'2.1meta'!J70+'2.1meta'!J87+'2.1meta'!J104+'2.1meta'!J121+'2.1meta'!J138+'2.1meta'!J155+'2.1meta'!J172+'2.1meta'!J189+'2.1meta'!J206+'2.1meta'!J223+'2.1meta'!J248+'2.1meta'!J265+'2.1meta'!J282+'2.1meta'!J299+'2.1meta'!J316+'2.1meta'!J333</f>
        <v>0</v>
      </c>
      <c r="J17" s="88">
        <f>'2.1meta'!K18+'2.1meta'!K35+'2.1meta'!K52+'2.1meta'!K70+'2.1meta'!K87+'2.1meta'!K104+'2.1meta'!K121+'2.1meta'!K138+'2.1meta'!K155+'2.1meta'!K172+'2.1meta'!K189+'2.1meta'!K206+'2.1meta'!K223+'2.1meta'!K248+'2.1meta'!K265+'2.1meta'!K282+'2.1meta'!K299+'2.1meta'!K316+'2.1meta'!K333</f>
        <v>0</v>
      </c>
      <c r="K17" s="88">
        <f>'2.1meta'!L18+'2.1meta'!L35+'2.1meta'!L52+'2.1meta'!L70+'2.1meta'!L87+'2.1meta'!L104+'2.1meta'!L121+'2.1meta'!L138+'2.1meta'!L155+'2.1meta'!L172+'2.1meta'!L189+'2.1meta'!L206+'2.1meta'!L223+'2.1meta'!L248+'2.1meta'!L265+'2.1meta'!L282+'2.1meta'!L299+'2.1meta'!L316+'2.1meta'!L333</f>
        <v>0</v>
      </c>
      <c r="L17" s="88">
        <f>'2.1meta'!M18+'2.1meta'!M35+'2.1meta'!M52+'2.1meta'!M70+'2.1meta'!M87+'2.1meta'!M104+'2.1meta'!M121+'2.1meta'!M138+'2.1meta'!M155+'2.1meta'!M172+'2.1meta'!M189+'2.1meta'!M206+'2.1meta'!M223+'2.1meta'!M248+'2.1meta'!M265+'2.1meta'!M282+'2.1meta'!M299+'2.1meta'!M316+'2.1meta'!M333</f>
        <v>0</v>
      </c>
      <c r="M17" s="88">
        <f>'2.1meta'!N18+'2.1meta'!N35+'2.1meta'!N52+'2.1meta'!N70+'2.1meta'!N87+'2.1meta'!N104+'2.1meta'!N121+'2.1meta'!N138+'2.1meta'!N155+'2.1meta'!N172+'2.1meta'!N189+'2.1meta'!N206+'2.1meta'!N223+'2.1meta'!N248+'2.1meta'!N265+'2.1meta'!N282+'2.1meta'!N299+'2.1meta'!N316+'2.1meta'!N333</f>
        <v>0</v>
      </c>
      <c r="N17" s="88">
        <f>'2.1meta'!O18+'2.1meta'!O35+'2.1meta'!O52+'2.1meta'!O70+'2.1meta'!O87+'2.1meta'!O104+'2.1meta'!O121+'2.1meta'!O138+'2.1meta'!O155+'2.1meta'!O172+'2.1meta'!O189+'2.1meta'!O206+'2.1meta'!O223+'2.1meta'!O248+'2.1meta'!O265+'2.1meta'!O282+'2.1meta'!O299+'2.1meta'!O316+'2.1meta'!O333</f>
        <v>0</v>
      </c>
      <c r="O17" s="88">
        <f>'2.1meta'!P18+'2.1meta'!P35+'2.1meta'!P52+'2.1meta'!P70+'2.1meta'!P87+'2.1meta'!P104+'2.1meta'!P121+'2.1meta'!P138+'2.1meta'!P155+'2.1meta'!P172+'2.1meta'!P189+'2.1meta'!P206+'2.1meta'!P223+'2.1meta'!P248+'2.1meta'!P265+'2.1meta'!P282+'2.1meta'!P299+'2.1meta'!P316+'2.1meta'!P333</f>
        <v>0</v>
      </c>
      <c r="P17" s="89">
        <f t="shared" si="0"/>
        <v>0</v>
      </c>
      <c r="Q17" s="111">
        <f t="shared" si="1"/>
        <v>0</v>
      </c>
      <c r="R17" s="88">
        <f>'2.1meta'!S18+'2.1meta'!S35+'2.1meta'!S52+'2.1meta'!S70+'2.1meta'!S87+'2.1meta'!S104+'2.1meta'!S121+'2.1meta'!S138+'2.1meta'!S155+'2.1meta'!S172+'2.1meta'!S189+'2.1meta'!S206+'2.1meta'!S223+'2.1meta'!S248+'2.1meta'!S265+'2.1meta'!S282+'2.1meta'!S299+'2.1meta'!S316+'2.1meta'!S333</f>
        <v>0</v>
      </c>
      <c r="S17" s="88">
        <f>'2.1meta'!T18+'2.1meta'!T35+'2.1meta'!T52+'2.1meta'!T70+'2.1meta'!T87+'2.1meta'!T104+'2.1meta'!T121+'2.1meta'!T138+'2.1meta'!T155+'2.1meta'!T172+'2.1meta'!T189+'2.1meta'!T206+'2.1meta'!T223+'2.1meta'!T248+'2.1meta'!T265+'2.1meta'!T282+'2.1meta'!T299+'2.1meta'!T316+'2.1meta'!T333</f>
        <v>0</v>
      </c>
      <c r="T17" s="88">
        <f>'2.1meta'!U18+'2.1meta'!U35+'2.1meta'!U52+'2.1meta'!U70+'2.1meta'!U87+'2.1meta'!U104+'2.1meta'!U121+'2.1meta'!U138+'2.1meta'!U155+'2.1meta'!U172+'2.1meta'!U189+'2.1meta'!U206+'2.1meta'!U223+'2.1meta'!U248+'2.1meta'!U265+'2.1meta'!U282+'2.1meta'!U299+'2.1meta'!U316+'2.1meta'!U333</f>
        <v>0</v>
      </c>
      <c r="U17" s="88">
        <f>'2.1meta'!V18+'2.1meta'!V35+'2.1meta'!V52+'2.1meta'!V70+'2.1meta'!V87+'2.1meta'!V104+'2.1meta'!V121+'2.1meta'!V138+'2.1meta'!V155+'2.1meta'!V172+'2.1meta'!V189+'2.1meta'!V206+'2.1meta'!V223+'2.1meta'!V248+'2.1meta'!V265+'2.1meta'!V282+'2.1meta'!V299+'2.1meta'!V316+'2.1meta'!V333</f>
        <v>0</v>
      </c>
      <c r="V17" s="88">
        <f>'2.1meta'!W18+'2.1meta'!W35+'2.1meta'!W52+'2.1meta'!W70+'2.1meta'!W87+'2.1meta'!W104+'2.1meta'!W121+'2.1meta'!W138+'2.1meta'!W155+'2.1meta'!W172+'2.1meta'!W189+'2.1meta'!W206+'2.1meta'!W223+'2.1meta'!W248+'2.1meta'!W265+'2.1meta'!W282+'2.1meta'!W299+'2.1meta'!W316+'2.1meta'!W333</f>
        <v>0</v>
      </c>
      <c r="W17" s="88">
        <f>'2.1meta'!X18+'2.1meta'!X35+'2.1meta'!X52+'2.1meta'!X70+'2.1meta'!X87+'2.1meta'!X104+'2.1meta'!X121+'2.1meta'!X138+'2.1meta'!X155+'2.1meta'!X172+'2.1meta'!X189+'2.1meta'!X206+'2.1meta'!X223+'2.1meta'!X248+'2.1meta'!X265+'2.1meta'!X282+'2.1meta'!X299+'2.1meta'!X316+'2.1meta'!X333</f>
        <v>0</v>
      </c>
      <c r="X17" s="90">
        <f>SUM(R17:W17)</f>
        <v>0</v>
      </c>
      <c r="Y17" s="91">
        <f>P17+X17</f>
        <v>0</v>
      </c>
      <c r="Z17" s="92">
        <f>C17-Y17</f>
        <v>0</v>
      </c>
    </row>
    <row r="18" spans="1:26" ht="15.75" customHeight="1">
      <c r="A18" s="93" t="s">
        <v>53</v>
      </c>
      <c r="B18" s="114" t="s">
        <v>54</v>
      </c>
      <c r="C18" s="88">
        <f>'2.1meta'!D19+'2.1meta'!D36+'2.1meta'!D53+'2.1meta'!D71+'2.1meta'!D88+'2.1meta'!D105+'2.1meta'!D122+'2.1meta'!D139+'2.1meta'!D156+'2.1meta'!D173++'2.1meta'!D190+'2.1meta'!D207+'2.1meta'!D224+'2.1meta'!D249+'2.1meta'!D266+'2.1meta'!D283+'2.1meta'!D300+'2.1meta'!D317+'2.1meta'!D334</f>
        <v>0</v>
      </c>
      <c r="D18" s="88">
        <f>'2.1meta'!E19+'2.1meta'!E36+'2.1meta'!E53+'2.1meta'!E71+'2.1meta'!E88+'2.1meta'!E105+'2.1meta'!E122+'2.1meta'!E139+'2.1meta'!E156+'2.1meta'!E173++'2.1meta'!E190+'2.1meta'!E207+'2.1meta'!E224+'2.1meta'!E249+'2.1meta'!E266+'2.1meta'!E283+'2.1meta'!E300+'2.1meta'!E317+'2.1meta'!E334</f>
        <v>0</v>
      </c>
      <c r="E18" s="88">
        <f>'2.1meta'!F19+'2.1meta'!F36+'2.1meta'!F53+'2.1meta'!F71+'2.1meta'!F88+'2.1meta'!F105+'2.1meta'!F122+'2.1meta'!F139+'2.1meta'!F156+'2.1meta'!F173++'2.1meta'!F190+'2.1meta'!F207+'2.1meta'!F224+'2.1meta'!F249+'2.1meta'!F266+'2.1meta'!F283+'2.1meta'!F300+'2.1meta'!F317+'2.1meta'!F334</f>
        <v>0</v>
      </c>
      <c r="F18" s="88">
        <f>'2.1meta'!G19+'2.1meta'!G36+'2.1meta'!G53+'2.1meta'!G71+'2.1meta'!G88+'2.1meta'!G105+'2.1meta'!G122+'2.1meta'!G139+'2.1meta'!G156+'2.1meta'!G173++'2.1meta'!G190+'2.1meta'!G207+'2.1meta'!G224+'2.1meta'!G249+'2.1meta'!G266+'2.1meta'!G283+'2.1meta'!G300+'2.1meta'!G317+'2.1meta'!G334</f>
        <v>0</v>
      </c>
      <c r="G18" s="88">
        <f>'2.1meta'!H19+'2.1meta'!H36+'2.1meta'!H53+'2.1meta'!H71+'2.1meta'!H88+'2.1meta'!H105+'2.1meta'!H122+'2.1meta'!H139+'2.1meta'!H156+'2.1meta'!H173++'2.1meta'!H190+'2.1meta'!H207+'2.1meta'!H224+'2.1meta'!H249+'2.1meta'!H266+'2.1meta'!H283+'2.1meta'!H300+'2.1meta'!H317+'2.1meta'!H334</f>
        <v>0</v>
      </c>
      <c r="H18" s="88">
        <f>'2.1meta'!I19+'2.1meta'!I36+'2.1meta'!I53+'2.1meta'!I71+'2.1meta'!I88+'2.1meta'!I105+'2.1meta'!I122+'2.1meta'!I139+'2.1meta'!I156+'2.1meta'!I173++'2.1meta'!I190+'2.1meta'!I207+'2.1meta'!I224+'2.1meta'!I249+'2.1meta'!I266+'2.1meta'!I283+'2.1meta'!I300+'2.1meta'!I317+'2.1meta'!I334</f>
        <v>0</v>
      </c>
      <c r="I18" s="88">
        <f>'2.1meta'!J19+'2.1meta'!J36+'2.1meta'!J53+'2.1meta'!J71+'2.1meta'!J88+'2.1meta'!J105+'2.1meta'!J122+'2.1meta'!J139+'2.1meta'!J156+'2.1meta'!J173++'2.1meta'!J190+'2.1meta'!J207+'2.1meta'!J224+'2.1meta'!J249+'2.1meta'!J266+'2.1meta'!J283+'2.1meta'!J300+'2.1meta'!J317+'2.1meta'!J334</f>
        <v>0</v>
      </c>
      <c r="J18" s="88">
        <f>'2.1meta'!K19+'2.1meta'!K36+'2.1meta'!K53+'2.1meta'!K71+'2.1meta'!K88+'2.1meta'!K105+'2.1meta'!K122+'2.1meta'!K139+'2.1meta'!K156+'2.1meta'!K173++'2.1meta'!K190+'2.1meta'!K207+'2.1meta'!K224+'2.1meta'!K249+'2.1meta'!K266+'2.1meta'!K283+'2.1meta'!K300+'2.1meta'!K317+'2.1meta'!K334</f>
        <v>0</v>
      </c>
      <c r="K18" s="88">
        <f>'2.1meta'!L19+'2.1meta'!L36+'2.1meta'!L53+'2.1meta'!L71+'2.1meta'!L88+'2.1meta'!L105+'2.1meta'!L122+'2.1meta'!L139+'2.1meta'!L156+'2.1meta'!L173++'2.1meta'!L190+'2.1meta'!L207+'2.1meta'!L224+'2.1meta'!L249+'2.1meta'!L266+'2.1meta'!L283+'2.1meta'!L300+'2.1meta'!L317+'2.1meta'!L334</f>
        <v>0</v>
      </c>
      <c r="L18" s="88">
        <f>'2.1meta'!M19+'2.1meta'!M36+'2.1meta'!M53+'2.1meta'!M71+'2.1meta'!M88+'2.1meta'!M105+'2.1meta'!M122+'2.1meta'!M139+'2.1meta'!M156+'2.1meta'!M173++'2.1meta'!M190+'2.1meta'!M207+'2.1meta'!M224+'2.1meta'!M249+'2.1meta'!M266+'2.1meta'!M283+'2.1meta'!M300+'2.1meta'!M317+'2.1meta'!M334</f>
        <v>0</v>
      </c>
      <c r="M18" s="88">
        <f>'2.1meta'!N19+'2.1meta'!N36+'2.1meta'!N53+'2.1meta'!N71+'2.1meta'!N88+'2.1meta'!N105+'2.1meta'!N122+'2.1meta'!N139+'2.1meta'!N156+'2.1meta'!N173++'2.1meta'!N190+'2.1meta'!N207+'2.1meta'!N224+'2.1meta'!N249+'2.1meta'!N266+'2.1meta'!N283+'2.1meta'!N300+'2.1meta'!N317+'2.1meta'!N334</f>
        <v>0</v>
      </c>
      <c r="N18" s="88">
        <f>'2.1meta'!O19+'2.1meta'!O36+'2.1meta'!O53+'2.1meta'!O71+'2.1meta'!O88+'2.1meta'!O105+'2.1meta'!O122+'2.1meta'!O139+'2.1meta'!O156+'2.1meta'!O173++'2.1meta'!O190+'2.1meta'!O207+'2.1meta'!O224+'2.1meta'!O249+'2.1meta'!O266+'2.1meta'!O283+'2.1meta'!O300+'2.1meta'!O317+'2.1meta'!O334</f>
        <v>0</v>
      </c>
      <c r="O18" s="88">
        <f>'2.1meta'!P19+'2.1meta'!P36+'2.1meta'!P53+'2.1meta'!P71+'2.1meta'!P88+'2.1meta'!P105+'2.1meta'!P122+'2.1meta'!P139+'2.1meta'!P156+'2.1meta'!P173++'2.1meta'!P190+'2.1meta'!P207+'2.1meta'!P224+'2.1meta'!P249+'2.1meta'!P266+'2.1meta'!P283+'2.1meta'!P300+'2.1meta'!P317+'2.1meta'!P334</f>
        <v>0</v>
      </c>
      <c r="P18" s="89">
        <f t="shared" si="0"/>
        <v>0</v>
      </c>
      <c r="Q18" s="111">
        <f t="shared" si="1"/>
        <v>0</v>
      </c>
      <c r="R18" s="88">
        <f>'2.1meta'!S19+'2.1meta'!S36+'2.1meta'!S53+'2.1meta'!S71+'2.1meta'!S88+'2.1meta'!S105+'2.1meta'!S122+'2.1meta'!S139+'2.1meta'!S156+'2.1meta'!S173++'2.1meta'!S190+'2.1meta'!S207+'2.1meta'!S224+'2.1meta'!S249+'2.1meta'!S266+'2.1meta'!S283+'2.1meta'!S300+'2.1meta'!S317+'2.1meta'!S334</f>
        <v>0</v>
      </c>
      <c r="S18" s="88">
        <f>'2.1meta'!T19+'2.1meta'!T36+'2.1meta'!T53+'2.1meta'!T71+'2.1meta'!T88+'2.1meta'!T105+'2.1meta'!T122+'2.1meta'!T139+'2.1meta'!T156+'2.1meta'!T173++'2.1meta'!T190+'2.1meta'!T207+'2.1meta'!T224+'2.1meta'!T249+'2.1meta'!T266+'2.1meta'!T283+'2.1meta'!T300+'2.1meta'!T317+'2.1meta'!T334</f>
        <v>0</v>
      </c>
      <c r="T18" s="88">
        <f>'2.1meta'!U19+'2.1meta'!U36+'2.1meta'!U53+'2.1meta'!U71+'2.1meta'!U88+'2.1meta'!U105+'2.1meta'!U122+'2.1meta'!U139+'2.1meta'!U156+'2.1meta'!U173++'2.1meta'!U190+'2.1meta'!U207+'2.1meta'!U224+'2.1meta'!U249+'2.1meta'!U266+'2.1meta'!U283+'2.1meta'!U300+'2.1meta'!U317+'2.1meta'!U334</f>
        <v>0</v>
      </c>
      <c r="U18" s="88">
        <f>'2.1meta'!V19+'2.1meta'!V36+'2.1meta'!V53+'2.1meta'!V71+'2.1meta'!V88+'2.1meta'!V105+'2.1meta'!V122+'2.1meta'!V139+'2.1meta'!V156+'2.1meta'!V173++'2.1meta'!V190+'2.1meta'!V207+'2.1meta'!V224+'2.1meta'!V249+'2.1meta'!V266+'2.1meta'!V283+'2.1meta'!V300+'2.1meta'!V317+'2.1meta'!V334</f>
        <v>0</v>
      </c>
      <c r="V18" s="88">
        <f>'2.1meta'!W19+'2.1meta'!W36+'2.1meta'!W53+'2.1meta'!W71+'2.1meta'!W88+'2.1meta'!W105+'2.1meta'!W122+'2.1meta'!W139+'2.1meta'!W156+'2.1meta'!W173++'2.1meta'!W190+'2.1meta'!W207+'2.1meta'!W224+'2.1meta'!W249+'2.1meta'!W266+'2.1meta'!W283+'2.1meta'!W300+'2.1meta'!W317+'2.1meta'!W334</f>
        <v>0</v>
      </c>
      <c r="W18" s="88">
        <f>'2.1meta'!X19+'2.1meta'!X36+'2.1meta'!X53+'2.1meta'!X71+'2.1meta'!X88+'2.1meta'!X105+'2.1meta'!X122+'2.1meta'!X139+'2.1meta'!X156+'2.1meta'!X173++'2.1meta'!X190+'2.1meta'!X207+'2.1meta'!X224+'2.1meta'!X249+'2.1meta'!X266+'2.1meta'!X283+'2.1meta'!X300+'2.1meta'!X317+'2.1meta'!X334</f>
        <v>0</v>
      </c>
      <c r="X18" s="90">
        <f>SUM(R18:W18)</f>
        <v>0</v>
      </c>
      <c r="Y18" s="91">
        <f>P18+X18</f>
        <v>0</v>
      </c>
      <c r="Z18" s="92">
        <f>C18-Y18</f>
        <v>0</v>
      </c>
    </row>
    <row r="19" spans="1:26" ht="15.75" customHeight="1">
      <c r="A19" s="93" t="s">
        <v>55</v>
      </c>
      <c r="B19" s="114" t="s">
        <v>56</v>
      </c>
      <c r="C19" s="88">
        <f>'2.1meta'!D20+'2.1meta'!D37+'2.1meta'!D54+'2.1meta'!D72+'2.1meta'!D89+'2.1meta'!D106+'2.1meta'!D123+'2.1meta'!D140+'2.1meta'!D157+'2.1meta'!D174+'2.1meta'!D191+'2.1meta'!D208+'2.1meta'!D225+'2.1meta'!D234+'2.1meta'!D250+'2.1meta'!D267+'2.1meta'!D284+'2.1meta'!D301+'2.1meta'!D318+'2.1meta'!D335</f>
        <v>0</v>
      </c>
      <c r="D19" s="88">
        <f>'2.1meta'!E20+'2.1meta'!E37+'2.1meta'!E54+'2.1meta'!E72+'2.1meta'!E89+'2.1meta'!E106+'2.1meta'!E123+'2.1meta'!E140+'2.1meta'!E157+'2.1meta'!E174+'2.1meta'!E191+'2.1meta'!E208+'2.1meta'!E225+'2.1meta'!E234+'2.1meta'!E250+'2.1meta'!E267+'2.1meta'!E284+'2.1meta'!E301+'2.1meta'!E318+'2.1meta'!E335</f>
        <v>0</v>
      </c>
      <c r="E19" s="88">
        <f>'2.1meta'!F20+'2.1meta'!F37+'2.1meta'!F54+'2.1meta'!F72+'2.1meta'!F89+'2.1meta'!F106+'2.1meta'!F123+'2.1meta'!F140+'2.1meta'!F157+'2.1meta'!F174+'2.1meta'!F191+'2.1meta'!F208+'2.1meta'!F225+'2.1meta'!F234+'2.1meta'!F250+'2.1meta'!F267+'2.1meta'!F284+'2.1meta'!F301+'2.1meta'!F318+'2.1meta'!F335</f>
        <v>0</v>
      </c>
      <c r="F19" s="88">
        <f>'2.1meta'!G20+'2.1meta'!G37+'2.1meta'!G54+'2.1meta'!G72+'2.1meta'!G89+'2.1meta'!G106+'2.1meta'!G123+'2.1meta'!G140+'2.1meta'!G157+'2.1meta'!G174+'2.1meta'!G191+'2.1meta'!G208+'2.1meta'!G225+'2.1meta'!G234+'2.1meta'!G250+'2.1meta'!G267+'2.1meta'!G284+'2.1meta'!G301+'2.1meta'!G318+'2.1meta'!G335</f>
        <v>0</v>
      </c>
      <c r="G19" s="88">
        <f>'2.1meta'!H20+'2.1meta'!H37+'2.1meta'!H54+'2.1meta'!H72+'2.1meta'!H89+'2.1meta'!H106+'2.1meta'!H123+'2.1meta'!H140+'2.1meta'!H157+'2.1meta'!H174+'2.1meta'!H191+'2.1meta'!H208+'2.1meta'!H225+'2.1meta'!H234+'2.1meta'!H250+'2.1meta'!H267+'2.1meta'!H284+'2.1meta'!H301+'2.1meta'!H318+'2.1meta'!H335</f>
        <v>0</v>
      </c>
      <c r="H19" s="88">
        <f>'2.1meta'!I20+'2.1meta'!I37+'2.1meta'!I54+'2.1meta'!I72+'2.1meta'!I89+'2.1meta'!I106+'2.1meta'!I123+'2.1meta'!I140+'2.1meta'!I157+'2.1meta'!I174+'2.1meta'!I191+'2.1meta'!I208+'2.1meta'!I225+'2.1meta'!I234+'2.1meta'!I250+'2.1meta'!I267+'2.1meta'!I284+'2.1meta'!I301+'2.1meta'!I318+'2.1meta'!I335</f>
        <v>0</v>
      </c>
      <c r="I19" s="88">
        <f>'2.1meta'!J20+'2.1meta'!J37+'2.1meta'!J54+'2.1meta'!J72+'2.1meta'!J89+'2.1meta'!J106+'2.1meta'!J123+'2.1meta'!J140+'2.1meta'!J157+'2.1meta'!J174+'2.1meta'!J191+'2.1meta'!J208+'2.1meta'!J225+'2.1meta'!J234+'2.1meta'!J250+'2.1meta'!J267+'2.1meta'!J284+'2.1meta'!J301+'2.1meta'!J318+'2.1meta'!J335</f>
        <v>0</v>
      </c>
      <c r="J19" s="88">
        <f>'2.1meta'!K20+'2.1meta'!K37+'2.1meta'!K54+'2.1meta'!K72+'2.1meta'!K89+'2.1meta'!K106+'2.1meta'!K123+'2.1meta'!K140+'2.1meta'!K157+'2.1meta'!K174+'2.1meta'!K191+'2.1meta'!K208+'2.1meta'!K225+'2.1meta'!K234+'2.1meta'!K250+'2.1meta'!K267+'2.1meta'!K284+'2.1meta'!K301+'2.1meta'!K318+'2.1meta'!K335</f>
        <v>0</v>
      </c>
      <c r="K19" s="88">
        <f>'2.1meta'!L20+'2.1meta'!L37+'2.1meta'!L54+'2.1meta'!L72+'2.1meta'!L89+'2.1meta'!L106+'2.1meta'!L123+'2.1meta'!L140+'2.1meta'!L157+'2.1meta'!L174+'2.1meta'!L191+'2.1meta'!L208+'2.1meta'!L225+'2.1meta'!L234+'2.1meta'!L250+'2.1meta'!L267+'2.1meta'!L284+'2.1meta'!L301+'2.1meta'!L318+'2.1meta'!L335</f>
        <v>0</v>
      </c>
      <c r="L19" s="88">
        <f>'2.1meta'!M20+'2.1meta'!M37+'2.1meta'!M54+'2.1meta'!M72+'2.1meta'!M89+'2.1meta'!M106+'2.1meta'!M123+'2.1meta'!M140+'2.1meta'!M157+'2.1meta'!M174+'2.1meta'!M191+'2.1meta'!M208+'2.1meta'!M225+'2.1meta'!M234+'2.1meta'!M250+'2.1meta'!M267+'2.1meta'!M284+'2.1meta'!M301+'2.1meta'!M318+'2.1meta'!M335</f>
        <v>0</v>
      </c>
      <c r="M19" s="88">
        <f>'2.1meta'!N20+'2.1meta'!N37+'2.1meta'!N54+'2.1meta'!N72+'2.1meta'!N89+'2.1meta'!N106+'2.1meta'!N123+'2.1meta'!N140+'2.1meta'!N157+'2.1meta'!N174+'2.1meta'!N191+'2.1meta'!N208+'2.1meta'!N225+'2.1meta'!N234+'2.1meta'!N250+'2.1meta'!N267+'2.1meta'!N284+'2.1meta'!N301+'2.1meta'!N318+'2.1meta'!N335</f>
        <v>0</v>
      </c>
      <c r="N19" s="88">
        <f>'2.1meta'!O20+'2.1meta'!O37+'2.1meta'!O54+'2.1meta'!O72+'2.1meta'!O89+'2.1meta'!O106+'2.1meta'!O123+'2.1meta'!O140+'2.1meta'!O157+'2.1meta'!O174+'2.1meta'!O191+'2.1meta'!O208+'2.1meta'!O225+'2.1meta'!O234+'2.1meta'!O250+'2.1meta'!O267+'2.1meta'!O284+'2.1meta'!O301+'2.1meta'!O318+'2.1meta'!O335</f>
        <v>0</v>
      </c>
      <c r="O19" s="88">
        <f>'2.1meta'!P20+'2.1meta'!P37+'2.1meta'!P54+'2.1meta'!P72+'2.1meta'!P89+'2.1meta'!P106+'2.1meta'!P123+'2.1meta'!P140+'2.1meta'!P157+'2.1meta'!P174+'2.1meta'!P191+'2.1meta'!P208+'2.1meta'!P225+'2.1meta'!P234+'2.1meta'!P250+'2.1meta'!P267+'2.1meta'!P284+'2.1meta'!P301+'2.1meta'!P318+'2.1meta'!P335</f>
        <v>0</v>
      </c>
      <c r="P19" s="89">
        <f t="shared" si="0"/>
        <v>0</v>
      </c>
      <c r="Q19" s="111">
        <f t="shared" si="1"/>
        <v>0</v>
      </c>
      <c r="R19" s="88">
        <f>'2.1meta'!S20+'2.1meta'!S37+'2.1meta'!S54+'2.1meta'!S72+'2.1meta'!S89+'2.1meta'!S106+'2.1meta'!S123+'2.1meta'!S140+'2.1meta'!S157+'2.1meta'!S174+'2.1meta'!S191+'2.1meta'!S208+'2.1meta'!S225+'2.1meta'!S234+'2.1meta'!S250+'2.1meta'!S267+'2.1meta'!S284+'2.1meta'!S301+'2.1meta'!S318+'2.1meta'!S335</f>
        <v>0</v>
      </c>
      <c r="S19" s="88">
        <f>'2.1meta'!T20+'2.1meta'!T37+'2.1meta'!T54+'2.1meta'!T72+'2.1meta'!T89+'2.1meta'!T106+'2.1meta'!T123+'2.1meta'!T140+'2.1meta'!T157+'2.1meta'!T174+'2.1meta'!T191+'2.1meta'!T208+'2.1meta'!T225+'2.1meta'!T234+'2.1meta'!T250+'2.1meta'!T267+'2.1meta'!T284+'2.1meta'!T301+'2.1meta'!T318+'2.1meta'!T335</f>
        <v>0</v>
      </c>
      <c r="T19" s="88">
        <f>'2.1meta'!U20+'2.1meta'!U37+'2.1meta'!U54+'2.1meta'!U72+'2.1meta'!U89+'2.1meta'!U106+'2.1meta'!U123+'2.1meta'!U140+'2.1meta'!U157+'2.1meta'!U174+'2.1meta'!U191+'2.1meta'!U208+'2.1meta'!U225+'2.1meta'!U234+'2.1meta'!U250+'2.1meta'!U267+'2.1meta'!U284+'2.1meta'!U301+'2.1meta'!U318+'2.1meta'!U335</f>
        <v>0</v>
      </c>
      <c r="U19" s="88">
        <f>'2.1meta'!V20+'2.1meta'!V37+'2.1meta'!V54+'2.1meta'!V72+'2.1meta'!V89+'2.1meta'!V106+'2.1meta'!V123+'2.1meta'!V140+'2.1meta'!V157+'2.1meta'!V174+'2.1meta'!V191+'2.1meta'!V208+'2.1meta'!V225+'2.1meta'!V234+'2.1meta'!V250+'2.1meta'!V267+'2.1meta'!V284+'2.1meta'!V301+'2.1meta'!V318+'2.1meta'!V335</f>
        <v>0</v>
      </c>
      <c r="V19" s="88">
        <f>'2.1meta'!W20+'2.1meta'!W37+'2.1meta'!W54+'2.1meta'!W72+'2.1meta'!W89+'2.1meta'!W106+'2.1meta'!W123+'2.1meta'!W140+'2.1meta'!W157+'2.1meta'!W174+'2.1meta'!W191+'2.1meta'!W208+'2.1meta'!W225+'2.1meta'!W234+'2.1meta'!W250+'2.1meta'!W267+'2.1meta'!W284+'2.1meta'!W301+'2.1meta'!W318+'2.1meta'!W335</f>
        <v>0</v>
      </c>
      <c r="W19" s="88">
        <f>'2.1meta'!X20+'2.1meta'!X37+'2.1meta'!X54+'2.1meta'!X72+'2.1meta'!X89+'2.1meta'!X106+'2.1meta'!X123+'2.1meta'!X140+'2.1meta'!X157+'2.1meta'!X174+'2.1meta'!X191+'2.1meta'!X208+'2.1meta'!X225+'2.1meta'!X234+'2.1meta'!X250+'2.1meta'!X267+'2.1meta'!X284+'2.1meta'!X301+'2.1meta'!X318+'2.1meta'!X335</f>
        <v>0</v>
      </c>
      <c r="X19" s="90">
        <f>SUM(R19:W19)</f>
        <v>0</v>
      </c>
      <c r="Y19" s="91">
        <f>P19+X19</f>
        <v>0</v>
      </c>
      <c r="Z19" s="92">
        <f>C19-Y19</f>
        <v>0</v>
      </c>
    </row>
    <row r="20" spans="1:26" ht="15.75" customHeight="1">
      <c r="A20" s="93" t="s">
        <v>57</v>
      </c>
      <c r="B20" s="114" t="s">
        <v>58</v>
      </c>
      <c r="C20" s="88">
        <f>'2.1meta'!D21+'2.1meta'!D38+'2.1meta'!D55+'2.1meta'!D73+'2.1meta'!D90+'2.1meta'!D107+'2.1meta'!D124+'2.1meta'!D141+'2.1meta'!D158+'2.1meta'!D175+'2.1meta'!D192+'2.1meta'!D209+'2.1meta'!D226+'2.1meta'!D251+'2.1meta'!D268+'2.1meta'!D285+'2.1meta'!D302+'2.1meta'!D319+'2.1meta'!D336</f>
        <v>0</v>
      </c>
      <c r="D20" s="88">
        <f>'2.1meta'!E21+'2.1meta'!E38+'2.1meta'!E55+'2.1meta'!E73+'2.1meta'!E90+'2.1meta'!E107+'2.1meta'!E124+'2.1meta'!E141+'2.1meta'!E158+'2.1meta'!E175+'2.1meta'!E192+'2.1meta'!E209+'2.1meta'!E226+'2.1meta'!E251+'2.1meta'!E268+'2.1meta'!E285+'2.1meta'!E302+'2.1meta'!E319+'2.1meta'!E336</f>
        <v>0</v>
      </c>
      <c r="E20" s="88">
        <f>'2.1meta'!F21+'2.1meta'!F38+'2.1meta'!F55+'2.1meta'!F73+'2.1meta'!F90+'2.1meta'!F107+'2.1meta'!F124+'2.1meta'!F141+'2.1meta'!F158+'2.1meta'!F175+'2.1meta'!F192+'2.1meta'!F209+'2.1meta'!F226+'2.1meta'!F251+'2.1meta'!F268+'2.1meta'!F285+'2.1meta'!F302+'2.1meta'!F319+'2.1meta'!F336</f>
        <v>0</v>
      </c>
      <c r="F20" s="88">
        <f>'2.1meta'!G21+'2.1meta'!G38+'2.1meta'!G55+'2.1meta'!G73+'2.1meta'!G90+'2.1meta'!G107+'2.1meta'!G124+'2.1meta'!G141+'2.1meta'!G158+'2.1meta'!G175+'2.1meta'!G192+'2.1meta'!G209+'2.1meta'!G226+'2.1meta'!G251+'2.1meta'!G268+'2.1meta'!G285+'2.1meta'!G302+'2.1meta'!G319+'2.1meta'!G336</f>
        <v>0</v>
      </c>
      <c r="G20" s="88">
        <f>'2.1meta'!H21+'2.1meta'!H38+'2.1meta'!H55+'2.1meta'!H73+'2.1meta'!H90+'2.1meta'!H107+'2.1meta'!H124+'2.1meta'!H141+'2.1meta'!H158+'2.1meta'!H175+'2.1meta'!H192+'2.1meta'!H209+'2.1meta'!H226+'2.1meta'!H251+'2.1meta'!H268+'2.1meta'!H285+'2.1meta'!H302+'2.1meta'!H319+'2.1meta'!H336</f>
        <v>0</v>
      </c>
      <c r="H20" s="88">
        <f>'2.1meta'!I21+'2.1meta'!I38+'2.1meta'!I55+'2.1meta'!I73+'2.1meta'!I90+'2.1meta'!I107+'2.1meta'!I124+'2.1meta'!I141+'2.1meta'!I158+'2.1meta'!I175+'2.1meta'!I192+'2.1meta'!I209+'2.1meta'!I226+'2.1meta'!I251+'2.1meta'!I268+'2.1meta'!I285+'2.1meta'!I302+'2.1meta'!I319+'2.1meta'!I336</f>
        <v>0</v>
      </c>
      <c r="I20" s="88">
        <f>'2.1meta'!J21+'2.1meta'!J38+'2.1meta'!J55+'2.1meta'!J73+'2.1meta'!J90+'2.1meta'!J107+'2.1meta'!J124+'2.1meta'!J141+'2.1meta'!J158+'2.1meta'!J175+'2.1meta'!J192+'2.1meta'!J209+'2.1meta'!J226+'2.1meta'!J251+'2.1meta'!J268+'2.1meta'!J285+'2.1meta'!J302+'2.1meta'!J319+'2.1meta'!J336</f>
        <v>0</v>
      </c>
      <c r="J20" s="88">
        <f>'2.1meta'!K21+'2.1meta'!K38+'2.1meta'!K55+'2.1meta'!K73+'2.1meta'!K90+'2.1meta'!K107+'2.1meta'!K124+'2.1meta'!K141+'2.1meta'!K158+'2.1meta'!K175+'2.1meta'!K192+'2.1meta'!K209+'2.1meta'!K226+'2.1meta'!K251+'2.1meta'!K268+'2.1meta'!K285+'2.1meta'!K302+'2.1meta'!K319+'2.1meta'!K336</f>
        <v>0</v>
      </c>
      <c r="K20" s="88">
        <f>'2.1meta'!L21+'2.1meta'!L38+'2.1meta'!L55+'2.1meta'!L73+'2.1meta'!L90+'2.1meta'!L107+'2.1meta'!L124+'2.1meta'!L141+'2.1meta'!L158+'2.1meta'!L175+'2.1meta'!L192+'2.1meta'!L209+'2.1meta'!L226+'2.1meta'!L251+'2.1meta'!L268+'2.1meta'!L285+'2.1meta'!L302+'2.1meta'!L319+'2.1meta'!L336</f>
        <v>0</v>
      </c>
      <c r="L20" s="88">
        <f>'2.1meta'!M21+'2.1meta'!M38+'2.1meta'!M55+'2.1meta'!M73+'2.1meta'!M90+'2.1meta'!M107+'2.1meta'!M124+'2.1meta'!M141+'2.1meta'!M158+'2.1meta'!M175+'2.1meta'!M192+'2.1meta'!M209+'2.1meta'!M226+'2.1meta'!M251+'2.1meta'!M268+'2.1meta'!M285+'2.1meta'!M302+'2.1meta'!M319+'2.1meta'!M336</f>
        <v>0</v>
      </c>
      <c r="M20" s="88">
        <f>'2.1meta'!N21+'2.1meta'!N38+'2.1meta'!N55+'2.1meta'!N73+'2.1meta'!N90+'2.1meta'!N107+'2.1meta'!N124+'2.1meta'!N141+'2.1meta'!N158+'2.1meta'!N175+'2.1meta'!N192+'2.1meta'!N209+'2.1meta'!N226+'2.1meta'!N251+'2.1meta'!N268+'2.1meta'!N285+'2.1meta'!N302+'2.1meta'!N319+'2.1meta'!N336</f>
        <v>0</v>
      </c>
      <c r="N20" s="88">
        <f>'2.1meta'!O21+'2.1meta'!O38+'2.1meta'!O55+'2.1meta'!O73+'2.1meta'!O90+'2.1meta'!O107+'2.1meta'!O124+'2.1meta'!O141+'2.1meta'!O158+'2.1meta'!O175+'2.1meta'!O192+'2.1meta'!O209+'2.1meta'!O226+'2.1meta'!O251+'2.1meta'!O268+'2.1meta'!O285+'2.1meta'!O302+'2.1meta'!O319+'2.1meta'!O336</f>
        <v>0</v>
      </c>
      <c r="O20" s="88">
        <f>'2.1meta'!P21+'2.1meta'!P38+'2.1meta'!P55+'2.1meta'!P73+'2.1meta'!P90+'2.1meta'!P107+'2.1meta'!P124+'2.1meta'!P141+'2.1meta'!P158+'2.1meta'!P175+'2.1meta'!P192+'2.1meta'!P209+'2.1meta'!P226+'2.1meta'!P251+'2.1meta'!P268+'2.1meta'!P285+'2.1meta'!P302+'2.1meta'!P319+'2.1meta'!P336</f>
        <v>0</v>
      </c>
      <c r="P20" s="89">
        <f t="shared" si="0"/>
        <v>0</v>
      </c>
      <c r="Q20" s="111">
        <f t="shared" si="1"/>
        <v>0</v>
      </c>
      <c r="R20" s="88">
        <f>'2.1meta'!S21+'2.1meta'!S38+'2.1meta'!S55+'2.1meta'!S73+'2.1meta'!S90+'2.1meta'!S107+'2.1meta'!S124+'2.1meta'!S141+'2.1meta'!S158+'2.1meta'!S175+'2.1meta'!S192+'2.1meta'!S209+'2.1meta'!S226+'2.1meta'!S251+'2.1meta'!S268+'2.1meta'!S285+'2.1meta'!S302+'2.1meta'!S319+'2.1meta'!S336</f>
        <v>0</v>
      </c>
      <c r="S20" s="88">
        <f>'2.1meta'!T21+'2.1meta'!T38+'2.1meta'!T55+'2.1meta'!T73+'2.1meta'!T90+'2.1meta'!T107+'2.1meta'!T124+'2.1meta'!T141+'2.1meta'!T158+'2.1meta'!T175+'2.1meta'!T192+'2.1meta'!T209+'2.1meta'!T226+'2.1meta'!T251+'2.1meta'!T268+'2.1meta'!T285+'2.1meta'!T302+'2.1meta'!T319+'2.1meta'!T336</f>
        <v>0</v>
      </c>
      <c r="T20" s="88">
        <f>'2.1meta'!U21+'2.1meta'!U38+'2.1meta'!U55+'2.1meta'!U73+'2.1meta'!U90+'2.1meta'!U107+'2.1meta'!U124+'2.1meta'!U141+'2.1meta'!U158+'2.1meta'!U175+'2.1meta'!U192+'2.1meta'!U209+'2.1meta'!U226+'2.1meta'!U251+'2.1meta'!U268+'2.1meta'!U285+'2.1meta'!U302+'2.1meta'!U319+'2.1meta'!U336</f>
        <v>0</v>
      </c>
      <c r="U20" s="88">
        <f>'2.1meta'!V21+'2.1meta'!V38+'2.1meta'!V55+'2.1meta'!V73+'2.1meta'!V90+'2.1meta'!V107+'2.1meta'!V124+'2.1meta'!V141+'2.1meta'!V158+'2.1meta'!V175+'2.1meta'!V192+'2.1meta'!V209+'2.1meta'!V226+'2.1meta'!V251+'2.1meta'!V268+'2.1meta'!V285+'2.1meta'!V302+'2.1meta'!V319+'2.1meta'!V336</f>
        <v>0</v>
      </c>
      <c r="V20" s="88">
        <f>'2.1meta'!W21+'2.1meta'!W38+'2.1meta'!W55+'2.1meta'!W73+'2.1meta'!W90+'2.1meta'!W107+'2.1meta'!W124+'2.1meta'!W141+'2.1meta'!W158+'2.1meta'!W175+'2.1meta'!W192+'2.1meta'!W209+'2.1meta'!W226+'2.1meta'!W251+'2.1meta'!W268+'2.1meta'!W285+'2.1meta'!W302+'2.1meta'!W319+'2.1meta'!W336</f>
        <v>0</v>
      </c>
      <c r="W20" s="88">
        <f>'2.1meta'!X21+'2.1meta'!X38+'2.1meta'!X55+'2.1meta'!X73+'2.1meta'!X90+'2.1meta'!X107+'2.1meta'!X124+'2.1meta'!X141+'2.1meta'!X158+'2.1meta'!X175+'2.1meta'!X192+'2.1meta'!X209+'2.1meta'!X226+'2.1meta'!X251+'2.1meta'!X268+'2.1meta'!X285+'2.1meta'!X302+'2.1meta'!X319+'2.1meta'!X336</f>
        <v>0</v>
      </c>
      <c r="X20" s="90">
        <f>SUM(R20:W20)</f>
        <v>0</v>
      </c>
      <c r="Y20" s="91">
        <f>P20+X20</f>
        <v>0</v>
      </c>
      <c r="Z20" s="92">
        <f>C20-Y20</f>
        <v>0</v>
      </c>
    </row>
    <row r="21" spans="1:26" ht="15.75" customHeight="1">
      <c r="A21" s="96" t="s">
        <v>59</v>
      </c>
      <c r="B21" s="116" t="s">
        <v>60</v>
      </c>
      <c r="C21" s="88">
        <f>'2.1meta'!D22+'2.1meta'!D39+'2.1meta'!D56+'2.1meta'!D74+'2.1meta'!D91+'2.1meta'!D108+'2.1meta'!D125+'2.1meta'!D142+'2.1meta'!D159+'2.1meta'!D176+'2.1meta'!D193+'2.1meta'!D210+'2.1meta'!D227+'2.1meta'!D235+'2.1meta'!D252+'2.1meta'!D269+'2.1meta'!D286+'2.1meta'!D303+'2.1meta'!D320+'2.1meta'!D337</f>
        <v>0</v>
      </c>
      <c r="D21" s="88">
        <f>'2.1meta'!E22+'2.1meta'!E39+'2.1meta'!E56+'2.1meta'!E74+'2.1meta'!E91+'2.1meta'!E108+'2.1meta'!E125+'2.1meta'!E142+'2.1meta'!E159+'2.1meta'!E176+'2.1meta'!E193+'2.1meta'!E210+'2.1meta'!E227+'2.1meta'!E235+'2.1meta'!E252+'2.1meta'!E269+'2.1meta'!E286+'2.1meta'!E303+'2.1meta'!E320+'2.1meta'!E337</f>
        <v>0</v>
      </c>
      <c r="E21" s="88">
        <f>'2.1meta'!F22+'2.1meta'!F39+'2.1meta'!F56+'2.1meta'!F74+'2.1meta'!F91+'2.1meta'!F108+'2.1meta'!F125+'2.1meta'!F142+'2.1meta'!F159+'2.1meta'!F176+'2.1meta'!F193+'2.1meta'!F210+'2.1meta'!F227+'2.1meta'!F235+'2.1meta'!F252+'2.1meta'!F269+'2.1meta'!F286+'2.1meta'!F303+'2.1meta'!F320+'2.1meta'!F337</f>
        <v>0</v>
      </c>
      <c r="F21" s="88">
        <f>'2.1meta'!G22+'2.1meta'!G39+'2.1meta'!G56+'2.1meta'!G74+'2.1meta'!G91+'2.1meta'!G108+'2.1meta'!G125+'2.1meta'!G142+'2.1meta'!G159+'2.1meta'!G176+'2.1meta'!G193+'2.1meta'!G210+'2.1meta'!G227+'2.1meta'!G235+'2.1meta'!G252+'2.1meta'!G269+'2.1meta'!G286+'2.1meta'!G303+'2.1meta'!G320+'2.1meta'!G337</f>
        <v>0</v>
      </c>
      <c r="G21" s="88">
        <f>'2.1meta'!H22+'2.1meta'!H39+'2.1meta'!H56+'2.1meta'!H74+'2.1meta'!H91+'2.1meta'!H108+'2.1meta'!H125+'2.1meta'!H142+'2.1meta'!H159+'2.1meta'!H176+'2.1meta'!H193+'2.1meta'!H210+'2.1meta'!H227+'2.1meta'!H235+'2.1meta'!H252+'2.1meta'!H269+'2.1meta'!H286+'2.1meta'!H303+'2.1meta'!H320+'2.1meta'!H337</f>
        <v>0</v>
      </c>
      <c r="H21" s="88">
        <f>'2.1meta'!I22+'2.1meta'!I39+'2.1meta'!I56+'2.1meta'!I74+'2.1meta'!I91+'2.1meta'!I108+'2.1meta'!I125+'2.1meta'!I142+'2.1meta'!I159+'2.1meta'!I176+'2.1meta'!I193+'2.1meta'!I210+'2.1meta'!I227+'2.1meta'!I235+'2.1meta'!I252+'2.1meta'!I269+'2.1meta'!I286+'2.1meta'!I303+'2.1meta'!I320+'2.1meta'!I337</f>
        <v>0</v>
      </c>
      <c r="I21" s="88">
        <f>'2.1meta'!J22+'2.1meta'!J39+'2.1meta'!J56+'2.1meta'!J74+'2.1meta'!J91+'2.1meta'!J108+'2.1meta'!J125+'2.1meta'!J142+'2.1meta'!J159+'2.1meta'!J176+'2.1meta'!J193+'2.1meta'!J210+'2.1meta'!J227+'2.1meta'!J235+'2.1meta'!J252+'2.1meta'!J269+'2.1meta'!J286+'2.1meta'!J303+'2.1meta'!J320+'2.1meta'!J337</f>
        <v>0</v>
      </c>
      <c r="J21" s="88">
        <f>'2.1meta'!K22+'2.1meta'!K39+'2.1meta'!K56+'2.1meta'!K74+'2.1meta'!K91+'2.1meta'!K108+'2.1meta'!K125+'2.1meta'!K142+'2.1meta'!K159+'2.1meta'!K176+'2.1meta'!K193+'2.1meta'!K210+'2.1meta'!K227+'2.1meta'!K235+'2.1meta'!K252+'2.1meta'!K269+'2.1meta'!K286+'2.1meta'!K303+'2.1meta'!K320+'2.1meta'!K337</f>
        <v>0</v>
      </c>
      <c r="K21" s="88">
        <f>'2.1meta'!L22+'2.1meta'!L39+'2.1meta'!L56+'2.1meta'!L74+'2.1meta'!L91+'2.1meta'!L108+'2.1meta'!L125+'2.1meta'!L142+'2.1meta'!L159+'2.1meta'!L176+'2.1meta'!L193+'2.1meta'!L210+'2.1meta'!L227+'2.1meta'!L235+'2.1meta'!L252+'2.1meta'!L269+'2.1meta'!L286+'2.1meta'!L303+'2.1meta'!L320+'2.1meta'!L337</f>
        <v>0</v>
      </c>
      <c r="L21" s="88">
        <f>'2.1meta'!M22+'2.1meta'!M39+'2.1meta'!M56+'2.1meta'!M74+'2.1meta'!M91+'2.1meta'!M108+'2.1meta'!M125+'2.1meta'!M142+'2.1meta'!M159+'2.1meta'!M176+'2.1meta'!M193+'2.1meta'!M210+'2.1meta'!M227+'2.1meta'!M235+'2.1meta'!M252+'2.1meta'!M269+'2.1meta'!M286+'2.1meta'!M303+'2.1meta'!M320+'2.1meta'!M337</f>
        <v>0</v>
      </c>
      <c r="M21" s="88">
        <f>'2.1meta'!N22+'2.1meta'!N39+'2.1meta'!N56+'2.1meta'!N74+'2.1meta'!N91+'2.1meta'!N108+'2.1meta'!N125+'2.1meta'!N142+'2.1meta'!N159+'2.1meta'!N176+'2.1meta'!N193+'2.1meta'!N210+'2.1meta'!N227+'2.1meta'!N235+'2.1meta'!N252+'2.1meta'!N269+'2.1meta'!N286+'2.1meta'!N303+'2.1meta'!N320+'2.1meta'!N337</f>
        <v>0</v>
      </c>
      <c r="N21" s="88">
        <f>'2.1meta'!O22+'2.1meta'!O39+'2.1meta'!O56+'2.1meta'!O74+'2.1meta'!O91+'2.1meta'!O108+'2.1meta'!O125+'2.1meta'!O142+'2.1meta'!O159+'2.1meta'!O176+'2.1meta'!O193+'2.1meta'!O210+'2.1meta'!O227+'2.1meta'!O235+'2.1meta'!O252+'2.1meta'!O269+'2.1meta'!O286+'2.1meta'!O303+'2.1meta'!O320+'2.1meta'!O337</f>
        <v>0</v>
      </c>
      <c r="O21" s="88">
        <f>'2.1meta'!P22+'2.1meta'!P39+'2.1meta'!P56+'2.1meta'!P74+'2.1meta'!P91+'2.1meta'!P108+'2.1meta'!P125+'2.1meta'!P142+'2.1meta'!P159+'2.1meta'!P176+'2.1meta'!P193+'2.1meta'!P210+'2.1meta'!P227+'2.1meta'!P235+'2.1meta'!P252+'2.1meta'!P269+'2.1meta'!P286+'2.1meta'!P303+'2.1meta'!P320+'2.1meta'!P337</f>
        <v>0</v>
      </c>
      <c r="P21" s="89">
        <f t="shared" si="0"/>
        <v>0</v>
      </c>
      <c r="Q21" s="111">
        <f t="shared" si="1"/>
        <v>0</v>
      </c>
      <c r="R21" s="88">
        <f>'2.1meta'!S22+'2.1meta'!S39+'2.1meta'!S56+'2.1meta'!S74+'2.1meta'!S91+'2.1meta'!S108+'2.1meta'!S125+'2.1meta'!S142+'2.1meta'!S159+'2.1meta'!S176+'2.1meta'!S193+'2.1meta'!S210+'2.1meta'!S227+'2.1meta'!S235+'2.1meta'!S252+'2.1meta'!S269+'2.1meta'!S286+'2.1meta'!S303+'2.1meta'!S320+'2.1meta'!S337</f>
        <v>0</v>
      </c>
      <c r="S21" s="88">
        <f>'2.1meta'!T22+'2.1meta'!T39+'2.1meta'!T56+'2.1meta'!T74+'2.1meta'!T91+'2.1meta'!T108+'2.1meta'!T125+'2.1meta'!T142+'2.1meta'!T159+'2.1meta'!T176+'2.1meta'!T193+'2.1meta'!T210+'2.1meta'!T227+'2.1meta'!T235+'2.1meta'!T252+'2.1meta'!T269+'2.1meta'!T286+'2.1meta'!T303+'2.1meta'!T320+'2.1meta'!T337</f>
        <v>0</v>
      </c>
      <c r="T21" s="88">
        <f>'2.1meta'!U22+'2.1meta'!U39+'2.1meta'!U56+'2.1meta'!U74+'2.1meta'!U91+'2.1meta'!U108+'2.1meta'!U125+'2.1meta'!U142+'2.1meta'!U159+'2.1meta'!U176+'2.1meta'!U193+'2.1meta'!U210+'2.1meta'!U227+'2.1meta'!U235+'2.1meta'!U252+'2.1meta'!U269+'2.1meta'!U286+'2.1meta'!U303+'2.1meta'!U320+'2.1meta'!U337</f>
        <v>0</v>
      </c>
      <c r="U21" s="88">
        <f>'2.1meta'!V22+'2.1meta'!V39+'2.1meta'!V56+'2.1meta'!V74+'2.1meta'!V91+'2.1meta'!V108+'2.1meta'!V125+'2.1meta'!V142+'2.1meta'!V159+'2.1meta'!V176+'2.1meta'!V193+'2.1meta'!V210+'2.1meta'!V227+'2.1meta'!V235+'2.1meta'!V252+'2.1meta'!V269+'2.1meta'!V286+'2.1meta'!V303+'2.1meta'!V320+'2.1meta'!V337</f>
        <v>0</v>
      </c>
      <c r="V21" s="88">
        <f>'2.1meta'!W22+'2.1meta'!W39+'2.1meta'!W56+'2.1meta'!W74+'2.1meta'!W91+'2.1meta'!W108+'2.1meta'!W125+'2.1meta'!W142+'2.1meta'!W159+'2.1meta'!W176+'2.1meta'!W193+'2.1meta'!W210+'2.1meta'!W227+'2.1meta'!W235+'2.1meta'!W252+'2.1meta'!W269+'2.1meta'!W286+'2.1meta'!W303+'2.1meta'!W320+'2.1meta'!W337</f>
        <v>0</v>
      </c>
      <c r="W21" s="88">
        <f>'2.1meta'!X22+'2.1meta'!X39+'2.1meta'!X56+'2.1meta'!X74+'2.1meta'!X91+'2.1meta'!X108+'2.1meta'!X125+'2.1meta'!X142+'2.1meta'!X159+'2.1meta'!X176+'2.1meta'!X193+'2.1meta'!X210+'2.1meta'!X227+'2.1meta'!X235+'2.1meta'!X252+'2.1meta'!X269+'2.1meta'!X286+'2.1meta'!X303+'2.1meta'!X320+'2.1meta'!X337</f>
        <v>0</v>
      </c>
      <c r="X21" s="90">
        <f>SUM(R21:W21)</f>
        <v>0</v>
      </c>
      <c r="Y21" s="91">
        <f>P21+X21</f>
        <v>0</v>
      </c>
      <c r="Z21" s="92">
        <f>C21-Y21</f>
        <v>0</v>
      </c>
    </row>
    <row r="22" spans="1:26" s="47" customFormat="1" ht="15.75" customHeight="1">
      <c r="A22" s="101" t="s">
        <v>106</v>
      </c>
      <c r="B22" s="102"/>
      <c r="C22" s="103">
        <f t="shared" ref="C22:P22" si="2">SUBTOTAL(9,C5:C21)</f>
        <v>0</v>
      </c>
      <c r="D22" s="103">
        <f t="shared" si="2"/>
        <v>0</v>
      </c>
      <c r="E22" s="103">
        <f t="shared" si="2"/>
        <v>0</v>
      </c>
      <c r="F22" s="103">
        <f t="shared" si="2"/>
        <v>0</v>
      </c>
      <c r="G22" s="103">
        <f t="shared" ref="G22:M22" si="3">SUBTOTAL(9,G5:G21)</f>
        <v>0</v>
      </c>
      <c r="H22" s="103">
        <f t="shared" si="3"/>
        <v>0</v>
      </c>
      <c r="I22" s="103">
        <f t="shared" si="3"/>
        <v>0</v>
      </c>
      <c r="J22" s="103">
        <f t="shared" si="3"/>
        <v>0</v>
      </c>
      <c r="K22" s="103">
        <f t="shared" si="3"/>
        <v>0</v>
      </c>
      <c r="L22" s="103">
        <f t="shared" si="3"/>
        <v>0</v>
      </c>
      <c r="M22" s="103">
        <f t="shared" si="3"/>
        <v>0</v>
      </c>
      <c r="N22" s="103">
        <f t="shared" si="2"/>
        <v>0</v>
      </c>
      <c r="O22" s="103">
        <f t="shared" si="2"/>
        <v>0</v>
      </c>
      <c r="P22" s="103">
        <f t="shared" si="2"/>
        <v>0</v>
      </c>
      <c r="Q22" s="64">
        <f t="shared" si="1"/>
        <v>0</v>
      </c>
      <c r="R22" s="103">
        <f t="shared" ref="R22:Z22" si="4">SUBTOTAL(9,R5:R21)</f>
        <v>0</v>
      </c>
      <c r="S22" s="103">
        <f t="shared" si="4"/>
        <v>0</v>
      </c>
      <c r="T22" s="103">
        <f t="shared" si="4"/>
        <v>0</v>
      </c>
      <c r="U22" s="103">
        <f t="shared" si="4"/>
        <v>0</v>
      </c>
      <c r="V22" s="103">
        <f t="shared" si="4"/>
        <v>0</v>
      </c>
      <c r="W22" s="103">
        <f t="shared" si="4"/>
        <v>0</v>
      </c>
      <c r="X22" s="103">
        <f t="shared" si="4"/>
        <v>0</v>
      </c>
      <c r="Y22" s="104">
        <f t="shared" si="4"/>
        <v>0</v>
      </c>
      <c r="Z22" s="105">
        <f t="shared" si="4"/>
        <v>0</v>
      </c>
    </row>
    <row r="24" spans="1:26">
      <c r="C24" s="106"/>
      <c r="D24" s="106"/>
      <c r="E24" s="106"/>
      <c r="P24" s="32"/>
      <c r="Q24" s="32"/>
    </row>
    <row r="25" spans="1:26">
      <c r="C25" s="34"/>
      <c r="D25" s="34"/>
      <c r="E25" s="34"/>
    </row>
    <row r="26" spans="1:26">
      <c r="C26" s="34"/>
      <c r="D26" s="34"/>
      <c r="E26" s="34"/>
    </row>
    <row r="27" spans="1:26">
      <c r="C27" s="34"/>
      <c r="D27" s="34"/>
      <c r="E27" s="34"/>
    </row>
    <row r="28" spans="1:26">
      <c r="C28" s="34"/>
      <c r="D28" s="34"/>
      <c r="E28" s="34"/>
    </row>
    <row r="29" spans="1:26">
      <c r="C29" s="34"/>
      <c r="D29" s="34"/>
      <c r="E29" s="34"/>
    </row>
    <row r="30" spans="1:26">
      <c r="C30" s="34"/>
      <c r="D30" s="34"/>
      <c r="E30" s="34"/>
    </row>
    <row r="31" spans="1:26">
      <c r="C31" s="34"/>
      <c r="D31" s="34"/>
      <c r="E31" s="34"/>
    </row>
    <row r="32" spans="1:26">
      <c r="C32" s="34"/>
      <c r="D32" s="34"/>
      <c r="E32" s="34"/>
    </row>
  </sheetData>
  <sheetProtection formatCells="0" formatColumns="0" formatRows="0" insertColumns="0" insertRows="0" insertHyperlinks="0" deleteColumns="0" deleteRows="0" sort="0" autoFilter="0" pivotTables="0"/>
  <mergeCells count="14">
    <mergeCell ref="P3:P4"/>
    <mergeCell ref="A3:B4"/>
    <mergeCell ref="C3:C4"/>
    <mergeCell ref="D3:D4"/>
    <mergeCell ref="E3:E4"/>
    <mergeCell ref="F3:O3"/>
    <mergeCell ref="Y3:Y4"/>
    <mergeCell ref="Z3:Z4"/>
    <mergeCell ref="Q3:Q4"/>
    <mergeCell ref="R3:S3"/>
    <mergeCell ref="T3:U3"/>
    <mergeCell ref="V3:V4"/>
    <mergeCell ref="W3:W4"/>
    <mergeCell ref="X3:X4"/>
  </mergeCells>
  <pageMargins left="0.39370078740157" right="0.31496062992126" top="0.74803149606299002" bottom="0.74803149606299002" header="0.31496062992126" footer="0.31496062992126"/>
  <pageSetup paperSize="9" scale="5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00B0F0"/>
  </sheetPr>
  <dimension ref="A1:U55"/>
  <sheetViews>
    <sheetView workbookViewId="0">
      <pane xSplit="2" topLeftCell="H1" activePane="topRight" state="frozen"/>
      <selection pane="topRight" activeCell="M22" sqref="M22:N22"/>
    </sheetView>
  </sheetViews>
  <sheetFormatPr baseColWidth="10" defaultColWidth="9.140625" defaultRowHeight="12.75"/>
  <cols>
    <col min="1" max="1" width="9.140625" customWidth="1"/>
    <col min="2" max="2" width="29.42578125" customWidth="1"/>
    <col min="3" max="3" width="10.5703125" customWidth="1"/>
    <col min="9" max="9" width="9.28515625" customWidth="1"/>
    <col min="10" max="10" width="11.42578125" customWidth="1"/>
    <col min="11" max="11" width="11.5703125" customWidth="1"/>
    <col min="12" max="12" width="11.42578125" customWidth="1"/>
    <col min="13" max="13" width="8.7109375" customWidth="1"/>
    <col min="14" max="14" width="9" customWidth="1"/>
    <col min="15" max="15" width="9.85546875" customWidth="1"/>
    <col min="16" max="16" width="9.5703125" customWidth="1"/>
    <col min="17" max="17" width="9.42578125" customWidth="1"/>
    <col min="18" max="18" width="8.85546875" customWidth="1"/>
    <col min="19" max="20" width="12.140625" customWidth="1"/>
    <col min="21" max="21" width="14.42578125" customWidth="1"/>
  </cols>
  <sheetData>
    <row r="1" spans="1:21">
      <c r="A1" s="51" t="s">
        <v>107</v>
      </c>
    </row>
    <row r="2" spans="1:21">
      <c r="J2" s="1"/>
      <c r="S2" s="1"/>
      <c r="T2" s="1"/>
      <c r="U2" s="1"/>
    </row>
    <row r="3" spans="1:21" ht="18" customHeight="1">
      <c r="A3" s="248" t="s">
        <v>84</v>
      </c>
      <c r="B3" s="249"/>
      <c r="C3" s="231" t="s">
        <v>4</v>
      </c>
      <c r="D3" s="2" t="s">
        <v>7</v>
      </c>
      <c r="E3" s="2"/>
      <c r="F3" s="2"/>
      <c r="G3" s="2"/>
      <c r="H3" s="2"/>
      <c r="I3" s="2"/>
      <c r="J3" s="2"/>
      <c r="K3" s="223" t="s">
        <v>108</v>
      </c>
      <c r="L3" s="3" t="s">
        <v>109</v>
      </c>
      <c r="M3" s="3"/>
      <c r="N3" s="3"/>
      <c r="O3" s="3"/>
      <c r="P3" s="3"/>
      <c r="Q3" s="3"/>
      <c r="R3" s="3"/>
      <c r="S3" s="3"/>
      <c r="T3" s="221" t="s">
        <v>13</v>
      </c>
      <c r="U3" s="225" t="s">
        <v>14</v>
      </c>
    </row>
    <row r="4" spans="1:21" ht="33" customHeight="1">
      <c r="A4" s="250"/>
      <c r="B4" s="251"/>
      <c r="C4" s="232"/>
      <c r="D4" s="4" t="s">
        <v>15</v>
      </c>
      <c r="E4" s="4" t="s">
        <v>16</v>
      </c>
      <c r="F4" s="4" t="s">
        <v>17</v>
      </c>
      <c r="G4" s="4" t="s">
        <v>19</v>
      </c>
      <c r="H4" s="4" t="s">
        <v>20</v>
      </c>
      <c r="I4" s="4" t="s">
        <v>110</v>
      </c>
      <c r="J4" s="4" t="s">
        <v>18</v>
      </c>
      <c r="K4" s="224"/>
      <c r="L4" s="5" t="s">
        <v>111</v>
      </c>
      <c r="M4" s="5" t="s">
        <v>22</v>
      </c>
      <c r="N4" s="5" t="s">
        <v>23</v>
      </c>
      <c r="O4" s="5" t="s">
        <v>24</v>
      </c>
      <c r="P4" s="5" t="s">
        <v>25</v>
      </c>
      <c r="Q4" s="5" t="s">
        <v>26</v>
      </c>
      <c r="R4" s="6" t="s">
        <v>27</v>
      </c>
      <c r="S4" s="5" t="s">
        <v>12</v>
      </c>
      <c r="T4" s="222"/>
      <c r="U4" s="226"/>
    </row>
    <row r="5" spans="1:21" ht="15.75" customHeight="1">
      <c r="A5" s="36" t="s">
        <v>99</v>
      </c>
      <c r="B5" s="37"/>
      <c r="C5" s="7">
        <f t="shared" ref="C5:I5" si="0">SUBTOTAL(9,C6:C8)</f>
        <v>3774042</v>
      </c>
      <c r="D5" s="7">
        <f t="shared" si="0"/>
        <v>285013.57</v>
      </c>
      <c r="E5" s="7">
        <f t="shared" si="0"/>
        <v>275120.57</v>
      </c>
      <c r="F5" s="7">
        <f t="shared" si="0"/>
        <v>276794.90000000002</v>
      </c>
      <c r="G5" s="7">
        <f t="shared" si="0"/>
        <v>272368.59999999998</v>
      </c>
      <c r="H5" s="7">
        <f t="shared" si="0"/>
        <v>286455.73</v>
      </c>
      <c r="I5" s="7">
        <f t="shared" si="0"/>
        <v>0</v>
      </c>
      <c r="J5" s="9">
        <f t="shared" ref="J5:J21" si="1">SUM(D5:I5)</f>
        <v>1395753.37</v>
      </c>
      <c r="K5" s="9">
        <f t="shared" ref="K5:K21" si="2">C5-J5</f>
        <v>2378288.63</v>
      </c>
      <c r="L5" s="8">
        <f t="shared" ref="L5:R5" si="3">SUBTOTAL(9,L6:L8)</f>
        <v>306988.2</v>
      </c>
      <c r="M5" s="8">
        <f t="shared" si="3"/>
        <v>337888.2</v>
      </c>
      <c r="N5" s="8">
        <f t="shared" si="3"/>
        <v>306988.2</v>
      </c>
      <c r="O5" s="8">
        <f t="shared" si="3"/>
        <v>306988.2</v>
      </c>
      <c r="P5" s="8">
        <f t="shared" si="3"/>
        <v>306988.2</v>
      </c>
      <c r="Q5" s="8">
        <f t="shared" si="3"/>
        <v>306988.2</v>
      </c>
      <c r="R5" s="8">
        <f t="shared" si="3"/>
        <v>337888.2</v>
      </c>
      <c r="S5" s="8">
        <f t="shared" ref="S5:S21" si="4">SUM(L5:R5)</f>
        <v>2210717.4</v>
      </c>
      <c r="T5" s="10">
        <f t="shared" ref="T5:T21" si="5">+J5+S5</f>
        <v>3606470.77</v>
      </c>
      <c r="U5" s="38">
        <f t="shared" ref="U5:U21" si="6">+C5-T5</f>
        <v>167571.23000000001</v>
      </c>
    </row>
    <row r="6" spans="1:21">
      <c r="A6" s="42" t="s">
        <v>112</v>
      </c>
      <c r="B6" s="42" t="s">
        <v>113</v>
      </c>
      <c r="C6" s="40">
        <v>3461120</v>
      </c>
      <c r="D6" s="41">
        <v>266240</v>
      </c>
      <c r="E6" s="41">
        <v>256598.01</v>
      </c>
      <c r="F6" s="41">
        <v>258560</v>
      </c>
      <c r="G6" s="41">
        <v>254386.67</v>
      </c>
      <c r="H6" s="41">
        <v>267214.03000000003</v>
      </c>
      <c r="I6" s="41">
        <v>0</v>
      </c>
      <c r="J6" s="13">
        <f t="shared" si="1"/>
        <v>1302998.71</v>
      </c>
      <c r="K6" s="14">
        <f t="shared" si="2"/>
        <v>2158121.29</v>
      </c>
      <c r="L6" s="12">
        <v>286560</v>
      </c>
      <c r="M6" s="12">
        <v>286560</v>
      </c>
      <c r="N6" s="12">
        <v>286560</v>
      </c>
      <c r="O6" s="12">
        <v>286560</v>
      </c>
      <c r="P6" s="12">
        <v>286560</v>
      </c>
      <c r="Q6" s="12">
        <v>286560</v>
      </c>
      <c r="R6" s="12">
        <v>286560</v>
      </c>
      <c r="S6" s="15">
        <f t="shared" si="4"/>
        <v>2005920</v>
      </c>
      <c r="T6" s="16">
        <f t="shared" si="5"/>
        <v>3308918.71</v>
      </c>
      <c r="U6" s="17">
        <f t="shared" si="6"/>
        <v>152201.29</v>
      </c>
    </row>
    <row r="7" spans="1:21">
      <c r="A7" s="42" t="s">
        <v>114</v>
      </c>
      <c r="B7" s="42" t="s">
        <v>115</v>
      </c>
      <c r="C7" s="40">
        <v>246103</v>
      </c>
      <c r="D7" s="41">
        <v>18773.57</v>
      </c>
      <c r="E7" s="41">
        <v>18522.560000000001</v>
      </c>
      <c r="F7" s="41">
        <v>18234.900000000001</v>
      </c>
      <c r="G7" s="41">
        <v>17981.93</v>
      </c>
      <c r="H7" s="41">
        <v>19241.7</v>
      </c>
      <c r="I7" s="41">
        <v>0</v>
      </c>
      <c r="J7" s="19">
        <f t="shared" si="1"/>
        <v>92754.66</v>
      </c>
      <c r="K7" s="20">
        <f t="shared" si="2"/>
        <v>153348.34</v>
      </c>
      <c r="L7" s="18">
        <v>20428.2</v>
      </c>
      <c r="M7" s="18">
        <v>20428.2</v>
      </c>
      <c r="N7" s="18">
        <v>20428.2</v>
      </c>
      <c r="O7" s="18">
        <v>20428.2</v>
      </c>
      <c r="P7" s="18">
        <v>20428.2</v>
      </c>
      <c r="Q7" s="18">
        <v>20428.2</v>
      </c>
      <c r="R7" s="18">
        <v>20428.2</v>
      </c>
      <c r="S7" s="21">
        <f t="shared" si="4"/>
        <v>142997.4</v>
      </c>
      <c r="T7" s="16">
        <f t="shared" si="5"/>
        <v>235752.06</v>
      </c>
      <c r="U7" s="17">
        <f t="shared" si="6"/>
        <v>10350.94</v>
      </c>
    </row>
    <row r="8" spans="1:21">
      <c r="A8" s="42" t="s">
        <v>116</v>
      </c>
      <c r="B8" s="42" t="s">
        <v>117</v>
      </c>
      <c r="C8" s="40">
        <v>66819</v>
      </c>
      <c r="D8" s="41">
        <v>0</v>
      </c>
      <c r="E8" s="41">
        <v>0</v>
      </c>
      <c r="F8" s="41">
        <v>0</v>
      </c>
      <c r="G8" s="41">
        <v>0</v>
      </c>
      <c r="H8" s="41">
        <v>0</v>
      </c>
      <c r="I8" s="41">
        <v>0</v>
      </c>
      <c r="J8" s="19">
        <f t="shared" si="1"/>
        <v>0</v>
      </c>
      <c r="K8" s="20">
        <f t="shared" si="2"/>
        <v>66819</v>
      </c>
      <c r="L8" s="18"/>
      <c r="M8" s="18">
        <v>30900</v>
      </c>
      <c r="N8" s="18"/>
      <c r="O8" s="18"/>
      <c r="P8" s="18"/>
      <c r="Q8" s="18"/>
      <c r="R8" s="18">
        <v>30900</v>
      </c>
      <c r="S8" s="21">
        <f t="shared" si="4"/>
        <v>61800</v>
      </c>
      <c r="T8" s="16">
        <f t="shared" si="5"/>
        <v>61800</v>
      </c>
      <c r="U8" s="17">
        <f t="shared" si="6"/>
        <v>5019</v>
      </c>
    </row>
    <row r="9" spans="1:21">
      <c r="A9" s="36" t="s">
        <v>102</v>
      </c>
      <c r="B9" s="44"/>
      <c r="C9" s="7">
        <f t="shared" ref="C9:I9" si="7">SUBTOTAL(9,C10:C12)</f>
        <v>135112</v>
      </c>
      <c r="D9" s="8">
        <f t="shared" si="7"/>
        <v>33778</v>
      </c>
      <c r="E9" s="8">
        <f t="shared" si="7"/>
        <v>33778</v>
      </c>
      <c r="F9" s="8">
        <f t="shared" si="7"/>
        <v>33778</v>
      </c>
      <c r="G9" s="8">
        <f t="shared" si="7"/>
        <v>31639.13</v>
      </c>
      <c r="H9" s="8">
        <f t="shared" si="7"/>
        <v>-44</v>
      </c>
      <c r="I9" s="8">
        <f t="shared" si="7"/>
        <v>0</v>
      </c>
      <c r="J9" s="9">
        <f t="shared" si="1"/>
        <v>132929.13</v>
      </c>
      <c r="K9" s="9">
        <f t="shared" si="2"/>
        <v>2182.87</v>
      </c>
      <c r="L9" s="8">
        <f t="shared" ref="L9:R9" si="8">SUBTOTAL(9,L10:L12)</f>
        <v>0</v>
      </c>
      <c r="M9" s="8">
        <f t="shared" si="8"/>
        <v>33060.199999999997</v>
      </c>
      <c r="N9" s="8">
        <f t="shared" si="8"/>
        <v>30360.2</v>
      </c>
      <c r="O9" s="8">
        <f t="shared" si="8"/>
        <v>30360.2</v>
      </c>
      <c r="P9" s="8">
        <f t="shared" si="8"/>
        <v>30360.2</v>
      </c>
      <c r="Q9" s="8">
        <f t="shared" si="8"/>
        <v>30360.2</v>
      </c>
      <c r="R9" s="8">
        <f t="shared" si="8"/>
        <v>33060.199999999997</v>
      </c>
      <c r="S9" s="8">
        <f t="shared" si="4"/>
        <v>187561.2</v>
      </c>
      <c r="T9" s="10">
        <f t="shared" si="5"/>
        <v>320490.33</v>
      </c>
      <c r="U9" s="38">
        <f t="shared" si="6"/>
        <v>-185378.33</v>
      </c>
    </row>
    <row r="10" spans="1:21">
      <c r="A10" s="42" t="s">
        <v>112</v>
      </c>
      <c r="B10" s="42" t="s">
        <v>113</v>
      </c>
      <c r="C10" s="40">
        <v>126400</v>
      </c>
      <c r="D10" s="41">
        <v>31600</v>
      </c>
      <c r="E10" s="41">
        <v>31600</v>
      </c>
      <c r="F10" s="41">
        <v>31600</v>
      </c>
      <c r="G10" s="41">
        <v>29573.33</v>
      </c>
      <c r="H10" s="41">
        <v>-44</v>
      </c>
      <c r="I10" s="41">
        <v>0</v>
      </c>
      <c r="J10" s="13">
        <f t="shared" si="1"/>
        <v>124329.33</v>
      </c>
      <c r="K10" s="14">
        <f t="shared" si="2"/>
        <v>2070.67</v>
      </c>
      <c r="L10" s="12">
        <v>0</v>
      </c>
      <c r="M10" s="12">
        <v>28400</v>
      </c>
      <c r="N10" s="12">
        <v>28400</v>
      </c>
      <c r="O10" s="12">
        <v>28400</v>
      </c>
      <c r="P10" s="12">
        <v>28400</v>
      </c>
      <c r="Q10" s="12">
        <v>28400</v>
      </c>
      <c r="R10" s="12">
        <v>28400</v>
      </c>
      <c r="S10" s="15">
        <f t="shared" si="4"/>
        <v>170400</v>
      </c>
      <c r="T10" s="16">
        <f t="shared" si="5"/>
        <v>294729.33</v>
      </c>
      <c r="U10" s="17">
        <f t="shared" si="6"/>
        <v>-168329.33</v>
      </c>
    </row>
    <row r="11" spans="1:21">
      <c r="A11" s="42" t="s">
        <v>114</v>
      </c>
      <c r="B11" s="42" t="s">
        <v>115</v>
      </c>
      <c r="C11" s="40">
        <v>8712</v>
      </c>
      <c r="D11" s="41">
        <v>2178</v>
      </c>
      <c r="E11" s="41">
        <v>2178</v>
      </c>
      <c r="F11" s="41">
        <v>2178</v>
      </c>
      <c r="G11" s="41">
        <v>2065.8000000000002</v>
      </c>
      <c r="H11" s="41"/>
      <c r="I11" s="41">
        <v>0</v>
      </c>
      <c r="J11" s="19">
        <f t="shared" si="1"/>
        <v>8599.7999999999993</v>
      </c>
      <c r="K11" s="20">
        <f t="shared" si="2"/>
        <v>112.2</v>
      </c>
      <c r="L11" s="18">
        <v>0</v>
      </c>
      <c r="M11" s="18">
        <v>1960.2</v>
      </c>
      <c r="N11" s="18">
        <v>1960.2</v>
      </c>
      <c r="O11" s="18">
        <v>1960.2</v>
      </c>
      <c r="P11" s="18">
        <v>1960.2</v>
      </c>
      <c r="Q11" s="18">
        <v>1960.2</v>
      </c>
      <c r="R11" s="18">
        <v>1960.2</v>
      </c>
      <c r="S11" s="21">
        <f t="shared" si="4"/>
        <v>11761.2</v>
      </c>
      <c r="T11" s="16">
        <f t="shared" si="5"/>
        <v>20361</v>
      </c>
      <c r="U11" s="17">
        <f t="shared" si="6"/>
        <v>-11649</v>
      </c>
    </row>
    <row r="12" spans="1:21">
      <c r="A12" s="42" t="s">
        <v>116</v>
      </c>
      <c r="B12" s="42" t="s">
        <v>117</v>
      </c>
      <c r="C12" s="40">
        <v>0</v>
      </c>
      <c r="D12" s="41">
        <v>0</v>
      </c>
      <c r="E12" s="41">
        <v>0</v>
      </c>
      <c r="F12" s="41">
        <v>0</v>
      </c>
      <c r="G12" s="41">
        <v>0</v>
      </c>
      <c r="H12" s="41">
        <v>0</v>
      </c>
      <c r="I12" s="41">
        <v>0</v>
      </c>
      <c r="J12" s="19">
        <f t="shared" si="1"/>
        <v>0</v>
      </c>
      <c r="K12" s="20">
        <f t="shared" si="2"/>
        <v>0</v>
      </c>
      <c r="L12" s="18"/>
      <c r="M12" s="18">
        <v>2700</v>
      </c>
      <c r="N12" s="18"/>
      <c r="O12" s="18"/>
      <c r="P12" s="18"/>
      <c r="Q12" s="18"/>
      <c r="R12" s="18">
        <v>2700</v>
      </c>
      <c r="S12" s="21">
        <f t="shared" si="4"/>
        <v>5400</v>
      </c>
      <c r="T12" s="16">
        <f t="shared" si="5"/>
        <v>5400</v>
      </c>
      <c r="U12" s="17">
        <f t="shared" si="6"/>
        <v>-5400</v>
      </c>
    </row>
    <row r="13" spans="1:21" s="47" customFormat="1">
      <c r="A13" s="36" t="s">
        <v>103</v>
      </c>
      <c r="B13" s="36"/>
      <c r="C13" s="8">
        <f t="shared" ref="C13:I13" si="9">SUBTOTAL(9,C14:C16)</f>
        <v>690499</v>
      </c>
      <c r="D13" s="8">
        <f t="shared" si="9"/>
        <v>66560.039999999994</v>
      </c>
      <c r="E13" s="8">
        <f t="shared" si="9"/>
        <v>66338.92</v>
      </c>
      <c r="F13" s="8">
        <f t="shared" si="9"/>
        <v>66560.2</v>
      </c>
      <c r="G13" s="8">
        <f t="shared" si="9"/>
        <v>66553.61</v>
      </c>
      <c r="H13" s="8">
        <f t="shared" si="9"/>
        <v>64877.07</v>
      </c>
      <c r="I13" s="8">
        <f t="shared" si="9"/>
        <v>0</v>
      </c>
      <c r="J13" s="9">
        <f t="shared" si="1"/>
        <v>330889.84000000003</v>
      </c>
      <c r="K13" s="9">
        <f t="shared" si="2"/>
        <v>359609.16</v>
      </c>
      <c r="L13" s="8">
        <f t="shared" ref="L13:R13" si="10">SUBTOTAL(9,L14:L16)</f>
        <v>62842.400000000001</v>
      </c>
      <c r="M13" s="8">
        <f t="shared" si="10"/>
        <v>70342.399999999994</v>
      </c>
      <c r="N13" s="8">
        <f t="shared" si="10"/>
        <v>62842.400000000001</v>
      </c>
      <c r="O13" s="8">
        <f t="shared" si="10"/>
        <v>62842.400000000001</v>
      </c>
      <c r="P13" s="8">
        <f t="shared" si="10"/>
        <v>62842.400000000001</v>
      </c>
      <c r="Q13" s="8">
        <f t="shared" si="10"/>
        <v>62842.400000000001</v>
      </c>
      <c r="R13" s="8">
        <f t="shared" si="10"/>
        <v>70342.399999999994</v>
      </c>
      <c r="S13" s="8">
        <f t="shared" si="4"/>
        <v>454896.8</v>
      </c>
      <c r="T13" s="10">
        <f t="shared" si="5"/>
        <v>785786.64</v>
      </c>
      <c r="U13" s="38">
        <f t="shared" si="6"/>
        <v>-95287.64</v>
      </c>
    </row>
    <row r="14" spans="1:21">
      <c r="A14" s="42" t="s">
        <v>112</v>
      </c>
      <c r="B14" s="42" t="s">
        <v>113</v>
      </c>
      <c r="C14" s="40">
        <v>625841</v>
      </c>
      <c r="D14" s="41">
        <v>61720</v>
      </c>
      <c r="E14" s="41">
        <v>61506.67</v>
      </c>
      <c r="F14" s="41">
        <v>61720</v>
      </c>
      <c r="G14" s="41">
        <v>61720</v>
      </c>
      <c r="H14" s="41">
        <v>60086.67</v>
      </c>
      <c r="I14" s="41">
        <v>0</v>
      </c>
      <c r="J14" s="13">
        <f t="shared" si="1"/>
        <v>306753.34000000003</v>
      </c>
      <c r="K14" s="14">
        <f t="shared" si="2"/>
        <v>319087.65999999997</v>
      </c>
      <c r="L14" s="12">
        <v>58220</v>
      </c>
      <c r="M14" s="12">
        <v>58220</v>
      </c>
      <c r="N14" s="12">
        <v>58220</v>
      </c>
      <c r="O14" s="12">
        <v>58220</v>
      </c>
      <c r="P14" s="12">
        <v>58220</v>
      </c>
      <c r="Q14" s="12">
        <v>58220</v>
      </c>
      <c r="R14" s="12">
        <v>58220</v>
      </c>
      <c r="S14" s="15">
        <f t="shared" si="4"/>
        <v>407540</v>
      </c>
      <c r="T14" s="16">
        <f t="shared" si="5"/>
        <v>714293.34</v>
      </c>
      <c r="U14" s="17">
        <f t="shared" si="6"/>
        <v>-88452.34</v>
      </c>
    </row>
    <row r="15" spans="1:21">
      <c r="A15" s="42" t="s">
        <v>114</v>
      </c>
      <c r="B15" s="42" t="s">
        <v>115</v>
      </c>
      <c r="C15" s="40">
        <v>50642</v>
      </c>
      <c r="D15" s="41">
        <v>4840.04</v>
      </c>
      <c r="E15" s="41">
        <v>4832.25</v>
      </c>
      <c r="F15" s="41">
        <v>4840.2</v>
      </c>
      <c r="G15" s="41">
        <v>4833.6099999999997</v>
      </c>
      <c r="H15" s="41">
        <v>4790.3999999999996</v>
      </c>
      <c r="I15" s="41">
        <v>0</v>
      </c>
      <c r="J15" s="19">
        <f t="shared" si="1"/>
        <v>24136.5</v>
      </c>
      <c r="K15" s="20">
        <f t="shared" si="2"/>
        <v>26505.5</v>
      </c>
      <c r="L15" s="18">
        <v>4622.3999999999996</v>
      </c>
      <c r="M15" s="18">
        <v>4622.3999999999996</v>
      </c>
      <c r="N15" s="18">
        <v>4622.3999999999996</v>
      </c>
      <c r="O15" s="18">
        <v>4622.3999999999996</v>
      </c>
      <c r="P15" s="18">
        <v>4622.3999999999996</v>
      </c>
      <c r="Q15" s="18">
        <v>4622.3999999999996</v>
      </c>
      <c r="R15" s="18">
        <v>4622.3999999999996</v>
      </c>
      <c r="S15" s="21">
        <f t="shared" si="4"/>
        <v>32356.799999999999</v>
      </c>
      <c r="T15" s="16">
        <f t="shared" si="5"/>
        <v>56493.3</v>
      </c>
      <c r="U15" s="17">
        <f t="shared" si="6"/>
        <v>-5851.3</v>
      </c>
    </row>
    <row r="16" spans="1:21">
      <c r="A16" s="42" t="s">
        <v>116</v>
      </c>
      <c r="B16" s="42" t="s">
        <v>117</v>
      </c>
      <c r="C16" s="40">
        <v>14016</v>
      </c>
      <c r="D16" s="41">
        <v>0</v>
      </c>
      <c r="E16" s="41">
        <v>0</v>
      </c>
      <c r="F16" s="41">
        <v>0</v>
      </c>
      <c r="G16" s="41">
        <v>0</v>
      </c>
      <c r="H16" s="41">
        <v>0</v>
      </c>
      <c r="I16" s="41">
        <v>0</v>
      </c>
      <c r="J16" s="19">
        <f t="shared" si="1"/>
        <v>0</v>
      </c>
      <c r="K16" s="20">
        <f t="shared" si="2"/>
        <v>14016</v>
      </c>
      <c r="L16" s="18">
        <v>0</v>
      </c>
      <c r="M16" s="18">
        <v>7500</v>
      </c>
      <c r="N16" s="18">
        <v>0</v>
      </c>
      <c r="O16" s="18">
        <v>0</v>
      </c>
      <c r="P16" s="18">
        <v>0</v>
      </c>
      <c r="Q16" s="18">
        <v>0</v>
      </c>
      <c r="R16" s="18">
        <v>7500</v>
      </c>
      <c r="S16" s="21">
        <f t="shared" si="4"/>
        <v>15000</v>
      </c>
      <c r="T16" s="16">
        <f t="shared" si="5"/>
        <v>15000</v>
      </c>
      <c r="U16" s="17">
        <f t="shared" si="6"/>
        <v>-984</v>
      </c>
    </row>
    <row r="17" spans="1:21" s="47" customFormat="1">
      <c r="A17" s="36" t="s">
        <v>104</v>
      </c>
      <c r="B17" s="36"/>
      <c r="C17" s="8">
        <f t="shared" ref="C17:I17" si="11">SUBTOTAL(9,C18:C20)</f>
        <v>195256</v>
      </c>
      <c r="D17" s="8">
        <f t="shared" si="11"/>
        <v>16071.2</v>
      </c>
      <c r="E17" s="8">
        <f t="shared" si="11"/>
        <v>16071.2</v>
      </c>
      <c r="F17" s="8">
        <f t="shared" si="11"/>
        <v>16071.2</v>
      </c>
      <c r="G17" s="8">
        <f t="shared" si="11"/>
        <v>14469.4</v>
      </c>
      <c r="H17" s="8">
        <f t="shared" si="11"/>
        <v>16071.2</v>
      </c>
      <c r="I17" s="8">
        <f t="shared" si="11"/>
        <v>0</v>
      </c>
      <c r="J17" s="9">
        <f t="shared" si="1"/>
        <v>78754.2</v>
      </c>
      <c r="K17" s="9">
        <f t="shared" si="2"/>
        <v>116501.8</v>
      </c>
      <c r="L17" s="8">
        <f t="shared" ref="L17:R17" si="12">SUBTOTAL(9,L18:L20)</f>
        <v>16071.2</v>
      </c>
      <c r="M17" s="8">
        <f t="shared" si="12"/>
        <v>17271.2</v>
      </c>
      <c r="N17" s="8">
        <f t="shared" si="12"/>
        <v>16071.2</v>
      </c>
      <c r="O17" s="8">
        <f t="shared" si="12"/>
        <v>16071.2</v>
      </c>
      <c r="P17" s="8">
        <f t="shared" si="12"/>
        <v>16071.2</v>
      </c>
      <c r="Q17" s="8">
        <f t="shared" si="12"/>
        <v>16071.2</v>
      </c>
      <c r="R17" s="8">
        <f t="shared" si="12"/>
        <v>17271.2</v>
      </c>
      <c r="S17" s="8">
        <f t="shared" si="4"/>
        <v>114898.4</v>
      </c>
      <c r="T17" s="10">
        <f t="shared" si="5"/>
        <v>193652.6</v>
      </c>
      <c r="U17" s="38">
        <f t="shared" si="6"/>
        <v>1603.4</v>
      </c>
    </row>
    <row r="18" spans="1:21">
      <c r="A18" s="42" t="s">
        <v>112</v>
      </c>
      <c r="B18" s="42" t="s">
        <v>113</v>
      </c>
      <c r="C18" s="40">
        <v>182400</v>
      </c>
      <c r="D18" s="41">
        <v>15200</v>
      </c>
      <c r="E18" s="41">
        <v>15200</v>
      </c>
      <c r="F18" s="41">
        <v>15200</v>
      </c>
      <c r="G18" s="41">
        <v>13600</v>
      </c>
      <c r="H18" s="41">
        <v>15200</v>
      </c>
      <c r="I18" s="41">
        <v>0</v>
      </c>
      <c r="J18" s="13">
        <f t="shared" si="1"/>
        <v>74400</v>
      </c>
      <c r="K18" s="14">
        <f t="shared" si="2"/>
        <v>108000</v>
      </c>
      <c r="L18" s="12">
        <v>15200</v>
      </c>
      <c r="M18" s="12">
        <v>15200</v>
      </c>
      <c r="N18" s="12">
        <v>15200</v>
      </c>
      <c r="O18" s="12">
        <v>15200</v>
      </c>
      <c r="P18" s="12">
        <v>15200</v>
      </c>
      <c r="Q18" s="12">
        <v>15200</v>
      </c>
      <c r="R18" s="12">
        <v>15200</v>
      </c>
      <c r="S18" s="15">
        <f t="shared" si="4"/>
        <v>106400</v>
      </c>
      <c r="T18" s="16">
        <f t="shared" si="5"/>
        <v>180800</v>
      </c>
      <c r="U18" s="17">
        <f t="shared" si="6"/>
        <v>1600</v>
      </c>
    </row>
    <row r="19" spans="1:21">
      <c r="A19" s="42" t="s">
        <v>114</v>
      </c>
      <c r="B19" s="42" t="s">
        <v>115</v>
      </c>
      <c r="C19" s="40">
        <v>10456</v>
      </c>
      <c r="D19" s="41">
        <v>871.2</v>
      </c>
      <c r="E19" s="41">
        <v>871.2</v>
      </c>
      <c r="F19" s="41">
        <v>871.2</v>
      </c>
      <c r="G19" s="41">
        <v>869.4</v>
      </c>
      <c r="H19" s="41">
        <v>871.2</v>
      </c>
      <c r="I19" s="41">
        <v>0</v>
      </c>
      <c r="J19" s="19">
        <f t="shared" si="1"/>
        <v>4354.2</v>
      </c>
      <c r="K19" s="20">
        <f t="shared" si="2"/>
        <v>6101.8</v>
      </c>
      <c r="L19" s="18">
        <v>871.2</v>
      </c>
      <c r="M19" s="18">
        <v>871.2</v>
      </c>
      <c r="N19" s="18">
        <v>871.2</v>
      </c>
      <c r="O19" s="18">
        <v>871.2</v>
      </c>
      <c r="P19" s="18">
        <v>871.2</v>
      </c>
      <c r="Q19" s="18">
        <v>871.2</v>
      </c>
      <c r="R19" s="18">
        <v>871.2</v>
      </c>
      <c r="S19" s="21">
        <f t="shared" si="4"/>
        <v>6098.4</v>
      </c>
      <c r="T19" s="16">
        <f t="shared" si="5"/>
        <v>10452.6</v>
      </c>
      <c r="U19" s="17">
        <f t="shared" si="6"/>
        <v>3.3999999999995998</v>
      </c>
    </row>
    <row r="20" spans="1:21">
      <c r="A20" s="42" t="s">
        <v>116</v>
      </c>
      <c r="B20" s="42" t="s">
        <v>117</v>
      </c>
      <c r="C20" s="40">
        <v>2400</v>
      </c>
      <c r="D20" s="41">
        <v>0</v>
      </c>
      <c r="E20" s="41">
        <v>0</v>
      </c>
      <c r="F20" s="41">
        <v>0</v>
      </c>
      <c r="G20" s="41">
        <v>0</v>
      </c>
      <c r="H20" s="41">
        <v>0</v>
      </c>
      <c r="I20" s="41">
        <v>0</v>
      </c>
      <c r="J20" s="19">
        <f t="shared" si="1"/>
        <v>0</v>
      </c>
      <c r="K20" s="20">
        <f t="shared" si="2"/>
        <v>2400</v>
      </c>
      <c r="L20" s="18">
        <v>0</v>
      </c>
      <c r="M20" s="18">
        <v>1200</v>
      </c>
      <c r="N20" s="18">
        <v>0</v>
      </c>
      <c r="O20" s="18">
        <v>0</v>
      </c>
      <c r="P20" s="18">
        <v>0</v>
      </c>
      <c r="Q20" s="18">
        <v>0</v>
      </c>
      <c r="R20" s="18">
        <v>1200</v>
      </c>
      <c r="S20" s="21">
        <f t="shared" si="4"/>
        <v>2400</v>
      </c>
      <c r="T20" s="16">
        <f t="shared" si="5"/>
        <v>2400</v>
      </c>
      <c r="U20" s="17">
        <f t="shared" si="6"/>
        <v>0</v>
      </c>
    </row>
    <row r="21" spans="1:21" s="58" customFormat="1" ht="18" customHeight="1">
      <c r="A21" s="52" t="s">
        <v>118</v>
      </c>
      <c r="B21" s="53"/>
      <c r="C21" s="54">
        <f t="shared" ref="C21:H21" si="13">SUBTOTAL(9,C5:C20)</f>
        <v>4794909</v>
      </c>
      <c r="D21" s="54">
        <f t="shared" si="13"/>
        <v>401422.81</v>
      </c>
      <c r="E21" s="54">
        <f t="shared" si="13"/>
        <v>391308.69</v>
      </c>
      <c r="F21" s="54">
        <f t="shared" si="13"/>
        <v>393204.3</v>
      </c>
      <c r="G21" s="54">
        <f t="shared" si="13"/>
        <v>385030.74</v>
      </c>
      <c r="H21" s="54">
        <f t="shared" si="13"/>
        <v>367360</v>
      </c>
      <c r="I21" s="55">
        <f>SUM(I5:I20)/3</f>
        <v>0</v>
      </c>
      <c r="J21" s="55">
        <f t="shared" si="1"/>
        <v>1938326.54</v>
      </c>
      <c r="K21" s="55">
        <f t="shared" si="2"/>
        <v>2856582.46</v>
      </c>
      <c r="L21" s="54">
        <f t="shared" ref="L21:R21" si="14">SUBTOTAL(9,L5:L20)</f>
        <v>385901.8</v>
      </c>
      <c r="M21" s="54">
        <f t="shared" si="14"/>
        <v>458562</v>
      </c>
      <c r="N21" s="54">
        <f t="shared" si="14"/>
        <v>416262</v>
      </c>
      <c r="O21" s="54">
        <f t="shared" si="14"/>
        <v>416262</v>
      </c>
      <c r="P21" s="54">
        <f t="shared" si="14"/>
        <v>416262</v>
      </c>
      <c r="Q21" s="54">
        <f t="shared" si="14"/>
        <v>416262</v>
      </c>
      <c r="R21" s="54">
        <f t="shared" si="14"/>
        <v>458562</v>
      </c>
      <c r="S21" s="55">
        <f t="shared" si="4"/>
        <v>2968073.8</v>
      </c>
      <c r="T21" s="56">
        <f t="shared" si="5"/>
        <v>4906400.34</v>
      </c>
      <c r="U21" s="57">
        <f t="shared" si="6"/>
        <v>-111491.34</v>
      </c>
    </row>
    <row r="24" spans="1:21">
      <c r="A24" s="51" t="s">
        <v>119</v>
      </c>
    </row>
    <row r="25" spans="1:21">
      <c r="A25" s="48"/>
    </row>
    <row r="26" spans="1:21" ht="18" customHeight="1">
      <c r="A26" s="248" t="s">
        <v>84</v>
      </c>
      <c r="B26" s="249"/>
      <c r="C26" s="231" t="s">
        <v>4</v>
      </c>
      <c r="D26" s="2" t="s">
        <v>7</v>
      </c>
      <c r="E26" s="2"/>
      <c r="F26" s="2"/>
      <c r="G26" s="2"/>
      <c r="H26" s="2"/>
      <c r="I26" s="2"/>
      <c r="J26" s="2"/>
      <c r="K26" s="223" t="s">
        <v>108</v>
      </c>
      <c r="L26" s="3" t="s">
        <v>109</v>
      </c>
      <c r="M26" s="3"/>
      <c r="N26" s="3"/>
      <c r="O26" s="3"/>
      <c r="P26" s="3"/>
      <c r="Q26" s="3"/>
      <c r="R26" s="3"/>
      <c r="S26" s="3"/>
      <c r="T26" s="221" t="s">
        <v>13</v>
      </c>
      <c r="U26" s="225" t="s">
        <v>14</v>
      </c>
    </row>
    <row r="27" spans="1:21" ht="33" customHeight="1">
      <c r="A27" s="250"/>
      <c r="B27" s="251"/>
      <c r="C27" s="232"/>
      <c r="D27" s="4" t="s">
        <v>15</v>
      </c>
      <c r="E27" s="4" t="s">
        <v>16</v>
      </c>
      <c r="F27" s="4" t="s">
        <v>17</v>
      </c>
      <c r="G27" s="4" t="s">
        <v>19</v>
      </c>
      <c r="H27" s="4" t="s">
        <v>20</v>
      </c>
      <c r="I27" s="4" t="s">
        <v>110</v>
      </c>
      <c r="J27" s="4" t="s">
        <v>18</v>
      </c>
      <c r="K27" s="224"/>
      <c r="L27" s="5" t="s">
        <v>111</v>
      </c>
      <c r="M27" s="5" t="s">
        <v>22</v>
      </c>
      <c r="N27" s="5" t="s">
        <v>23</v>
      </c>
      <c r="O27" s="5" t="s">
        <v>24</v>
      </c>
      <c r="P27" s="5" t="s">
        <v>25</v>
      </c>
      <c r="Q27" s="5" t="s">
        <v>26</v>
      </c>
      <c r="R27" s="6" t="s">
        <v>27</v>
      </c>
      <c r="S27" s="5" t="s">
        <v>12</v>
      </c>
      <c r="T27" s="222"/>
      <c r="U27" s="226"/>
    </row>
    <row r="28" spans="1:21" s="47" customFormat="1">
      <c r="A28" s="36" t="s">
        <v>102</v>
      </c>
      <c r="B28" s="36"/>
      <c r="C28" s="7">
        <f t="shared" ref="C28:I28" si="15">SUBTOTAL(9,C29:C31)</f>
        <v>67139</v>
      </c>
      <c r="D28" s="8">
        <f t="shared" si="15"/>
        <v>0</v>
      </c>
      <c r="E28" s="8">
        <f t="shared" si="15"/>
        <v>0</v>
      </c>
      <c r="F28" s="8">
        <f t="shared" si="15"/>
        <v>0</v>
      </c>
      <c r="G28" s="8">
        <f t="shared" si="15"/>
        <v>0</v>
      </c>
      <c r="H28" s="8">
        <f t="shared" si="15"/>
        <v>27559.43</v>
      </c>
      <c r="I28" s="8">
        <f t="shared" si="15"/>
        <v>0</v>
      </c>
      <c r="J28" s="9">
        <f t="shared" ref="J28:J36" si="16">SUM(D28:I28)</f>
        <v>27559.43</v>
      </c>
      <c r="K28" s="9">
        <f t="shared" ref="K28:K36" si="17">C28-J28</f>
        <v>39579.57</v>
      </c>
      <c r="L28" s="8" t="e">
        <f t="shared" ref="L28:R28" si="18">SUBTOTAL(9,L29:L31)</f>
        <v>#REF!</v>
      </c>
      <c r="M28" s="8">
        <f t="shared" si="18"/>
        <v>0</v>
      </c>
      <c r="N28" s="8">
        <f t="shared" si="18"/>
        <v>0</v>
      </c>
      <c r="O28" s="8">
        <f t="shared" si="18"/>
        <v>0</v>
      </c>
      <c r="P28" s="8">
        <f t="shared" si="18"/>
        <v>0</v>
      </c>
      <c r="Q28" s="8">
        <f t="shared" si="18"/>
        <v>0</v>
      </c>
      <c r="R28" s="8">
        <f t="shared" si="18"/>
        <v>0</v>
      </c>
      <c r="S28" s="8" t="e">
        <f t="shared" ref="S28:S36" si="19">SUM(L28:R28)</f>
        <v>#REF!</v>
      </c>
      <c r="T28" s="10" t="e">
        <f t="shared" ref="T28:T36" si="20">+J28+S28</f>
        <v>#REF!</v>
      </c>
      <c r="U28" s="38" t="e">
        <f t="shared" ref="U28:U36" si="21">+C28-T28</f>
        <v>#REF!</v>
      </c>
    </row>
    <row r="29" spans="1:21">
      <c r="A29" s="42" t="s">
        <v>112</v>
      </c>
      <c r="B29" s="42" t="s">
        <v>113</v>
      </c>
      <c r="C29" s="40">
        <v>60000</v>
      </c>
      <c r="D29" s="41"/>
      <c r="E29" s="41"/>
      <c r="F29" s="41"/>
      <c r="G29" s="41"/>
      <c r="H29" s="41">
        <v>25733.33</v>
      </c>
      <c r="I29" s="41">
        <v>0</v>
      </c>
      <c r="J29" s="13">
        <f t="shared" si="16"/>
        <v>25733.33</v>
      </c>
      <c r="K29" s="14">
        <f t="shared" si="17"/>
        <v>34266.67</v>
      </c>
      <c r="L29" s="12" t="e">
        <f>#REF!</f>
        <v>#REF!</v>
      </c>
      <c r="M29" s="12"/>
      <c r="N29" s="12"/>
      <c r="O29" s="12"/>
      <c r="P29" s="12"/>
      <c r="Q29" s="12"/>
      <c r="R29" s="12"/>
      <c r="S29" s="15" t="e">
        <f t="shared" si="19"/>
        <v>#REF!</v>
      </c>
      <c r="T29" s="16" t="e">
        <f t="shared" si="20"/>
        <v>#REF!</v>
      </c>
      <c r="U29" s="17" t="e">
        <f t="shared" si="21"/>
        <v>#REF!</v>
      </c>
    </row>
    <row r="30" spans="1:21">
      <c r="A30" s="42" t="s">
        <v>114</v>
      </c>
      <c r="B30" s="42" t="s">
        <v>115</v>
      </c>
      <c r="C30" s="40">
        <v>4139</v>
      </c>
      <c r="D30" s="41"/>
      <c r="E30" s="41"/>
      <c r="F30" s="41"/>
      <c r="G30" s="41"/>
      <c r="H30" s="41">
        <v>1826.1</v>
      </c>
      <c r="I30" s="41">
        <v>0</v>
      </c>
      <c r="J30" s="19">
        <f t="shared" si="16"/>
        <v>1826.1</v>
      </c>
      <c r="K30" s="20">
        <f t="shared" si="17"/>
        <v>2312.9</v>
      </c>
      <c r="L30" s="18" t="e">
        <f>#REF!</f>
        <v>#REF!</v>
      </c>
      <c r="M30" s="18"/>
      <c r="N30" s="18"/>
      <c r="O30" s="18"/>
      <c r="P30" s="18"/>
      <c r="Q30" s="18"/>
      <c r="R30" s="18"/>
      <c r="S30" s="21" t="e">
        <f t="shared" si="19"/>
        <v>#REF!</v>
      </c>
      <c r="T30" s="16" t="e">
        <f t="shared" si="20"/>
        <v>#REF!</v>
      </c>
      <c r="U30" s="17" t="e">
        <f t="shared" si="21"/>
        <v>#REF!</v>
      </c>
    </row>
    <row r="31" spans="1:21">
      <c r="A31" s="42" t="s">
        <v>116</v>
      </c>
      <c r="B31" s="42" t="s">
        <v>117</v>
      </c>
      <c r="C31" s="40">
        <v>3000</v>
      </c>
      <c r="D31" s="41">
        <v>0</v>
      </c>
      <c r="E31" s="41">
        <v>0</v>
      </c>
      <c r="F31" s="41">
        <v>0</v>
      </c>
      <c r="G31" s="41">
        <v>0</v>
      </c>
      <c r="H31" s="41">
        <v>0</v>
      </c>
      <c r="I31" s="41">
        <v>0</v>
      </c>
      <c r="J31" s="19">
        <f t="shared" si="16"/>
        <v>0</v>
      </c>
      <c r="K31" s="20">
        <f t="shared" si="17"/>
        <v>3000</v>
      </c>
      <c r="L31" s="18"/>
      <c r="M31" s="18"/>
      <c r="N31" s="18"/>
      <c r="O31" s="18"/>
      <c r="P31" s="18"/>
      <c r="Q31" s="18"/>
      <c r="R31" s="18"/>
      <c r="S31" s="21">
        <f t="shared" si="19"/>
        <v>0</v>
      </c>
      <c r="T31" s="16">
        <f t="shared" si="20"/>
        <v>0</v>
      </c>
      <c r="U31" s="17">
        <f t="shared" si="21"/>
        <v>3000</v>
      </c>
    </row>
    <row r="32" spans="1:21" s="47" customFormat="1">
      <c r="A32" s="36" t="s">
        <v>103</v>
      </c>
      <c r="B32" s="36"/>
      <c r="C32" s="8">
        <f t="shared" ref="C32:I32" si="22">SUBTOTAL(9,C33:C35)</f>
        <v>49144</v>
      </c>
      <c r="D32" s="8">
        <f t="shared" si="22"/>
        <v>0</v>
      </c>
      <c r="E32" s="8">
        <f t="shared" si="22"/>
        <v>0</v>
      </c>
      <c r="F32" s="8">
        <f t="shared" si="22"/>
        <v>0</v>
      </c>
      <c r="G32" s="8">
        <f t="shared" si="22"/>
        <v>0</v>
      </c>
      <c r="H32" s="8">
        <f t="shared" si="22"/>
        <v>0</v>
      </c>
      <c r="I32" s="8">
        <f t="shared" si="22"/>
        <v>0</v>
      </c>
      <c r="J32" s="9">
        <f t="shared" si="16"/>
        <v>0</v>
      </c>
      <c r="K32" s="9">
        <f t="shared" si="17"/>
        <v>49144</v>
      </c>
      <c r="L32" s="8">
        <f t="shared" ref="L32:R32" si="23">SUBTOTAL(9,L33:L35)</f>
        <v>0</v>
      </c>
      <c r="M32" s="8">
        <f t="shared" si="23"/>
        <v>0</v>
      </c>
      <c r="N32" s="8">
        <f t="shared" si="23"/>
        <v>0</v>
      </c>
      <c r="O32" s="8">
        <f t="shared" si="23"/>
        <v>0</v>
      </c>
      <c r="P32" s="8">
        <f t="shared" si="23"/>
        <v>0</v>
      </c>
      <c r="Q32" s="8">
        <f t="shared" si="23"/>
        <v>0</v>
      </c>
      <c r="R32" s="8">
        <f t="shared" si="23"/>
        <v>0</v>
      </c>
      <c r="S32" s="8">
        <f t="shared" si="19"/>
        <v>0</v>
      </c>
      <c r="T32" s="10">
        <f t="shared" si="20"/>
        <v>0</v>
      </c>
      <c r="U32" s="38">
        <f t="shared" si="21"/>
        <v>49144</v>
      </c>
    </row>
    <row r="33" spans="1:21">
      <c r="A33" s="42" t="s">
        <v>112</v>
      </c>
      <c r="B33" s="42" t="s">
        <v>113</v>
      </c>
      <c r="C33" s="40">
        <v>49144</v>
      </c>
      <c r="D33" s="41"/>
      <c r="E33" s="41"/>
      <c r="F33" s="41"/>
      <c r="G33" s="41"/>
      <c r="H33" s="41"/>
      <c r="I33" s="41">
        <v>0</v>
      </c>
      <c r="J33" s="13">
        <f t="shared" si="16"/>
        <v>0</v>
      </c>
      <c r="K33" s="14">
        <f t="shared" si="17"/>
        <v>49144</v>
      </c>
      <c r="L33" s="12"/>
      <c r="M33" s="12"/>
      <c r="N33" s="12"/>
      <c r="O33" s="12"/>
      <c r="P33" s="12"/>
      <c r="Q33" s="12"/>
      <c r="R33" s="12"/>
      <c r="S33" s="15">
        <f t="shared" si="19"/>
        <v>0</v>
      </c>
      <c r="T33" s="16">
        <f t="shared" si="20"/>
        <v>0</v>
      </c>
      <c r="U33" s="17">
        <f t="shared" si="21"/>
        <v>49144</v>
      </c>
    </row>
    <row r="34" spans="1:21">
      <c r="A34" s="42" t="s">
        <v>114</v>
      </c>
      <c r="B34" s="42" t="s">
        <v>115</v>
      </c>
      <c r="C34" s="40"/>
      <c r="D34" s="41"/>
      <c r="E34" s="41"/>
      <c r="F34" s="41"/>
      <c r="G34" s="41"/>
      <c r="H34" s="41"/>
      <c r="I34" s="41">
        <v>0</v>
      </c>
      <c r="J34" s="19">
        <f t="shared" si="16"/>
        <v>0</v>
      </c>
      <c r="K34" s="20">
        <f t="shared" si="17"/>
        <v>0</v>
      </c>
      <c r="L34" s="18"/>
      <c r="M34" s="18"/>
      <c r="N34" s="18"/>
      <c r="O34" s="18"/>
      <c r="P34" s="18"/>
      <c r="Q34" s="18"/>
      <c r="R34" s="18"/>
      <c r="S34" s="21">
        <f t="shared" si="19"/>
        <v>0</v>
      </c>
      <c r="T34" s="16">
        <f t="shared" si="20"/>
        <v>0</v>
      </c>
      <c r="U34" s="17">
        <f t="shared" si="21"/>
        <v>0</v>
      </c>
    </row>
    <row r="35" spans="1:21">
      <c r="A35" s="42" t="s">
        <v>116</v>
      </c>
      <c r="B35" s="42" t="s">
        <v>117</v>
      </c>
      <c r="C35" s="40"/>
      <c r="D35" s="41"/>
      <c r="E35" s="41"/>
      <c r="F35" s="41"/>
      <c r="G35" s="41"/>
      <c r="H35" s="41"/>
      <c r="I35" s="41">
        <v>0</v>
      </c>
      <c r="J35" s="19">
        <f t="shared" si="16"/>
        <v>0</v>
      </c>
      <c r="K35" s="20">
        <f t="shared" si="17"/>
        <v>0</v>
      </c>
      <c r="L35" s="18"/>
      <c r="M35" s="18"/>
      <c r="N35" s="18"/>
      <c r="O35" s="18"/>
      <c r="P35" s="18"/>
      <c r="Q35" s="18"/>
      <c r="R35" s="18"/>
      <c r="S35" s="21">
        <f t="shared" si="19"/>
        <v>0</v>
      </c>
      <c r="T35" s="16">
        <f t="shared" si="20"/>
        <v>0</v>
      </c>
      <c r="U35" s="17">
        <f t="shared" si="21"/>
        <v>0</v>
      </c>
    </row>
    <row r="36" spans="1:21" s="47" customFormat="1">
      <c r="A36" s="45" t="s">
        <v>118</v>
      </c>
      <c r="B36" s="24"/>
      <c r="C36" s="46">
        <f t="shared" ref="C36:H36" si="24">SUBTOTAL(9,C28:C35)</f>
        <v>116283</v>
      </c>
      <c r="D36" s="46">
        <f t="shared" si="24"/>
        <v>0</v>
      </c>
      <c r="E36" s="46">
        <f t="shared" si="24"/>
        <v>0</v>
      </c>
      <c r="F36" s="46">
        <f t="shared" si="24"/>
        <v>0</v>
      </c>
      <c r="G36" s="46">
        <f t="shared" si="24"/>
        <v>0</v>
      </c>
      <c r="H36" s="46">
        <f t="shared" si="24"/>
        <v>27559.43</v>
      </c>
      <c r="I36" s="27">
        <f>SUM(I18:I35)/3</f>
        <v>0</v>
      </c>
      <c r="J36" s="27">
        <f t="shared" si="16"/>
        <v>27559.43</v>
      </c>
      <c r="K36" s="27">
        <f t="shared" si="17"/>
        <v>88723.57</v>
      </c>
      <c r="L36" s="46" t="e">
        <f t="shared" ref="L36:R36" si="25">SUBTOTAL(9,L28:L35)</f>
        <v>#REF!</v>
      </c>
      <c r="M36" s="46">
        <f t="shared" si="25"/>
        <v>0</v>
      </c>
      <c r="N36" s="46">
        <f t="shared" si="25"/>
        <v>0</v>
      </c>
      <c r="O36" s="46">
        <f t="shared" si="25"/>
        <v>0</v>
      </c>
      <c r="P36" s="46">
        <f t="shared" si="25"/>
        <v>0</v>
      </c>
      <c r="Q36" s="46">
        <f t="shared" si="25"/>
        <v>0</v>
      </c>
      <c r="R36" s="46">
        <f t="shared" si="25"/>
        <v>0</v>
      </c>
      <c r="S36" s="27" t="e">
        <f t="shared" si="19"/>
        <v>#REF!</v>
      </c>
      <c r="T36" s="10" t="e">
        <f t="shared" si="20"/>
        <v>#REF!</v>
      </c>
      <c r="U36" s="28" t="e">
        <f t="shared" si="21"/>
        <v>#REF!</v>
      </c>
    </row>
    <row r="37" spans="1:21" ht="6.75" customHeight="1">
      <c r="C37" s="29"/>
      <c r="J37" s="32"/>
      <c r="K37" s="33"/>
      <c r="U37" s="32"/>
    </row>
    <row r="38" spans="1:21" ht="6.75" customHeight="1">
      <c r="C38" s="29"/>
      <c r="J38" s="32"/>
      <c r="K38" s="33"/>
      <c r="U38" s="32"/>
    </row>
    <row r="39" spans="1:21" ht="6.75" customHeight="1">
      <c r="C39" s="29"/>
      <c r="J39" s="32"/>
      <c r="K39" s="33"/>
      <c r="U39" s="32"/>
    </row>
    <row r="40" spans="1:21" s="47" customFormat="1" ht="21" customHeight="1">
      <c r="A40" s="49" t="s">
        <v>120</v>
      </c>
      <c r="B40" s="49"/>
      <c r="C40" s="50">
        <f t="shared" ref="C40:U40" si="26">C21+C36</f>
        <v>4911192</v>
      </c>
      <c r="D40" s="50">
        <f t="shared" si="26"/>
        <v>401422.81</v>
      </c>
      <c r="E40" s="50">
        <f t="shared" si="26"/>
        <v>391308.69</v>
      </c>
      <c r="F40" s="50">
        <f t="shared" si="26"/>
        <v>393204.3</v>
      </c>
      <c r="G40" s="50">
        <f t="shared" si="26"/>
        <v>385030.74</v>
      </c>
      <c r="H40" s="50">
        <f t="shared" si="26"/>
        <v>394919.43</v>
      </c>
      <c r="I40" s="50">
        <f t="shared" si="26"/>
        <v>0</v>
      </c>
      <c r="J40" s="50">
        <f t="shared" si="26"/>
        <v>1965885.97</v>
      </c>
      <c r="K40" s="50">
        <f t="shared" si="26"/>
        <v>2945306.03</v>
      </c>
      <c r="L40" s="50" t="e">
        <f t="shared" si="26"/>
        <v>#REF!</v>
      </c>
      <c r="M40" s="50">
        <f t="shared" si="26"/>
        <v>458562</v>
      </c>
      <c r="N40" s="50">
        <f t="shared" si="26"/>
        <v>416262</v>
      </c>
      <c r="O40" s="50">
        <f t="shared" si="26"/>
        <v>416262</v>
      </c>
      <c r="P40" s="50">
        <f t="shared" si="26"/>
        <v>416262</v>
      </c>
      <c r="Q40" s="50">
        <f t="shared" si="26"/>
        <v>416262</v>
      </c>
      <c r="R40" s="50">
        <f t="shared" si="26"/>
        <v>458562</v>
      </c>
      <c r="S40" s="50" t="e">
        <f t="shared" si="26"/>
        <v>#REF!</v>
      </c>
      <c r="T40" s="50" t="e">
        <f t="shared" si="26"/>
        <v>#REF!</v>
      </c>
      <c r="U40" s="50" t="e">
        <f t="shared" si="26"/>
        <v>#REF!</v>
      </c>
    </row>
    <row r="41" spans="1:21" s="47" customFormat="1">
      <c r="A41" s="49"/>
      <c r="B41" s="49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</row>
    <row r="42" spans="1:21" s="59" customFormat="1"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</row>
    <row r="43" spans="1:21">
      <c r="C43" s="34"/>
      <c r="K43" s="35"/>
    </row>
    <row r="44" spans="1:21" ht="20.25" customHeight="1">
      <c r="A44" s="248" t="s">
        <v>84</v>
      </c>
      <c r="B44" s="249"/>
      <c r="C44" s="231" t="s">
        <v>4</v>
      </c>
      <c r="D44" s="2" t="s">
        <v>7</v>
      </c>
      <c r="E44" s="2"/>
      <c r="F44" s="2"/>
      <c r="G44" s="2"/>
      <c r="H44" s="2"/>
      <c r="I44" s="2"/>
      <c r="J44" s="2"/>
      <c r="K44" s="223" t="s">
        <v>108</v>
      </c>
      <c r="L44" s="3" t="s">
        <v>109</v>
      </c>
      <c r="M44" s="3"/>
      <c r="N44" s="3"/>
      <c r="O44" s="3"/>
      <c r="P44" s="3"/>
      <c r="Q44" s="3"/>
      <c r="R44" s="3"/>
      <c r="S44" s="3"/>
      <c r="T44" s="221" t="s">
        <v>13</v>
      </c>
      <c r="U44" s="225" t="s">
        <v>14</v>
      </c>
    </row>
    <row r="45" spans="1:21" ht="25.5" customHeight="1">
      <c r="A45" s="250"/>
      <c r="B45" s="251"/>
      <c r="C45" s="232"/>
      <c r="D45" s="4" t="s">
        <v>15</v>
      </c>
      <c r="E45" s="4" t="s">
        <v>16</v>
      </c>
      <c r="F45" s="4" t="s">
        <v>17</v>
      </c>
      <c r="G45" s="4" t="s">
        <v>19</v>
      </c>
      <c r="H45" s="4" t="s">
        <v>20</v>
      </c>
      <c r="I45" s="4" t="s">
        <v>110</v>
      </c>
      <c r="J45" s="4" t="s">
        <v>18</v>
      </c>
      <c r="K45" s="224"/>
      <c r="L45" s="5" t="s">
        <v>111</v>
      </c>
      <c r="M45" s="5" t="s">
        <v>22</v>
      </c>
      <c r="N45" s="5" t="s">
        <v>23</v>
      </c>
      <c r="O45" s="5" t="s">
        <v>24</v>
      </c>
      <c r="P45" s="5" t="s">
        <v>25</v>
      </c>
      <c r="Q45" s="5" t="s">
        <v>26</v>
      </c>
      <c r="R45" s="6" t="s">
        <v>27</v>
      </c>
      <c r="S45" s="5" t="s">
        <v>12</v>
      </c>
      <c r="T45" s="222"/>
      <c r="U45" s="226"/>
    </row>
    <row r="46" spans="1:21">
      <c r="A46" s="36" t="s">
        <v>103</v>
      </c>
      <c r="B46" s="36"/>
      <c r="C46" s="8">
        <f t="shared" ref="C46:I46" si="27">SUBTOTAL(9,C47:C47)</f>
        <v>15000</v>
      </c>
      <c r="D46" s="8">
        <f t="shared" si="27"/>
        <v>0</v>
      </c>
      <c r="E46" s="8">
        <f t="shared" si="27"/>
        <v>0</v>
      </c>
      <c r="F46" s="8">
        <f t="shared" si="27"/>
        <v>0</v>
      </c>
      <c r="G46" s="8">
        <f t="shared" si="27"/>
        <v>0</v>
      </c>
      <c r="H46" s="8">
        <f t="shared" si="27"/>
        <v>0</v>
      </c>
      <c r="I46" s="8">
        <f t="shared" si="27"/>
        <v>0</v>
      </c>
      <c r="J46" s="9">
        <f>SUM(D46:I46)</f>
        <v>0</v>
      </c>
      <c r="K46" s="9">
        <f>C46-J46</f>
        <v>15000</v>
      </c>
      <c r="L46" s="8">
        <f t="shared" ref="L46:R46" si="28">SUBTOTAL(9,L47:L47)</f>
        <v>0</v>
      </c>
      <c r="M46" s="8">
        <f t="shared" si="28"/>
        <v>15000</v>
      </c>
      <c r="N46" s="8">
        <f t="shared" si="28"/>
        <v>0</v>
      </c>
      <c r="O46" s="8">
        <f t="shared" si="28"/>
        <v>0</v>
      </c>
      <c r="P46" s="8">
        <f t="shared" si="28"/>
        <v>0</v>
      </c>
      <c r="Q46" s="8">
        <f t="shared" si="28"/>
        <v>0</v>
      </c>
      <c r="R46" s="8">
        <f t="shared" si="28"/>
        <v>0</v>
      </c>
      <c r="S46" s="8">
        <f>SUM(L46:R46)</f>
        <v>15000</v>
      </c>
      <c r="T46" s="10">
        <f>+J46+S46</f>
        <v>15000</v>
      </c>
      <c r="U46" s="11">
        <f>+C46-T46</f>
        <v>0</v>
      </c>
    </row>
    <row r="47" spans="1:21">
      <c r="A47" s="42" t="s">
        <v>121</v>
      </c>
      <c r="B47" s="42" t="s">
        <v>122</v>
      </c>
      <c r="C47" s="40">
        <v>15000</v>
      </c>
      <c r="D47" s="41">
        <v>0</v>
      </c>
      <c r="E47" s="41">
        <v>0</v>
      </c>
      <c r="F47" s="41">
        <v>0</v>
      </c>
      <c r="G47" s="41">
        <v>0</v>
      </c>
      <c r="H47" s="41">
        <v>0</v>
      </c>
      <c r="I47" s="41">
        <v>0</v>
      </c>
      <c r="J47" s="13">
        <f>SUM(D47:I47)</f>
        <v>0</v>
      </c>
      <c r="K47" s="14">
        <f>C47-J47</f>
        <v>15000</v>
      </c>
      <c r="L47" s="12"/>
      <c r="M47" s="12">
        <v>15000</v>
      </c>
      <c r="N47" s="12"/>
      <c r="O47" s="12"/>
      <c r="P47" s="12"/>
      <c r="Q47" s="12"/>
      <c r="R47" s="12"/>
      <c r="S47" s="15">
        <f>SUM(L47:R47)</f>
        <v>15000</v>
      </c>
      <c r="T47" s="16">
        <f>+J47+S47</f>
        <v>15000</v>
      </c>
      <c r="U47" s="17">
        <f>+C47-T47</f>
        <v>0</v>
      </c>
    </row>
    <row r="48" spans="1:21">
      <c r="A48" s="45" t="s">
        <v>123</v>
      </c>
      <c r="B48" s="24"/>
      <c r="C48" s="46">
        <f t="shared" ref="C48:H48" si="29">SUBTOTAL(9,C46:C47)</f>
        <v>15000</v>
      </c>
      <c r="D48" s="25">
        <f t="shared" si="29"/>
        <v>0</v>
      </c>
      <c r="E48" s="25">
        <f t="shared" si="29"/>
        <v>0</v>
      </c>
      <c r="F48" s="25">
        <f t="shared" si="29"/>
        <v>0</v>
      </c>
      <c r="G48" s="25">
        <f t="shared" si="29"/>
        <v>0</v>
      </c>
      <c r="H48" s="25">
        <f t="shared" si="29"/>
        <v>0</v>
      </c>
      <c r="I48" s="26">
        <f>SUM(I46:I47)/3</f>
        <v>0</v>
      </c>
      <c r="J48" s="26">
        <f>SUM(D48:I48)</f>
        <v>0</v>
      </c>
      <c r="K48" s="27">
        <f>C48-J48</f>
        <v>15000</v>
      </c>
      <c r="L48" s="25">
        <f t="shared" ref="L48:R48" si="30">SUBTOTAL(9,L46:L47)</f>
        <v>0</v>
      </c>
      <c r="M48" s="25">
        <f t="shared" si="30"/>
        <v>15000</v>
      </c>
      <c r="N48" s="25">
        <f t="shared" si="30"/>
        <v>0</v>
      </c>
      <c r="O48" s="25">
        <f t="shared" si="30"/>
        <v>0</v>
      </c>
      <c r="P48" s="25">
        <f t="shared" si="30"/>
        <v>0</v>
      </c>
      <c r="Q48" s="25">
        <f t="shared" si="30"/>
        <v>0</v>
      </c>
      <c r="R48" s="25">
        <f t="shared" si="30"/>
        <v>0</v>
      </c>
      <c r="S48" s="27">
        <f>SUM(L48:R48)</f>
        <v>15000</v>
      </c>
      <c r="T48" s="10">
        <f>+J48+S48</f>
        <v>15000</v>
      </c>
      <c r="U48" s="28">
        <f>+C48-T48</f>
        <v>0</v>
      </c>
    </row>
    <row r="51" spans="1:21">
      <c r="A51" s="248" t="s">
        <v>84</v>
      </c>
      <c r="B51" s="249"/>
      <c r="C51" s="231" t="s">
        <v>4</v>
      </c>
      <c r="D51" s="2" t="s">
        <v>7</v>
      </c>
      <c r="E51" s="2"/>
      <c r="F51" s="2"/>
      <c r="G51" s="2"/>
      <c r="H51" s="2"/>
      <c r="I51" s="2"/>
      <c r="J51" s="2"/>
      <c r="K51" s="223" t="s">
        <v>108</v>
      </c>
      <c r="L51" s="3" t="s">
        <v>109</v>
      </c>
      <c r="M51" s="3"/>
      <c r="N51" s="3"/>
      <c r="O51" s="3"/>
      <c r="P51" s="3"/>
      <c r="Q51" s="3"/>
      <c r="R51" s="3"/>
      <c r="S51" s="3"/>
      <c r="T51" s="221" t="s">
        <v>13</v>
      </c>
      <c r="U51" s="225" t="s">
        <v>14</v>
      </c>
    </row>
    <row r="52" spans="1:21" ht="25.5" customHeight="1">
      <c r="A52" s="250"/>
      <c r="B52" s="251"/>
      <c r="C52" s="232"/>
      <c r="D52" s="4" t="s">
        <v>15</v>
      </c>
      <c r="E52" s="4" t="s">
        <v>16</v>
      </c>
      <c r="F52" s="4" t="s">
        <v>17</v>
      </c>
      <c r="G52" s="4" t="s">
        <v>19</v>
      </c>
      <c r="H52" s="4" t="s">
        <v>20</v>
      </c>
      <c r="I52" s="4" t="s">
        <v>110</v>
      </c>
      <c r="J52" s="4" t="s">
        <v>18</v>
      </c>
      <c r="K52" s="224"/>
      <c r="L52" s="5" t="s">
        <v>111</v>
      </c>
      <c r="M52" s="5" t="s">
        <v>22</v>
      </c>
      <c r="N52" s="5" t="s">
        <v>23</v>
      </c>
      <c r="O52" s="5" t="s">
        <v>24</v>
      </c>
      <c r="P52" s="5" t="s">
        <v>25</v>
      </c>
      <c r="Q52" s="5" t="s">
        <v>26</v>
      </c>
      <c r="R52" s="6" t="s">
        <v>27</v>
      </c>
      <c r="S52" s="5" t="s">
        <v>12</v>
      </c>
      <c r="T52" s="222"/>
      <c r="U52" s="226"/>
    </row>
    <row r="53" spans="1:21">
      <c r="A53" s="36" t="s">
        <v>99</v>
      </c>
      <c r="B53" s="37"/>
      <c r="C53" s="7">
        <f t="shared" ref="C53:I53" si="31">SUBTOTAL(9,C54:C54)</f>
        <v>409200</v>
      </c>
      <c r="D53" s="7">
        <f t="shared" si="31"/>
        <v>0</v>
      </c>
      <c r="E53" s="7">
        <f t="shared" si="31"/>
        <v>0</v>
      </c>
      <c r="F53" s="7">
        <f t="shared" si="31"/>
        <v>40920</v>
      </c>
      <c r="G53" s="7">
        <f t="shared" si="31"/>
        <v>40920</v>
      </c>
      <c r="H53" s="7">
        <f t="shared" si="31"/>
        <v>40920</v>
      </c>
      <c r="I53" s="7">
        <f t="shared" si="31"/>
        <v>0</v>
      </c>
      <c r="J53" s="9">
        <f>SUM(D53:I53)</f>
        <v>122760</v>
      </c>
      <c r="K53" s="9">
        <f>C53-J53</f>
        <v>286440</v>
      </c>
      <c r="L53" s="8">
        <f t="shared" ref="L53:R53" si="32">SUBTOTAL(9,L54:L54)</f>
        <v>40920</v>
      </c>
      <c r="M53" s="8">
        <f t="shared" si="32"/>
        <v>40920</v>
      </c>
      <c r="N53" s="8">
        <f t="shared" si="32"/>
        <v>40920</v>
      </c>
      <c r="O53" s="8">
        <f t="shared" si="32"/>
        <v>40920</v>
      </c>
      <c r="P53" s="8">
        <f t="shared" si="32"/>
        <v>40920</v>
      </c>
      <c r="Q53" s="8">
        <f t="shared" si="32"/>
        <v>40920</v>
      </c>
      <c r="R53" s="8">
        <f t="shared" si="32"/>
        <v>40920</v>
      </c>
      <c r="S53" s="8">
        <f>SUM(L53:R53)</f>
        <v>286440</v>
      </c>
      <c r="T53" s="10">
        <f>+J53+S53</f>
        <v>409200</v>
      </c>
      <c r="U53" s="38">
        <f>+C53-T53</f>
        <v>0</v>
      </c>
    </row>
    <row r="54" spans="1:21">
      <c r="A54" s="42" t="s">
        <v>124</v>
      </c>
      <c r="B54" s="42" t="s">
        <v>125</v>
      </c>
      <c r="C54" s="40">
        <v>409200</v>
      </c>
      <c r="D54" s="41">
        <v>0</v>
      </c>
      <c r="E54" s="41">
        <v>0</v>
      </c>
      <c r="F54" s="41">
        <v>40920</v>
      </c>
      <c r="G54" s="41">
        <v>40920</v>
      </c>
      <c r="H54" s="41">
        <v>40920</v>
      </c>
      <c r="I54" s="41">
        <v>0</v>
      </c>
      <c r="J54" s="13">
        <f>SUM(D54:I54)</f>
        <v>122760</v>
      </c>
      <c r="K54" s="14">
        <f>C54-J54</f>
        <v>286440</v>
      </c>
      <c r="L54" s="12">
        <v>40920</v>
      </c>
      <c r="M54" s="12">
        <v>40920</v>
      </c>
      <c r="N54" s="12">
        <v>40920</v>
      </c>
      <c r="O54" s="12">
        <v>40920</v>
      </c>
      <c r="P54" s="12">
        <v>40920</v>
      </c>
      <c r="Q54" s="12">
        <v>40920</v>
      </c>
      <c r="R54" s="12">
        <v>40920</v>
      </c>
      <c r="S54" s="15">
        <f>SUM(L54:R54)</f>
        <v>286440</v>
      </c>
      <c r="T54" s="16">
        <f>+J54+S54</f>
        <v>409200</v>
      </c>
      <c r="U54" s="17">
        <f>+C54-T54</f>
        <v>0</v>
      </c>
    </row>
    <row r="55" spans="1:21">
      <c r="A55" s="45" t="s">
        <v>126</v>
      </c>
      <c r="B55" s="24"/>
      <c r="C55" s="46">
        <f t="shared" ref="C55:H55" si="33">SUBTOTAL(9,C53:C54)</f>
        <v>409200</v>
      </c>
      <c r="D55" s="25">
        <f t="shared" si="33"/>
        <v>0</v>
      </c>
      <c r="E55" s="25">
        <f t="shared" si="33"/>
        <v>0</v>
      </c>
      <c r="F55" s="25">
        <f t="shared" si="33"/>
        <v>40920</v>
      </c>
      <c r="G55" s="25">
        <f t="shared" si="33"/>
        <v>40920</v>
      </c>
      <c r="H55" s="25">
        <f t="shared" si="33"/>
        <v>40920</v>
      </c>
      <c r="I55" s="26">
        <f>SUM(I53:I54)/3</f>
        <v>0</v>
      </c>
      <c r="J55" s="26">
        <f>SUM(D55:I55)</f>
        <v>122760</v>
      </c>
      <c r="K55" s="27">
        <f>C55-J55</f>
        <v>286440</v>
      </c>
      <c r="L55" s="25">
        <f t="shared" ref="L55:R55" si="34">SUBTOTAL(9,L53:L54)</f>
        <v>40920</v>
      </c>
      <c r="M55" s="25">
        <f t="shared" si="34"/>
        <v>40920</v>
      </c>
      <c r="N55" s="25">
        <f t="shared" si="34"/>
        <v>40920</v>
      </c>
      <c r="O55" s="25">
        <f t="shared" si="34"/>
        <v>40920</v>
      </c>
      <c r="P55" s="25">
        <f t="shared" si="34"/>
        <v>40920</v>
      </c>
      <c r="Q55" s="25">
        <f t="shared" si="34"/>
        <v>40920</v>
      </c>
      <c r="R55" s="25">
        <f t="shared" si="34"/>
        <v>40920</v>
      </c>
      <c r="S55" s="27">
        <f>SUM(L55:R55)</f>
        <v>286440</v>
      </c>
      <c r="T55" s="10">
        <f>+J55+S55</f>
        <v>409200</v>
      </c>
      <c r="U55" s="28">
        <f>+C55-T55</f>
        <v>0</v>
      </c>
    </row>
  </sheetData>
  <sheetProtection formatCells="0" formatColumns="0" formatRows="0" insertColumns="0" insertRows="0" insertHyperlinks="0" deleteColumns="0" deleteRows="0" sort="0" autoFilter="0" pivotTables="0"/>
  <mergeCells count="20">
    <mergeCell ref="A26:B27"/>
    <mergeCell ref="C26:C27"/>
    <mergeCell ref="K26:K27"/>
    <mergeCell ref="T26:T27"/>
    <mergeCell ref="U26:U27"/>
    <mergeCell ref="A44:B45"/>
    <mergeCell ref="C44:C45"/>
    <mergeCell ref="K44:K45"/>
    <mergeCell ref="T44:T45"/>
    <mergeCell ref="U44:U45"/>
    <mergeCell ref="A3:B4"/>
    <mergeCell ref="C3:C4"/>
    <mergeCell ref="K3:K4"/>
    <mergeCell ref="T3:T4"/>
    <mergeCell ref="U3:U4"/>
    <mergeCell ref="A51:B52"/>
    <mergeCell ref="C51:C52"/>
    <mergeCell ref="K51:K52"/>
    <mergeCell ref="T51:T52"/>
    <mergeCell ref="U51:U5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sheetPr filterMode="1">
    <tabColor rgb="FFC00000"/>
  </sheetPr>
  <dimension ref="A1:U76"/>
  <sheetViews>
    <sheetView workbookViewId="0">
      <pane xSplit="2" topLeftCell="I1" activePane="topRight" state="frozen"/>
      <selection pane="topRight" activeCell="B10" sqref="B10"/>
    </sheetView>
  </sheetViews>
  <sheetFormatPr baseColWidth="10" defaultColWidth="9.140625" defaultRowHeight="12.75"/>
  <cols>
    <col min="1" max="1" width="9.140625" customWidth="1"/>
    <col min="2" max="2" width="21.140625" customWidth="1"/>
    <col min="3" max="3" width="10.5703125" customWidth="1"/>
    <col min="9" max="9" width="9.28515625" customWidth="1"/>
    <col min="10" max="10" width="11.42578125" customWidth="1"/>
    <col min="11" max="11" width="11.5703125" customWidth="1"/>
    <col min="12" max="12" width="11.42578125" customWidth="1"/>
    <col min="13" max="18" width="11" customWidth="1"/>
    <col min="19" max="20" width="12.140625" customWidth="1"/>
    <col min="21" max="21" width="13.85546875" customWidth="1"/>
  </cols>
  <sheetData>
    <row r="1" spans="1:21">
      <c r="J1" s="1"/>
      <c r="S1" s="1"/>
      <c r="T1" s="1"/>
      <c r="U1" s="1"/>
    </row>
    <row r="2" spans="1:21" ht="18" customHeight="1">
      <c r="A2" s="248" t="s">
        <v>84</v>
      </c>
      <c r="B2" s="249"/>
      <c r="C2" s="231" t="s">
        <v>4</v>
      </c>
      <c r="D2" s="2" t="s">
        <v>7</v>
      </c>
      <c r="E2" s="2"/>
      <c r="F2" s="2"/>
      <c r="G2" s="2"/>
      <c r="H2" s="2"/>
      <c r="I2" s="2"/>
      <c r="J2" s="2"/>
      <c r="K2" s="223" t="s">
        <v>108</v>
      </c>
      <c r="L2" s="3" t="s">
        <v>109</v>
      </c>
      <c r="M2" s="3"/>
      <c r="N2" s="3"/>
      <c r="O2" s="3"/>
      <c r="P2" s="3"/>
      <c r="Q2" s="3"/>
      <c r="R2" s="3"/>
      <c r="S2" s="3"/>
      <c r="T2" s="221" t="s">
        <v>13</v>
      </c>
      <c r="U2" s="225" t="s">
        <v>14</v>
      </c>
    </row>
    <row r="3" spans="1:21" ht="33" customHeight="1">
      <c r="A3" s="250"/>
      <c r="B3" s="251"/>
      <c r="C3" s="232"/>
      <c r="D3" s="4" t="s">
        <v>15</v>
      </c>
      <c r="E3" s="4" t="s">
        <v>16</v>
      </c>
      <c r="F3" s="4" t="s">
        <v>17</v>
      </c>
      <c r="G3" s="4" t="s">
        <v>19</v>
      </c>
      <c r="H3" s="4" t="s">
        <v>20</v>
      </c>
      <c r="I3" s="4" t="s">
        <v>110</v>
      </c>
      <c r="J3" s="4" t="s">
        <v>18</v>
      </c>
      <c r="K3" s="224"/>
      <c r="L3" s="5" t="s">
        <v>111</v>
      </c>
      <c r="M3" s="5" t="s">
        <v>22</v>
      </c>
      <c r="N3" s="5" t="s">
        <v>23</v>
      </c>
      <c r="O3" s="5" t="s">
        <v>24</v>
      </c>
      <c r="P3" s="5" t="s">
        <v>25</v>
      </c>
      <c r="Q3" s="5" t="s">
        <v>26</v>
      </c>
      <c r="R3" s="6" t="s">
        <v>27</v>
      </c>
      <c r="S3" s="5" t="s">
        <v>12</v>
      </c>
      <c r="T3" s="222"/>
      <c r="U3" s="226"/>
    </row>
    <row r="4" spans="1:21" ht="15.75" customHeight="1">
      <c r="A4" s="36" t="s">
        <v>99</v>
      </c>
      <c r="B4" s="37"/>
      <c r="C4" s="7">
        <f t="shared" ref="C4:I4" si="0">SUBTOTAL(9,C5:C21)</f>
        <v>36558231</v>
      </c>
      <c r="D4" s="7">
        <f t="shared" si="0"/>
        <v>3079682.43</v>
      </c>
      <c r="E4" s="7">
        <f t="shared" si="0"/>
        <v>2969344.22</v>
      </c>
      <c r="F4" s="7">
        <f t="shared" si="0"/>
        <v>2928637.58</v>
      </c>
      <c r="G4" s="7">
        <f t="shared" si="0"/>
        <v>2944377.8</v>
      </c>
      <c r="H4" s="7">
        <f t="shared" si="0"/>
        <v>3337399.19</v>
      </c>
      <c r="I4" s="7">
        <f t="shared" si="0"/>
        <v>0</v>
      </c>
      <c r="J4" s="9">
        <f t="shared" ref="J4:J29" si="1">SUM(D4:I4)</f>
        <v>15259441.220000001</v>
      </c>
      <c r="K4" s="9">
        <f t="shared" ref="K4:K29" si="2">C4-J4</f>
        <v>21298789.780000001</v>
      </c>
      <c r="L4" s="8">
        <f t="shared" ref="L4:R4" si="3">SUBTOTAL(9,L5:L19)</f>
        <v>2955135.7</v>
      </c>
      <c r="M4" s="8">
        <f t="shared" si="3"/>
        <v>4013365.29</v>
      </c>
      <c r="N4" s="8">
        <f t="shared" si="3"/>
        <v>2955135.7</v>
      </c>
      <c r="O4" s="8">
        <f t="shared" si="3"/>
        <v>2955135.7</v>
      </c>
      <c r="P4" s="8">
        <f t="shared" si="3"/>
        <v>2955135.7</v>
      </c>
      <c r="Q4" s="8">
        <f t="shared" si="3"/>
        <v>3399445.53</v>
      </c>
      <c r="R4" s="8">
        <f t="shared" si="3"/>
        <v>4013365.29</v>
      </c>
      <c r="S4" s="8">
        <f t="shared" ref="S4:S35" si="4">SUM(L4:R4)</f>
        <v>23246718.91</v>
      </c>
      <c r="T4" s="10">
        <f t="shared" ref="T4:T35" si="5">+J4+S4</f>
        <v>38506160.130000003</v>
      </c>
      <c r="U4" s="38">
        <f t="shared" ref="U4:U35" si="6">+C4-T4</f>
        <v>-1947929.13</v>
      </c>
    </row>
    <row r="5" spans="1:21">
      <c r="A5" s="39" t="s">
        <v>29</v>
      </c>
      <c r="B5" s="39" t="s">
        <v>30</v>
      </c>
      <c r="C5" s="40">
        <v>130530</v>
      </c>
      <c r="D5" s="41">
        <v>10877.51</v>
      </c>
      <c r="E5" s="41">
        <v>10877.51</v>
      </c>
      <c r="F5" s="41">
        <v>10877.51</v>
      </c>
      <c r="G5" s="41">
        <v>10877.51</v>
      </c>
      <c r="H5" s="41">
        <v>10877.51</v>
      </c>
      <c r="I5" s="41">
        <v>0</v>
      </c>
      <c r="J5" s="13">
        <f t="shared" si="1"/>
        <v>54387.55</v>
      </c>
      <c r="K5" s="14">
        <f t="shared" si="2"/>
        <v>76142.45</v>
      </c>
      <c r="L5" s="12">
        <v>10877.51</v>
      </c>
      <c r="M5" s="12">
        <v>10877.51</v>
      </c>
      <c r="N5" s="12">
        <v>10877.51</v>
      </c>
      <c r="O5" s="12">
        <v>10877.51</v>
      </c>
      <c r="P5" s="12">
        <v>10877.51</v>
      </c>
      <c r="Q5" s="12">
        <v>10877.51</v>
      </c>
      <c r="R5" s="12">
        <v>10877.51</v>
      </c>
      <c r="S5" s="15">
        <f t="shared" si="4"/>
        <v>76142.570000000007</v>
      </c>
      <c r="T5" s="16">
        <f t="shared" si="5"/>
        <v>130530.12</v>
      </c>
      <c r="U5" s="17">
        <f t="shared" si="6"/>
        <v>-0.11999999998079</v>
      </c>
    </row>
    <row r="6" spans="1:21">
      <c r="A6" s="42" t="s">
        <v>31</v>
      </c>
      <c r="B6" s="42" t="s">
        <v>100</v>
      </c>
      <c r="C6" s="40">
        <v>5989239</v>
      </c>
      <c r="D6" s="41">
        <v>501051.8</v>
      </c>
      <c r="E6" s="41">
        <v>505766</v>
      </c>
      <c r="F6" s="41">
        <v>460905.3</v>
      </c>
      <c r="G6" s="41">
        <v>483718.12</v>
      </c>
      <c r="H6" s="41">
        <v>496859.8</v>
      </c>
      <c r="I6" s="41">
        <v>0</v>
      </c>
      <c r="J6" s="19">
        <f t="shared" si="1"/>
        <v>2448301.02</v>
      </c>
      <c r="K6" s="20">
        <f t="shared" si="2"/>
        <v>3540937.98</v>
      </c>
      <c r="L6" s="18">
        <v>502059</v>
      </c>
      <c r="M6" s="18">
        <v>502059</v>
      </c>
      <c r="N6" s="18">
        <v>502059</v>
      </c>
      <c r="O6" s="18">
        <v>502059</v>
      </c>
      <c r="P6" s="18">
        <v>502059</v>
      </c>
      <c r="Q6" s="18">
        <v>502059</v>
      </c>
      <c r="R6" s="18">
        <v>502059</v>
      </c>
      <c r="S6" s="21">
        <f t="shared" si="4"/>
        <v>3514413</v>
      </c>
      <c r="T6" s="16">
        <f t="shared" si="5"/>
        <v>5962714.0199999996</v>
      </c>
      <c r="U6" s="17">
        <f t="shared" si="6"/>
        <v>26524.98</v>
      </c>
    </row>
    <row r="7" spans="1:21">
      <c r="A7" s="42" t="s">
        <v>33</v>
      </c>
      <c r="B7" s="42" t="s">
        <v>101</v>
      </c>
      <c r="C7" s="40">
        <v>2093811</v>
      </c>
      <c r="D7" s="41">
        <v>159027.82</v>
      </c>
      <c r="E7" s="41">
        <v>182484.95</v>
      </c>
      <c r="F7" s="41">
        <v>186903.57</v>
      </c>
      <c r="G7" s="41">
        <v>176695</v>
      </c>
      <c r="H7" s="41">
        <v>172124</v>
      </c>
      <c r="I7" s="41">
        <v>0</v>
      </c>
      <c r="J7" s="19">
        <f t="shared" si="1"/>
        <v>877235.34</v>
      </c>
      <c r="K7" s="20">
        <f t="shared" si="2"/>
        <v>1216575.6599999999</v>
      </c>
      <c r="L7" s="18">
        <v>203350</v>
      </c>
      <c r="M7" s="18">
        <v>203350</v>
      </c>
      <c r="N7" s="18">
        <v>203350</v>
      </c>
      <c r="O7" s="18">
        <v>203350</v>
      </c>
      <c r="P7" s="18">
        <v>203350</v>
      </c>
      <c r="Q7" s="18">
        <v>203350</v>
      </c>
      <c r="R7" s="18">
        <v>203350</v>
      </c>
      <c r="S7" s="21">
        <f t="shared" si="4"/>
        <v>1423450</v>
      </c>
      <c r="T7" s="16">
        <f t="shared" si="5"/>
        <v>2300685.34</v>
      </c>
      <c r="U7" s="17">
        <f t="shared" si="6"/>
        <v>-206874.34</v>
      </c>
    </row>
    <row r="8" spans="1:21">
      <c r="A8" s="42" t="s">
        <v>35</v>
      </c>
      <c r="B8" s="42" t="s">
        <v>36</v>
      </c>
      <c r="C8" s="40">
        <v>57843</v>
      </c>
      <c r="D8" s="41">
        <v>4840</v>
      </c>
      <c r="E8" s="41">
        <v>4800</v>
      </c>
      <c r="F8" s="41">
        <v>4840</v>
      </c>
      <c r="G8" s="41">
        <v>7240</v>
      </c>
      <c r="H8" s="41">
        <v>5440</v>
      </c>
      <c r="I8" s="41">
        <v>0</v>
      </c>
      <c r="J8" s="19">
        <f t="shared" si="1"/>
        <v>27160</v>
      </c>
      <c r="K8" s="20">
        <f t="shared" si="2"/>
        <v>30683</v>
      </c>
      <c r="L8" s="18">
        <v>5440</v>
      </c>
      <c r="M8" s="18">
        <v>5440</v>
      </c>
      <c r="N8" s="18">
        <v>5440</v>
      </c>
      <c r="O8" s="18">
        <v>5440</v>
      </c>
      <c r="P8" s="18">
        <v>5440</v>
      </c>
      <c r="Q8" s="18">
        <v>5440</v>
      </c>
      <c r="R8" s="18">
        <v>5440</v>
      </c>
      <c r="S8" s="21">
        <f t="shared" si="4"/>
        <v>38080</v>
      </c>
      <c r="T8" s="16">
        <f t="shared" si="5"/>
        <v>65240</v>
      </c>
      <c r="U8" s="17">
        <f t="shared" si="6"/>
        <v>-7397</v>
      </c>
    </row>
    <row r="9" spans="1:21">
      <c r="A9" s="42" t="s">
        <v>64</v>
      </c>
      <c r="B9" s="42" t="s">
        <v>65</v>
      </c>
      <c r="C9" s="40">
        <v>678041</v>
      </c>
      <c r="D9" s="41">
        <v>51615</v>
      </c>
      <c r="E9" s="41">
        <v>51615</v>
      </c>
      <c r="F9" s="41">
        <v>44463.3</v>
      </c>
      <c r="G9" s="41">
        <v>51460</v>
      </c>
      <c r="H9" s="41">
        <v>51615</v>
      </c>
      <c r="I9" s="41">
        <v>0</v>
      </c>
      <c r="J9" s="19">
        <f t="shared" si="1"/>
        <v>250768.3</v>
      </c>
      <c r="K9" s="20">
        <f t="shared" si="2"/>
        <v>427272.7</v>
      </c>
      <c r="L9" s="18">
        <v>56265</v>
      </c>
      <c r="M9" s="18">
        <v>56265</v>
      </c>
      <c r="N9" s="18">
        <v>56265</v>
      </c>
      <c r="O9" s="18">
        <v>56265</v>
      </c>
      <c r="P9" s="18">
        <v>56265</v>
      </c>
      <c r="Q9" s="18">
        <v>56265</v>
      </c>
      <c r="R9" s="18">
        <v>56265</v>
      </c>
      <c r="S9" s="21">
        <f t="shared" si="4"/>
        <v>393855</v>
      </c>
      <c r="T9" s="16">
        <f t="shared" si="5"/>
        <v>644623.30000000005</v>
      </c>
      <c r="U9" s="17">
        <f t="shared" si="6"/>
        <v>33417.699999999997</v>
      </c>
    </row>
    <row r="10" spans="1:21">
      <c r="A10" s="42" t="s">
        <v>37</v>
      </c>
      <c r="B10" s="42" t="s">
        <v>38</v>
      </c>
      <c r="C10" s="40">
        <v>4266241</v>
      </c>
      <c r="D10" s="41">
        <v>352637.46</v>
      </c>
      <c r="E10" s="41">
        <v>356540.19</v>
      </c>
      <c r="F10" s="41">
        <v>356107.49</v>
      </c>
      <c r="G10" s="41">
        <v>356705.84</v>
      </c>
      <c r="H10" s="41">
        <v>351836.55</v>
      </c>
      <c r="I10" s="41">
        <v>0</v>
      </c>
      <c r="J10" s="19">
        <f t="shared" si="1"/>
        <v>1773827.53</v>
      </c>
      <c r="K10" s="20">
        <f t="shared" si="2"/>
        <v>2492413.4700000002</v>
      </c>
      <c r="L10" s="18">
        <v>359211.06</v>
      </c>
      <c r="M10" s="18">
        <v>359211.06</v>
      </c>
      <c r="N10" s="18">
        <v>359211.06</v>
      </c>
      <c r="O10" s="18">
        <v>359211.06</v>
      </c>
      <c r="P10" s="18">
        <v>359211.06</v>
      </c>
      <c r="Q10" s="18">
        <v>359211.06</v>
      </c>
      <c r="R10" s="18">
        <v>359211.06</v>
      </c>
      <c r="S10" s="21">
        <f t="shared" si="4"/>
        <v>2514477.42</v>
      </c>
      <c r="T10" s="16">
        <f t="shared" si="5"/>
        <v>4288304.95</v>
      </c>
      <c r="U10" s="17">
        <f t="shared" si="6"/>
        <v>-22063.949999998</v>
      </c>
    </row>
    <row r="11" spans="1:21">
      <c r="A11" s="42" t="s">
        <v>39</v>
      </c>
      <c r="B11" s="42" t="s">
        <v>40</v>
      </c>
      <c r="C11" s="40">
        <v>5649388</v>
      </c>
      <c r="D11" s="41">
        <v>479940</v>
      </c>
      <c r="E11" s="41">
        <v>488450</v>
      </c>
      <c r="F11" s="41">
        <v>487400</v>
      </c>
      <c r="G11" s="41">
        <v>487243.33</v>
      </c>
      <c r="H11" s="41">
        <v>484486.67</v>
      </c>
      <c r="I11" s="41">
        <v>0</v>
      </c>
      <c r="J11" s="19">
        <f t="shared" si="1"/>
        <v>2427520</v>
      </c>
      <c r="K11" s="20">
        <f t="shared" si="2"/>
        <v>3221868</v>
      </c>
      <c r="L11" s="18">
        <v>489900</v>
      </c>
      <c r="M11" s="18">
        <v>489900</v>
      </c>
      <c r="N11" s="18">
        <v>489900</v>
      </c>
      <c r="O11" s="18">
        <v>489900</v>
      </c>
      <c r="P11" s="18">
        <v>489900</v>
      </c>
      <c r="Q11" s="18">
        <v>489900</v>
      </c>
      <c r="R11" s="18">
        <v>489900</v>
      </c>
      <c r="S11" s="21">
        <f t="shared" si="4"/>
        <v>3429300</v>
      </c>
      <c r="T11" s="16">
        <f t="shared" si="5"/>
        <v>5856820</v>
      </c>
      <c r="U11" s="17">
        <f t="shared" si="6"/>
        <v>-207432</v>
      </c>
    </row>
    <row r="12" spans="1:21">
      <c r="A12" s="42" t="s">
        <v>41</v>
      </c>
      <c r="B12" s="42" t="s">
        <v>42</v>
      </c>
      <c r="C12" s="40">
        <v>13643407</v>
      </c>
      <c r="D12" s="41">
        <v>1320749.76</v>
      </c>
      <c r="E12" s="41">
        <v>1310238.93</v>
      </c>
      <c r="F12" s="41">
        <v>1317978.94</v>
      </c>
      <c r="G12" s="41">
        <v>1312431.7</v>
      </c>
      <c r="H12" s="41">
        <v>1314865.76</v>
      </c>
      <c r="I12" s="41">
        <v>0</v>
      </c>
      <c r="J12" s="19">
        <f t="shared" si="1"/>
        <v>6576265.0899999999</v>
      </c>
      <c r="K12" s="20">
        <f t="shared" si="2"/>
        <v>7067141.9100000001</v>
      </c>
      <c r="L12" s="18">
        <v>1325827.5900000001</v>
      </c>
      <c r="M12" s="18">
        <v>1325827.5900000001</v>
      </c>
      <c r="N12" s="18">
        <v>1325827.5900000001</v>
      </c>
      <c r="O12" s="18">
        <v>1325827.5900000001</v>
      </c>
      <c r="P12" s="18">
        <v>1325827.5900000001</v>
      </c>
      <c r="Q12" s="18">
        <v>1325827.5900000001</v>
      </c>
      <c r="R12" s="18">
        <v>1325827.5900000001</v>
      </c>
      <c r="S12" s="21">
        <f t="shared" si="4"/>
        <v>9280793.1300000008</v>
      </c>
      <c r="T12" s="16">
        <f t="shared" si="5"/>
        <v>15857058.220000001</v>
      </c>
      <c r="U12" s="17">
        <f t="shared" si="6"/>
        <v>-2213651.2200000002</v>
      </c>
    </row>
    <row r="13" spans="1:21">
      <c r="A13" s="42" t="s">
        <v>43</v>
      </c>
      <c r="B13" s="42" t="s">
        <v>44</v>
      </c>
      <c r="C13" s="40">
        <v>1616113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41">
        <v>0</v>
      </c>
      <c r="J13" s="19">
        <f t="shared" si="1"/>
        <v>0</v>
      </c>
      <c r="K13" s="20">
        <f t="shared" si="2"/>
        <v>1616113</v>
      </c>
      <c r="L13" s="18"/>
      <c r="M13" s="18">
        <v>761674</v>
      </c>
      <c r="N13" s="18"/>
      <c r="O13" s="18"/>
      <c r="P13" s="18"/>
      <c r="Q13" s="18"/>
      <c r="R13" s="18">
        <v>761674</v>
      </c>
      <c r="S13" s="21">
        <f t="shared" si="4"/>
        <v>1523348</v>
      </c>
      <c r="T13" s="16">
        <f t="shared" si="5"/>
        <v>1523348</v>
      </c>
      <c r="U13" s="17">
        <f t="shared" si="6"/>
        <v>92765</v>
      </c>
    </row>
    <row r="14" spans="1:21">
      <c r="A14" s="42" t="s">
        <v>45</v>
      </c>
      <c r="B14" s="42" t="s">
        <v>46</v>
      </c>
      <c r="C14" s="40">
        <v>610330</v>
      </c>
      <c r="D14" s="41">
        <v>0</v>
      </c>
      <c r="E14" s="41">
        <v>0</v>
      </c>
      <c r="F14" s="41">
        <v>0</v>
      </c>
      <c r="G14" s="41">
        <v>0</v>
      </c>
      <c r="H14" s="41">
        <v>0</v>
      </c>
      <c r="I14" s="41">
        <v>0</v>
      </c>
      <c r="J14" s="19">
        <f t="shared" si="1"/>
        <v>0</v>
      </c>
      <c r="K14" s="20">
        <f t="shared" si="2"/>
        <v>610330</v>
      </c>
      <c r="L14" s="18"/>
      <c r="M14" s="18">
        <v>269438.58</v>
      </c>
      <c r="N14" s="18"/>
      <c r="O14" s="18"/>
      <c r="P14" s="18"/>
      <c r="Q14" s="18"/>
      <c r="R14" s="18">
        <v>269438.58</v>
      </c>
      <c r="S14" s="21">
        <f t="shared" si="4"/>
        <v>538877.16</v>
      </c>
      <c r="T14" s="16">
        <f t="shared" si="5"/>
        <v>538877.16</v>
      </c>
      <c r="U14" s="17">
        <f t="shared" si="6"/>
        <v>71452.84</v>
      </c>
    </row>
    <row r="15" spans="1:21">
      <c r="A15" s="42" t="s">
        <v>47</v>
      </c>
      <c r="B15" s="42" t="s">
        <v>48</v>
      </c>
      <c r="C15" s="40">
        <v>172004</v>
      </c>
      <c r="D15" s="41">
        <v>141790.9</v>
      </c>
      <c r="E15" s="41">
        <v>0</v>
      </c>
      <c r="F15" s="41">
        <v>0</v>
      </c>
      <c r="G15" s="41">
        <v>0</v>
      </c>
      <c r="H15" s="41">
        <v>0</v>
      </c>
      <c r="I15" s="41">
        <v>0</v>
      </c>
      <c r="J15" s="19">
        <f t="shared" si="1"/>
        <v>141790.9</v>
      </c>
      <c r="K15" s="20">
        <f t="shared" si="2"/>
        <v>30213.1</v>
      </c>
      <c r="L15" s="18"/>
      <c r="M15" s="18"/>
      <c r="N15" s="18"/>
      <c r="O15" s="18"/>
      <c r="P15" s="18"/>
      <c r="Q15" s="18"/>
      <c r="R15" s="18"/>
      <c r="S15" s="21">
        <f t="shared" si="4"/>
        <v>0</v>
      </c>
      <c r="T15" s="16">
        <f t="shared" si="5"/>
        <v>141790.9</v>
      </c>
      <c r="U15" s="17">
        <f t="shared" si="6"/>
        <v>30213.1</v>
      </c>
    </row>
    <row r="16" spans="1:21">
      <c r="A16" s="42" t="s">
        <v>49</v>
      </c>
      <c r="B16" s="42" t="s">
        <v>50</v>
      </c>
      <c r="C16" s="40">
        <v>852798</v>
      </c>
      <c r="D16" s="41">
        <v>0</v>
      </c>
      <c r="E16" s="41">
        <v>0</v>
      </c>
      <c r="F16" s="41">
        <v>0</v>
      </c>
      <c r="G16" s="41">
        <v>0</v>
      </c>
      <c r="H16" s="41">
        <v>391513.69</v>
      </c>
      <c r="I16" s="41">
        <v>0</v>
      </c>
      <c r="J16" s="19">
        <f t="shared" si="1"/>
        <v>391513.69</v>
      </c>
      <c r="K16" s="20">
        <f t="shared" si="2"/>
        <v>461284.31</v>
      </c>
      <c r="L16" s="18"/>
      <c r="M16" s="18"/>
      <c r="N16" s="18"/>
      <c r="O16" s="18"/>
      <c r="P16" s="18"/>
      <c r="Q16" s="18">
        <v>444309.83</v>
      </c>
      <c r="R16" s="18"/>
      <c r="S16" s="21">
        <f t="shared" si="4"/>
        <v>444309.83</v>
      </c>
      <c r="T16" s="16">
        <f t="shared" si="5"/>
        <v>835823.52</v>
      </c>
      <c r="U16" s="17">
        <f t="shared" si="6"/>
        <v>16974.48</v>
      </c>
    </row>
    <row r="17" spans="1:21">
      <c r="A17" s="42" t="s">
        <v>51</v>
      </c>
      <c r="B17" s="42" t="s">
        <v>52</v>
      </c>
      <c r="C17" s="40">
        <v>3386</v>
      </c>
      <c r="D17" s="41">
        <v>0</v>
      </c>
      <c r="E17" s="41">
        <v>0</v>
      </c>
      <c r="F17" s="41">
        <v>0</v>
      </c>
      <c r="G17" s="41">
        <v>0</v>
      </c>
      <c r="H17" s="41">
        <v>0</v>
      </c>
      <c r="I17" s="41">
        <v>0</v>
      </c>
      <c r="J17" s="19">
        <f t="shared" si="1"/>
        <v>0</v>
      </c>
      <c r="K17" s="20">
        <f t="shared" si="2"/>
        <v>3386</v>
      </c>
      <c r="L17" s="18"/>
      <c r="M17" s="18"/>
      <c r="N17" s="18"/>
      <c r="O17" s="18"/>
      <c r="P17" s="18"/>
      <c r="Q17" s="18"/>
      <c r="R17" s="18"/>
      <c r="S17" s="21">
        <f t="shared" si="4"/>
        <v>0</v>
      </c>
      <c r="T17" s="16">
        <f t="shared" si="5"/>
        <v>0</v>
      </c>
      <c r="U17" s="17">
        <f t="shared" si="6"/>
        <v>3386</v>
      </c>
    </row>
    <row r="18" spans="1:21">
      <c r="A18" s="42" t="s">
        <v>53</v>
      </c>
      <c r="B18" s="42" t="s">
        <v>54</v>
      </c>
      <c r="C18" s="40">
        <v>58888</v>
      </c>
      <c r="D18" s="41">
        <v>0</v>
      </c>
      <c r="E18" s="41">
        <v>0</v>
      </c>
      <c r="F18" s="41">
        <v>0</v>
      </c>
      <c r="G18" s="41">
        <v>0</v>
      </c>
      <c r="H18" s="41">
        <v>0</v>
      </c>
      <c r="I18" s="41">
        <v>0</v>
      </c>
      <c r="J18" s="19">
        <f t="shared" si="1"/>
        <v>0</v>
      </c>
      <c r="K18" s="20">
        <f t="shared" si="2"/>
        <v>58888</v>
      </c>
      <c r="L18" s="18"/>
      <c r="M18" s="18">
        <v>27117.01</v>
      </c>
      <c r="N18" s="18"/>
      <c r="O18" s="18"/>
      <c r="P18" s="18"/>
      <c r="Q18" s="18"/>
      <c r="R18" s="18">
        <v>27117.01</v>
      </c>
      <c r="S18" s="21">
        <f t="shared" si="4"/>
        <v>54234.02</v>
      </c>
      <c r="T18" s="16">
        <f t="shared" si="5"/>
        <v>54234.02</v>
      </c>
      <c r="U18" s="17">
        <f t="shared" si="6"/>
        <v>4653.9799999999996</v>
      </c>
    </row>
    <row r="19" spans="1:21" hidden="1">
      <c r="A19" s="42" t="s">
        <v>55</v>
      </c>
      <c r="B19" s="42" t="s">
        <v>56</v>
      </c>
      <c r="C19" s="40">
        <v>28946</v>
      </c>
      <c r="D19" s="41">
        <v>2247.88</v>
      </c>
      <c r="E19" s="41">
        <v>2249.75</v>
      </c>
      <c r="F19" s="41">
        <v>2215.46</v>
      </c>
      <c r="G19" s="41">
        <v>2217.25</v>
      </c>
      <c r="H19" s="41">
        <v>2193.41</v>
      </c>
      <c r="I19" s="41">
        <v>0</v>
      </c>
      <c r="J19" s="22">
        <f t="shared" si="1"/>
        <v>11123.75</v>
      </c>
      <c r="K19" s="23">
        <f t="shared" si="2"/>
        <v>17822.25</v>
      </c>
      <c r="L19" s="18">
        <v>2205.54</v>
      </c>
      <c r="M19" s="18">
        <v>2205.54</v>
      </c>
      <c r="N19" s="18">
        <v>2205.54</v>
      </c>
      <c r="O19" s="18">
        <v>2205.54</v>
      </c>
      <c r="P19" s="18">
        <v>2205.54</v>
      </c>
      <c r="Q19" s="18">
        <v>2205.54</v>
      </c>
      <c r="R19" s="18">
        <v>2205.54</v>
      </c>
      <c r="S19" s="21">
        <f t="shared" si="4"/>
        <v>15438.78</v>
      </c>
      <c r="T19" s="16">
        <f t="shared" si="5"/>
        <v>26562.53</v>
      </c>
      <c r="U19" s="17">
        <f t="shared" si="6"/>
        <v>2383.4699999999998</v>
      </c>
    </row>
    <row r="20" spans="1:21" hidden="1">
      <c r="A20" s="42" t="s">
        <v>57</v>
      </c>
      <c r="B20" s="42" t="s">
        <v>58</v>
      </c>
      <c r="C20" s="40">
        <v>12186</v>
      </c>
      <c r="D20" s="41">
        <v>924.3</v>
      </c>
      <c r="E20" s="41">
        <v>925.8</v>
      </c>
      <c r="F20" s="41">
        <v>925.8</v>
      </c>
      <c r="G20" s="41">
        <v>925.8</v>
      </c>
      <c r="H20" s="41">
        <v>925.8</v>
      </c>
      <c r="I20" s="41">
        <v>0</v>
      </c>
      <c r="J20" s="22">
        <f t="shared" si="1"/>
        <v>4627.5</v>
      </c>
      <c r="K20" s="23">
        <f t="shared" si="2"/>
        <v>7558.5</v>
      </c>
      <c r="L20" s="18">
        <v>925.8</v>
      </c>
      <c r="M20" s="18">
        <v>925.8</v>
      </c>
      <c r="N20" s="18">
        <v>925.8</v>
      </c>
      <c r="O20" s="18">
        <v>925.8</v>
      </c>
      <c r="P20" s="18">
        <v>925.8</v>
      </c>
      <c r="Q20" s="18">
        <v>925.8</v>
      </c>
      <c r="R20" s="18">
        <v>925.8</v>
      </c>
      <c r="S20" s="21">
        <f t="shared" si="4"/>
        <v>6480.6</v>
      </c>
      <c r="T20" s="16">
        <f t="shared" si="5"/>
        <v>11108.1</v>
      </c>
      <c r="U20" s="17">
        <f t="shared" si="6"/>
        <v>1077.9000000000001</v>
      </c>
    </row>
    <row r="21" spans="1:21" hidden="1">
      <c r="A21" s="43" t="s">
        <v>59</v>
      </c>
      <c r="B21" s="43" t="s">
        <v>60</v>
      </c>
      <c r="C21" s="40">
        <v>695080</v>
      </c>
      <c r="D21" s="41">
        <v>53980</v>
      </c>
      <c r="E21" s="41">
        <v>55396.09</v>
      </c>
      <c r="F21" s="41">
        <v>56020.21</v>
      </c>
      <c r="G21" s="41">
        <v>54863.25</v>
      </c>
      <c r="H21" s="41">
        <v>54661</v>
      </c>
      <c r="I21" s="41">
        <v>0</v>
      </c>
      <c r="J21" s="22">
        <f t="shared" si="1"/>
        <v>274920.55</v>
      </c>
      <c r="K21" s="23">
        <f t="shared" si="2"/>
        <v>420159.45</v>
      </c>
      <c r="L21" s="18">
        <v>57174.55</v>
      </c>
      <c r="M21" s="18">
        <v>57174.55</v>
      </c>
      <c r="N21" s="18">
        <v>57174.55</v>
      </c>
      <c r="O21" s="18">
        <v>57174.55</v>
      </c>
      <c r="P21" s="18">
        <v>57174.55</v>
      </c>
      <c r="Q21" s="18">
        <v>57174.55</v>
      </c>
      <c r="R21" s="18">
        <v>57174.55</v>
      </c>
      <c r="S21" s="21">
        <f t="shared" si="4"/>
        <v>400221.85</v>
      </c>
      <c r="T21" s="16">
        <f t="shared" si="5"/>
        <v>675142.4</v>
      </c>
      <c r="U21" s="17">
        <f t="shared" si="6"/>
        <v>19937.599999999999</v>
      </c>
    </row>
    <row r="22" spans="1:21">
      <c r="A22" s="36" t="s">
        <v>102</v>
      </c>
      <c r="B22" s="44"/>
      <c r="C22" s="7">
        <f t="shared" ref="C22:I22" si="7">SUBTOTAL(9,C23:C36)</f>
        <v>1205564</v>
      </c>
      <c r="D22" s="8">
        <f t="shared" si="7"/>
        <v>205514.42</v>
      </c>
      <c r="E22" s="8">
        <f t="shared" si="7"/>
        <v>194901.47</v>
      </c>
      <c r="F22" s="8">
        <f t="shared" si="7"/>
        <v>192470.41</v>
      </c>
      <c r="G22" s="8">
        <f t="shared" si="7"/>
        <v>191790.54</v>
      </c>
      <c r="H22" s="8">
        <f t="shared" si="7"/>
        <v>216728.78</v>
      </c>
      <c r="I22" s="8">
        <f t="shared" si="7"/>
        <v>0</v>
      </c>
      <c r="J22" s="9">
        <f t="shared" si="1"/>
        <v>1001405.62</v>
      </c>
      <c r="K22" s="9">
        <f t="shared" si="2"/>
        <v>204158.38</v>
      </c>
      <c r="L22" s="8">
        <f t="shared" ref="L22:R22" si="8">SUBTOTAL(9,L23:L36)</f>
        <v>195736.84</v>
      </c>
      <c r="M22" s="8">
        <f t="shared" si="8"/>
        <v>252838.19</v>
      </c>
      <c r="N22" s="8">
        <f t="shared" si="8"/>
        <v>195736.84</v>
      </c>
      <c r="O22" s="8">
        <f t="shared" si="8"/>
        <v>195736.84</v>
      </c>
      <c r="P22" s="8">
        <f t="shared" si="8"/>
        <v>195736.84</v>
      </c>
      <c r="Q22" s="8">
        <f t="shared" si="8"/>
        <v>218223.17</v>
      </c>
      <c r="R22" s="8">
        <f t="shared" si="8"/>
        <v>252838.19</v>
      </c>
      <c r="S22" s="8">
        <f t="shared" si="4"/>
        <v>1506846.91</v>
      </c>
      <c r="T22" s="10">
        <f t="shared" si="5"/>
        <v>2508252.5299999998</v>
      </c>
      <c r="U22" s="38">
        <f t="shared" si="6"/>
        <v>-1302688.53</v>
      </c>
    </row>
    <row r="23" spans="1:21">
      <c r="A23" s="42" t="s">
        <v>29</v>
      </c>
      <c r="B23" s="42" t="s">
        <v>30</v>
      </c>
      <c r="C23" s="40">
        <v>16315</v>
      </c>
      <c r="D23" s="41">
        <v>2719.14</v>
      </c>
      <c r="E23" s="41">
        <v>2719.14</v>
      </c>
      <c r="F23" s="41">
        <v>2719.14</v>
      </c>
      <c r="G23" s="41">
        <v>2719.14</v>
      </c>
      <c r="H23" s="41">
        <v>2719.14</v>
      </c>
      <c r="I23" s="41">
        <v>0</v>
      </c>
      <c r="J23" s="13">
        <f t="shared" si="1"/>
        <v>13595.7</v>
      </c>
      <c r="K23" s="14">
        <f t="shared" si="2"/>
        <v>2719.3</v>
      </c>
      <c r="L23" s="12">
        <v>2719.14</v>
      </c>
      <c r="M23" s="12">
        <v>2719.14</v>
      </c>
      <c r="N23" s="12">
        <v>2719.14</v>
      </c>
      <c r="O23" s="12">
        <v>2719.14</v>
      </c>
      <c r="P23" s="12">
        <v>2719.14</v>
      </c>
      <c r="Q23" s="12">
        <v>2719.14</v>
      </c>
      <c r="R23" s="12">
        <v>2719.14</v>
      </c>
      <c r="S23" s="15">
        <f t="shared" si="4"/>
        <v>19033.98</v>
      </c>
      <c r="T23" s="16">
        <f t="shared" si="5"/>
        <v>32629.68</v>
      </c>
      <c r="U23" s="17">
        <f t="shared" si="6"/>
        <v>-16314.68</v>
      </c>
    </row>
    <row r="24" spans="1:21">
      <c r="A24" s="42" t="s">
        <v>31</v>
      </c>
      <c r="B24" s="42" t="s">
        <v>100</v>
      </c>
      <c r="C24" s="40">
        <v>176436</v>
      </c>
      <c r="D24" s="41">
        <v>29406</v>
      </c>
      <c r="E24" s="41">
        <v>29406</v>
      </c>
      <c r="F24" s="41">
        <v>26781</v>
      </c>
      <c r="G24" s="41">
        <v>26781</v>
      </c>
      <c r="H24" s="41">
        <v>29406</v>
      </c>
      <c r="I24" s="41">
        <v>0</v>
      </c>
      <c r="J24" s="19">
        <f t="shared" si="1"/>
        <v>141780</v>
      </c>
      <c r="K24" s="20">
        <f t="shared" si="2"/>
        <v>34656</v>
      </c>
      <c r="L24" s="18">
        <v>29406</v>
      </c>
      <c r="M24" s="18">
        <v>29406</v>
      </c>
      <c r="N24" s="18">
        <v>29406</v>
      </c>
      <c r="O24" s="18">
        <v>29406</v>
      </c>
      <c r="P24" s="18">
        <v>29406</v>
      </c>
      <c r="Q24" s="18">
        <v>29406</v>
      </c>
      <c r="R24" s="18">
        <v>29406</v>
      </c>
      <c r="S24" s="21">
        <f t="shared" si="4"/>
        <v>205842</v>
      </c>
      <c r="T24" s="16">
        <f t="shared" si="5"/>
        <v>347622</v>
      </c>
      <c r="U24" s="17">
        <f t="shared" si="6"/>
        <v>-171186</v>
      </c>
    </row>
    <row r="25" spans="1:21">
      <c r="A25" s="42" t="s">
        <v>33</v>
      </c>
      <c r="B25" s="42" t="s">
        <v>101</v>
      </c>
      <c r="C25" s="40">
        <v>54852</v>
      </c>
      <c r="D25" s="41">
        <v>9142</v>
      </c>
      <c r="E25" s="41">
        <v>9142</v>
      </c>
      <c r="F25" s="41">
        <v>9142</v>
      </c>
      <c r="G25" s="41">
        <v>9142</v>
      </c>
      <c r="H25" s="41">
        <v>9142</v>
      </c>
      <c r="I25" s="41">
        <v>0</v>
      </c>
      <c r="J25" s="19">
        <f t="shared" si="1"/>
        <v>45710</v>
      </c>
      <c r="K25" s="20">
        <f t="shared" si="2"/>
        <v>9142</v>
      </c>
      <c r="L25" s="18">
        <v>9142</v>
      </c>
      <c r="M25" s="18">
        <v>9142</v>
      </c>
      <c r="N25" s="18">
        <v>9142</v>
      </c>
      <c r="O25" s="18">
        <v>9142</v>
      </c>
      <c r="P25" s="18">
        <v>9142</v>
      </c>
      <c r="Q25" s="18">
        <v>9142</v>
      </c>
      <c r="R25" s="18">
        <v>9142</v>
      </c>
      <c r="S25" s="21">
        <f t="shared" si="4"/>
        <v>63994</v>
      </c>
      <c r="T25" s="16">
        <f t="shared" si="5"/>
        <v>109704</v>
      </c>
      <c r="U25" s="17">
        <f t="shared" si="6"/>
        <v>-54852</v>
      </c>
    </row>
    <row r="26" spans="1:21">
      <c r="A26" s="42" t="s">
        <v>35</v>
      </c>
      <c r="B26" s="42" t="s">
        <v>36</v>
      </c>
      <c r="C26" s="40">
        <v>7260</v>
      </c>
      <c r="D26" s="41">
        <v>1210</v>
      </c>
      <c r="E26" s="41">
        <v>1210</v>
      </c>
      <c r="F26" s="41">
        <v>1210</v>
      </c>
      <c r="G26" s="41">
        <v>1810</v>
      </c>
      <c r="H26" s="41">
        <v>1360</v>
      </c>
      <c r="I26" s="41">
        <v>0</v>
      </c>
      <c r="J26" s="19">
        <f t="shared" si="1"/>
        <v>6800</v>
      </c>
      <c r="K26" s="20">
        <f t="shared" si="2"/>
        <v>460</v>
      </c>
      <c r="L26" s="18">
        <v>1360</v>
      </c>
      <c r="M26" s="18">
        <v>1360</v>
      </c>
      <c r="N26" s="18">
        <v>1360</v>
      </c>
      <c r="O26" s="18">
        <v>1360</v>
      </c>
      <c r="P26" s="18">
        <v>1360</v>
      </c>
      <c r="Q26" s="18">
        <v>1360</v>
      </c>
      <c r="R26" s="18">
        <v>1360</v>
      </c>
      <c r="S26" s="21">
        <f t="shared" si="4"/>
        <v>9520</v>
      </c>
      <c r="T26" s="16">
        <f t="shared" si="5"/>
        <v>16320</v>
      </c>
      <c r="U26" s="17">
        <f t="shared" si="6"/>
        <v>-9060</v>
      </c>
    </row>
    <row r="27" spans="1:21">
      <c r="A27" s="42" t="s">
        <v>37</v>
      </c>
      <c r="B27" s="42" t="s">
        <v>38</v>
      </c>
      <c r="C27" s="40">
        <v>151656</v>
      </c>
      <c r="D27" s="41">
        <v>25275.89</v>
      </c>
      <c r="E27" s="41">
        <v>24620.2</v>
      </c>
      <c r="F27" s="41">
        <v>25275.89</v>
      </c>
      <c r="G27" s="41">
        <v>23637.16</v>
      </c>
      <c r="H27" s="41">
        <v>23837.67</v>
      </c>
      <c r="I27" s="41">
        <v>0</v>
      </c>
      <c r="J27" s="19">
        <f t="shared" si="1"/>
        <v>122646.81</v>
      </c>
      <c r="K27" s="20">
        <f t="shared" si="2"/>
        <v>29009.19</v>
      </c>
      <c r="L27" s="18">
        <v>25275.89</v>
      </c>
      <c r="M27" s="18">
        <v>25275.89</v>
      </c>
      <c r="N27" s="18">
        <v>25275.89</v>
      </c>
      <c r="O27" s="18">
        <v>25275.89</v>
      </c>
      <c r="P27" s="18">
        <v>25275.89</v>
      </c>
      <c r="Q27" s="18">
        <v>25275.89</v>
      </c>
      <c r="R27" s="18">
        <v>25275.89</v>
      </c>
      <c r="S27" s="21">
        <f t="shared" si="4"/>
        <v>176931.23</v>
      </c>
      <c r="T27" s="16">
        <f t="shared" si="5"/>
        <v>299578.03999999998</v>
      </c>
      <c r="U27" s="17">
        <f t="shared" si="6"/>
        <v>-147922.04</v>
      </c>
    </row>
    <row r="28" spans="1:21">
      <c r="A28" s="42" t="s">
        <v>39</v>
      </c>
      <c r="B28" s="42" t="s">
        <v>40</v>
      </c>
      <c r="C28" s="40">
        <v>214200</v>
      </c>
      <c r="D28" s="41">
        <v>35700</v>
      </c>
      <c r="E28" s="41">
        <v>35700</v>
      </c>
      <c r="F28" s="41">
        <v>35610</v>
      </c>
      <c r="G28" s="41">
        <v>35700</v>
      </c>
      <c r="H28" s="41">
        <v>35700</v>
      </c>
      <c r="I28" s="41">
        <v>0</v>
      </c>
      <c r="J28" s="19">
        <f t="shared" si="1"/>
        <v>178410</v>
      </c>
      <c r="K28" s="20">
        <f t="shared" si="2"/>
        <v>35790</v>
      </c>
      <c r="L28" s="18">
        <v>35700</v>
      </c>
      <c r="M28" s="18">
        <v>35700</v>
      </c>
      <c r="N28" s="18">
        <v>35700</v>
      </c>
      <c r="O28" s="18">
        <v>35700</v>
      </c>
      <c r="P28" s="18">
        <v>35700</v>
      </c>
      <c r="Q28" s="18">
        <v>35700</v>
      </c>
      <c r="R28" s="18">
        <v>35700</v>
      </c>
      <c r="S28" s="21">
        <f t="shared" si="4"/>
        <v>249900</v>
      </c>
      <c r="T28" s="16">
        <f t="shared" si="5"/>
        <v>428310</v>
      </c>
      <c r="U28" s="17">
        <f t="shared" si="6"/>
        <v>-214110</v>
      </c>
    </row>
    <row r="29" spans="1:21">
      <c r="A29" s="42" t="s">
        <v>41</v>
      </c>
      <c r="B29" s="42" t="s">
        <v>42</v>
      </c>
      <c r="C29" s="40">
        <v>530206</v>
      </c>
      <c r="D29" s="41">
        <v>88367.51</v>
      </c>
      <c r="E29" s="41">
        <v>88367.51</v>
      </c>
      <c r="F29" s="41">
        <v>88044.52</v>
      </c>
      <c r="G29" s="41">
        <v>88367.51</v>
      </c>
      <c r="H29" s="41">
        <v>88367.51</v>
      </c>
      <c r="I29" s="41">
        <v>0</v>
      </c>
      <c r="J29" s="19">
        <f t="shared" si="1"/>
        <v>441514.56</v>
      </c>
      <c r="K29" s="20">
        <f t="shared" si="2"/>
        <v>88691.44</v>
      </c>
      <c r="L29" s="18">
        <v>88367.51</v>
      </c>
      <c r="M29" s="18">
        <v>88367.51</v>
      </c>
      <c r="N29" s="18">
        <v>88367.51</v>
      </c>
      <c r="O29" s="18">
        <v>88367.51</v>
      </c>
      <c r="P29" s="18">
        <v>88367.51</v>
      </c>
      <c r="Q29" s="18">
        <v>88367.51</v>
      </c>
      <c r="R29" s="18">
        <v>88367.51</v>
      </c>
      <c r="S29" s="21">
        <f t="shared" si="4"/>
        <v>618572.56999999995</v>
      </c>
      <c r="T29" s="16">
        <f t="shared" si="5"/>
        <v>1060087.1299999999</v>
      </c>
      <c r="U29" s="17">
        <f t="shared" si="6"/>
        <v>-529881.13</v>
      </c>
    </row>
    <row r="30" spans="1:21">
      <c r="A30" s="42" t="s">
        <v>43</v>
      </c>
      <c r="B30" s="42" t="s">
        <v>44</v>
      </c>
      <c r="C30" s="40">
        <v>0</v>
      </c>
      <c r="D30" s="41"/>
      <c r="E30" s="41"/>
      <c r="F30" s="41"/>
      <c r="G30" s="41"/>
      <c r="H30" s="41"/>
      <c r="I30" s="41"/>
      <c r="J30" s="19">
        <v>0</v>
      </c>
      <c r="K30" s="20">
        <v>0</v>
      </c>
      <c r="L30" s="18"/>
      <c r="M30" s="18">
        <v>38548</v>
      </c>
      <c r="N30" s="18"/>
      <c r="O30" s="18"/>
      <c r="P30" s="18"/>
      <c r="Q30" s="18"/>
      <c r="R30" s="18">
        <v>38548</v>
      </c>
      <c r="S30" s="21">
        <f t="shared" si="4"/>
        <v>77096</v>
      </c>
      <c r="T30" s="16">
        <f t="shared" si="5"/>
        <v>77096</v>
      </c>
      <c r="U30" s="17">
        <f t="shared" si="6"/>
        <v>-77096</v>
      </c>
    </row>
    <row r="31" spans="1:21">
      <c r="A31" s="42" t="s">
        <v>45</v>
      </c>
      <c r="B31" s="42" t="s">
        <v>46</v>
      </c>
      <c r="C31" s="40">
        <v>0</v>
      </c>
      <c r="D31" s="41"/>
      <c r="E31" s="41"/>
      <c r="F31" s="41"/>
      <c r="G31" s="41"/>
      <c r="H31" s="41"/>
      <c r="I31" s="41"/>
      <c r="J31" s="19"/>
      <c r="K31" s="20"/>
      <c r="L31" s="18"/>
      <c r="M31" s="18">
        <v>17145.53</v>
      </c>
      <c r="N31" s="18"/>
      <c r="O31" s="18"/>
      <c r="P31" s="18"/>
      <c r="Q31" s="18"/>
      <c r="R31" s="18">
        <v>17145.53</v>
      </c>
      <c r="S31" s="21">
        <f t="shared" si="4"/>
        <v>34291.06</v>
      </c>
      <c r="T31" s="16">
        <f t="shared" si="5"/>
        <v>34291.06</v>
      </c>
      <c r="U31" s="17">
        <f t="shared" si="6"/>
        <v>-34291.06</v>
      </c>
    </row>
    <row r="32" spans="1:21">
      <c r="A32" s="42" t="s">
        <v>47</v>
      </c>
      <c r="B32" s="42" t="s">
        <v>48</v>
      </c>
      <c r="C32" s="40">
        <v>10000</v>
      </c>
      <c r="D32" s="41">
        <v>10000</v>
      </c>
      <c r="E32" s="41">
        <v>0</v>
      </c>
      <c r="F32" s="41">
        <v>0</v>
      </c>
      <c r="G32" s="41">
        <v>0</v>
      </c>
      <c r="H32" s="41">
        <v>0</v>
      </c>
      <c r="I32" s="41">
        <v>0</v>
      </c>
      <c r="J32" s="19">
        <f>SUM(D32:I32)</f>
        <v>10000</v>
      </c>
      <c r="K32" s="20">
        <f>C32-J32</f>
        <v>0</v>
      </c>
      <c r="L32" s="18"/>
      <c r="M32" s="18"/>
      <c r="N32" s="18"/>
      <c r="O32" s="18"/>
      <c r="P32" s="18"/>
      <c r="Q32" s="18"/>
      <c r="R32" s="18"/>
      <c r="S32" s="21">
        <f t="shared" si="4"/>
        <v>0</v>
      </c>
      <c r="T32" s="16">
        <f t="shared" si="5"/>
        <v>10000</v>
      </c>
      <c r="U32" s="17">
        <f t="shared" si="6"/>
        <v>0</v>
      </c>
    </row>
    <row r="33" spans="1:21">
      <c r="A33" s="42" t="s">
        <v>49</v>
      </c>
      <c r="B33" s="42" t="s">
        <v>50</v>
      </c>
      <c r="C33" s="40">
        <v>22475</v>
      </c>
      <c r="D33" s="41">
        <v>0</v>
      </c>
      <c r="E33" s="41">
        <v>0</v>
      </c>
      <c r="F33" s="41">
        <v>0</v>
      </c>
      <c r="G33" s="41">
        <v>0</v>
      </c>
      <c r="H33" s="41">
        <v>22474.03</v>
      </c>
      <c r="I33" s="41">
        <v>0</v>
      </c>
      <c r="J33" s="19">
        <f>SUM(D33:I33)</f>
        <v>22474.03</v>
      </c>
      <c r="K33" s="20">
        <f>C33-J33</f>
        <v>0.97000000000116005</v>
      </c>
      <c r="L33" s="18"/>
      <c r="M33" s="18"/>
      <c r="N33" s="18"/>
      <c r="O33" s="18"/>
      <c r="P33" s="18"/>
      <c r="Q33" s="18">
        <v>22486.33</v>
      </c>
      <c r="R33" s="18"/>
      <c r="S33" s="21">
        <f t="shared" si="4"/>
        <v>22486.33</v>
      </c>
      <c r="T33" s="16">
        <f t="shared" si="5"/>
        <v>44960.36</v>
      </c>
      <c r="U33" s="17">
        <f t="shared" si="6"/>
        <v>-22485.360000000001</v>
      </c>
    </row>
    <row r="34" spans="1:21">
      <c r="A34" s="42" t="s">
        <v>53</v>
      </c>
      <c r="B34" s="42" t="s">
        <v>54</v>
      </c>
      <c r="C34" s="40">
        <v>0</v>
      </c>
      <c r="D34" s="41"/>
      <c r="E34" s="41"/>
      <c r="F34" s="41"/>
      <c r="G34" s="41"/>
      <c r="H34" s="41"/>
      <c r="I34" s="41"/>
      <c r="J34" s="19"/>
      <c r="K34" s="20"/>
      <c r="L34" s="18"/>
      <c r="M34" s="18">
        <v>1407.82</v>
      </c>
      <c r="N34" s="18"/>
      <c r="O34" s="18"/>
      <c r="P34" s="18"/>
      <c r="Q34" s="18"/>
      <c r="R34" s="18">
        <v>1407.82</v>
      </c>
      <c r="S34" s="21">
        <f t="shared" si="4"/>
        <v>2815.64</v>
      </c>
      <c r="T34" s="16">
        <f t="shared" si="5"/>
        <v>2815.64</v>
      </c>
      <c r="U34" s="17">
        <f t="shared" si="6"/>
        <v>-2815.64</v>
      </c>
    </row>
    <row r="35" spans="1:21" hidden="1">
      <c r="A35" s="42" t="s">
        <v>55</v>
      </c>
      <c r="B35" s="42" t="s">
        <v>56</v>
      </c>
      <c r="C35" s="40">
        <v>1398</v>
      </c>
      <c r="D35" s="41">
        <v>232.98</v>
      </c>
      <c r="E35" s="41">
        <v>243.66</v>
      </c>
      <c r="F35" s="41">
        <v>242.16</v>
      </c>
      <c r="G35" s="41">
        <v>228.63</v>
      </c>
      <c r="H35" s="41">
        <v>243.66</v>
      </c>
      <c r="I35" s="41">
        <v>0</v>
      </c>
      <c r="J35" s="19">
        <f t="shared" ref="J35:J66" si="9">SUM(D35:I35)</f>
        <v>1191.0899999999999</v>
      </c>
      <c r="K35" s="20">
        <f t="shared" ref="K35:K66" si="10">C35-J35</f>
        <v>206.91</v>
      </c>
      <c r="L35" s="18">
        <v>243.66</v>
      </c>
      <c r="M35" s="18">
        <v>243.66</v>
      </c>
      <c r="N35" s="18">
        <v>243.66</v>
      </c>
      <c r="O35" s="18">
        <v>243.66</v>
      </c>
      <c r="P35" s="18">
        <v>243.66</v>
      </c>
      <c r="Q35" s="18">
        <v>243.66</v>
      </c>
      <c r="R35" s="18">
        <v>243.66</v>
      </c>
      <c r="S35" s="21">
        <f t="shared" si="4"/>
        <v>1705.62</v>
      </c>
      <c r="T35" s="16">
        <f t="shared" si="5"/>
        <v>2896.71</v>
      </c>
      <c r="U35" s="17">
        <f t="shared" si="6"/>
        <v>-1498.71</v>
      </c>
    </row>
    <row r="36" spans="1:21" hidden="1">
      <c r="A36" s="43" t="s">
        <v>59</v>
      </c>
      <c r="B36" s="43" t="s">
        <v>60</v>
      </c>
      <c r="C36" s="40">
        <v>20766</v>
      </c>
      <c r="D36" s="41">
        <v>3460.9</v>
      </c>
      <c r="E36" s="41">
        <v>3492.96</v>
      </c>
      <c r="F36" s="41">
        <v>3445.7</v>
      </c>
      <c r="G36" s="41">
        <v>3405.1</v>
      </c>
      <c r="H36" s="41">
        <v>3478.77</v>
      </c>
      <c r="I36" s="41">
        <v>0</v>
      </c>
      <c r="J36" s="19">
        <f t="shared" si="9"/>
        <v>17283.43</v>
      </c>
      <c r="K36" s="20">
        <f t="shared" si="10"/>
        <v>3482.57</v>
      </c>
      <c r="L36" s="18">
        <v>3522.64</v>
      </c>
      <c r="M36" s="18">
        <v>3522.64</v>
      </c>
      <c r="N36" s="18">
        <v>3522.64</v>
      </c>
      <c r="O36" s="18">
        <v>3522.64</v>
      </c>
      <c r="P36" s="18">
        <v>3522.64</v>
      </c>
      <c r="Q36" s="18">
        <v>3522.64</v>
      </c>
      <c r="R36" s="18">
        <v>3522.64</v>
      </c>
      <c r="S36" s="21">
        <f t="shared" ref="S36:S66" si="11">SUM(L36:R36)</f>
        <v>24658.48</v>
      </c>
      <c r="T36" s="16">
        <f t="shared" ref="T36:T66" si="12">+J36+S36</f>
        <v>41941.910000000003</v>
      </c>
      <c r="U36" s="17">
        <f t="shared" ref="U36:U66" si="13">+C36-T36</f>
        <v>-21175.91</v>
      </c>
    </row>
    <row r="37" spans="1:21">
      <c r="A37" s="36" t="s">
        <v>103</v>
      </c>
      <c r="B37" s="36"/>
      <c r="C37" s="8">
        <f t="shared" ref="C37:I37" si="14">SUBTOTAL(9,C38:C49)</f>
        <v>3578539</v>
      </c>
      <c r="D37" s="8">
        <f t="shared" si="14"/>
        <v>157511.67000000001</v>
      </c>
      <c r="E37" s="8">
        <f t="shared" si="14"/>
        <v>145319.48000000001</v>
      </c>
      <c r="F37" s="8">
        <f t="shared" si="14"/>
        <v>157026.98000000001</v>
      </c>
      <c r="G37" s="8">
        <f t="shared" si="14"/>
        <v>165006.38</v>
      </c>
      <c r="H37" s="8">
        <f t="shared" si="14"/>
        <v>237227.61</v>
      </c>
      <c r="I37" s="8">
        <f t="shared" si="14"/>
        <v>0</v>
      </c>
      <c r="J37" s="9">
        <f t="shared" si="9"/>
        <v>862092.12</v>
      </c>
      <c r="K37" s="9">
        <f t="shared" si="10"/>
        <v>2716446.88</v>
      </c>
      <c r="L37" s="8">
        <f t="shared" ref="L37:R37" si="15">SUBTOTAL(9,L38:L49)</f>
        <v>402789.2</v>
      </c>
      <c r="M37" s="8">
        <f t="shared" si="15"/>
        <v>374189.83</v>
      </c>
      <c r="N37" s="8">
        <f t="shared" si="15"/>
        <v>189044</v>
      </c>
      <c r="O37" s="8">
        <f t="shared" si="15"/>
        <v>189044</v>
      </c>
      <c r="P37" s="8">
        <f t="shared" si="15"/>
        <v>189044</v>
      </c>
      <c r="Q37" s="8">
        <f t="shared" si="15"/>
        <v>293124.08</v>
      </c>
      <c r="R37" s="8">
        <f t="shared" si="15"/>
        <v>374189.83</v>
      </c>
      <c r="S37" s="8">
        <f t="shared" si="11"/>
        <v>2011424.94</v>
      </c>
      <c r="T37" s="10">
        <f t="shared" si="12"/>
        <v>2873517.06</v>
      </c>
      <c r="U37" s="11">
        <f t="shared" si="13"/>
        <v>705021.94</v>
      </c>
    </row>
    <row r="38" spans="1:21">
      <c r="A38" s="42" t="s">
        <v>29</v>
      </c>
      <c r="B38" s="42" t="s">
        <v>30</v>
      </c>
      <c r="C38" s="40">
        <v>31296</v>
      </c>
      <c r="D38" s="41">
        <v>2698.83</v>
      </c>
      <c r="E38" s="41">
        <v>2598.83</v>
      </c>
      <c r="F38" s="41">
        <v>2598.83</v>
      </c>
      <c r="G38" s="41">
        <v>2598.83</v>
      </c>
      <c r="H38" s="41">
        <v>2631.19</v>
      </c>
      <c r="I38" s="41">
        <v>0</v>
      </c>
      <c r="J38" s="13">
        <f t="shared" si="9"/>
        <v>13126.51</v>
      </c>
      <c r="K38" s="14">
        <f t="shared" si="10"/>
        <v>18169.490000000002</v>
      </c>
      <c r="L38" s="12">
        <v>2698.83</v>
      </c>
      <c r="M38" s="12">
        <v>2698.83</v>
      </c>
      <c r="N38" s="12">
        <v>2698.83</v>
      </c>
      <c r="O38" s="12">
        <v>2698.83</v>
      </c>
      <c r="P38" s="12">
        <v>2698.83</v>
      </c>
      <c r="Q38" s="12">
        <v>2698.83</v>
      </c>
      <c r="R38" s="12">
        <v>2698.83</v>
      </c>
      <c r="S38" s="15">
        <f t="shared" si="11"/>
        <v>18891.810000000001</v>
      </c>
      <c r="T38" s="16">
        <f t="shared" si="12"/>
        <v>32018.32</v>
      </c>
      <c r="U38" s="17">
        <f t="shared" si="13"/>
        <v>-722.32</v>
      </c>
    </row>
    <row r="39" spans="1:21">
      <c r="A39" s="42" t="s">
        <v>31</v>
      </c>
      <c r="B39" s="42" t="s">
        <v>100</v>
      </c>
      <c r="C39" s="40">
        <v>2253672</v>
      </c>
      <c r="D39" s="41">
        <v>121223</v>
      </c>
      <c r="E39" s="41">
        <v>119673</v>
      </c>
      <c r="F39" s="41">
        <v>130848</v>
      </c>
      <c r="G39" s="41">
        <v>145186.29999999999</v>
      </c>
      <c r="H39" s="41">
        <v>146123</v>
      </c>
      <c r="I39" s="41">
        <v>0</v>
      </c>
      <c r="J39" s="19">
        <f t="shared" si="9"/>
        <v>663053.30000000005</v>
      </c>
      <c r="K39" s="20">
        <f t="shared" si="10"/>
        <v>1590618.7</v>
      </c>
      <c r="L39" s="18">
        <v>162723</v>
      </c>
      <c r="M39" s="18">
        <v>162723</v>
      </c>
      <c r="N39" s="18">
        <v>162723</v>
      </c>
      <c r="O39" s="18">
        <v>162723</v>
      </c>
      <c r="P39" s="18">
        <v>162723</v>
      </c>
      <c r="Q39" s="18">
        <v>162723</v>
      </c>
      <c r="R39" s="18">
        <v>162723</v>
      </c>
      <c r="S39" s="21">
        <f t="shared" si="11"/>
        <v>1139061</v>
      </c>
      <c r="T39" s="16">
        <f t="shared" si="12"/>
        <v>1802114.3</v>
      </c>
      <c r="U39" s="17">
        <f t="shared" si="13"/>
        <v>451557.7</v>
      </c>
    </row>
    <row r="40" spans="1:21">
      <c r="A40" s="42" t="s">
        <v>33</v>
      </c>
      <c r="B40" s="42" t="s">
        <v>101</v>
      </c>
      <c r="C40" s="40">
        <v>426009</v>
      </c>
      <c r="D40" s="41">
        <v>16850</v>
      </c>
      <c r="E40" s="41">
        <v>16850</v>
      </c>
      <c r="F40" s="41">
        <v>16850</v>
      </c>
      <c r="G40" s="41">
        <v>9750</v>
      </c>
      <c r="H40" s="41">
        <v>9750</v>
      </c>
      <c r="I40" s="41">
        <v>0</v>
      </c>
      <c r="J40" s="19">
        <f t="shared" si="9"/>
        <v>70050</v>
      </c>
      <c r="K40" s="20">
        <f t="shared" si="10"/>
        <v>355959</v>
      </c>
      <c r="L40" s="18">
        <v>15700</v>
      </c>
      <c r="M40" s="18">
        <v>15700</v>
      </c>
      <c r="N40" s="18">
        <v>15700</v>
      </c>
      <c r="O40" s="18">
        <v>15700</v>
      </c>
      <c r="P40" s="18">
        <v>15700</v>
      </c>
      <c r="Q40" s="18">
        <v>15700</v>
      </c>
      <c r="R40" s="18">
        <v>15700</v>
      </c>
      <c r="S40" s="21">
        <f t="shared" si="11"/>
        <v>109900</v>
      </c>
      <c r="T40" s="16">
        <f t="shared" si="12"/>
        <v>179950</v>
      </c>
      <c r="U40" s="17">
        <f t="shared" si="13"/>
        <v>246059</v>
      </c>
    </row>
    <row r="41" spans="1:21">
      <c r="A41" s="42" t="s">
        <v>35</v>
      </c>
      <c r="B41" s="42" t="s">
        <v>36</v>
      </c>
      <c r="C41" s="40">
        <v>14520</v>
      </c>
      <c r="D41" s="41">
        <v>1210</v>
      </c>
      <c r="E41" s="41">
        <v>1210</v>
      </c>
      <c r="F41" s="41">
        <v>1210</v>
      </c>
      <c r="G41" s="41">
        <v>1805</v>
      </c>
      <c r="H41" s="41">
        <v>1360</v>
      </c>
      <c r="I41" s="41">
        <v>0</v>
      </c>
      <c r="J41" s="19">
        <f t="shared" si="9"/>
        <v>6795</v>
      </c>
      <c r="K41" s="20">
        <f t="shared" si="10"/>
        <v>7725</v>
      </c>
      <c r="L41" s="18">
        <v>1360</v>
      </c>
      <c r="M41" s="18">
        <v>1360</v>
      </c>
      <c r="N41" s="18">
        <v>1360</v>
      </c>
      <c r="O41" s="18">
        <v>1360</v>
      </c>
      <c r="P41" s="18">
        <v>1360</v>
      </c>
      <c r="Q41" s="18">
        <v>1360</v>
      </c>
      <c r="R41" s="18">
        <v>1360</v>
      </c>
      <c r="S41" s="21">
        <f t="shared" si="11"/>
        <v>9520</v>
      </c>
      <c r="T41" s="16">
        <f t="shared" si="12"/>
        <v>16315</v>
      </c>
      <c r="U41" s="17">
        <f t="shared" si="13"/>
        <v>-1795</v>
      </c>
    </row>
    <row r="42" spans="1:21">
      <c r="A42" s="42" t="s">
        <v>43</v>
      </c>
      <c r="B42" s="42" t="s">
        <v>44</v>
      </c>
      <c r="C42" s="40">
        <v>362000</v>
      </c>
      <c r="D42" s="41">
        <v>0</v>
      </c>
      <c r="E42" s="41">
        <v>0</v>
      </c>
      <c r="F42" s="41">
        <v>0</v>
      </c>
      <c r="G42" s="41">
        <v>0</v>
      </c>
      <c r="H42" s="41">
        <v>0</v>
      </c>
      <c r="I42" s="41">
        <v>0</v>
      </c>
      <c r="J42" s="19">
        <f t="shared" si="9"/>
        <v>0</v>
      </c>
      <c r="K42" s="20">
        <f t="shared" si="10"/>
        <v>362000</v>
      </c>
      <c r="L42" s="18"/>
      <c r="M42" s="18">
        <v>178423</v>
      </c>
      <c r="N42" s="18"/>
      <c r="O42" s="18"/>
      <c r="P42" s="18"/>
      <c r="Q42" s="18"/>
      <c r="R42" s="18">
        <v>178423</v>
      </c>
      <c r="S42" s="21">
        <f t="shared" si="11"/>
        <v>356846</v>
      </c>
      <c r="T42" s="16">
        <f t="shared" si="12"/>
        <v>356846</v>
      </c>
      <c r="U42" s="17">
        <f t="shared" si="13"/>
        <v>5154</v>
      </c>
    </row>
    <row r="43" spans="1:21">
      <c r="A43" s="42" t="s">
        <v>45</v>
      </c>
      <c r="B43" s="42" t="s">
        <v>46</v>
      </c>
      <c r="C43" s="40">
        <v>600</v>
      </c>
      <c r="D43" s="41">
        <v>0</v>
      </c>
      <c r="E43" s="41">
        <v>0</v>
      </c>
      <c r="F43" s="41">
        <v>0</v>
      </c>
      <c r="G43" s="41">
        <v>0</v>
      </c>
      <c r="H43" s="41">
        <v>0</v>
      </c>
      <c r="I43" s="41">
        <v>0</v>
      </c>
      <c r="J43" s="19">
        <f t="shared" si="9"/>
        <v>0</v>
      </c>
      <c r="K43" s="20">
        <f t="shared" si="10"/>
        <v>600</v>
      </c>
      <c r="L43" s="18"/>
      <c r="M43" s="18">
        <v>300</v>
      </c>
      <c r="N43" s="18"/>
      <c r="O43" s="18"/>
      <c r="P43" s="18"/>
      <c r="Q43" s="18"/>
      <c r="R43" s="18">
        <v>300</v>
      </c>
      <c r="S43" s="21">
        <f t="shared" si="11"/>
        <v>600</v>
      </c>
      <c r="T43" s="16">
        <f t="shared" si="12"/>
        <v>600</v>
      </c>
      <c r="U43" s="17">
        <f t="shared" si="13"/>
        <v>0</v>
      </c>
    </row>
    <row r="44" spans="1:21">
      <c r="A44" s="42" t="s">
        <v>47</v>
      </c>
      <c r="B44" s="42" t="s">
        <v>48</v>
      </c>
      <c r="C44" s="40">
        <v>11329</v>
      </c>
      <c r="D44" s="41">
        <v>10439.81</v>
      </c>
      <c r="E44" s="41">
        <v>0</v>
      </c>
      <c r="F44" s="41">
        <v>0</v>
      </c>
      <c r="G44" s="41">
        <v>0</v>
      </c>
      <c r="H44" s="41">
        <v>0</v>
      </c>
      <c r="I44" s="41">
        <v>0</v>
      </c>
      <c r="J44" s="19">
        <f t="shared" si="9"/>
        <v>10439.81</v>
      </c>
      <c r="K44" s="20">
        <f t="shared" si="10"/>
        <v>889.19</v>
      </c>
      <c r="L44" s="18"/>
      <c r="M44" s="18"/>
      <c r="N44" s="18"/>
      <c r="O44" s="18"/>
      <c r="P44" s="18"/>
      <c r="Q44" s="18"/>
      <c r="R44" s="18"/>
      <c r="S44" s="21">
        <f t="shared" si="11"/>
        <v>0</v>
      </c>
      <c r="T44" s="16">
        <f t="shared" si="12"/>
        <v>10439.81</v>
      </c>
      <c r="U44" s="17">
        <f t="shared" si="13"/>
        <v>889.19</v>
      </c>
    </row>
    <row r="45" spans="1:21">
      <c r="A45" s="42" t="s">
        <v>49</v>
      </c>
      <c r="B45" s="42" t="s">
        <v>50</v>
      </c>
      <c r="C45" s="40">
        <v>168547</v>
      </c>
      <c r="D45" s="41">
        <v>0</v>
      </c>
      <c r="E45" s="41">
        <v>0</v>
      </c>
      <c r="F45" s="41">
        <v>0</v>
      </c>
      <c r="G45" s="41">
        <v>0</v>
      </c>
      <c r="H45" s="41">
        <v>71614.47</v>
      </c>
      <c r="I45" s="41">
        <v>0</v>
      </c>
      <c r="J45" s="19">
        <f t="shared" si="9"/>
        <v>71614.47</v>
      </c>
      <c r="K45" s="20">
        <f t="shared" si="10"/>
        <v>96932.53</v>
      </c>
      <c r="L45" s="18"/>
      <c r="M45" s="18"/>
      <c r="N45" s="18"/>
      <c r="O45" s="18"/>
      <c r="P45" s="18"/>
      <c r="Q45" s="18">
        <v>104080.08</v>
      </c>
      <c r="R45" s="18"/>
      <c r="S45" s="21">
        <f t="shared" si="11"/>
        <v>104080.08</v>
      </c>
      <c r="T45" s="16">
        <f t="shared" si="12"/>
        <v>175694.55</v>
      </c>
      <c r="U45" s="17">
        <f t="shared" si="13"/>
        <v>-7147.55</v>
      </c>
    </row>
    <row r="46" spans="1:21">
      <c r="A46" s="42" t="s">
        <v>51</v>
      </c>
      <c r="B46" s="42" t="s">
        <v>52</v>
      </c>
      <c r="C46" s="40">
        <v>7649</v>
      </c>
      <c r="D46" s="41">
        <v>0</v>
      </c>
      <c r="E46" s="41">
        <v>0</v>
      </c>
      <c r="F46" s="41">
        <v>0</v>
      </c>
      <c r="G46" s="41">
        <v>0</v>
      </c>
      <c r="H46" s="41">
        <v>0</v>
      </c>
      <c r="I46" s="41">
        <v>0</v>
      </c>
      <c r="J46" s="19">
        <f t="shared" si="9"/>
        <v>0</v>
      </c>
      <c r="K46" s="20">
        <f t="shared" si="10"/>
        <v>7649</v>
      </c>
      <c r="L46" s="18"/>
      <c r="M46" s="18"/>
      <c r="N46" s="18"/>
      <c r="O46" s="18"/>
      <c r="P46" s="18"/>
      <c r="Q46" s="18"/>
      <c r="R46" s="18"/>
      <c r="S46" s="21">
        <f t="shared" si="11"/>
        <v>0</v>
      </c>
      <c r="T46" s="16">
        <f t="shared" si="12"/>
        <v>0</v>
      </c>
      <c r="U46" s="17">
        <f t="shared" si="13"/>
        <v>7649</v>
      </c>
    </row>
    <row r="47" spans="1:21">
      <c r="A47" s="42" t="s">
        <v>53</v>
      </c>
      <c r="B47" s="42" t="s">
        <v>54</v>
      </c>
      <c r="C47" s="40">
        <v>13280</v>
      </c>
      <c r="D47" s="41">
        <v>0</v>
      </c>
      <c r="E47" s="41">
        <v>0</v>
      </c>
      <c r="F47" s="41">
        <v>0</v>
      </c>
      <c r="G47" s="41">
        <v>0</v>
      </c>
      <c r="H47" s="41">
        <v>0</v>
      </c>
      <c r="I47" s="41">
        <v>0</v>
      </c>
      <c r="J47" s="19">
        <f t="shared" si="9"/>
        <v>0</v>
      </c>
      <c r="K47" s="20">
        <f t="shared" si="10"/>
        <v>13280</v>
      </c>
      <c r="L47" s="18"/>
      <c r="M47" s="18">
        <v>6422.83</v>
      </c>
      <c r="N47" s="18"/>
      <c r="O47" s="18"/>
      <c r="P47" s="18"/>
      <c r="Q47" s="18"/>
      <c r="R47" s="18">
        <v>6422.83</v>
      </c>
      <c r="S47" s="21">
        <f t="shared" si="11"/>
        <v>12845.66</v>
      </c>
      <c r="T47" s="16">
        <f t="shared" si="12"/>
        <v>12845.66</v>
      </c>
      <c r="U47" s="17">
        <f t="shared" si="13"/>
        <v>434.34</v>
      </c>
    </row>
    <row r="48" spans="1:21" hidden="1">
      <c r="A48" s="42" t="s">
        <v>55</v>
      </c>
      <c r="B48" s="42" t="s">
        <v>56</v>
      </c>
      <c r="C48" s="40">
        <v>214276</v>
      </c>
      <c r="D48" s="41">
        <v>55.64</v>
      </c>
      <c r="E48" s="41">
        <v>55.64</v>
      </c>
      <c r="F48" s="41">
        <v>55.64</v>
      </c>
      <c r="G48" s="41">
        <v>55.64</v>
      </c>
      <c r="H48" s="41">
        <v>55.64</v>
      </c>
      <c r="I48" s="41">
        <v>0</v>
      </c>
      <c r="J48" s="19">
        <f t="shared" si="9"/>
        <v>278.2</v>
      </c>
      <c r="K48" s="20">
        <f t="shared" si="10"/>
        <v>213997.8</v>
      </c>
      <c r="L48" s="61">
        <f>55.64+213745.2</f>
        <v>213800.84</v>
      </c>
      <c r="M48" s="18">
        <v>55.64</v>
      </c>
      <c r="N48" s="18">
        <v>55.64</v>
      </c>
      <c r="O48" s="18">
        <v>55.64</v>
      </c>
      <c r="P48" s="18">
        <v>55.64</v>
      </c>
      <c r="Q48" s="18">
        <v>55.64</v>
      </c>
      <c r="R48" s="18">
        <v>55.64</v>
      </c>
      <c r="S48" s="21">
        <f t="shared" si="11"/>
        <v>214134.68</v>
      </c>
      <c r="T48" s="16">
        <f t="shared" si="12"/>
        <v>214412.88</v>
      </c>
      <c r="U48" s="17">
        <f t="shared" si="13"/>
        <v>-136.88000000011999</v>
      </c>
    </row>
    <row r="49" spans="1:21" hidden="1">
      <c r="A49" s="43" t="s">
        <v>59</v>
      </c>
      <c r="B49" s="43" t="s">
        <v>60</v>
      </c>
      <c r="C49" s="40">
        <v>75361</v>
      </c>
      <c r="D49" s="41">
        <v>5034.3900000000003</v>
      </c>
      <c r="E49" s="41">
        <v>4932.01</v>
      </c>
      <c r="F49" s="41">
        <v>5464.51</v>
      </c>
      <c r="G49" s="41">
        <v>5610.61</v>
      </c>
      <c r="H49" s="41">
        <v>5693.31</v>
      </c>
      <c r="I49" s="41">
        <v>0</v>
      </c>
      <c r="J49" s="19">
        <f t="shared" si="9"/>
        <v>26734.83</v>
      </c>
      <c r="K49" s="20">
        <f t="shared" si="10"/>
        <v>48626.17</v>
      </c>
      <c r="L49" s="18">
        <v>6506.53</v>
      </c>
      <c r="M49" s="18">
        <v>6506.53</v>
      </c>
      <c r="N49" s="18">
        <v>6506.53</v>
      </c>
      <c r="O49" s="18">
        <v>6506.53</v>
      </c>
      <c r="P49" s="18">
        <v>6506.53</v>
      </c>
      <c r="Q49" s="18">
        <v>6506.53</v>
      </c>
      <c r="R49" s="18">
        <v>6506.53</v>
      </c>
      <c r="S49" s="21">
        <f t="shared" si="11"/>
        <v>45545.71</v>
      </c>
      <c r="T49" s="16">
        <f t="shared" si="12"/>
        <v>72280.539999999994</v>
      </c>
      <c r="U49" s="17">
        <f t="shared" si="13"/>
        <v>3080.46</v>
      </c>
    </row>
    <row r="50" spans="1:21">
      <c r="A50" s="36" t="s">
        <v>104</v>
      </c>
      <c r="B50" s="36"/>
      <c r="C50" s="8">
        <f t="shared" ref="C50:I50" si="16">SUBTOTAL(9,C51:C65)</f>
        <v>7261078</v>
      </c>
      <c r="D50" s="8">
        <f t="shared" si="16"/>
        <v>434425.02</v>
      </c>
      <c r="E50" s="8">
        <f t="shared" si="16"/>
        <v>422291.07</v>
      </c>
      <c r="F50" s="8">
        <f t="shared" si="16"/>
        <v>422478.12</v>
      </c>
      <c r="G50" s="8">
        <f t="shared" si="16"/>
        <v>420128.38</v>
      </c>
      <c r="H50" s="8">
        <f t="shared" si="16"/>
        <v>457557.66</v>
      </c>
      <c r="I50" s="8">
        <f t="shared" si="16"/>
        <v>0</v>
      </c>
      <c r="J50" s="9">
        <f t="shared" si="9"/>
        <v>2156880.25</v>
      </c>
      <c r="K50" s="9">
        <f t="shared" si="10"/>
        <v>5104197.75</v>
      </c>
      <c r="L50" s="8">
        <f t="shared" ref="L50:R50" si="17">SUBTOTAL(9,L51:L65)</f>
        <v>525156.06000000006</v>
      </c>
      <c r="M50" s="8">
        <f t="shared" si="17"/>
        <v>719991.34</v>
      </c>
      <c r="N50" s="8">
        <f t="shared" si="17"/>
        <v>525156.06000000006</v>
      </c>
      <c r="O50" s="8">
        <f t="shared" si="17"/>
        <v>525156.06000000006</v>
      </c>
      <c r="P50" s="8">
        <f t="shared" si="17"/>
        <v>525156.06000000006</v>
      </c>
      <c r="Q50" s="8">
        <f t="shared" si="17"/>
        <v>610425.56000000006</v>
      </c>
      <c r="R50" s="8">
        <f t="shared" si="17"/>
        <v>719991.34</v>
      </c>
      <c r="S50" s="8">
        <f t="shared" si="11"/>
        <v>4151032.48</v>
      </c>
      <c r="T50" s="10">
        <f t="shared" si="12"/>
        <v>6307912.7300000004</v>
      </c>
      <c r="U50" s="11">
        <f t="shared" si="13"/>
        <v>953165.27</v>
      </c>
    </row>
    <row r="51" spans="1:21">
      <c r="A51" s="42" t="s">
        <v>29</v>
      </c>
      <c r="B51" s="42" t="s">
        <v>30</v>
      </c>
      <c r="C51" s="40">
        <v>65202</v>
      </c>
      <c r="D51" s="41">
        <v>2714.33</v>
      </c>
      <c r="E51" s="41">
        <v>2714.33</v>
      </c>
      <c r="F51" s="41">
        <v>2714.33</v>
      </c>
      <c r="G51" s="41">
        <v>2714.33</v>
      </c>
      <c r="H51" s="41">
        <v>2714.33</v>
      </c>
      <c r="I51" s="41">
        <v>0</v>
      </c>
      <c r="J51" s="13">
        <f t="shared" si="9"/>
        <v>13571.65</v>
      </c>
      <c r="K51" s="14">
        <f t="shared" si="10"/>
        <v>51630.35</v>
      </c>
      <c r="L51" s="12">
        <v>2714.33</v>
      </c>
      <c r="M51" s="12">
        <v>2714.33</v>
      </c>
      <c r="N51" s="12">
        <v>2714.33</v>
      </c>
      <c r="O51" s="12">
        <v>2714.33</v>
      </c>
      <c r="P51" s="12">
        <v>2714.33</v>
      </c>
      <c r="Q51" s="12">
        <v>2714.33</v>
      </c>
      <c r="R51" s="12">
        <v>2714.33</v>
      </c>
      <c r="S51" s="15">
        <f t="shared" si="11"/>
        <v>19000.310000000001</v>
      </c>
      <c r="T51" s="16">
        <f t="shared" si="12"/>
        <v>32571.96</v>
      </c>
      <c r="U51" s="17">
        <f t="shared" si="13"/>
        <v>32630.04</v>
      </c>
    </row>
    <row r="52" spans="1:21">
      <c r="A52" s="42" t="s">
        <v>31</v>
      </c>
      <c r="B52" s="42" t="s">
        <v>100</v>
      </c>
      <c r="C52" s="40">
        <v>936329</v>
      </c>
      <c r="D52" s="41">
        <v>69254</v>
      </c>
      <c r="E52" s="41">
        <v>69254</v>
      </c>
      <c r="F52" s="41">
        <v>69254</v>
      </c>
      <c r="G52" s="41">
        <v>69161</v>
      </c>
      <c r="H52" s="41">
        <v>69161</v>
      </c>
      <c r="I52" s="41">
        <v>0</v>
      </c>
      <c r="J52" s="19">
        <f t="shared" si="9"/>
        <v>346084</v>
      </c>
      <c r="K52" s="20">
        <f t="shared" si="10"/>
        <v>590245</v>
      </c>
      <c r="L52" s="18">
        <v>69161</v>
      </c>
      <c r="M52" s="18">
        <v>69161</v>
      </c>
      <c r="N52" s="18">
        <v>69161</v>
      </c>
      <c r="O52" s="18">
        <v>69161</v>
      </c>
      <c r="P52" s="18">
        <v>69161</v>
      </c>
      <c r="Q52" s="18">
        <v>69161</v>
      </c>
      <c r="R52" s="18">
        <v>69161</v>
      </c>
      <c r="S52" s="21">
        <f t="shared" si="11"/>
        <v>484127</v>
      </c>
      <c r="T52" s="16">
        <f t="shared" si="12"/>
        <v>830211</v>
      </c>
      <c r="U52" s="17">
        <f t="shared" si="13"/>
        <v>106118</v>
      </c>
    </row>
    <row r="53" spans="1:21">
      <c r="A53" s="42" t="s">
        <v>33</v>
      </c>
      <c r="B53" s="42" t="s">
        <v>101</v>
      </c>
      <c r="C53" s="40">
        <v>333788</v>
      </c>
      <c r="D53" s="41">
        <v>15186.97</v>
      </c>
      <c r="E53" s="41">
        <v>21434</v>
      </c>
      <c r="F53" s="41">
        <v>21434</v>
      </c>
      <c r="G53" s="41">
        <v>21434</v>
      </c>
      <c r="H53" s="41">
        <v>21434</v>
      </c>
      <c r="I53" s="41">
        <v>0</v>
      </c>
      <c r="J53" s="19">
        <f t="shared" si="9"/>
        <v>100922.97</v>
      </c>
      <c r="K53" s="20">
        <f t="shared" si="10"/>
        <v>232865.03</v>
      </c>
      <c r="L53" s="18">
        <v>77002</v>
      </c>
      <c r="M53" s="18">
        <v>77002</v>
      </c>
      <c r="N53" s="18">
        <v>77002</v>
      </c>
      <c r="O53" s="18">
        <v>77002</v>
      </c>
      <c r="P53" s="18">
        <v>77002</v>
      </c>
      <c r="Q53" s="18">
        <v>77002</v>
      </c>
      <c r="R53" s="18">
        <v>77002</v>
      </c>
      <c r="S53" s="21">
        <f t="shared" si="11"/>
        <v>539014</v>
      </c>
      <c r="T53" s="16">
        <f t="shared" si="12"/>
        <v>639936.97</v>
      </c>
      <c r="U53" s="17">
        <f t="shared" si="13"/>
        <v>-306148.96999999997</v>
      </c>
    </row>
    <row r="54" spans="1:21">
      <c r="A54" s="42" t="s">
        <v>35</v>
      </c>
      <c r="B54" s="42" t="s">
        <v>36</v>
      </c>
      <c r="C54" s="40">
        <v>29040</v>
      </c>
      <c r="D54" s="41">
        <v>1210</v>
      </c>
      <c r="E54" s="41">
        <v>1210</v>
      </c>
      <c r="F54" s="41">
        <v>1210</v>
      </c>
      <c r="G54" s="41">
        <v>1810</v>
      </c>
      <c r="H54" s="41">
        <v>1360</v>
      </c>
      <c r="I54" s="41">
        <v>0</v>
      </c>
      <c r="J54" s="19">
        <f t="shared" si="9"/>
        <v>6800</v>
      </c>
      <c r="K54" s="20">
        <f t="shared" si="10"/>
        <v>22240</v>
      </c>
      <c r="L54" s="18">
        <v>1360</v>
      </c>
      <c r="M54" s="18">
        <v>1360</v>
      </c>
      <c r="N54" s="18">
        <v>1360</v>
      </c>
      <c r="O54" s="18">
        <v>1360</v>
      </c>
      <c r="P54" s="18">
        <v>1360</v>
      </c>
      <c r="Q54" s="18">
        <v>1360</v>
      </c>
      <c r="R54" s="18">
        <v>1360</v>
      </c>
      <c r="S54" s="21">
        <f t="shared" si="11"/>
        <v>9520</v>
      </c>
      <c r="T54" s="16">
        <f t="shared" si="12"/>
        <v>16320</v>
      </c>
      <c r="U54" s="17">
        <f t="shared" si="13"/>
        <v>12720</v>
      </c>
    </row>
    <row r="55" spans="1:21">
      <c r="A55" s="42" t="s">
        <v>37</v>
      </c>
      <c r="B55" s="42" t="s">
        <v>38</v>
      </c>
      <c r="C55" s="40">
        <v>946401</v>
      </c>
      <c r="D55" s="41">
        <v>50149.279999999999</v>
      </c>
      <c r="E55" s="41">
        <v>50015.61</v>
      </c>
      <c r="F55" s="41">
        <v>50149.279999999999</v>
      </c>
      <c r="G55" s="41">
        <v>49815.1</v>
      </c>
      <c r="H55" s="41">
        <v>48077.37</v>
      </c>
      <c r="I55" s="41">
        <v>0</v>
      </c>
      <c r="J55" s="19">
        <f t="shared" si="9"/>
        <v>248206.64</v>
      </c>
      <c r="K55" s="20">
        <f t="shared" si="10"/>
        <v>698194.36</v>
      </c>
      <c r="L55" s="18">
        <v>59984.63</v>
      </c>
      <c r="M55" s="18">
        <v>59984.63</v>
      </c>
      <c r="N55" s="18">
        <v>59984.63</v>
      </c>
      <c r="O55" s="18">
        <v>59984.63</v>
      </c>
      <c r="P55" s="18">
        <v>59984.63</v>
      </c>
      <c r="Q55" s="18">
        <v>59984.63</v>
      </c>
      <c r="R55" s="18">
        <v>59984.63</v>
      </c>
      <c r="S55" s="21">
        <f t="shared" si="11"/>
        <v>419892.41</v>
      </c>
      <c r="T55" s="16">
        <f t="shared" si="12"/>
        <v>668099.05000000005</v>
      </c>
      <c r="U55" s="17">
        <f t="shared" si="13"/>
        <v>278301.95</v>
      </c>
    </row>
    <row r="56" spans="1:21">
      <c r="A56" s="42" t="s">
        <v>39</v>
      </c>
      <c r="B56" s="42" t="s">
        <v>40</v>
      </c>
      <c r="C56" s="40">
        <v>1325690</v>
      </c>
      <c r="D56" s="41">
        <v>66420</v>
      </c>
      <c r="E56" s="41">
        <v>66600</v>
      </c>
      <c r="F56" s="41">
        <v>66600</v>
      </c>
      <c r="G56" s="41">
        <v>66060</v>
      </c>
      <c r="H56" s="41">
        <v>63900</v>
      </c>
      <c r="I56" s="41">
        <v>0</v>
      </c>
      <c r="J56" s="19">
        <f t="shared" si="9"/>
        <v>329580</v>
      </c>
      <c r="K56" s="20">
        <f t="shared" si="10"/>
        <v>996110</v>
      </c>
      <c r="L56" s="18">
        <v>81300</v>
      </c>
      <c r="M56" s="18">
        <v>81300</v>
      </c>
      <c r="N56" s="18">
        <v>81300</v>
      </c>
      <c r="O56" s="18">
        <v>81300</v>
      </c>
      <c r="P56" s="18">
        <v>81300</v>
      </c>
      <c r="Q56" s="18">
        <v>81300</v>
      </c>
      <c r="R56" s="18">
        <v>81300</v>
      </c>
      <c r="S56" s="21">
        <f t="shared" si="11"/>
        <v>569100</v>
      </c>
      <c r="T56" s="16">
        <f t="shared" si="12"/>
        <v>898680</v>
      </c>
      <c r="U56" s="17">
        <f t="shared" si="13"/>
        <v>427010</v>
      </c>
    </row>
    <row r="57" spans="1:21">
      <c r="A57" s="42" t="s">
        <v>41</v>
      </c>
      <c r="B57" s="42" t="s">
        <v>42</v>
      </c>
      <c r="C57" s="40">
        <v>3006653</v>
      </c>
      <c r="D57" s="41">
        <v>202718.83</v>
      </c>
      <c r="E57" s="41">
        <v>203364.8</v>
      </c>
      <c r="F57" s="41">
        <v>203364.8</v>
      </c>
      <c r="G57" s="41">
        <v>201426.88</v>
      </c>
      <c r="H57" s="41">
        <v>193675.21</v>
      </c>
      <c r="I57" s="41">
        <v>0</v>
      </c>
      <c r="J57" s="19">
        <f t="shared" si="9"/>
        <v>1004550.52</v>
      </c>
      <c r="K57" s="20">
        <f t="shared" si="10"/>
        <v>2002102.48</v>
      </c>
      <c r="L57" s="18">
        <v>223005.21</v>
      </c>
      <c r="M57" s="18">
        <v>223005.21</v>
      </c>
      <c r="N57" s="18">
        <v>223005.21</v>
      </c>
      <c r="O57" s="18">
        <v>223005.21</v>
      </c>
      <c r="P57" s="18">
        <v>223005.21</v>
      </c>
      <c r="Q57" s="18">
        <v>223005.21</v>
      </c>
      <c r="R57" s="18">
        <v>223005.21</v>
      </c>
      <c r="S57" s="21">
        <f t="shared" si="11"/>
        <v>1561036.47</v>
      </c>
      <c r="T57" s="16">
        <f t="shared" si="12"/>
        <v>2565586.9900000002</v>
      </c>
      <c r="U57" s="17">
        <f t="shared" si="13"/>
        <v>441066.01</v>
      </c>
    </row>
    <row r="58" spans="1:21">
      <c r="A58" s="42" t="s">
        <v>43</v>
      </c>
      <c r="B58" s="42" t="s">
        <v>44</v>
      </c>
      <c r="C58" s="40">
        <v>259030</v>
      </c>
      <c r="D58" s="41">
        <v>0</v>
      </c>
      <c r="E58" s="41">
        <v>0</v>
      </c>
      <c r="F58" s="41">
        <v>0</v>
      </c>
      <c r="G58" s="41">
        <v>0</v>
      </c>
      <c r="H58" s="41">
        <v>0</v>
      </c>
      <c r="I58" s="41">
        <v>0</v>
      </c>
      <c r="J58" s="19">
        <f t="shared" si="9"/>
        <v>0</v>
      </c>
      <c r="K58" s="20">
        <f t="shared" si="10"/>
        <v>259030</v>
      </c>
      <c r="L58" s="18"/>
      <c r="M58" s="18">
        <v>146163</v>
      </c>
      <c r="N58" s="18"/>
      <c r="O58" s="18"/>
      <c r="P58" s="18"/>
      <c r="Q58" s="18"/>
      <c r="R58" s="18">
        <v>146163</v>
      </c>
      <c r="S58" s="21">
        <f t="shared" si="11"/>
        <v>292326</v>
      </c>
      <c r="T58" s="16">
        <f t="shared" si="12"/>
        <v>292326</v>
      </c>
      <c r="U58" s="17">
        <f t="shared" si="13"/>
        <v>-33296</v>
      </c>
    </row>
    <row r="59" spans="1:21">
      <c r="A59" s="42" t="s">
        <v>45</v>
      </c>
      <c r="B59" s="42" t="s">
        <v>46</v>
      </c>
      <c r="C59" s="40">
        <v>59221</v>
      </c>
      <c r="D59" s="41">
        <v>0</v>
      </c>
      <c r="E59" s="41">
        <v>0</v>
      </c>
      <c r="F59" s="41">
        <v>0</v>
      </c>
      <c r="G59" s="41">
        <v>0</v>
      </c>
      <c r="H59" s="41">
        <v>0</v>
      </c>
      <c r="I59" s="41">
        <v>0</v>
      </c>
      <c r="J59" s="19">
        <f t="shared" si="9"/>
        <v>0</v>
      </c>
      <c r="K59" s="20">
        <f t="shared" si="10"/>
        <v>59221</v>
      </c>
      <c r="L59" s="18"/>
      <c r="M59" s="18">
        <v>43416.39</v>
      </c>
      <c r="N59" s="18"/>
      <c r="O59" s="18"/>
      <c r="P59" s="18"/>
      <c r="Q59" s="18"/>
      <c r="R59" s="18">
        <v>43416.39</v>
      </c>
      <c r="S59" s="21">
        <f t="shared" si="11"/>
        <v>86832.78</v>
      </c>
      <c r="T59" s="16">
        <f t="shared" si="12"/>
        <v>86832.78</v>
      </c>
      <c r="U59" s="17">
        <f t="shared" si="13"/>
        <v>-27611.78</v>
      </c>
    </row>
    <row r="60" spans="1:21">
      <c r="A60" s="42" t="s">
        <v>47</v>
      </c>
      <c r="B60" s="42" t="s">
        <v>48</v>
      </c>
      <c r="C60" s="40">
        <v>32249</v>
      </c>
      <c r="D60" s="41">
        <v>19200</v>
      </c>
      <c r="E60" s="41">
        <v>0</v>
      </c>
      <c r="F60" s="41">
        <v>0</v>
      </c>
      <c r="G60" s="41">
        <v>0</v>
      </c>
      <c r="H60" s="41">
        <v>0</v>
      </c>
      <c r="I60" s="41">
        <v>0</v>
      </c>
      <c r="J60" s="19">
        <f t="shared" si="9"/>
        <v>19200</v>
      </c>
      <c r="K60" s="20">
        <f t="shared" si="10"/>
        <v>13049</v>
      </c>
      <c r="L60" s="18"/>
      <c r="M60" s="18"/>
      <c r="N60" s="18"/>
      <c r="O60" s="18"/>
      <c r="P60" s="18"/>
      <c r="Q60" s="18"/>
      <c r="R60" s="18"/>
      <c r="S60" s="21">
        <f t="shared" si="11"/>
        <v>0</v>
      </c>
      <c r="T60" s="16">
        <f t="shared" si="12"/>
        <v>19200</v>
      </c>
      <c r="U60" s="17">
        <f t="shared" si="13"/>
        <v>13049</v>
      </c>
    </row>
    <row r="61" spans="1:21">
      <c r="A61" s="42" t="s">
        <v>49</v>
      </c>
      <c r="B61" s="42" t="s">
        <v>50</v>
      </c>
      <c r="C61" s="40">
        <v>140973</v>
      </c>
      <c r="D61" s="41">
        <v>0</v>
      </c>
      <c r="E61" s="41">
        <v>0</v>
      </c>
      <c r="F61" s="41">
        <v>0</v>
      </c>
      <c r="G61" s="41">
        <v>0</v>
      </c>
      <c r="H61" s="41">
        <v>49770.559999999998</v>
      </c>
      <c r="I61" s="41">
        <v>0</v>
      </c>
      <c r="J61" s="19">
        <f t="shared" si="9"/>
        <v>49770.559999999998</v>
      </c>
      <c r="K61" s="20">
        <f t="shared" si="10"/>
        <v>91202.44</v>
      </c>
      <c r="L61" s="18"/>
      <c r="M61" s="18"/>
      <c r="N61" s="18"/>
      <c r="O61" s="18"/>
      <c r="P61" s="18"/>
      <c r="Q61" s="18">
        <v>85269.5</v>
      </c>
      <c r="R61" s="18"/>
      <c r="S61" s="21">
        <f t="shared" si="11"/>
        <v>85269.5</v>
      </c>
      <c r="T61" s="16">
        <f t="shared" si="12"/>
        <v>135040.06</v>
      </c>
      <c r="U61" s="17">
        <f t="shared" si="13"/>
        <v>5932.94</v>
      </c>
    </row>
    <row r="62" spans="1:21">
      <c r="A62" s="42" t="s">
        <v>53</v>
      </c>
      <c r="B62" s="42" t="s">
        <v>54</v>
      </c>
      <c r="C62" s="40">
        <v>9325</v>
      </c>
      <c r="D62" s="41">
        <v>0</v>
      </c>
      <c r="E62" s="41">
        <v>0</v>
      </c>
      <c r="F62" s="41">
        <v>0</v>
      </c>
      <c r="G62" s="41">
        <v>0</v>
      </c>
      <c r="H62" s="41">
        <v>0</v>
      </c>
      <c r="I62" s="41">
        <v>0</v>
      </c>
      <c r="J62" s="19">
        <f t="shared" si="9"/>
        <v>0</v>
      </c>
      <c r="K62" s="20">
        <f t="shared" si="10"/>
        <v>9325</v>
      </c>
      <c r="L62" s="18"/>
      <c r="M62" s="18">
        <v>5255.89</v>
      </c>
      <c r="N62" s="18"/>
      <c r="O62" s="18"/>
      <c r="P62" s="18"/>
      <c r="Q62" s="18"/>
      <c r="R62" s="18">
        <v>5255.89</v>
      </c>
      <c r="S62" s="21">
        <f t="shared" si="11"/>
        <v>10511.78</v>
      </c>
      <c r="T62" s="16">
        <f t="shared" si="12"/>
        <v>10511.78</v>
      </c>
      <c r="U62" s="17">
        <f t="shared" si="13"/>
        <v>-1186.78</v>
      </c>
    </row>
    <row r="63" spans="1:21" hidden="1">
      <c r="A63" s="42" t="s">
        <v>55</v>
      </c>
      <c r="B63" s="42" t="s">
        <v>56</v>
      </c>
      <c r="C63" s="40">
        <v>4545</v>
      </c>
      <c r="D63" s="41">
        <v>131.36000000000001</v>
      </c>
      <c r="E63" s="41">
        <v>131.36000000000001</v>
      </c>
      <c r="F63" s="41">
        <v>131.36000000000001</v>
      </c>
      <c r="G63" s="41">
        <v>131.36000000000001</v>
      </c>
      <c r="H63" s="41">
        <v>131.36000000000001</v>
      </c>
      <c r="I63" s="41">
        <v>0</v>
      </c>
      <c r="J63" s="19">
        <f t="shared" si="9"/>
        <v>656.8</v>
      </c>
      <c r="K63" s="20">
        <f t="shared" si="10"/>
        <v>3888.2</v>
      </c>
      <c r="L63" s="18">
        <v>131.36000000000001</v>
      </c>
      <c r="M63" s="18">
        <v>131.36000000000001</v>
      </c>
      <c r="N63" s="18">
        <v>131.36000000000001</v>
      </c>
      <c r="O63" s="18">
        <v>131.36000000000001</v>
      </c>
      <c r="P63" s="18">
        <v>131.36000000000001</v>
      </c>
      <c r="Q63" s="18">
        <v>131.36000000000001</v>
      </c>
      <c r="R63" s="18">
        <v>131.36000000000001</v>
      </c>
      <c r="S63" s="21">
        <f t="shared" si="11"/>
        <v>919.52</v>
      </c>
      <c r="T63" s="16">
        <f t="shared" si="12"/>
        <v>1576.32</v>
      </c>
      <c r="U63" s="17">
        <f t="shared" si="13"/>
        <v>2968.68</v>
      </c>
    </row>
    <row r="64" spans="1:21" hidden="1">
      <c r="A64" s="42" t="s">
        <v>57</v>
      </c>
      <c r="B64" s="42" t="s">
        <v>58</v>
      </c>
      <c r="C64" s="40">
        <v>1444</v>
      </c>
      <c r="D64" s="41">
        <v>120.3</v>
      </c>
      <c r="E64" s="41">
        <v>120.3</v>
      </c>
      <c r="F64" s="41">
        <v>120.3</v>
      </c>
      <c r="G64" s="41">
        <v>120.3</v>
      </c>
      <c r="H64" s="41">
        <v>120.3</v>
      </c>
      <c r="I64" s="41">
        <v>0</v>
      </c>
      <c r="J64" s="19">
        <f t="shared" si="9"/>
        <v>601.5</v>
      </c>
      <c r="K64" s="20">
        <f t="shared" si="10"/>
        <v>842.5</v>
      </c>
      <c r="L64" s="18">
        <v>120.3</v>
      </c>
      <c r="M64" s="18">
        <v>120.3</v>
      </c>
      <c r="N64" s="18">
        <v>120.3</v>
      </c>
      <c r="O64" s="18">
        <v>120.3</v>
      </c>
      <c r="P64" s="18">
        <v>120.3</v>
      </c>
      <c r="Q64" s="18">
        <v>120.3</v>
      </c>
      <c r="R64" s="18">
        <v>120.3</v>
      </c>
      <c r="S64" s="21">
        <f t="shared" si="11"/>
        <v>842.1</v>
      </c>
      <c r="T64" s="16">
        <f t="shared" si="12"/>
        <v>1443.6</v>
      </c>
      <c r="U64" s="17">
        <f t="shared" si="13"/>
        <v>0.40000000000009001</v>
      </c>
    </row>
    <row r="65" spans="1:21" hidden="1">
      <c r="A65" s="42" t="s">
        <v>59</v>
      </c>
      <c r="B65" s="42" t="s">
        <v>60</v>
      </c>
      <c r="C65" s="40">
        <v>111188</v>
      </c>
      <c r="D65" s="41">
        <v>7319.95</v>
      </c>
      <c r="E65" s="41">
        <v>7446.67</v>
      </c>
      <c r="F65" s="41">
        <v>7500.05</v>
      </c>
      <c r="G65" s="41">
        <v>7455.41</v>
      </c>
      <c r="H65" s="41">
        <v>7213.53</v>
      </c>
      <c r="I65" s="41">
        <v>0</v>
      </c>
      <c r="J65" s="19">
        <f t="shared" si="9"/>
        <v>36935.61</v>
      </c>
      <c r="K65" s="20">
        <f t="shared" si="10"/>
        <v>74252.39</v>
      </c>
      <c r="L65" s="18">
        <v>10377.23</v>
      </c>
      <c r="M65" s="18">
        <v>10377.23</v>
      </c>
      <c r="N65" s="18">
        <v>10377.23</v>
      </c>
      <c r="O65" s="18">
        <v>10377.23</v>
      </c>
      <c r="P65" s="18">
        <v>10377.23</v>
      </c>
      <c r="Q65" s="18">
        <v>10377.23</v>
      </c>
      <c r="R65" s="18">
        <v>10377.23</v>
      </c>
      <c r="S65" s="21">
        <f t="shared" si="11"/>
        <v>72640.61</v>
      </c>
      <c r="T65" s="16">
        <f t="shared" si="12"/>
        <v>109576.22</v>
      </c>
      <c r="U65" s="17">
        <f t="shared" si="13"/>
        <v>1611.78</v>
      </c>
    </row>
    <row r="66" spans="1:21" s="47" customFormat="1">
      <c r="A66" s="45" t="s">
        <v>127</v>
      </c>
      <c r="B66" s="24"/>
      <c r="C66" s="46">
        <f t="shared" ref="C66:H66" si="18">SUBTOTAL(9,C4:C65)</f>
        <v>48603412</v>
      </c>
      <c r="D66" s="46">
        <f t="shared" si="18"/>
        <v>3877133.54</v>
      </c>
      <c r="E66" s="46">
        <f t="shared" si="18"/>
        <v>3731856.24</v>
      </c>
      <c r="F66" s="46">
        <f t="shared" si="18"/>
        <v>3700613.09</v>
      </c>
      <c r="G66" s="46">
        <f t="shared" si="18"/>
        <v>3721303.1</v>
      </c>
      <c r="H66" s="46">
        <f t="shared" si="18"/>
        <v>4248913.24</v>
      </c>
      <c r="I66" s="27">
        <f>SUM(I4:I65)/3</f>
        <v>0</v>
      </c>
      <c r="J66" s="27">
        <f t="shared" si="9"/>
        <v>19279819.210000001</v>
      </c>
      <c r="K66" s="27">
        <f t="shared" si="10"/>
        <v>29323592.789999999</v>
      </c>
      <c r="L66" s="46">
        <f t="shared" ref="L66:R66" si="19">SUBTOTAL(9,L4:L65)</f>
        <v>4136918.15</v>
      </c>
      <c r="M66" s="46">
        <f t="shared" si="19"/>
        <v>5418485</v>
      </c>
      <c r="N66" s="46">
        <f t="shared" si="19"/>
        <v>3923172.95</v>
      </c>
      <c r="O66" s="46">
        <f t="shared" si="19"/>
        <v>3923172.95</v>
      </c>
      <c r="P66" s="46">
        <f t="shared" si="19"/>
        <v>3923172.95</v>
      </c>
      <c r="Q66" s="46">
        <f t="shared" si="19"/>
        <v>4579318.6900000004</v>
      </c>
      <c r="R66" s="46">
        <f t="shared" si="19"/>
        <v>5418485</v>
      </c>
      <c r="S66" s="27">
        <f t="shared" si="11"/>
        <v>31322725.690000001</v>
      </c>
      <c r="T66" s="10">
        <f t="shared" si="12"/>
        <v>50602544.899999999</v>
      </c>
      <c r="U66" s="28">
        <f t="shared" si="13"/>
        <v>-1999132.9</v>
      </c>
    </row>
    <row r="68" spans="1:21">
      <c r="C68" s="29"/>
      <c r="J68" s="32"/>
      <c r="K68" s="33"/>
      <c r="U68" s="32"/>
    </row>
    <row r="69" spans="1:21">
      <c r="C69" s="34"/>
      <c r="K69" s="35"/>
    </row>
    <row r="70" spans="1:21">
      <c r="C70" s="34"/>
    </row>
    <row r="71" spans="1:21">
      <c r="C71" s="34"/>
    </row>
    <row r="72" spans="1:21">
      <c r="C72" s="34"/>
    </row>
    <row r="73" spans="1:21">
      <c r="C73" s="34"/>
    </row>
    <row r="74" spans="1:21">
      <c r="C74" s="34"/>
    </row>
    <row r="75" spans="1:21">
      <c r="C75" s="34"/>
    </row>
    <row r="76" spans="1:21">
      <c r="C76" s="34"/>
    </row>
  </sheetData>
  <sheetProtection formatCells="0" formatColumns="0" formatRows="0" insertColumns="0" insertRows="0" insertHyperlinks="0" deleteColumns="0" deleteRows="0" sort="0" autoFilter="0" pivotTables="0"/>
  <autoFilter ref="A3:U65">
    <filterColumn colId="0">
      <filters>
        <filter val="0086 MEJORA DE LOS SERVICIOS DEL SISTEMA DE JUSTICIA PENAL"/>
        <filter val="1002 PRODUCTOS ESPECIFICOS PARA REDUCCION DE LA VIOLENCIA CONTRA LA MUJER"/>
        <filter val="2.1.1.1.1.2"/>
        <filter val="2.1.1.1.1.4"/>
        <filter val="2.1.1.1.1.5"/>
        <filter val="2.1.1.1.2.1"/>
        <filter val="2.1.1.3.1.2"/>
        <filter val="2.1.1.4.1.1"/>
        <filter val="2.1.1.4.2.1"/>
        <filter val="2.1.1.4.2.2"/>
        <filter val="2.1.1.9.1.1"/>
        <filter val="2.1.1.9.1.2"/>
        <filter val="2.1.1.9.1.3"/>
        <filter val="2.1.1.9.2.1"/>
        <filter val="2.1.1.9.3.3"/>
        <filter val="2.1.1.9.3.99"/>
        <filter val="9001 ACCIONES CENTRALES"/>
        <filter val="9002 ASIGNACIONES PRESUPUESTARIAS QUE NO RESULTAN EN PRODUCTOS"/>
      </filters>
    </filterColumn>
  </autoFilter>
  <mergeCells count="5">
    <mergeCell ref="A2:B3"/>
    <mergeCell ref="C2:C3"/>
    <mergeCell ref="K2:K3"/>
    <mergeCell ref="T2:T3"/>
    <mergeCell ref="U2:U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2.1meta</vt:lpstr>
      <vt:lpstr>CATEGORIA PRESUPUESTAL</vt:lpstr>
      <vt:lpstr>ESPECIFICA DE GASTO</vt:lpstr>
      <vt:lpstr>CAS x categ.ptal</vt:lpstr>
      <vt:lpstr>2.1 x categ.pptal</vt:lpstr>
      <vt:lpstr>'2.1meta'!Títulos_a_imprimir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Usuario de Windows</cp:lastModifiedBy>
  <dcterms:created xsi:type="dcterms:W3CDTF">2021-06-08T19:52:44Z</dcterms:created>
  <dcterms:modified xsi:type="dcterms:W3CDTF">2022-04-11T15:40:09Z</dcterms:modified>
  <cp:category/>
</cp:coreProperties>
</file>