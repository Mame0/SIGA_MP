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-120" yWindow="-120" windowWidth="20730" windowHeight="11760"/>
  </bookViews>
  <sheets>
    <sheet name="2.1meta" sheetId="1" r:id="rId1"/>
    <sheet name="CATEGORIA PRESUPUESTAL" sheetId="10" r:id="rId2"/>
    <sheet name="ESPECIFICA DE GASTO" sheetId="11" r:id="rId3"/>
    <sheet name="CAS x categ.ptal" sheetId="3" state="hidden" r:id="rId4"/>
    <sheet name="2.1 x categ.pptal" sheetId="2" state="hidden" r:id="rId5"/>
  </sheets>
  <definedNames>
    <definedName name="_xlnm._FilterDatabase" localSheetId="4" hidden="1">'2.1 x categ.pptal'!$A$3:$U$65</definedName>
    <definedName name="_xlnm._FilterDatabase" localSheetId="0" hidden="1">'2.1meta'!$A$5:$AA$167</definedName>
    <definedName name="_xlnm._FilterDatabase" localSheetId="1" hidden="1">'CATEGORIA PRESUPUESTAL'!$A$4:$Z$66</definedName>
    <definedName name="_xlnm._FilterDatabase" localSheetId="2" hidden="1">'ESPECIFICA DE GASTO'!$A$4:$Z$4</definedName>
    <definedName name="_xlnm.Print_Titles" localSheetId="0">'2.1meta'!$1:$5</definedName>
  </definedName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O21" i="11"/>
  <c r="N21"/>
  <c r="M21"/>
  <c r="L21"/>
  <c r="K21"/>
  <c r="J21"/>
  <c r="I21"/>
  <c r="O20"/>
  <c r="N20"/>
  <c r="M20"/>
  <c r="L20"/>
  <c r="K20"/>
  <c r="J20"/>
  <c r="I20"/>
  <c r="O19"/>
  <c r="N19"/>
  <c r="M19"/>
  <c r="L19"/>
  <c r="K19"/>
  <c r="J19"/>
  <c r="I19"/>
  <c r="O18"/>
  <c r="N18"/>
  <c r="M18"/>
  <c r="L18"/>
  <c r="K18"/>
  <c r="J18"/>
  <c r="I18"/>
  <c r="O17"/>
  <c r="N17"/>
  <c r="M17"/>
  <c r="L17"/>
  <c r="K17"/>
  <c r="J17"/>
  <c r="I17"/>
  <c r="O16"/>
  <c r="N16"/>
  <c r="M16"/>
  <c r="L16"/>
  <c r="K16"/>
  <c r="J16"/>
  <c r="I16"/>
  <c r="O15"/>
  <c r="N15"/>
  <c r="M15"/>
  <c r="L15"/>
  <c r="K15"/>
  <c r="J15"/>
  <c r="I15"/>
  <c r="O14"/>
  <c r="N14"/>
  <c r="M14"/>
  <c r="L14"/>
  <c r="K14"/>
  <c r="J14"/>
  <c r="I14"/>
  <c r="O13"/>
  <c r="N13"/>
  <c r="M13"/>
  <c r="L13"/>
  <c r="K13"/>
  <c r="J13"/>
  <c r="I13"/>
  <c r="O12"/>
  <c r="N12"/>
  <c r="M12"/>
  <c r="L12"/>
  <c r="K12"/>
  <c r="J12"/>
  <c r="I12"/>
  <c r="O11"/>
  <c r="N11"/>
  <c r="M11"/>
  <c r="L11"/>
  <c r="K11"/>
  <c r="J11"/>
  <c r="I11"/>
  <c r="O10"/>
  <c r="N10"/>
  <c r="M10"/>
  <c r="L10"/>
  <c r="K10"/>
  <c r="J10"/>
  <c r="I10"/>
  <c r="O9"/>
  <c r="N9"/>
  <c r="M9"/>
  <c r="L9"/>
  <c r="K9"/>
  <c r="J9"/>
  <c r="I9"/>
  <c r="O8"/>
  <c r="N8"/>
  <c r="M8"/>
  <c r="L8"/>
  <c r="K8"/>
  <c r="J8"/>
  <c r="I8"/>
  <c r="O7"/>
  <c r="N7"/>
  <c r="M7"/>
  <c r="L7"/>
  <c r="K7"/>
  <c r="J7"/>
  <c r="I7"/>
  <c r="O6"/>
  <c r="N6"/>
  <c r="M6"/>
  <c r="L6"/>
  <c r="K6"/>
  <c r="J6"/>
  <c r="I6"/>
  <c r="O5"/>
  <c r="N5"/>
  <c r="N22" s="1"/>
  <c r="M5"/>
  <c r="L5"/>
  <c r="L22" s="1"/>
  <c r="K5"/>
  <c r="K22" s="1"/>
  <c r="J5"/>
  <c r="J22" s="1"/>
  <c r="I5"/>
  <c r="O66" i="10"/>
  <c r="N66"/>
  <c r="M66"/>
  <c r="L66"/>
  <c r="K66"/>
  <c r="J66"/>
  <c r="I66"/>
  <c r="O65"/>
  <c r="N65"/>
  <c r="M65"/>
  <c r="L65"/>
  <c r="K65"/>
  <c r="J65"/>
  <c r="I65"/>
  <c r="O64"/>
  <c r="N64"/>
  <c r="M64"/>
  <c r="L64"/>
  <c r="K64"/>
  <c r="J64"/>
  <c r="I64"/>
  <c r="O63"/>
  <c r="N63"/>
  <c r="M63"/>
  <c r="L63"/>
  <c r="K63"/>
  <c r="J63"/>
  <c r="I63"/>
  <c r="O62"/>
  <c r="N62"/>
  <c r="M62"/>
  <c r="L62"/>
  <c r="K62"/>
  <c r="J62"/>
  <c r="I62"/>
  <c r="O61"/>
  <c r="N61"/>
  <c r="M61"/>
  <c r="L61"/>
  <c r="K61"/>
  <c r="J61"/>
  <c r="I61"/>
  <c r="O60"/>
  <c r="N60"/>
  <c r="M60"/>
  <c r="L60"/>
  <c r="K60"/>
  <c r="J60"/>
  <c r="I60"/>
  <c r="O59"/>
  <c r="N59"/>
  <c r="M59"/>
  <c r="L59"/>
  <c r="K59"/>
  <c r="J59"/>
  <c r="I59"/>
  <c r="O58"/>
  <c r="N58"/>
  <c r="M58"/>
  <c r="L58"/>
  <c r="K58"/>
  <c r="J58"/>
  <c r="I58"/>
  <c r="O57"/>
  <c r="N57"/>
  <c r="M57"/>
  <c r="L57"/>
  <c r="K57"/>
  <c r="J57"/>
  <c r="I57"/>
  <c r="O56"/>
  <c r="N56"/>
  <c r="M56"/>
  <c r="L56"/>
  <c r="K56"/>
  <c r="J56"/>
  <c r="I56"/>
  <c r="O55"/>
  <c r="N55"/>
  <c r="M55"/>
  <c r="L55"/>
  <c r="L51" s="1"/>
  <c r="K55"/>
  <c r="J55"/>
  <c r="I55"/>
  <c r="O54"/>
  <c r="N54"/>
  <c r="M54"/>
  <c r="L54"/>
  <c r="K54"/>
  <c r="J54"/>
  <c r="I54"/>
  <c r="O53"/>
  <c r="N53"/>
  <c r="N51" s="1"/>
  <c r="M53"/>
  <c r="L53"/>
  <c r="K53"/>
  <c r="J53"/>
  <c r="J51" s="1"/>
  <c r="I53"/>
  <c r="O52"/>
  <c r="N52"/>
  <c r="M52"/>
  <c r="M51" s="1"/>
  <c r="L52"/>
  <c r="K52"/>
  <c r="J52"/>
  <c r="I52"/>
  <c r="I51" s="1"/>
  <c r="O50"/>
  <c r="N50"/>
  <c r="M50"/>
  <c r="L50"/>
  <c r="K50"/>
  <c r="J50"/>
  <c r="I50"/>
  <c r="O49"/>
  <c r="N49"/>
  <c r="M49"/>
  <c r="L49"/>
  <c r="K49"/>
  <c r="J49"/>
  <c r="I49"/>
  <c r="O48"/>
  <c r="N48"/>
  <c r="M48"/>
  <c r="L48"/>
  <c r="K48"/>
  <c r="J48"/>
  <c r="I48"/>
  <c r="O47"/>
  <c r="N47"/>
  <c r="M47"/>
  <c r="L47"/>
  <c r="K47"/>
  <c r="J47"/>
  <c r="I47"/>
  <c r="O46"/>
  <c r="N46"/>
  <c r="M46"/>
  <c r="L46"/>
  <c r="K46"/>
  <c r="J46"/>
  <c r="I46"/>
  <c r="O45"/>
  <c r="N45"/>
  <c r="M45"/>
  <c r="L45"/>
  <c r="K45"/>
  <c r="J45"/>
  <c r="I45"/>
  <c r="O44"/>
  <c r="N44"/>
  <c r="M44"/>
  <c r="L44"/>
  <c r="K44"/>
  <c r="J44"/>
  <c r="I44"/>
  <c r="O43"/>
  <c r="N43"/>
  <c r="M43"/>
  <c r="L43"/>
  <c r="K43"/>
  <c r="J43"/>
  <c r="I43"/>
  <c r="O42"/>
  <c r="N42"/>
  <c r="M42"/>
  <c r="L42"/>
  <c r="K42"/>
  <c r="K38" s="1"/>
  <c r="J42"/>
  <c r="I42"/>
  <c r="O41"/>
  <c r="N41"/>
  <c r="M41"/>
  <c r="L41"/>
  <c r="K41"/>
  <c r="J41"/>
  <c r="I41"/>
  <c r="O40"/>
  <c r="N40"/>
  <c r="M40"/>
  <c r="M38" s="1"/>
  <c r="L40"/>
  <c r="K40"/>
  <c r="J40"/>
  <c r="I40"/>
  <c r="I38" s="1"/>
  <c r="O39"/>
  <c r="N39"/>
  <c r="M39"/>
  <c r="L39"/>
  <c r="L38" s="1"/>
  <c r="K39"/>
  <c r="J39"/>
  <c r="I39"/>
  <c r="O38"/>
  <c r="O37"/>
  <c r="N37"/>
  <c r="M37"/>
  <c r="L37"/>
  <c r="K37"/>
  <c r="J37"/>
  <c r="I37"/>
  <c r="O36"/>
  <c r="N36"/>
  <c r="M36"/>
  <c r="L36"/>
  <c r="K36"/>
  <c r="J36"/>
  <c r="I36"/>
  <c r="O35"/>
  <c r="N35"/>
  <c r="M35"/>
  <c r="L35"/>
  <c r="K35"/>
  <c r="J35"/>
  <c r="I35"/>
  <c r="O34"/>
  <c r="N34"/>
  <c r="M34"/>
  <c r="L34"/>
  <c r="K34"/>
  <c r="J34"/>
  <c r="I34"/>
  <c r="O33"/>
  <c r="N33"/>
  <c r="M33"/>
  <c r="L33"/>
  <c r="K33"/>
  <c r="J33"/>
  <c r="I33"/>
  <c r="O32"/>
  <c r="N32"/>
  <c r="M32"/>
  <c r="L32"/>
  <c r="K32"/>
  <c r="J32"/>
  <c r="I32"/>
  <c r="O31"/>
  <c r="N31"/>
  <c r="M31"/>
  <c r="L31"/>
  <c r="K31"/>
  <c r="J31"/>
  <c r="I31"/>
  <c r="O30"/>
  <c r="N30"/>
  <c r="M30"/>
  <c r="L30"/>
  <c r="K30"/>
  <c r="J30"/>
  <c r="I30"/>
  <c r="O29"/>
  <c r="N29"/>
  <c r="M29"/>
  <c r="L29"/>
  <c r="K29"/>
  <c r="J29"/>
  <c r="I29"/>
  <c r="O28"/>
  <c r="N28"/>
  <c r="M28"/>
  <c r="L28"/>
  <c r="K28"/>
  <c r="J28"/>
  <c r="I28"/>
  <c r="O27"/>
  <c r="N27"/>
  <c r="M27"/>
  <c r="L27"/>
  <c r="K27"/>
  <c r="J27"/>
  <c r="I27"/>
  <c r="O26"/>
  <c r="N26"/>
  <c r="M26"/>
  <c r="L26"/>
  <c r="L23" s="1"/>
  <c r="K26"/>
  <c r="J26"/>
  <c r="I26"/>
  <c r="O25"/>
  <c r="N25"/>
  <c r="M25"/>
  <c r="L25"/>
  <c r="K25"/>
  <c r="J25"/>
  <c r="I25"/>
  <c r="O24"/>
  <c r="N24"/>
  <c r="N23" s="1"/>
  <c r="M24"/>
  <c r="L24"/>
  <c r="K24"/>
  <c r="J24"/>
  <c r="I24"/>
  <c r="J23"/>
  <c r="O22"/>
  <c r="N22"/>
  <c r="M22"/>
  <c r="L22"/>
  <c r="K22"/>
  <c r="J22"/>
  <c r="I22"/>
  <c r="O21"/>
  <c r="N21"/>
  <c r="M21"/>
  <c r="L21"/>
  <c r="K21"/>
  <c r="J21"/>
  <c r="I21"/>
  <c r="O20"/>
  <c r="N20"/>
  <c r="M20"/>
  <c r="L20"/>
  <c r="K20"/>
  <c r="J20"/>
  <c r="I20"/>
  <c r="O19"/>
  <c r="N19"/>
  <c r="M19"/>
  <c r="L19"/>
  <c r="K19"/>
  <c r="J19"/>
  <c r="I19"/>
  <c r="O18"/>
  <c r="N18"/>
  <c r="M18"/>
  <c r="L18"/>
  <c r="K18"/>
  <c r="J18"/>
  <c r="I18"/>
  <c r="O17"/>
  <c r="N17"/>
  <c r="M17"/>
  <c r="L17"/>
  <c r="K17"/>
  <c r="J17"/>
  <c r="I17"/>
  <c r="O16"/>
  <c r="N16"/>
  <c r="M16"/>
  <c r="L16"/>
  <c r="K16"/>
  <c r="J16"/>
  <c r="I16"/>
  <c r="O15"/>
  <c r="N15"/>
  <c r="M15"/>
  <c r="L15"/>
  <c r="K15"/>
  <c r="J15"/>
  <c r="I15"/>
  <c r="O14"/>
  <c r="N14"/>
  <c r="M14"/>
  <c r="L14"/>
  <c r="K14"/>
  <c r="J14"/>
  <c r="I14"/>
  <c r="O13"/>
  <c r="N13"/>
  <c r="M13"/>
  <c r="L13"/>
  <c r="K13"/>
  <c r="J13"/>
  <c r="I13"/>
  <c r="O12"/>
  <c r="N12"/>
  <c r="M12"/>
  <c r="L12"/>
  <c r="K12"/>
  <c r="J12"/>
  <c r="I12"/>
  <c r="O11"/>
  <c r="N11"/>
  <c r="M11"/>
  <c r="L11"/>
  <c r="K11"/>
  <c r="J11"/>
  <c r="I11"/>
  <c r="O10"/>
  <c r="N10"/>
  <c r="M10"/>
  <c r="L10"/>
  <c r="K10"/>
  <c r="J10"/>
  <c r="I10"/>
  <c r="O9"/>
  <c r="N9"/>
  <c r="M9"/>
  <c r="L9"/>
  <c r="K9"/>
  <c r="J9"/>
  <c r="I9"/>
  <c r="O8"/>
  <c r="N8"/>
  <c r="M8"/>
  <c r="L8"/>
  <c r="K8"/>
  <c r="J8"/>
  <c r="J5" s="1"/>
  <c r="I8"/>
  <c r="O7"/>
  <c r="N7"/>
  <c r="M7"/>
  <c r="L7"/>
  <c r="K7"/>
  <c r="J7"/>
  <c r="I7"/>
  <c r="O6"/>
  <c r="N6"/>
  <c r="M6"/>
  <c r="L6"/>
  <c r="L5" s="1"/>
  <c r="K6"/>
  <c r="J6"/>
  <c r="I6"/>
  <c r="N5"/>
  <c r="R156" i="1"/>
  <c r="Q156"/>
  <c r="P156"/>
  <c r="O156"/>
  <c r="N156"/>
  <c r="M156"/>
  <c r="L156"/>
  <c r="K156"/>
  <c r="J156"/>
  <c r="I156"/>
  <c r="R144"/>
  <c r="Q144"/>
  <c r="P144"/>
  <c r="O144"/>
  <c r="N144"/>
  <c r="M144"/>
  <c r="L144"/>
  <c r="K144"/>
  <c r="J144"/>
  <c r="I144"/>
  <c r="R129"/>
  <c r="Q129"/>
  <c r="P129"/>
  <c r="O129"/>
  <c r="N129"/>
  <c r="M129"/>
  <c r="L129"/>
  <c r="K129"/>
  <c r="J129"/>
  <c r="I129"/>
  <c r="R121"/>
  <c r="Q121"/>
  <c r="P121"/>
  <c r="O121"/>
  <c r="N121"/>
  <c r="M121"/>
  <c r="L121"/>
  <c r="K121"/>
  <c r="J121"/>
  <c r="I121"/>
  <c r="R114"/>
  <c r="Q114"/>
  <c r="P114"/>
  <c r="O114"/>
  <c r="N114"/>
  <c r="M114"/>
  <c r="L114"/>
  <c r="K114"/>
  <c r="J114"/>
  <c r="I114"/>
  <c r="R103"/>
  <c r="Q103"/>
  <c r="P103"/>
  <c r="O103"/>
  <c r="N103"/>
  <c r="M103"/>
  <c r="L103"/>
  <c r="K103"/>
  <c r="J103"/>
  <c r="I103"/>
  <c r="R91"/>
  <c r="Q91"/>
  <c r="P91"/>
  <c r="O91"/>
  <c r="N91"/>
  <c r="M91"/>
  <c r="L91"/>
  <c r="K91"/>
  <c r="J91"/>
  <c r="I91"/>
  <c r="R78"/>
  <c r="Q78"/>
  <c r="P78"/>
  <c r="O78"/>
  <c r="N78"/>
  <c r="M78"/>
  <c r="L78"/>
  <c r="K78"/>
  <c r="J78"/>
  <c r="I78"/>
  <c r="R62"/>
  <c r="Q62"/>
  <c r="P62"/>
  <c r="O62"/>
  <c r="N62"/>
  <c r="M62"/>
  <c r="L62"/>
  <c r="K62"/>
  <c r="J62"/>
  <c r="I62"/>
  <c r="R49"/>
  <c r="Q49"/>
  <c r="P49"/>
  <c r="O49"/>
  <c r="N49"/>
  <c r="M49"/>
  <c r="L49"/>
  <c r="K49"/>
  <c r="J49"/>
  <c r="I49"/>
  <c r="R39"/>
  <c r="Q39"/>
  <c r="P39"/>
  <c r="O39"/>
  <c r="N39"/>
  <c r="M39"/>
  <c r="L39"/>
  <c r="K39"/>
  <c r="J39"/>
  <c r="I39"/>
  <c r="R22"/>
  <c r="Q22"/>
  <c r="P22"/>
  <c r="O22"/>
  <c r="N22"/>
  <c r="M22"/>
  <c r="L22"/>
  <c r="K22"/>
  <c r="J22"/>
  <c r="I22"/>
  <c r="P6"/>
  <c r="P168" s="1"/>
  <c r="O6"/>
  <c r="O168" s="1"/>
  <c r="N6"/>
  <c r="N168" s="1"/>
  <c r="M6"/>
  <c r="M168" s="1"/>
  <c r="L6"/>
  <c r="L168" s="1"/>
  <c r="K6"/>
  <c r="K168" s="1"/>
  <c r="J6"/>
  <c r="J168" s="1"/>
  <c r="Q21" i="11"/>
  <c r="Q20"/>
  <c r="Q19"/>
  <c r="Q18"/>
  <c r="Q17"/>
  <c r="Q16"/>
  <c r="Q15"/>
  <c r="Q14"/>
  <c r="Q13"/>
  <c r="Q12"/>
  <c r="Q11"/>
  <c r="Q10"/>
  <c r="Q9"/>
  <c r="Q8"/>
  <c r="Q7"/>
  <c r="Q6"/>
  <c r="Q5"/>
  <c r="P21"/>
  <c r="P20"/>
  <c r="P19"/>
  <c r="P18"/>
  <c r="P17"/>
  <c r="P16"/>
  <c r="P15"/>
  <c r="P14"/>
  <c r="P13"/>
  <c r="P12"/>
  <c r="P11"/>
  <c r="P10"/>
  <c r="P9"/>
  <c r="P8"/>
  <c r="P7"/>
  <c r="P6"/>
  <c r="P5"/>
  <c r="Q66" i="10"/>
  <c r="Q65"/>
  <c r="Q64"/>
  <c r="Q63"/>
  <c r="Q62"/>
  <c r="Q61"/>
  <c r="Q60"/>
  <c r="Q59"/>
  <c r="Q58"/>
  <c r="Q57"/>
  <c r="Q56"/>
  <c r="Q55"/>
  <c r="Q54"/>
  <c r="Q53"/>
  <c r="Q52"/>
  <c r="Q50"/>
  <c r="Q49"/>
  <c r="Q48"/>
  <c r="Q47"/>
  <c r="Q46"/>
  <c r="Q45"/>
  <c r="Q44"/>
  <c r="Q43"/>
  <c r="Q42"/>
  <c r="Q41"/>
  <c r="Q40"/>
  <c r="Q39"/>
  <c r="Q37"/>
  <c r="Q36"/>
  <c r="Q35"/>
  <c r="Q34"/>
  <c r="Q33"/>
  <c r="Q32"/>
  <c r="Q31"/>
  <c r="Q30"/>
  <c r="Q29"/>
  <c r="Q28"/>
  <c r="Q27"/>
  <c r="Q26"/>
  <c r="Q25"/>
  <c r="Q24"/>
  <c r="Q22"/>
  <c r="Q21"/>
  <c r="Q20"/>
  <c r="Q19"/>
  <c r="Q18"/>
  <c r="Q17"/>
  <c r="Q16"/>
  <c r="Q15"/>
  <c r="Q14"/>
  <c r="Q13"/>
  <c r="Q12"/>
  <c r="Q11"/>
  <c r="Q10"/>
  <c r="Q9"/>
  <c r="Q8"/>
  <c r="Q7"/>
  <c r="Q6"/>
  <c r="P66"/>
  <c r="P65"/>
  <c r="P64"/>
  <c r="P63"/>
  <c r="P62"/>
  <c r="P61"/>
  <c r="P60"/>
  <c r="P59"/>
  <c r="P58"/>
  <c r="P57"/>
  <c r="P56"/>
  <c r="P55"/>
  <c r="P54"/>
  <c r="P53"/>
  <c r="P52"/>
  <c r="P50"/>
  <c r="P49"/>
  <c r="P48"/>
  <c r="P47"/>
  <c r="P46"/>
  <c r="P45"/>
  <c r="P44"/>
  <c r="P43"/>
  <c r="P42"/>
  <c r="P41"/>
  <c r="P40"/>
  <c r="P39"/>
  <c r="P37"/>
  <c r="P36"/>
  <c r="P35"/>
  <c r="P34"/>
  <c r="P33"/>
  <c r="P32"/>
  <c r="P31"/>
  <c r="P30"/>
  <c r="P29"/>
  <c r="P28"/>
  <c r="P27"/>
  <c r="P26"/>
  <c r="P25"/>
  <c r="P24"/>
  <c r="P22"/>
  <c r="P21"/>
  <c r="P20"/>
  <c r="P19"/>
  <c r="P18"/>
  <c r="P17"/>
  <c r="P16"/>
  <c r="P15"/>
  <c r="P14"/>
  <c r="P13"/>
  <c r="P12"/>
  <c r="P11"/>
  <c r="P10"/>
  <c r="P9"/>
  <c r="P8"/>
  <c r="P7"/>
  <c r="P6"/>
  <c r="R6" i="1"/>
  <c r="R168" s="1"/>
  <c r="Q6"/>
  <c r="Q168" s="1"/>
  <c r="X6"/>
  <c r="W6"/>
  <c r="V6"/>
  <c r="U6"/>
  <c r="T6"/>
  <c r="S6"/>
  <c r="I6"/>
  <c r="I168" s="1"/>
  <c r="O22" i="11" l="1"/>
  <c r="I22"/>
  <c r="M22"/>
  <c r="J67" i="10"/>
  <c r="N67"/>
  <c r="K5"/>
  <c r="O5"/>
  <c r="I23"/>
  <c r="I67" s="1"/>
  <c r="M23"/>
  <c r="J38"/>
  <c r="N38"/>
  <c r="K51"/>
  <c r="O51"/>
  <c r="I5"/>
  <c r="M5"/>
  <c r="K23"/>
  <c r="O23"/>
  <c r="L67"/>
  <c r="M67"/>
  <c r="Q38"/>
  <c r="P38"/>
  <c r="P5"/>
  <c r="Q22" i="11"/>
  <c r="P22"/>
  <c r="P51" i="10"/>
  <c r="Q23"/>
  <c r="Q5"/>
  <c r="Q51"/>
  <c r="P23"/>
  <c r="R5" i="11"/>
  <c r="S5"/>
  <c r="T5"/>
  <c r="U5"/>
  <c r="V5"/>
  <c r="W5"/>
  <c r="R6"/>
  <c r="S6"/>
  <c r="T6"/>
  <c r="U6"/>
  <c r="V6"/>
  <c r="W6"/>
  <c r="R7"/>
  <c r="S7"/>
  <c r="T7"/>
  <c r="U7"/>
  <c r="V7"/>
  <c r="W7"/>
  <c r="R8"/>
  <c r="S8"/>
  <c r="T8"/>
  <c r="U8"/>
  <c r="V8"/>
  <c r="W8"/>
  <c r="R9"/>
  <c r="S9"/>
  <c r="T9"/>
  <c r="U9"/>
  <c r="V9"/>
  <c r="W9"/>
  <c r="R10"/>
  <c r="S10"/>
  <c r="T10"/>
  <c r="U10"/>
  <c r="V10"/>
  <c r="W10"/>
  <c r="R11"/>
  <c r="S11"/>
  <c r="T11"/>
  <c r="U11"/>
  <c r="V11"/>
  <c r="W11"/>
  <c r="R12"/>
  <c r="S12"/>
  <c r="T12"/>
  <c r="U12"/>
  <c r="V12"/>
  <c r="W12"/>
  <c r="R13"/>
  <c r="S13"/>
  <c r="T13"/>
  <c r="U13"/>
  <c r="V13"/>
  <c r="W13"/>
  <c r="R14"/>
  <c r="S14"/>
  <c r="T14"/>
  <c r="U14"/>
  <c r="V14"/>
  <c r="W14"/>
  <c r="R15"/>
  <c r="S15"/>
  <c r="T15"/>
  <c r="U15"/>
  <c r="V15"/>
  <c r="W15"/>
  <c r="R16"/>
  <c r="S16"/>
  <c r="T16"/>
  <c r="U16"/>
  <c r="V16"/>
  <c r="W16"/>
  <c r="R17"/>
  <c r="S17"/>
  <c r="T17"/>
  <c r="U17"/>
  <c r="V17"/>
  <c r="W17"/>
  <c r="R18"/>
  <c r="S18"/>
  <c r="T18"/>
  <c r="U18"/>
  <c r="V18"/>
  <c r="W18"/>
  <c r="T19"/>
  <c r="U19"/>
  <c r="V19"/>
  <c r="W19"/>
  <c r="R20"/>
  <c r="S20"/>
  <c r="T20"/>
  <c r="U20"/>
  <c r="V20"/>
  <c r="W20"/>
  <c r="T21"/>
  <c r="U21"/>
  <c r="V21"/>
  <c r="W21"/>
  <c r="H20"/>
  <c r="H18"/>
  <c r="H17"/>
  <c r="H16"/>
  <c r="H15"/>
  <c r="H14"/>
  <c r="H13"/>
  <c r="H12"/>
  <c r="H11"/>
  <c r="H10"/>
  <c r="H9"/>
  <c r="H8"/>
  <c r="H7"/>
  <c r="H6"/>
  <c r="H5"/>
  <c r="D5"/>
  <c r="E5"/>
  <c r="D6"/>
  <c r="E6"/>
  <c r="D7"/>
  <c r="E7"/>
  <c r="D8"/>
  <c r="E8"/>
  <c r="D9"/>
  <c r="E9"/>
  <c r="D10"/>
  <c r="E10"/>
  <c r="D11"/>
  <c r="E11"/>
  <c r="D12"/>
  <c r="E12"/>
  <c r="D13"/>
  <c r="E13"/>
  <c r="D14"/>
  <c r="E14"/>
  <c r="D15"/>
  <c r="E15"/>
  <c r="D16"/>
  <c r="E16"/>
  <c r="D17"/>
  <c r="E17"/>
  <c r="D18"/>
  <c r="E18"/>
  <c r="D19"/>
  <c r="E19"/>
  <c r="D20"/>
  <c r="E20"/>
  <c r="D21"/>
  <c r="E21"/>
  <c r="C21"/>
  <c r="C20"/>
  <c r="C19"/>
  <c r="C18"/>
  <c r="C17"/>
  <c r="C16"/>
  <c r="C15"/>
  <c r="C14"/>
  <c r="C13"/>
  <c r="C12"/>
  <c r="C11"/>
  <c r="C10"/>
  <c r="C9"/>
  <c r="C8"/>
  <c r="C7"/>
  <c r="C6"/>
  <c r="C5"/>
  <c r="R6" i="10"/>
  <c r="S6"/>
  <c r="T6"/>
  <c r="U6"/>
  <c r="V6"/>
  <c r="W6"/>
  <c r="R7"/>
  <c r="S7"/>
  <c r="T7"/>
  <c r="U7"/>
  <c r="V7"/>
  <c r="W7"/>
  <c r="R8"/>
  <c r="S8"/>
  <c r="T8"/>
  <c r="U8"/>
  <c r="V8"/>
  <c r="W8"/>
  <c r="R9"/>
  <c r="S9"/>
  <c r="T9"/>
  <c r="U9"/>
  <c r="V9"/>
  <c r="W9"/>
  <c r="R10"/>
  <c r="S10"/>
  <c r="T10"/>
  <c r="U10"/>
  <c r="V10"/>
  <c r="W10"/>
  <c r="R11"/>
  <c r="S11"/>
  <c r="T11"/>
  <c r="U11"/>
  <c r="V11"/>
  <c r="W11"/>
  <c r="R12"/>
  <c r="S12"/>
  <c r="T12"/>
  <c r="U12"/>
  <c r="V12"/>
  <c r="W12"/>
  <c r="R13"/>
  <c r="S13"/>
  <c r="T13"/>
  <c r="U13"/>
  <c r="V13"/>
  <c r="W13"/>
  <c r="R14"/>
  <c r="S14"/>
  <c r="T14"/>
  <c r="U14"/>
  <c r="V14"/>
  <c r="W14"/>
  <c r="R15"/>
  <c r="S15"/>
  <c r="T15"/>
  <c r="U15"/>
  <c r="V15"/>
  <c r="W15"/>
  <c r="R16"/>
  <c r="S16"/>
  <c r="T16"/>
  <c r="U16"/>
  <c r="V16"/>
  <c r="W16"/>
  <c r="R17"/>
  <c r="S17"/>
  <c r="T17"/>
  <c r="U17"/>
  <c r="V17"/>
  <c r="W17"/>
  <c r="R18"/>
  <c r="S18"/>
  <c r="T18"/>
  <c r="U18"/>
  <c r="V18"/>
  <c r="W18"/>
  <c r="R19"/>
  <c r="S19"/>
  <c r="T19"/>
  <c r="U19"/>
  <c r="V19"/>
  <c r="W19"/>
  <c r="T20"/>
  <c r="U20"/>
  <c r="V20"/>
  <c r="W20"/>
  <c r="R21"/>
  <c r="S21"/>
  <c r="T21"/>
  <c r="U21"/>
  <c r="V21"/>
  <c r="W21"/>
  <c r="T22"/>
  <c r="U22"/>
  <c r="V22"/>
  <c r="W22"/>
  <c r="H21"/>
  <c r="H19"/>
  <c r="H18"/>
  <c r="H17"/>
  <c r="H16"/>
  <c r="H15"/>
  <c r="H14"/>
  <c r="H13"/>
  <c r="H12"/>
  <c r="H11"/>
  <c r="H10"/>
  <c r="H9"/>
  <c r="H8"/>
  <c r="H7"/>
  <c r="H6"/>
  <c r="D6"/>
  <c r="E6"/>
  <c r="D7"/>
  <c r="E7"/>
  <c r="D8"/>
  <c r="E8"/>
  <c r="D9"/>
  <c r="E9"/>
  <c r="D10"/>
  <c r="E10"/>
  <c r="D11"/>
  <c r="E11"/>
  <c r="D12"/>
  <c r="E12"/>
  <c r="D13"/>
  <c r="E13"/>
  <c r="D14"/>
  <c r="E14"/>
  <c r="D15"/>
  <c r="E15"/>
  <c r="D16"/>
  <c r="E16"/>
  <c r="D17"/>
  <c r="E17"/>
  <c r="D18"/>
  <c r="E18"/>
  <c r="D19"/>
  <c r="E19"/>
  <c r="D20"/>
  <c r="E20"/>
  <c r="D21"/>
  <c r="E21"/>
  <c r="D22"/>
  <c r="E22"/>
  <c r="C22"/>
  <c r="C20"/>
  <c r="C19"/>
  <c r="C17"/>
  <c r="C16"/>
  <c r="C14"/>
  <c r="C10"/>
  <c r="C8"/>
  <c r="C7"/>
  <c r="R52"/>
  <c r="S52"/>
  <c r="T52"/>
  <c r="U52"/>
  <c r="V52"/>
  <c r="W52"/>
  <c r="R53"/>
  <c r="S53"/>
  <c r="T53"/>
  <c r="U53"/>
  <c r="V53"/>
  <c r="W53"/>
  <c r="R54"/>
  <c r="S54"/>
  <c r="T54"/>
  <c r="U54"/>
  <c r="V54"/>
  <c r="W54"/>
  <c r="R55"/>
  <c r="S55"/>
  <c r="T55"/>
  <c r="U55"/>
  <c r="V55"/>
  <c r="W55"/>
  <c r="R56"/>
  <c r="S56"/>
  <c r="T56"/>
  <c r="U56"/>
  <c r="V56"/>
  <c r="W56"/>
  <c r="R57"/>
  <c r="S57"/>
  <c r="T57"/>
  <c r="U57"/>
  <c r="V57"/>
  <c r="W57"/>
  <c r="R58"/>
  <c r="S58"/>
  <c r="T58"/>
  <c r="U58"/>
  <c r="V58"/>
  <c r="W58"/>
  <c r="R59"/>
  <c r="S59"/>
  <c r="T59"/>
  <c r="U59"/>
  <c r="V59"/>
  <c r="W59"/>
  <c r="R60"/>
  <c r="S60"/>
  <c r="T60"/>
  <c r="U60"/>
  <c r="V60"/>
  <c r="W60"/>
  <c r="R61"/>
  <c r="S61"/>
  <c r="T61"/>
  <c r="U61"/>
  <c r="V61"/>
  <c r="W61"/>
  <c r="R62"/>
  <c r="S62"/>
  <c r="T62"/>
  <c r="U62"/>
  <c r="V62"/>
  <c r="W62"/>
  <c r="R63"/>
  <c r="S63"/>
  <c r="T63"/>
  <c r="U63"/>
  <c r="V63"/>
  <c r="W63"/>
  <c r="T64"/>
  <c r="U64"/>
  <c r="V64"/>
  <c r="W64"/>
  <c r="R65"/>
  <c r="S65"/>
  <c r="T65"/>
  <c r="U65"/>
  <c r="V65"/>
  <c r="W65"/>
  <c r="T66"/>
  <c r="U66"/>
  <c r="V66"/>
  <c r="W66"/>
  <c r="H65"/>
  <c r="H63"/>
  <c r="H62"/>
  <c r="H61"/>
  <c r="H60"/>
  <c r="H59"/>
  <c r="H58"/>
  <c r="H57"/>
  <c r="H56"/>
  <c r="H55"/>
  <c r="H54"/>
  <c r="H53"/>
  <c r="H52"/>
  <c r="D52"/>
  <c r="E52"/>
  <c r="D53"/>
  <c r="E53"/>
  <c r="D54"/>
  <c r="E54"/>
  <c r="D55"/>
  <c r="E55"/>
  <c r="D56"/>
  <c r="E56"/>
  <c r="D57"/>
  <c r="E57"/>
  <c r="D58"/>
  <c r="E58"/>
  <c r="D59"/>
  <c r="E59"/>
  <c r="D60"/>
  <c r="E60"/>
  <c r="D61"/>
  <c r="E61"/>
  <c r="D62"/>
  <c r="E62"/>
  <c r="D63"/>
  <c r="E63"/>
  <c r="D64"/>
  <c r="E64"/>
  <c r="D65"/>
  <c r="E65"/>
  <c r="D66"/>
  <c r="E66"/>
  <c r="C66"/>
  <c r="C65"/>
  <c r="C64"/>
  <c r="C63"/>
  <c r="C62"/>
  <c r="C61"/>
  <c r="C60"/>
  <c r="C59"/>
  <c r="C58"/>
  <c r="C57"/>
  <c r="C56"/>
  <c r="C55"/>
  <c r="C54"/>
  <c r="C53"/>
  <c r="C52"/>
  <c r="R39"/>
  <c r="S39"/>
  <c r="T39"/>
  <c r="U39"/>
  <c r="V39"/>
  <c r="W39"/>
  <c r="R40"/>
  <c r="S40"/>
  <c r="T40"/>
  <c r="U40"/>
  <c r="V40"/>
  <c r="W40"/>
  <c r="R41"/>
  <c r="S41"/>
  <c r="T41"/>
  <c r="U41"/>
  <c r="V41"/>
  <c r="W41"/>
  <c r="R42"/>
  <c r="S42"/>
  <c r="T42"/>
  <c r="U42"/>
  <c r="V42"/>
  <c r="W42"/>
  <c r="R43"/>
  <c r="S43"/>
  <c r="T43"/>
  <c r="U43"/>
  <c r="V43"/>
  <c r="W43"/>
  <c r="R44"/>
  <c r="S44"/>
  <c r="T44"/>
  <c r="U44"/>
  <c r="V44"/>
  <c r="W44"/>
  <c r="R45"/>
  <c r="S45"/>
  <c r="T45"/>
  <c r="U45"/>
  <c r="V45"/>
  <c r="W45"/>
  <c r="R46"/>
  <c r="S46"/>
  <c r="T46"/>
  <c r="U46"/>
  <c r="V46"/>
  <c r="W46"/>
  <c r="R47"/>
  <c r="S47"/>
  <c r="T47"/>
  <c r="U47"/>
  <c r="V47"/>
  <c r="W47"/>
  <c r="R48"/>
  <c r="S48"/>
  <c r="T48"/>
  <c r="U48"/>
  <c r="V48"/>
  <c r="W48"/>
  <c r="R49"/>
  <c r="S49"/>
  <c r="T49"/>
  <c r="U49"/>
  <c r="V49"/>
  <c r="W49"/>
  <c r="T50"/>
  <c r="U50"/>
  <c r="V50"/>
  <c r="W50"/>
  <c r="H49"/>
  <c r="H48"/>
  <c r="H47"/>
  <c r="H46"/>
  <c r="H45"/>
  <c r="H44"/>
  <c r="H43"/>
  <c r="H42"/>
  <c r="H41"/>
  <c r="H40"/>
  <c r="H39"/>
  <c r="D39"/>
  <c r="E39"/>
  <c r="D40"/>
  <c r="E40"/>
  <c r="D41"/>
  <c r="E41"/>
  <c r="D42"/>
  <c r="E42"/>
  <c r="D43"/>
  <c r="E43"/>
  <c r="D44"/>
  <c r="E44"/>
  <c r="D45"/>
  <c r="E45"/>
  <c r="D46"/>
  <c r="E46"/>
  <c r="D47"/>
  <c r="E47"/>
  <c r="D48"/>
  <c r="E48"/>
  <c r="D49"/>
  <c r="E49"/>
  <c r="D50"/>
  <c r="E50"/>
  <c r="C50"/>
  <c r="C49"/>
  <c r="C48"/>
  <c r="C47"/>
  <c r="C46"/>
  <c r="C45"/>
  <c r="C44"/>
  <c r="C43"/>
  <c r="C42"/>
  <c r="C41"/>
  <c r="C40"/>
  <c r="C39"/>
  <c r="D24"/>
  <c r="E24"/>
  <c r="D25"/>
  <c r="E25"/>
  <c r="D26"/>
  <c r="E26"/>
  <c r="D27"/>
  <c r="E27"/>
  <c r="D28"/>
  <c r="E28"/>
  <c r="D29"/>
  <c r="E29"/>
  <c r="D30"/>
  <c r="E30"/>
  <c r="D31"/>
  <c r="E31"/>
  <c r="D32"/>
  <c r="E32"/>
  <c r="D33"/>
  <c r="E33"/>
  <c r="D34"/>
  <c r="E34"/>
  <c r="D35"/>
  <c r="E35"/>
  <c r="D36"/>
  <c r="E36"/>
  <c r="D37"/>
  <c r="E37"/>
  <c r="R24"/>
  <c r="S24"/>
  <c r="T24"/>
  <c r="U24"/>
  <c r="V24"/>
  <c r="W24"/>
  <c r="R25"/>
  <c r="S25"/>
  <c r="T25"/>
  <c r="U25"/>
  <c r="V25"/>
  <c r="W25"/>
  <c r="R26"/>
  <c r="S26"/>
  <c r="T26"/>
  <c r="U26"/>
  <c r="V26"/>
  <c r="W26"/>
  <c r="R27"/>
  <c r="S27"/>
  <c r="T27"/>
  <c r="U27"/>
  <c r="V27"/>
  <c r="W27"/>
  <c r="R28"/>
  <c r="S28"/>
  <c r="T28"/>
  <c r="U28"/>
  <c r="V28"/>
  <c r="W28"/>
  <c r="R29"/>
  <c r="S29"/>
  <c r="T29"/>
  <c r="U29"/>
  <c r="V29"/>
  <c r="W29"/>
  <c r="R30"/>
  <c r="S30"/>
  <c r="T30"/>
  <c r="U30"/>
  <c r="V30"/>
  <c r="W30"/>
  <c r="R31"/>
  <c r="S31"/>
  <c r="T31"/>
  <c r="U31"/>
  <c r="V31"/>
  <c r="W31"/>
  <c r="R32"/>
  <c r="S32"/>
  <c r="T32"/>
  <c r="U32"/>
  <c r="V32"/>
  <c r="W32"/>
  <c r="R33"/>
  <c r="S33"/>
  <c r="T33"/>
  <c r="U33"/>
  <c r="V33"/>
  <c r="W33"/>
  <c r="R34"/>
  <c r="S34"/>
  <c r="T34"/>
  <c r="U34"/>
  <c r="V34"/>
  <c r="W34"/>
  <c r="R35"/>
  <c r="S35"/>
  <c r="T35"/>
  <c r="U35"/>
  <c r="V35"/>
  <c r="W35"/>
  <c r="R36"/>
  <c r="S36"/>
  <c r="T36"/>
  <c r="U36"/>
  <c r="V36"/>
  <c r="W36"/>
  <c r="T37"/>
  <c r="U37"/>
  <c r="V37"/>
  <c r="W37"/>
  <c r="H36"/>
  <c r="H35"/>
  <c r="H34"/>
  <c r="H33"/>
  <c r="H32"/>
  <c r="H31"/>
  <c r="H30"/>
  <c r="H29"/>
  <c r="H28"/>
  <c r="H27"/>
  <c r="H26"/>
  <c r="H25"/>
  <c r="H24"/>
  <c r="C37"/>
  <c r="C36"/>
  <c r="C35"/>
  <c r="C34"/>
  <c r="C33"/>
  <c r="C32"/>
  <c r="C31"/>
  <c r="C30"/>
  <c r="C29"/>
  <c r="C28"/>
  <c r="C27"/>
  <c r="C26"/>
  <c r="C25"/>
  <c r="C24"/>
  <c r="C21"/>
  <c r="C18"/>
  <c r="C15"/>
  <c r="C13"/>
  <c r="C12"/>
  <c r="C11"/>
  <c r="C9"/>
  <c r="C6"/>
  <c r="K67" l="1"/>
  <c r="O67"/>
  <c r="Q67"/>
  <c r="P67"/>
  <c r="X8" i="11"/>
  <c r="X12"/>
  <c r="G6"/>
  <c r="Y12"/>
  <c r="Z12" s="1"/>
  <c r="X9"/>
  <c r="X13"/>
  <c r="X17"/>
  <c r="X6"/>
  <c r="X10"/>
  <c r="X7"/>
  <c r="X11"/>
  <c r="X15"/>
  <c r="G16"/>
  <c r="G7"/>
  <c r="G17"/>
  <c r="X14"/>
  <c r="G19"/>
  <c r="G8"/>
  <c r="G21"/>
  <c r="G9"/>
  <c r="X18"/>
  <c r="G11"/>
  <c r="X20"/>
  <c r="G13"/>
  <c r="G14"/>
  <c r="X16"/>
  <c r="G18"/>
  <c r="C22"/>
  <c r="E22"/>
  <c r="D22"/>
  <c r="X11" i="10"/>
  <c r="X5" i="11"/>
  <c r="G22" i="10"/>
  <c r="G21"/>
  <c r="G18"/>
  <c r="G17"/>
  <c r="G14"/>
  <c r="G13"/>
  <c r="G9"/>
  <c r="X10"/>
  <c r="G20"/>
  <c r="G19"/>
  <c r="G16"/>
  <c r="G15"/>
  <c r="G12"/>
  <c r="G11"/>
  <c r="G8"/>
  <c r="G7"/>
  <c r="C23"/>
  <c r="C51"/>
  <c r="T51"/>
  <c r="U51"/>
  <c r="G65"/>
  <c r="G61"/>
  <c r="G57"/>
  <c r="G53"/>
  <c r="X54"/>
  <c r="X58"/>
  <c r="X62"/>
  <c r="G66"/>
  <c r="G64"/>
  <c r="G60"/>
  <c r="G58"/>
  <c r="G56"/>
  <c r="G54"/>
  <c r="X55"/>
  <c r="X59"/>
  <c r="X63"/>
  <c r="X65"/>
  <c r="X61"/>
  <c r="X57"/>
  <c r="X53"/>
  <c r="W51"/>
  <c r="G63"/>
  <c r="G55"/>
  <c r="G52"/>
  <c r="X52"/>
  <c r="X56"/>
  <c r="X60"/>
  <c r="V51"/>
  <c r="X41"/>
  <c r="X45"/>
  <c r="X49"/>
  <c r="X27"/>
  <c r="X31"/>
  <c r="X35"/>
  <c r="G48"/>
  <c r="G45"/>
  <c r="G44"/>
  <c r="G41"/>
  <c r="G40"/>
  <c r="X42"/>
  <c r="X46"/>
  <c r="X48"/>
  <c r="X44"/>
  <c r="X40"/>
  <c r="G47"/>
  <c r="G46"/>
  <c r="G43"/>
  <c r="G42"/>
  <c r="G39"/>
  <c r="X39"/>
  <c r="X43"/>
  <c r="X47"/>
  <c r="X33"/>
  <c r="X29"/>
  <c r="X25"/>
  <c r="T23"/>
  <c r="G35"/>
  <c r="G34"/>
  <c r="G31"/>
  <c r="G30"/>
  <c r="G27"/>
  <c r="G26"/>
  <c r="X24"/>
  <c r="X28"/>
  <c r="X32"/>
  <c r="X36"/>
  <c r="W23"/>
  <c r="V23"/>
  <c r="G37"/>
  <c r="G33"/>
  <c r="G32"/>
  <c r="G29"/>
  <c r="G28"/>
  <c r="G24"/>
  <c r="X26"/>
  <c r="X30"/>
  <c r="X34"/>
  <c r="U23"/>
  <c r="C38"/>
  <c r="X15"/>
  <c r="X19"/>
  <c r="W5"/>
  <c r="V5"/>
  <c r="X8"/>
  <c r="X13"/>
  <c r="X17"/>
  <c r="X21"/>
  <c r="U5"/>
  <c r="X9"/>
  <c r="X14"/>
  <c r="X18"/>
  <c r="X6"/>
  <c r="X16"/>
  <c r="X12"/>
  <c r="X7"/>
  <c r="T5"/>
  <c r="E5"/>
  <c r="D5"/>
  <c r="C5"/>
  <c r="Y16" i="11" l="1"/>
  <c r="Z16" s="1"/>
  <c r="Y15"/>
  <c r="Z15" s="1"/>
  <c r="Y8"/>
  <c r="Z8" s="1"/>
  <c r="G12"/>
  <c r="Y11"/>
  <c r="Z11" s="1"/>
  <c r="Y18"/>
  <c r="Z18" s="1"/>
  <c r="G15"/>
  <c r="Y10"/>
  <c r="Z10" s="1"/>
  <c r="Y20"/>
  <c r="Z20" s="1"/>
  <c r="Y7"/>
  <c r="Z7" s="1"/>
  <c r="Y6"/>
  <c r="Z6" s="1"/>
  <c r="Y9"/>
  <c r="Z9" s="1"/>
  <c r="Y14"/>
  <c r="Z14" s="1"/>
  <c r="Y17"/>
  <c r="Z17" s="1"/>
  <c r="G10"/>
  <c r="Y13"/>
  <c r="Z13" s="1"/>
  <c r="G20"/>
  <c r="U22"/>
  <c r="Y11" i="10"/>
  <c r="Z11" s="1"/>
  <c r="T22" i="11"/>
  <c r="V22"/>
  <c r="Y10" i="10"/>
  <c r="Z10" s="1"/>
  <c r="W22" i="11"/>
  <c r="G10" i="10"/>
  <c r="Y25"/>
  <c r="Z25" s="1"/>
  <c r="G25"/>
  <c r="G50"/>
  <c r="Y49"/>
  <c r="Z49" s="1"/>
  <c r="G49"/>
  <c r="Y6"/>
  <c r="G6"/>
  <c r="Y36"/>
  <c r="Z36" s="1"/>
  <c r="G36"/>
  <c r="Y62"/>
  <c r="Z62" s="1"/>
  <c r="G62"/>
  <c r="Y59"/>
  <c r="Z59" s="1"/>
  <c r="G59"/>
  <c r="Y5" i="11"/>
  <c r="G5"/>
  <c r="C67" i="10"/>
  <c r="Y61"/>
  <c r="Z61" s="1"/>
  <c r="Y57"/>
  <c r="Z57" s="1"/>
  <c r="Y63"/>
  <c r="Z63" s="1"/>
  <c r="Y47"/>
  <c r="Z47" s="1"/>
  <c r="Y56"/>
  <c r="Z56" s="1"/>
  <c r="Y58"/>
  <c r="Z58" s="1"/>
  <c r="Y54"/>
  <c r="Z54" s="1"/>
  <c r="Y65"/>
  <c r="Z65" s="1"/>
  <c r="Y55"/>
  <c r="Z55" s="1"/>
  <c r="Y60"/>
  <c r="Z60" s="1"/>
  <c r="Y53"/>
  <c r="Z53" s="1"/>
  <c r="T67"/>
  <c r="U67"/>
  <c r="V67"/>
  <c r="W67"/>
  <c r="Y30"/>
  <c r="Z30" s="1"/>
  <c r="Y40"/>
  <c r="Z40" s="1"/>
  <c r="Y27"/>
  <c r="Z27" s="1"/>
  <c r="Y43"/>
  <c r="Z43" s="1"/>
  <c r="Y35"/>
  <c r="Z35" s="1"/>
  <c r="Y42"/>
  <c r="Z42" s="1"/>
  <c r="Y31"/>
  <c r="Z31" s="1"/>
  <c r="Y41"/>
  <c r="Z41" s="1"/>
  <c r="Y26"/>
  <c r="Z26" s="1"/>
  <c r="Y29"/>
  <c r="Z29" s="1"/>
  <c r="Y46"/>
  <c r="Z46" s="1"/>
  <c r="Y44"/>
  <c r="Z44" s="1"/>
  <c r="Y45"/>
  <c r="Z45" s="1"/>
  <c r="Y48"/>
  <c r="Z48" s="1"/>
  <c r="Y32"/>
  <c r="Z32" s="1"/>
  <c r="Y33"/>
  <c r="Z33" s="1"/>
  <c r="Y12"/>
  <c r="Z12" s="1"/>
  <c r="Y28"/>
  <c r="Z28" s="1"/>
  <c r="Y34"/>
  <c r="Z34" s="1"/>
  <c r="Y16"/>
  <c r="Z16" s="1"/>
  <c r="Y13"/>
  <c r="Z13" s="1"/>
  <c r="Y18"/>
  <c r="Z18" s="1"/>
  <c r="Y9"/>
  <c r="Z9" s="1"/>
  <c r="Y21"/>
  <c r="Z21" s="1"/>
  <c r="Y7"/>
  <c r="Z7" s="1"/>
  <c r="Y8"/>
  <c r="Z8" s="1"/>
  <c r="Y14"/>
  <c r="Z14" s="1"/>
  <c r="Y17"/>
  <c r="Z17" s="1"/>
  <c r="Y19"/>
  <c r="Z19" s="1"/>
  <c r="Y15"/>
  <c r="Z15" s="1"/>
  <c r="F51"/>
  <c r="G51" s="1"/>
  <c r="Y52"/>
  <c r="F38"/>
  <c r="G38" s="1"/>
  <c r="Y39"/>
  <c r="Y24"/>
  <c r="F23"/>
  <c r="G23" s="1"/>
  <c r="F5"/>
  <c r="G5" s="1"/>
  <c r="F22" i="11" l="1"/>
  <c r="G22" s="1"/>
  <c r="Z5"/>
  <c r="F67" i="10"/>
  <c r="G67" s="1"/>
  <c r="Z24"/>
  <c r="Z6"/>
  <c r="Z39"/>
  <c r="Z52"/>
  <c r="Y24" i="1" l="1"/>
  <c r="Y25"/>
  <c r="Y26"/>
  <c r="Y27"/>
  <c r="Y28"/>
  <c r="Y29"/>
  <c r="Y30"/>
  <c r="Y31"/>
  <c r="Y32"/>
  <c r="Y33"/>
  <c r="Y34"/>
  <c r="Y35"/>
  <c r="Y37"/>
  <c r="Y41"/>
  <c r="Y42"/>
  <c r="Y43"/>
  <c r="Y44"/>
  <c r="Y45"/>
  <c r="Y46"/>
  <c r="Y47"/>
  <c r="Y48"/>
  <c r="Y51"/>
  <c r="Y52"/>
  <c r="Y53"/>
  <c r="Y54"/>
  <c r="Y55"/>
  <c r="Y56"/>
  <c r="Y57"/>
  <c r="Y58"/>
  <c r="Y59"/>
  <c r="Y60"/>
  <c r="Y64"/>
  <c r="Y65"/>
  <c r="Y66"/>
  <c r="Y67"/>
  <c r="Y68"/>
  <c r="Y69"/>
  <c r="Y70"/>
  <c r="Y71"/>
  <c r="Y72"/>
  <c r="Y73"/>
  <c r="Y74"/>
  <c r="Y76"/>
  <c r="Y80"/>
  <c r="Y81"/>
  <c r="Y82"/>
  <c r="Y83"/>
  <c r="Y84"/>
  <c r="Y85"/>
  <c r="Y86"/>
  <c r="Y87"/>
  <c r="Y88"/>
  <c r="Y89"/>
  <c r="Y93"/>
  <c r="Y94"/>
  <c r="Y95"/>
  <c r="Y96"/>
  <c r="Y97"/>
  <c r="Y98"/>
  <c r="Y99"/>
  <c r="Y100"/>
  <c r="Y101"/>
  <c r="Y105"/>
  <c r="Y106"/>
  <c r="Y107"/>
  <c r="Y108"/>
  <c r="Y109"/>
  <c r="Y110"/>
  <c r="Y111"/>
  <c r="Y112"/>
  <c r="Y116"/>
  <c r="Y117"/>
  <c r="Y118"/>
  <c r="Y119"/>
  <c r="Y120"/>
  <c r="Y123"/>
  <c r="Y124"/>
  <c r="Y125"/>
  <c r="Y126"/>
  <c r="Y127"/>
  <c r="Y128"/>
  <c r="Y158"/>
  <c r="Y159"/>
  <c r="Y160"/>
  <c r="Y161"/>
  <c r="Y162"/>
  <c r="Y163"/>
  <c r="Y164"/>
  <c r="Y165"/>
  <c r="Y166"/>
  <c r="Y8"/>
  <c r="Y9"/>
  <c r="Y10"/>
  <c r="Y11"/>
  <c r="Y12"/>
  <c r="Y13"/>
  <c r="Y14"/>
  <c r="Y15"/>
  <c r="Y16"/>
  <c r="Y17"/>
  <c r="Y18"/>
  <c r="Y20"/>
  <c r="Y146"/>
  <c r="Y147"/>
  <c r="Y148"/>
  <c r="Y149"/>
  <c r="Y150"/>
  <c r="Y151"/>
  <c r="Y152"/>
  <c r="Y153"/>
  <c r="Y154"/>
  <c r="Y131"/>
  <c r="Y132"/>
  <c r="Y133"/>
  <c r="Y134"/>
  <c r="Y135"/>
  <c r="Y136"/>
  <c r="Y137"/>
  <c r="Y138"/>
  <c r="Y139"/>
  <c r="Y140"/>
  <c r="Y141"/>
  <c r="Y142"/>
  <c r="Y23" l="1"/>
  <c r="U156"/>
  <c r="V156"/>
  <c r="W156"/>
  <c r="X156"/>
  <c r="U144"/>
  <c r="V144"/>
  <c r="W144"/>
  <c r="X144"/>
  <c r="U129"/>
  <c r="V129"/>
  <c r="W129"/>
  <c r="X129"/>
  <c r="S121"/>
  <c r="T121"/>
  <c r="U121"/>
  <c r="V121"/>
  <c r="W121"/>
  <c r="X121"/>
  <c r="S114"/>
  <c r="T114"/>
  <c r="U114"/>
  <c r="V114"/>
  <c r="W114"/>
  <c r="X114"/>
  <c r="U103"/>
  <c r="V103"/>
  <c r="W103"/>
  <c r="X103"/>
  <c r="U91"/>
  <c r="V91"/>
  <c r="W91"/>
  <c r="X91"/>
  <c r="U78"/>
  <c r="V78"/>
  <c r="W78"/>
  <c r="X78"/>
  <c r="U62"/>
  <c r="V62"/>
  <c r="W62"/>
  <c r="X62"/>
  <c r="U49"/>
  <c r="V49"/>
  <c r="W49"/>
  <c r="X49"/>
  <c r="S39"/>
  <c r="T39"/>
  <c r="U39"/>
  <c r="V39"/>
  <c r="W39"/>
  <c r="U22"/>
  <c r="V22"/>
  <c r="W22"/>
  <c r="X22"/>
  <c r="X39"/>
  <c r="U168" l="1"/>
  <c r="X168"/>
  <c r="V168"/>
  <c r="W168"/>
  <c r="T156" l="1"/>
  <c r="T144"/>
  <c r="T103"/>
  <c r="T91"/>
  <c r="T78"/>
  <c r="S156"/>
  <c r="S144"/>
  <c r="S103"/>
  <c r="S91"/>
  <c r="S78"/>
  <c r="S22"/>
  <c r="R66" i="10" l="1"/>
  <c r="T22" i="1"/>
  <c r="S19" i="11"/>
  <c r="S20" i="10"/>
  <c r="R64"/>
  <c r="S62" i="1"/>
  <c r="S50" i="10"/>
  <c r="S38" s="1"/>
  <c r="T49" i="1"/>
  <c r="S21" i="11"/>
  <c r="S22" i="10"/>
  <c r="S64"/>
  <c r="T62" i="1"/>
  <c r="R50" i="10"/>
  <c r="R38" s="1"/>
  <c r="S49" i="1"/>
  <c r="R21" i="11"/>
  <c r="R22" i="10"/>
  <c r="R37"/>
  <c r="R23" s="1"/>
  <c r="S129" i="1"/>
  <c r="S66" i="10"/>
  <c r="S37"/>
  <c r="S23" s="1"/>
  <c r="T129" i="1"/>
  <c r="R19" i="11"/>
  <c r="R20" i="10"/>
  <c r="Y36" i="1"/>
  <c r="Y167"/>
  <c r="Y155"/>
  <c r="Y113"/>
  <c r="Y102"/>
  <c r="Y90"/>
  <c r="Y38"/>
  <c r="R51" i="10" l="1"/>
  <c r="T168" i="1"/>
  <c r="R5" i="10"/>
  <c r="S51"/>
  <c r="R22" i="11"/>
  <c r="S168" i="1"/>
  <c r="H64" i="10"/>
  <c r="Y75" i="1"/>
  <c r="H22" i="10"/>
  <c r="X22" s="1"/>
  <c r="Y22" s="1"/>
  <c r="Z22" s="1"/>
  <c r="H21" i="11"/>
  <c r="X21" s="1"/>
  <c r="Y21" s="1"/>
  <c r="Z21" s="1"/>
  <c r="Y21" i="1"/>
  <c r="H37" i="10"/>
  <c r="Y143" i="1"/>
  <c r="H50" i="10"/>
  <c r="Y61" i="1"/>
  <c r="H66" i="10"/>
  <c r="X66" s="1"/>
  <c r="Y66" s="1"/>
  <c r="Z66" s="1"/>
  <c r="Y77" i="1"/>
  <c r="H20" i="10"/>
  <c r="H19" i="11"/>
  <c r="Y19" i="1"/>
  <c r="S5" i="10"/>
  <c r="S22" i="11"/>
  <c r="Z126" i="1"/>
  <c r="AA126" s="1"/>
  <c r="Z110"/>
  <c r="AA110" s="1"/>
  <c r="Z109"/>
  <c r="AA109" s="1"/>
  <c r="Z98"/>
  <c r="AA98" s="1"/>
  <c r="Z54"/>
  <c r="AA54" s="1"/>
  <c r="Z34"/>
  <c r="AA34" s="1"/>
  <c r="Z35"/>
  <c r="AA35" s="1"/>
  <c r="Z33"/>
  <c r="AA33" s="1"/>
  <c r="Z32"/>
  <c r="AA32" s="1"/>
  <c r="Z31"/>
  <c r="AA31" s="1"/>
  <c r="Z30"/>
  <c r="AA30" s="1"/>
  <c r="Z29"/>
  <c r="AA29" s="1"/>
  <c r="Z28"/>
  <c r="AA28" s="1"/>
  <c r="Z27"/>
  <c r="AA27" s="1"/>
  <c r="Z88"/>
  <c r="AA88" s="1"/>
  <c r="Z85"/>
  <c r="AA85" s="1"/>
  <c r="Z81"/>
  <c r="AA81" s="1"/>
  <c r="Z73"/>
  <c r="AA73" s="1"/>
  <c r="Z69"/>
  <c r="AA69" s="1"/>
  <c r="Z67"/>
  <c r="AA67" s="1"/>
  <c r="H40"/>
  <c r="Z24"/>
  <c r="AA24" s="1"/>
  <c r="Z25"/>
  <c r="AA25" s="1"/>
  <c r="Z26"/>
  <c r="AA26" s="1"/>
  <c r="Z36"/>
  <c r="AA36" s="1"/>
  <c r="Z37"/>
  <c r="AA37" s="1"/>
  <c r="Z38"/>
  <c r="AA38" s="1"/>
  <c r="Z18"/>
  <c r="AA18" s="1"/>
  <c r="Z17"/>
  <c r="AA17" s="1"/>
  <c r="Z16"/>
  <c r="AA16" s="1"/>
  <c r="Y7"/>
  <c r="R67" i="10" l="1"/>
  <c r="S67"/>
  <c r="X50"/>
  <c r="H38"/>
  <c r="Z77" i="1"/>
  <c r="AA77" s="1"/>
  <c r="H23" i="10"/>
  <c r="X37"/>
  <c r="X19" i="11"/>
  <c r="H22"/>
  <c r="H51" i="10"/>
  <c r="X64"/>
  <c r="X20"/>
  <c r="H5"/>
  <c r="H83" i="1"/>
  <c r="Z83"/>
  <c r="AA83" s="1"/>
  <c r="H56"/>
  <c r="Z56"/>
  <c r="AA56" s="1"/>
  <c r="H97"/>
  <c r="Z97"/>
  <c r="AA97" s="1"/>
  <c r="H113"/>
  <c r="Z113"/>
  <c r="AA113" s="1"/>
  <c r="H120"/>
  <c r="Z120"/>
  <c r="AA120" s="1"/>
  <c r="H136"/>
  <c r="Z136"/>
  <c r="AA136" s="1"/>
  <c r="H152"/>
  <c r="Z152"/>
  <c r="H161"/>
  <c r="Z161"/>
  <c r="AA161" s="1"/>
  <c r="H165"/>
  <c r="Z165"/>
  <c r="H48"/>
  <c r="Z48"/>
  <c r="AA48" s="1"/>
  <c r="H71"/>
  <c r="Z71"/>
  <c r="AA71" s="1"/>
  <c r="H75"/>
  <c r="Z75"/>
  <c r="AA75" s="1"/>
  <c r="H89"/>
  <c r="Z89"/>
  <c r="AA89" s="1"/>
  <c r="H44"/>
  <c r="Z44"/>
  <c r="AA44" s="1"/>
  <c r="H58"/>
  <c r="Z58"/>
  <c r="AA58" s="1"/>
  <c r="H95"/>
  <c r="Z95"/>
  <c r="AA95" s="1"/>
  <c r="H99"/>
  <c r="Z99"/>
  <c r="AA99" s="1"/>
  <c r="H107"/>
  <c r="Z107"/>
  <c r="AA107" s="1"/>
  <c r="H108"/>
  <c r="Z108"/>
  <c r="AA108" s="1"/>
  <c r="H118"/>
  <c r="Z118"/>
  <c r="AA118" s="1"/>
  <c r="H125"/>
  <c r="Z125"/>
  <c r="AA125" s="1"/>
  <c r="H134"/>
  <c r="Z134"/>
  <c r="AA134" s="1"/>
  <c r="H138"/>
  <c r="Z138"/>
  <c r="AA138" s="1"/>
  <c r="H142"/>
  <c r="Z142"/>
  <c r="AA142" s="1"/>
  <c r="H150"/>
  <c r="Z150"/>
  <c r="H154"/>
  <c r="Z154"/>
  <c r="H163"/>
  <c r="Z163"/>
  <c r="AA163" s="1"/>
  <c r="H167"/>
  <c r="Z167"/>
  <c r="H47"/>
  <c r="Z47"/>
  <c r="AA47" s="1"/>
  <c r="H68"/>
  <c r="Z68"/>
  <c r="AA68" s="1"/>
  <c r="H72"/>
  <c r="Z72"/>
  <c r="AA72" s="1"/>
  <c r="H76"/>
  <c r="Z76"/>
  <c r="AA76" s="1"/>
  <c r="H82"/>
  <c r="Z82"/>
  <c r="AA82" s="1"/>
  <c r="H86"/>
  <c r="Z86"/>
  <c r="AA86" s="1"/>
  <c r="H90"/>
  <c r="Z90"/>
  <c r="AA90" s="1"/>
  <c r="H45"/>
  <c r="Z45"/>
  <c r="AA45" s="1"/>
  <c r="H55"/>
  <c r="Z55"/>
  <c r="AA55" s="1"/>
  <c r="H59"/>
  <c r="Z59"/>
  <c r="AA59" s="1"/>
  <c r="H96"/>
  <c r="Z96"/>
  <c r="AA96" s="1"/>
  <c r="H100"/>
  <c r="Z100"/>
  <c r="AA100" s="1"/>
  <c r="H112"/>
  <c r="Z112"/>
  <c r="AA112" s="1"/>
  <c r="H119"/>
  <c r="Z119"/>
  <c r="AA119" s="1"/>
  <c r="H135"/>
  <c r="Z135"/>
  <c r="AA135" s="1"/>
  <c r="H139"/>
  <c r="Z139"/>
  <c r="AA139" s="1"/>
  <c r="H151"/>
  <c r="Z151"/>
  <c r="H155"/>
  <c r="Z155"/>
  <c r="H164"/>
  <c r="Z164"/>
  <c r="AA164" s="1"/>
  <c r="H42"/>
  <c r="Z42"/>
  <c r="AA42" s="1"/>
  <c r="H87"/>
  <c r="Z87"/>
  <c r="AA87" s="1"/>
  <c r="H46"/>
  <c r="Z46"/>
  <c r="AA46" s="1"/>
  <c r="H60"/>
  <c r="Z60"/>
  <c r="AA60" s="1"/>
  <c r="H101"/>
  <c r="Z101"/>
  <c r="AA101" s="1"/>
  <c r="H127"/>
  <c r="Z127"/>
  <c r="AA127" s="1"/>
  <c r="H140"/>
  <c r="Z140"/>
  <c r="AA140" s="1"/>
  <c r="H148"/>
  <c r="Z148"/>
  <c r="AA148" s="1"/>
  <c r="H41"/>
  <c r="Z41"/>
  <c r="AA41" s="1"/>
  <c r="H70"/>
  <c r="Z70"/>
  <c r="AA70" s="1"/>
  <c r="H74"/>
  <c r="Z74"/>
  <c r="AA74" s="1"/>
  <c r="H80"/>
  <c r="Z80"/>
  <c r="AA80" s="1"/>
  <c r="H84"/>
  <c r="Z84"/>
  <c r="AA84" s="1"/>
  <c r="H43"/>
  <c r="Z43"/>
  <c r="AA43" s="1"/>
  <c r="H53"/>
  <c r="Z53"/>
  <c r="AA53" s="1"/>
  <c r="H57"/>
  <c r="Z57"/>
  <c r="AA57" s="1"/>
  <c r="H94"/>
  <c r="Z94"/>
  <c r="AA94" s="1"/>
  <c r="H102"/>
  <c r="Z102"/>
  <c r="AA102" s="1"/>
  <c r="H111"/>
  <c r="Z111"/>
  <c r="AA111" s="1"/>
  <c r="H117"/>
  <c r="Z117"/>
  <c r="AA117" s="1"/>
  <c r="H124"/>
  <c r="Z124"/>
  <c r="AA124" s="1"/>
  <c r="H128"/>
  <c r="Z128"/>
  <c r="AA128" s="1"/>
  <c r="H137"/>
  <c r="Z137"/>
  <c r="AA137" s="1"/>
  <c r="H141"/>
  <c r="Z141"/>
  <c r="AA141" s="1"/>
  <c r="Z149"/>
  <c r="AA149" s="1"/>
  <c r="H153"/>
  <c r="Z153"/>
  <c r="H162"/>
  <c r="Z162"/>
  <c r="AA162" s="1"/>
  <c r="H166"/>
  <c r="Z166"/>
  <c r="H17"/>
  <c r="H38"/>
  <c r="H25"/>
  <c r="H29"/>
  <c r="H33"/>
  <c r="H18"/>
  <c r="H37"/>
  <c r="H24"/>
  <c r="H30"/>
  <c r="H35"/>
  <c r="H36"/>
  <c r="H23"/>
  <c r="Z23"/>
  <c r="AA23" s="1"/>
  <c r="H27"/>
  <c r="H31"/>
  <c r="H34"/>
  <c r="H16"/>
  <c r="H26"/>
  <c r="H28"/>
  <c r="H32"/>
  <c r="H149"/>
  <c r="H126"/>
  <c r="H109"/>
  <c r="H110"/>
  <c r="H98"/>
  <c r="H54"/>
  <c r="H85"/>
  <c r="H67"/>
  <c r="H81"/>
  <c r="H88"/>
  <c r="H77"/>
  <c r="H73"/>
  <c r="H69"/>
  <c r="Y6"/>
  <c r="Y22"/>
  <c r="C5" i="3"/>
  <c r="D5"/>
  <c r="E5"/>
  <c r="F5"/>
  <c r="G5"/>
  <c r="H5"/>
  <c r="I5"/>
  <c r="L5"/>
  <c r="M5"/>
  <c r="N5"/>
  <c r="O5"/>
  <c r="P5"/>
  <c r="Q5"/>
  <c r="R5"/>
  <c r="J6"/>
  <c r="K6" s="1"/>
  <c r="S6"/>
  <c r="J7"/>
  <c r="K7" s="1"/>
  <c r="S7"/>
  <c r="J8"/>
  <c r="K8" s="1"/>
  <c r="S8"/>
  <c r="L48" i="2"/>
  <c r="J5" i="3" l="1"/>
  <c r="K5" s="1"/>
  <c r="H67" i="10"/>
  <c r="X5"/>
  <c r="Y20"/>
  <c r="Y64"/>
  <c r="X51"/>
  <c r="Y19" i="11"/>
  <c r="X22"/>
  <c r="T7" i="3"/>
  <c r="U7" s="1"/>
  <c r="Y37" i="10"/>
  <c r="X23"/>
  <c r="Y50"/>
  <c r="X38"/>
  <c r="T6" i="3"/>
  <c r="U6" s="1"/>
  <c r="T8"/>
  <c r="U8" s="1"/>
  <c r="S5"/>
  <c r="T5" s="1"/>
  <c r="U5" s="1"/>
  <c r="Z22" i="1"/>
  <c r="Z50" i="10" l="1"/>
  <c r="Z38" s="1"/>
  <c r="Y38"/>
  <c r="Z37"/>
  <c r="Z23" s="1"/>
  <c r="Y23"/>
  <c r="Z19" i="11"/>
  <c r="Z22" s="1"/>
  <c r="Y22"/>
  <c r="Z64" i="10"/>
  <c r="Z51" s="1"/>
  <c r="Y51"/>
  <c r="Z20"/>
  <c r="Z5" s="1"/>
  <c r="Y5"/>
  <c r="X67"/>
  <c r="M17" i="3"/>
  <c r="N17"/>
  <c r="O17"/>
  <c r="Q17"/>
  <c r="R17"/>
  <c r="L17"/>
  <c r="P17"/>
  <c r="Z67" i="10" l="1"/>
  <c r="Y67"/>
  <c r="S13" i="2"/>
  <c r="S14"/>
  <c r="S15"/>
  <c r="S16"/>
  <c r="S17"/>
  <c r="S18"/>
  <c r="S19"/>
  <c r="S30"/>
  <c r="T30" s="1"/>
  <c r="U30" s="1"/>
  <c r="S31"/>
  <c r="T31" s="1"/>
  <c r="U31" s="1"/>
  <c r="S32"/>
  <c r="S33"/>
  <c r="S34"/>
  <c r="T34" s="1"/>
  <c r="U34" s="1"/>
  <c r="S35"/>
  <c r="AA155" i="1" l="1"/>
  <c r="AA166"/>
  <c r="AA152"/>
  <c r="AA165"/>
  <c r="AA151"/>
  <c r="L30" i="3" l="1"/>
  <c r="S30" s="1"/>
  <c r="L29"/>
  <c r="S29" s="1"/>
  <c r="S35"/>
  <c r="J35"/>
  <c r="S34"/>
  <c r="J34"/>
  <c r="K34" s="1"/>
  <c r="S33"/>
  <c r="J33"/>
  <c r="K33" s="1"/>
  <c r="R32"/>
  <c r="Q32"/>
  <c r="P32"/>
  <c r="O32"/>
  <c r="N32"/>
  <c r="M32"/>
  <c r="L32"/>
  <c r="I32"/>
  <c r="H32"/>
  <c r="G32"/>
  <c r="F32"/>
  <c r="E32"/>
  <c r="D32"/>
  <c r="C32"/>
  <c r="S31"/>
  <c r="J31"/>
  <c r="K31" s="1"/>
  <c r="J30"/>
  <c r="K30" s="1"/>
  <c r="J29"/>
  <c r="R28"/>
  <c r="Q28"/>
  <c r="P28"/>
  <c r="O28"/>
  <c r="N28"/>
  <c r="M28"/>
  <c r="M36" s="1"/>
  <c r="I28"/>
  <c r="H28"/>
  <c r="G28"/>
  <c r="F28"/>
  <c r="E28"/>
  <c r="D28"/>
  <c r="D36" s="1"/>
  <c r="C28"/>
  <c r="N36" l="1"/>
  <c r="O36"/>
  <c r="P36"/>
  <c r="T35"/>
  <c r="U35" s="1"/>
  <c r="H36"/>
  <c r="Q36"/>
  <c r="R36"/>
  <c r="G36"/>
  <c r="C36"/>
  <c r="T31"/>
  <c r="U31" s="1"/>
  <c r="S32"/>
  <c r="E36"/>
  <c r="F36"/>
  <c r="T30"/>
  <c r="U30" s="1"/>
  <c r="T29"/>
  <c r="U29" s="1"/>
  <c r="L28"/>
  <c r="L36" s="1"/>
  <c r="T34"/>
  <c r="U34" s="1"/>
  <c r="T33"/>
  <c r="U33" s="1"/>
  <c r="J32"/>
  <c r="J28"/>
  <c r="K35"/>
  <c r="K29"/>
  <c r="T32" l="1"/>
  <c r="U32" s="1"/>
  <c r="S36"/>
  <c r="S28"/>
  <c r="T28" s="1"/>
  <c r="U28" s="1"/>
  <c r="K28"/>
  <c r="K32"/>
  <c r="S54" l="1"/>
  <c r="J54"/>
  <c r="R53"/>
  <c r="R55" s="1"/>
  <c r="Q53"/>
  <c r="Q55" s="1"/>
  <c r="P53"/>
  <c r="P55" s="1"/>
  <c r="O53"/>
  <c r="O55" s="1"/>
  <c r="N53"/>
  <c r="N55" s="1"/>
  <c r="M53"/>
  <c r="M55" s="1"/>
  <c r="L53"/>
  <c r="L55" s="1"/>
  <c r="I53"/>
  <c r="I55" s="1"/>
  <c r="H53"/>
  <c r="H55" s="1"/>
  <c r="G53"/>
  <c r="G55" s="1"/>
  <c r="F53"/>
  <c r="F55" s="1"/>
  <c r="E53"/>
  <c r="E55" s="1"/>
  <c r="D53"/>
  <c r="D55" s="1"/>
  <c r="C53"/>
  <c r="S47"/>
  <c r="J47"/>
  <c r="R46"/>
  <c r="R48" s="1"/>
  <c r="Q46"/>
  <c r="Q48" s="1"/>
  <c r="P46"/>
  <c r="P48" s="1"/>
  <c r="O46"/>
  <c r="O48" s="1"/>
  <c r="N46"/>
  <c r="N48" s="1"/>
  <c r="M46"/>
  <c r="M48" s="1"/>
  <c r="L46"/>
  <c r="L48" s="1"/>
  <c r="I46"/>
  <c r="I48" s="1"/>
  <c r="H46"/>
  <c r="H48" s="1"/>
  <c r="G46"/>
  <c r="G48" s="1"/>
  <c r="F46"/>
  <c r="F48" s="1"/>
  <c r="E46"/>
  <c r="E48" s="1"/>
  <c r="D46"/>
  <c r="D48" s="1"/>
  <c r="C46"/>
  <c r="C48" s="1"/>
  <c r="S20"/>
  <c r="J20"/>
  <c r="S19"/>
  <c r="J19"/>
  <c r="S18"/>
  <c r="J18"/>
  <c r="I17"/>
  <c r="H17"/>
  <c r="G17"/>
  <c r="F17"/>
  <c r="E17"/>
  <c r="D17"/>
  <c r="C17"/>
  <c r="S16"/>
  <c r="J16"/>
  <c r="S15"/>
  <c r="J15"/>
  <c r="K15" s="1"/>
  <c r="S14"/>
  <c r="J14"/>
  <c r="K14" s="1"/>
  <c r="R13"/>
  <c r="Q13"/>
  <c r="P13"/>
  <c r="O13"/>
  <c r="N13"/>
  <c r="M13"/>
  <c r="L13"/>
  <c r="I13"/>
  <c r="H13"/>
  <c r="G13"/>
  <c r="F13"/>
  <c r="E13"/>
  <c r="D13"/>
  <c r="C13"/>
  <c r="S12"/>
  <c r="J12"/>
  <c r="K12" s="1"/>
  <c r="S11"/>
  <c r="J11"/>
  <c r="S10"/>
  <c r="J10"/>
  <c r="R9"/>
  <c r="Q9"/>
  <c r="P9"/>
  <c r="P21" s="1"/>
  <c r="O9"/>
  <c r="N9"/>
  <c r="M9"/>
  <c r="L9"/>
  <c r="I9"/>
  <c r="H9"/>
  <c r="G9"/>
  <c r="F9"/>
  <c r="E9"/>
  <c r="D9"/>
  <c r="C9"/>
  <c r="S65" i="2"/>
  <c r="J65"/>
  <c r="S64"/>
  <c r="J64"/>
  <c r="K64" s="1"/>
  <c r="S63"/>
  <c r="J63"/>
  <c r="S62"/>
  <c r="J62"/>
  <c r="S61"/>
  <c r="J61"/>
  <c r="S60"/>
  <c r="J60"/>
  <c r="S59"/>
  <c r="J59"/>
  <c r="K59" s="1"/>
  <c r="S58"/>
  <c r="J58"/>
  <c r="K58" s="1"/>
  <c r="S57"/>
  <c r="J57"/>
  <c r="K57" s="1"/>
  <c r="S56"/>
  <c r="J56"/>
  <c r="S55"/>
  <c r="J55"/>
  <c r="K55" s="1"/>
  <c r="S54"/>
  <c r="J54"/>
  <c r="S53"/>
  <c r="J53"/>
  <c r="K53" s="1"/>
  <c r="S52"/>
  <c r="J52"/>
  <c r="S51"/>
  <c r="J51"/>
  <c r="K51" s="1"/>
  <c r="R50"/>
  <c r="Q50"/>
  <c r="P50"/>
  <c r="O50"/>
  <c r="N50"/>
  <c r="M50"/>
  <c r="L50"/>
  <c r="I50"/>
  <c r="H50"/>
  <c r="G50"/>
  <c r="F50"/>
  <c r="E50"/>
  <c r="D50"/>
  <c r="C50"/>
  <c r="S49"/>
  <c r="J49"/>
  <c r="K49" s="1"/>
  <c r="S48"/>
  <c r="J48"/>
  <c r="K48" s="1"/>
  <c r="S47"/>
  <c r="J47"/>
  <c r="K47" s="1"/>
  <c r="S46"/>
  <c r="J46"/>
  <c r="K46" s="1"/>
  <c r="S45"/>
  <c r="J45"/>
  <c r="S44"/>
  <c r="J44"/>
  <c r="S43"/>
  <c r="J43"/>
  <c r="K43" s="1"/>
  <c r="S42"/>
  <c r="J42"/>
  <c r="S41"/>
  <c r="J41"/>
  <c r="S40"/>
  <c r="J40"/>
  <c r="K40" s="1"/>
  <c r="S39"/>
  <c r="J39"/>
  <c r="K39" s="1"/>
  <c r="S38"/>
  <c r="J38"/>
  <c r="R37"/>
  <c r="Q37"/>
  <c r="P37"/>
  <c r="O37"/>
  <c r="N37"/>
  <c r="M37"/>
  <c r="L37"/>
  <c r="I37"/>
  <c r="H37"/>
  <c r="G37"/>
  <c r="F37"/>
  <c r="E37"/>
  <c r="D37"/>
  <c r="C37"/>
  <c r="S36"/>
  <c r="J36"/>
  <c r="J35"/>
  <c r="J33"/>
  <c r="T33" s="1"/>
  <c r="U33" s="1"/>
  <c r="J32"/>
  <c r="T32" s="1"/>
  <c r="U32" s="1"/>
  <c r="S29"/>
  <c r="J29"/>
  <c r="S28"/>
  <c r="J28"/>
  <c r="K28" s="1"/>
  <c r="S27"/>
  <c r="J27"/>
  <c r="K27" s="1"/>
  <c r="S26"/>
  <c r="J26"/>
  <c r="K26" s="1"/>
  <c r="S25"/>
  <c r="J25"/>
  <c r="S24"/>
  <c r="J24"/>
  <c r="K24" s="1"/>
  <c r="S23"/>
  <c r="J23"/>
  <c r="R22"/>
  <c r="Q22"/>
  <c r="P22"/>
  <c r="O22"/>
  <c r="N22"/>
  <c r="M22"/>
  <c r="L22"/>
  <c r="I22"/>
  <c r="H22"/>
  <c r="G22"/>
  <c r="F22"/>
  <c r="E22"/>
  <c r="D22"/>
  <c r="C22"/>
  <c r="S21"/>
  <c r="J21"/>
  <c r="S20"/>
  <c r="J20"/>
  <c r="J19"/>
  <c r="T19" s="1"/>
  <c r="U19" s="1"/>
  <c r="J18"/>
  <c r="J17"/>
  <c r="J16"/>
  <c r="J15"/>
  <c r="T15" s="1"/>
  <c r="U15" s="1"/>
  <c r="J14"/>
  <c r="J13"/>
  <c r="T13" s="1"/>
  <c r="U13" s="1"/>
  <c r="S12"/>
  <c r="J12"/>
  <c r="S11"/>
  <c r="J11"/>
  <c r="S10"/>
  <c r="J10"/>
  <c r="K10" s="1"/>
  <c r="S9"/>
  <c r="J9"/>
  <c r="K9" s="1"/>
  <c r="S8"/>
  <c r="J8"/>
  <c r="K8" s="1"/>
  <c r="S7"/>
  <c r="J7"/>
  <c r="S6"/>
  <c r="J6"/>
  <c r="K6" s="1"/>
  <c r="S5"/>
  <c r="J5"/>
  <c r="R4"/>
  <c r="Q4"/>
  <c r="P4"/>
  <c r="O4"/>
  <c r="N4"/>
  <c r="M4"/>
  <c r="L4"/>
  <c r="I4"/>
  <c r="H4"/>
  <c r="G4"/>
  <c r="F4"/>
  <c r="E4"/>
  <c r="D4"/>
  <c r="C4"/>
  <c r="AA167" i="1"/>
  <c r="Z160"/>
  <c r="Y157"/>
  <c r="H157"/>
  <c r="F156"/>
  <c r="E156"/>
  <c r="D156"/>
  <c r="AA154"/>
  <c r="AA153"/>
  <c r="AA150"/>
  <c r="Z147"/>
  <c r="Y145"/>
  <c r="F144"/>
  <c r="E144"/>
  <c r="D144"/>
  <c r="Z143"/>
  <c r="AA143" s="1"/>
  <c r="Z133"/>
  <c r="AA133" s="1"/>
  <c r="Z132"/>
  <c r="AA132" s="1"/>
  <c r="Y130"/>
  <c r="F129"/>
  <c r="E129"/>
  <c r="D129"/>
  <c r="Z123"/>
  <c r="AA123" s="1"/>
  <c r="Y122"/>
  <c r="H122"/>
  <c r="F121"/>
  <c r="E121"/>
  <c r="D121"/>
  <c r="Y115"/>
  <c r="F114"/>
  <c r="E114"/>
  <c r="D114"/>
  <c r="Y104"/>
  <c r="F103"/>
  <c r="E103"/>
  <c r="D103"/>
  <c r="Z93"/>
  <c r="AA93" s="1"/>
  <c r="Y92"/>
  <c r="F91"/>
  <c r="E91"/>
  <c r="D91"/>
  <c r="Y79"/>
  <c r="F78"/>
  <c r="E78"/>
  <c r="D78"/>
  <c r="Z66"/>
  <c r="AA66" s="1"/>
  <c r="Z65"/>
  <c r="AA65" s="1"/>
  <c r="Z64"/>
  <c r="AA64" s="1"/>
  <c r="Y63"/>
  <c r="F62"/>
  <c r="E62"/>
  <c r="D62"/>
  <c r="Z61"/>
  <c r="AA61" s="1"/>
  <c r="Z51"/>
  <c r="AA51" s="1"/>
  <c r="Y50"/>
  <c r="F49"/>
  <c r="E49"/>
  <c r="D49"/>
  <c r="Y40"/>
  <c r="F39"/>
  <c r="E39"/>
  <c r="D39"/>
  <c r="F22"/>
  <c r="E22"/>
  <c r="D22"/>
  <c r="Z21"/>
  <c r="AA21" s="1"/>
  <c r="Z20"/>
  <c r="AA20" s="1"/>
  <c r="Z19"/>
  <c r="AA19" s="1"/>
  <c r="Z15"/>
  <c r="AA15" s="1"/>
  <c r="Z14"/>
  <c r="AA14" s="1"/>
  <c r="Z13"/>
  <c r="AA13" s="1"/>
  <c r="Z12"/>
  <c r="AA12" s="1"/>
  <c r="Z11"/>
  <c r="AA11" s="1"/>
  <c r="Z10"/>
  <c r="AA10" s="1"/>
  <c r="Z9"/>
  <c r="AA9" s="1"/>
  <c r="Z8"/>
  <c r="AA8" s="1"/>
  <c r="F6"/>
  <c r="E6"/>
  <c r="D6"/>
  <c r="H105" l="1"/>
  <c r="Z105"/>
  <c r="AA105" s="1"/>
  <c r="H131"/>
  <c r="Z131"/>
  <c r="AA131" s="1"/>
  <c r="H159"/>
  <c r="Z159"/>
  <c r="AA159" s="1"/>
  <c r="H106"/>
  <c r="Z106"/>
  <c r="AA106" s="1"/>
  <c r="H52"/>
  <c r="Z52"/>
  <c r="AA52" s="1"/>
  <c r="H116"/>
  <c r="Z116"/>
  <c r="AA116" s="1"/>
  <c r="H146"/>
  <c r="Z146"/>
  <c r="AA146" s="1"/>
  <c r="H158"/>
  <c r="Z158"/>
  <c r="AA158" s="1"/>
  <c r="H8"/>
  <c r="Y168"/>
  <c r="H6"/>
  <c r="T39" i="2"/>
  <c r="U39" s="1"/>
  <c r="T53"/>
  <c r="U53" s="1"/>
  <c r="T57"/>
  <c r="U57" s="1"/>
  <c r="AA160" i="1"/>
  <c r="H147"/>
  <c r="AA147"/>
  <c r="H64"/>
  <c r="H12"/>
  <c r="H19"/>
  <c r="H22"/>
  <c r="AA22"/>
  <c r="H14"/>
  <c r="H11"/>
  <c r="M21" i="3"/>
  <c r="M40" s="1"/>
  <c r="N21"/>
  <c r="N40" s="1"/>
  <c r="K14" i="2"/>
  <c r="T14"/>
  <c r="U14" s="1"/>
  <c r="K35"/>
  <c r="T35"/>
  <c r="U35" s="1"/>
  <c r="K16"/>
  <c r="T16"/>
  <c r="U16" s="1"/>
  <c r="K18"/>
  <c r="T18"/>
  <c r="U18" s="1"/>
  <c r="K17"/>
  <c r="T17"/>
  <c r="U17" s="1"/>
  <c r="O21" i="3"/>
  <c r="O40" s="1"/>
  <c r="R21"/>
  <c r="R40" s="1"/>
  <c r="Q21"/>
  <c r="Q40" s="1"/>
  <c r="L21"/>
  <c r="L40" s="1"/>
  <c r="T11"/>
  <c r="U11" s="1"/>
  <c r="T47"/>
  <c r="U47" s="1"/>
  <c r="P66" i="2"/>
  <c r="M66"/>
  <c r="T20"/>
  <c r="U20" s="1"/>
  <c r="T60"/>
  <c r="U60" s="1"/>
  <c r="T44"/>
  <c r="U44" s="1"/>
  <c r="T45"/>
  <c r="U45" s="1"/>
  <c r="T61"/>
  <c r="U61" s="1"/>
  <c r="T43"/>
  <c r="U43" s="1"/>
  <c r="T59"/>
  <c r="U59" s="1"/>
  <c r="T11"/>
  <c r="U11" s="1"/>
  <c r="T7"/>
  <c r="U7" s="1"/>
  <c r="T12"/>
  <c r="U12" s="1"/>
  <c r="J22"/>
  <c r="K22" s="1"/>
  <c r="T29"/>
  <c r="U29" s="1"/>
  <c r="T20" i="3"/>
  <c r="U20" s="1"/>
  <c r="T54" i="2"/>
  <c r="U54" s="1"/>
  <c r="T64"/>
  <c r="U64" s="1"/>
  <c r="J9" i="3"/>
  <c r="K9" s="1"/>
  <c r="T25" i="2"/>
  <c r="U25" s="1"/>
  <c r="T15" i="3"/>
  <c r="U15" s="1"/>
  <c r="T51" i="2"/>
  <c r="U51" s="1"/>
  <c r="Q66"/>
  <c r="T36"/>
  <c r="U36" s="1"/>
  <c r="O66"/>
  <c r="T52"/>
  <c r="U52" s="1"/>
  <c r="F66"/>
  <c r="G66"/>
  <c r="T28"/>
  <c r="U28" s="1"/>
  <c r="T47"/>
  <c r="U47" s="1"/>
  <c r="L66"/>
  <c r="Z122" i="1"/>
  <c r="AA122" s="1"/>
  <c r="Z7"/>
  <c r="AA7" s="1"/>
  <c r="Z79"/>
  <c r="AA79" s="1"/>
  <c r="F168"/>
  <c r="Y156"/>
  <c r="Z40"/>
  <c r="AA40" s="1"/>
  <c r="Y144"/>
  <c r="Z63"/>
  <c r="AA63" s="1"/>
  <c r="Y91"/>
  <c r="H103"/>
  <c r="Z104"/>
  <c r="AA104" s="1"/>
  <c r="H129"/>
  <c r="T19" i="3"/>
  <c r="U19" s="1"/>
  <c r="K11"/>
  <c r="H13" i="1"/>
  <c r="H39"/>
  <c r="Y62"/>
  <c r="T10" i="2"/>
  <c r="U10" s="1"/>
  <c r="K12"/>
  <c r="K20"/>
  <c r="K32"/>
  <c r="K61"/>
  <c r="K63"/>
  <c r="T63"/>
  <c r="U63" s="1"/>
  <c r="T65"/>
  <c r="U65" s="1"/>
  <c r="K65"/>
  <c r="K47" i="3"/>
  <c r="Y39" i="1"/>
  <c r="Y78"/>
  <c r="Y121"/>
  <c r="Y129"/>
  <c r="H145"/>
  <c r="Z145"/>
  <c r="AA145" s="1"/>
  <c r="T42" i="2"/>
  <c r="U42" s="1"/>
  <c r="K45"/>
  <c r="J50"/>
  <c r="K50" s="1"/>
  <c r="S13" i="3"/>
  <c r="J17"/>
  <c r="K19"/>
  <c r="S22" i="2"/>
  <c r="T38"/>
  <c r="U38" s="1"/>
  <c r="K38"/>
  <c r="T41"/>
  <c r="U41" s="1"/>
  <c r="K41"/>
  <c r="Y49" i="1"/>
  <c r="H51"/>
  <c r="Z157"/>
  <c r="AA157" s="1"/>
  <c r="E66" i="2"/>
  <c r="I66"/>
  <c r="T5"/>
  <c r="U5" s="1"/>
  <c r="T6"/>
  <c r="U6" s="1"/>
  <c r="T21"/>
  <c r="U21" s="1"/>
  <c r="T23"/>
  <c r="U23" s="1"/>
  <c r="T24"/>
  <c r="U24" s="1"/>
  <c r="J37"/>
  <c r="K37" s="1"/>
  <c r="T49"/>
  <c r="U49" s="1"/>
  <c r="T56"/>
  <c r="U56" s="1"/>
  <c r="K56"/>
  <c r="E21" i="3"/>
  <c r="E40" s="1"/>
  <c r="I21"/>
  <c r="F21"/>
  <c r="F40" s="1"/>
  <c r="P40"/>
  <c r="E168" i="1"/>
  <c r="H49"/>
  <c r="Z50"/>
  <c r="AA50" s="1"/>
  <c r="H78"/>
  <c r="H114"/>
  <c r="Z115"/>
  <c r="AA115" s="1"/>
  <c r="Z130"/>
  <c r="AA130" s="1"/>
  <c r="T8" i="2"/>
  <c r="U8" s="1"/>
  <c r="T26"/>
  <c r="U26" s="1"/>
  <c r="T46"/>
  <c r="U46" s="1"/>
  <c r="S50"/>
  <c r="T55"/>
  <c r="U55" s="1"/>
  <c r="T62"/>
  <c r="U62" s="1"/>
  <c r="C21" i="3"/>
  <c r="C40" s="1"/>
  <c r="G21"/>
  <c r="G40" s="1"/>
  <c r="S9"/>
  <c r="J13"/>
  <c r="K13" s="1"/>
  <c r="S17"/>
  <c r="T54"/>
  <c r="U54" s="1"/>
  <c r="Z92" i="1"/>
  <c r="AA92" s="1"/>
  <c r="Y103"/>
  <c r="Y114"/>
  <c r="H144"/>
  <c r="H156"/>
  <c r="D66" i="2"/>
  <c r="H66"/>
  <c r="N66"/>
  <c r="R66"/>
  <c r="S37"/>
  <c r="H21" i="3"/>
  <c r="H40" s="1"/>
  <c r="T10"/>
  <c r="U10" s="1"/>
  <c r="T16"/>
  <c r="U16" s="1"/>
  <c r="T18"/>
  <c r="U18" s="1"/>
  <c r="S48"/>
  <c r="J48"/>
  <c r="S55"/>
  <c r="J55"/>
  <c r="T12"/>
  <c r="U12" s="1"/>
  <c r="T14"/>
  <c r="U14" s="1"/>
  <c r="K16"/>
  <c r="K18"/>
  <c r="J46"/>
  <c r="K54"/>
  <c r="S46"/>
  <c r="K20"/>
  <c r="J53"/>
  <c r="K10"/>
  <c r="S53"/>
  <c r="C55"/>
  <c r="D21"/>
  <c r="D40" s="1"/>
  <c r="T9" i="2"/>
  <c r="U9" s="1"/>
  <c r="K11"/>
  <c r="K19"/>
  <c r="T27"/>
  <c r="U27" s="1"/>
  <c r="K29"/>
  <c r="T40"/>
  <c r="U40" s="1"/>
  <c r="K42"/>
  <c r="T48"/>
  <c r="U48" s="1"/>
  <c r="K52"/>
  <c r="T58"/>
  <c r="U58" s="1"/>
  <c r="K60"/>
  <c r="K5"/>
  <c r="K13"/>
  <c r="K21"/>
  <c r="K23"/>
  <c r="K33"/>
  <c r="K44"/>
  <c r="K54"/>
  <c r="K62"/>
  <c r="K7"/>
  <c r="K15"/>
  <c r="K25"/>
  <c r="K36"/>
  <c r="J4"/>
  <c r="C66"/>
  <c r="S4"/>
  <c r="H10" i="1"/>
  <c r="H50"/>
  <c r="H61"/>
  <c r="H66"/>
  <c r="H93"/>
  <c r="H104"/>
  <c r="H115"/>
  <c r="H133"/>
  <c r="H7"/>
  <c r="H15"/>
  <c r="H63"/>
  <c r="H79"/>
  <c r="H130"/>
  <c r="H143"/>
  <c r="H160"/>
  <c r="D168"/>
  <c r="H21"/>
  <c r="H9"/>
  <c r="H20"/>
  <c r="H65"/>
  <c r="H92"/>
  <c r="H123"/>
  <c r="H132"/>
  <c r="T46" i="3" l="1"/>
  <c r="U46" s="1"/>
  <c r="T50" i="2"/>
  <c r="U50" s="1"/>
  <c r="T4"/>
  <c r="U4" s="1"/>
  <c r="T22"/>
  <c r="U22" s="1"/>
  <c r="I36" i="3"/>
  <c r="J36" s="1"/>
  <c r="S66" i="2"/>
  <c r="T9" i="3"/>
  <c r="U9" s="1"/>
  <c r="J66" i="2"/>
  <c r="K66" s="1"/>
  <c r="Z91" i="1"/>
  <c r="AA91" s="1"/>
  <c r="Z144"/>
  <c r="AA144" s="1"/>
  <c r="H91"/>
  <c r="Z129"/>
  <c r="AA129" s="1"/>
  <c r="Z156"/>
  <c r="AA156" s="1"/>
  <c r="Z103"/>
  <c r="AA103" s="1"/>
  <c r="Z121"/>
  <c r="AA121" s="1"/>
  <c r="Z62"/>
  <c r="AA62" s="1"/>
  <c r="H62"/>
  <c r="Z114"/>
  <c r="AA114" s="1"/>
  <c r="T17" i="3"/>
  <c r="U17" s="1"/>
  <c r="Z39" i="1"/>
  <c r="AA39" s="1"/>
  <c r="S21" i="3"/>
  <c r="S40" s="1"/>
  <c r="K17"/>
  <c r="K46"/>
  <c r="T48"/>
  <c r="U48" s="1"/>
  <c r="T37" i="2"/>
  <c r="U37" s="1"/>
  <c r="Z6" i="1"/>
  <c r="H121"/>
  <c r="J21" i="3"/>
  <c r="T55"/>
  <c r="U55" s="1"/>
  <c r="T13"/>
  <c r="U13" s="1"/>
  <c r="Z78" i="1"/>
  <c r="AA78" s="1"/>
  <c r="Z49"/>
  <c r="AA49" s="1"/>
  <c r="K48" i="3"/>
  <c r="T53"/>
  <c r="U53" s="1"/>
  <c r="K55"/>
  <c r="K53"/>
  <c r="K4" i="2"/>
  <c r="Z168" i="1" l="1"/>
  <c r="AA168" s="1"/>
  <c r="AA6"/>
  <c r="I40" i="3"/>
  <c r="J40"/>
  <c r="T66" i="2"/>
  <c r="U66" s="1"/>
  <c r="T36" i="3"/>
  <c r="U36" s="1"/>
  <c r="K36"/>
  <c r="T21"/>
  <c r="K21"/>
  <c r="K40" l="1"/>
  <c r="T40"/>
  <c r="U21"/>
  <c r="U40" s="1"/>
</calcChain>
</file>

<file path=xl/sharedStrings.xml><?xml version="1.0" encoding="utf-8"?>
<sst xmlns="http://schemas.openxmlformats.org/spreadsheetml/2006/main" count="984" uniqueCount="127">
  <si>
    <t>Meta</t>
  </si>
  <si>
    <t>E.G.</t>
  </si>
  <si>
    <t>Descripción Específica Gasto</t>
  </si>
  <si>
    <t>PIM (1)</t>
  </si>
  <si>
    <t>Certificado</t>
  </si>
  <si>
    <t>Compromiso Anual</t>
  </si>
  <si>
    <t>Ejecución Devengado UE</t>
  </si>
  <si>
    <t>Saldo Presupuestal al 08.06.2021</t>
  </si>
  <si>
    <t>Proyección del gasto</t>
  </si>
  <si>
    <t>TOTAL EJECUCION +PROYECCION  (2)</t>
  </si>
  <si>
    <t>Saldo disponible ( 1-2)</t>
  </si>
  <si>
    <t>Enero</t>
  </si>
  <si>
    <t>Febrero</t>
  </si>
  <si>
    <t>Marzo</t>
  </si>
  <si>
    <t>Abril</t>
  </si>
  <si>
    <t>Mayo</t>
  </si>
  <si>
    <t>Junio( 01 al 08)</t>
  </si>
  <si>
    <t>TOTAL EJECUCION</t>
  </si>
  <si>
    <t>Junio( 09 al 30)</t>
  </si>
  <si>
    <t>Julio</t>
  </si>
  <si>
    <t>Agosto</t>
  </si>
  <si>
    <t>Setiembre</t>
  </si>
  <si>
    <t>Octubre</t>
  </si>
  <si>
    <t>Noviembre</t>
  </si>
  <si>
    <t>Diciembre</t>
  </si>
  <si>
    <t>TOTAL PROYECCIÓN</t>
  </si>
  <si>
    <t>0002</t>
  </si>
  <si>
    <t>2.1.1.1.1.2</t>
  </si>
  <si>
    <t>PERSONAL ADMINISTRATIVO NOMBRADO (REGIMEN PUBLICO)</t>
  </si>
  <si>
    <t>2.1.1.1.1.4</t>
  </si>
  <si>
    <t>PERSONAL CON CONTRATO A PLAZO INDETERMINADO (REGIMEN LABORAL PRIVADO)</t>
  </si>
  <si>
    <t>2.1.1.1.1.5</t>
  </si>
  <si>
    <t>PERSONAL CON CONTRATO A PLAZO FIJO (REGIMEN LABORAL PRIVADO)</t>
  </si>
  <si>
    <t>2.1.1.1.2.1</t>
  </si>
  <si>
    <t>ASIGNACION A FONDOS PARA PERSONAL</t>
  </si>
  <si>
    <t>2.1.1.4.1.1</t>
  </si>
  <si>
    <t>PERSONAL NOMBRADO</t>
  </si>
  <si>
    <t>2.1.1.4.2.1</t>
  </si>
  <si>
    <t>BONO POR FUNCION JURISDICCIONAL Y FISCAL</t>
  </si>
  <si>
    <t>2.1.1.4.2.2</t>
  </si>
  <si>
    <t>ASIGNACION POR GASTOS OPERATIVOS</t>
  </si>
  <si>
    <t>2.1.1.9.1.1</t>
  </si>
  <si>
    <t>GRATIFICACIONES</t>
  </si>
  <si>
    <t>2.1.1.9.1.2</t>
  </si>
  <si>
    <t>AGUINALDOS</t>
  </si>
  <si>
    <t>2.1.1.9.1.3</t>
  </si>
  <si>
    <t>BONIFICACION POR ESCOLARIDAD</t>
  </si>
  <si>
    <t>2.1.1.9.2.1</t>
  </si>
  <si>
    <t>COMPENSACION POR TIEMPO DE SERVICIOS (CTS)</t>
  </si>
  <si>
    <t>2.1.1.9.3.99</t>
  </si>
  <si>
    <t>OTRAS OCASIONALES</t>
  </si>
  <si>
    <t>2.1.3.1.1.1</t>
  </si>
  <si>
    <t>APORTES A LOS FONDOS DE SALUD</t>
  </si>
  <si>
    <t>2.1.3.1.1.3</t>
  </si>
  <si>
    <t>APORTES A LOS FONDOS DE PENSIONES</t>
  </si>
  <si>
    <t>2.1.3.1.1.5</t>
  </si>
  <si>
    <t>CONTRIBUCIONES A ESSALUD</t>
  </si>
  <si>
    <t>0003</t>
  </si>
  <si>
    <t>2.1.1.9.3.3</t>
  </si>
  <si>
    <t>COMPENSACION VACACIONAL (VACACIONES TRUNCAS)</t>
  </si>
  <si>
    <t>0004</t>
  </si>
  <si>
    <t>2.1.1.3.1.2</t>
  </si>
  <si>
    <t>PERSONAL CONTRATADO</t>
  </si>
  <si>
    <t>0005</t>
  </si>
  <si>
    <t>0009</t>
  </si>
  <si>
    <t>0010</t>
  </si>
  <si>
    <t>0011</t>
  </si>
  <si>
    <t>0012</t>
  </si>
  <si>
    <t>0014</t>
  </si>
  <si>
    <t>0016</t>
  </si>
  <si>
    <t>0018</t>
  </si>
  <si>
    <t>0019</t>
  </si>
  <si>
    <t>0020</t>
  </si>
  <si>
    <t>T O T A L</t>
  </si>
  <si>
    <t>Cat pptal/ Detalle Específica de Gasto</t>
  </si>
  <si>
    <t>0086 MEJORA DE LOS SERVICIOS DEL SISTEMA DE JUSTICIA PENAL</t>
  </si>
  <si>
    <t>1002 PRODUCTOS ESPECIFICOS PARA REDUCCION DE LA VIOLENCIA CONTRA LA MUJER</t>
  </si>
  <si>
    <t>9001 ACCIONES CENTRALES</t>
  </si>
  <si>
    <t>9002 ASIGNACIONES PRESUPUESTARIAS QUE NO RESULTAN EN PRODUCTOS</t>
  </si>
  <si>
    <t>TOTAL G.G. 2.1 PERSONAL Y OB. SOCIALES</t>
  </si>
  <si>
    <t>2.3.2.8.1.1</t>
  </si>
  <si>
    <t>CONTRATO ADMINISTRATIVO DE SERVICIOS</t>
  </si>
  <si>
    <t>2.3.2.8.1.2</t>
  </si>
  <si>
    <t>CONTRIBUCIONES A ESSALUD DE C.A.S.</t>
  </si>
  <si>
    <t>2.3.2.8.1.4</t>
  </si>
  <si>
    <t>AGUINALDOS DE C.A.S.</t>
  </si>
  <si>
    <t>TOTAL G.G. 2.3 CAS</t>
  </si>
  <si>
    <t>2.2.2.3.4.2</t>
  </si>
  <si>
    <t>GASTOS DE SEPELIO Y LUTO DEL PERSONAL ACTIVO</t>
  </si>
  <si>
    <t>TOTAL G.G. 2.2 PENSIONES Y PRESTACIONES</t>
  </si>
  <si>
    <t>2.3.2.7.5.1</t>
  </si>
  <si>
    <t>ESTIPENDIO POR SECIGRA</t>
  </si>
  <si>
    <t>TOTAL G.G. 2.3 SECIGRA</t>
  </si>
  <si>
    <t>TOTAL UNIDAD EJECUTORA 003:</t>
  </si>
  <si>
    <t>RUBRO DE FINANCIAMIENTO: 00 RECURSOS ORDINARIOS</t>
  </si>
  <si>
    <t>RUBRO DE FINANCIAMIENTO: 09 RECURSOS DIRECTAMENTE RECAUDADOS</t>
  </si>
  <si>
    <t>Junio</t>
  </si>
  <si>
    <t>Saldo Presupuestal al 17.09.2021</t>
  </si>
  <si>
    <t xml:space="preserve">PERSONAL CON CONTRATO A PLAZO INDETERMINADO (REGIMEN </t>
  </si>
  <si>
    <t xml:space="preserve">PERSONAL CON CONTRATO A PLAZO FIJO (REGIMEN LABORAL </t>
  </si>
  <si>
    <t>UE: 003 G.A AREQUIPA</t>
  </si>
  <si>
    <t>CUADRO DE EJECUCION Y PROYECCIÓN DE GASTOS DE LA GG 2.1 - EJERCICIO 2021 AL 17 DE SETIEMBRE 2021</t>
  </si>
  <si>
    <t>Proyeccion de plazas vacantes</t>
  </si>
  <si>
    <t>EJECUTORA: 0003 MINISTERIO PUBLICO - GERENCIA ADMINISTRATIVA DE AREQUIPA (1419)</t>
  </si>
  <si>
    <t>PIM</t>
  </si>
  <si>
    <t>TOTAL PROYECCION</t>
  </si>
  <si>
    <t>TOTAL EJECUCION +PROYECCION</t>
  </si>
  <si>
    <t>SALDO DISPONIBLE</t>
  </si>
  <si>
    <t>01 ENERO</t>
  </si>
  <si>
    <t>02 FEBRERO</t>
  </si>
  <si>
    <t>03 MARZO</t>
  </si>
  <si>
    <t>04 ABRIL</t>
  </si>
  <si>
    <t>05 MAYO</t>
  </si>
  <si>
    <t>06 JUNIO</t>
  </si>
  <si>
    <t>07 JULIO</t>
  </si>
  <si>
    <t>08 AGOSTO</t>
  </si>
  <si>
    <t>09 SETIEMBRE</t>
  </si>
  <si>
    <t>10 OCTUBRE</t>
  </si>
  <si>
    <t>BENEFICIOS</t>
  </si>
  <si>
    <t>PAGO FACTURAS EPS</t>
  </si>
  <si>
    <t>Proyección Planillas Activas</t>
  </si>
  <si>
    <t>11 OCTUBRE</t>
  </si>
  <si>
    <t>12 OCTUBRE</t>
  </si>
  <si>
    <t>Proyección  Planillas Activa</t>
  </si>
  <si>
    <t>2.1.1. 3.1. 2</t>
  </si>
  <si>
    <t>TOTAL     2.1 PERSONAL Y OB. SOCIALES</t>
  </si>
  <si>
    <t>TOTAL  2.1 PERSONAL Y OB. SOCIALES</t>
  </si>
</sst>
</file>

<file path=xl/styles.xml><?xml version="1.0" encoding="utf-8"?>
<styleSheet xmlns="http://schemas.openxmlformats.org/spreadsheetml/2006/main">
  <numFmts count="4">
    <numFmt numFmtId="164" formatCode="#,##0.00_ ;\-#,##0.00\ "/>
    <numFmt numFmtId="165" formatCode="#,##0;\-#,##0;&quot;&quot;"/>
    <numFmt numFmtId="166" formatCode="#,##0.00;\-#,##0.00;&quot;&quot;"/>
    <numFmt numFmtId="167" formatCode="#,##0.0000000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Arial Narrow"/>
      <family val="2"/>
    </font>
    <font>
      <b/>
      <sz val="9"/>
      <color theme="1"/>
      <name val="Arial Narrow"/>
      <family val="2"/>
    </font>
    <font>
      <b/>
      <sz val="10"/>
      <color theme="8" tint="-0.499984740745262"/>
      <name val="Arial Narrow"/>
      <family val="2"/>
    </font>
    <font>
      <b/>
      <sz val="10"/>
      <color rgb="FFC00000"/>
      <name val="Arial Narrow"/>
      <family val="2"/>
    </font>
    <font>
      <b/>
      <sz val="11"/>
      <color theme="8" tint="-0.499984740745262"/>
      <name val="Calibri"/>
      <family val="2"/>
      <scheme val="minor"/>
    </font>
    <font>
      <sz val="10"/>
      <color rgb="FF000000"/>
      <name val="Arial Narrow"/>
      <family val="2"/>
    </font>
    <font>
      <sz val="10"/>
      <color rgb="FFC00000"/>
      <name val="Arial"/>
      <family val="2"/>
    </font>
    <font>
      <sz val="8"/>
      <name val="Arial"/>
      <family val="2"/>
    </font>
    <font>
      <b/>
      <sz val="10"/>
      <color theme="1"/>
      <name val="Arial Narrow"/>
      <family val="2"/>
    </font>
    <font>
      <b/>
      <sz val="10"/>
      <color rgb="FF800000"/>
      <name val="Arial Narrow"/>
      <family val="2"/>
    </font>
    <font>
      <sz val="10"/>
      <color rgb="FF800000"/>
      <name val="Arial Narrow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0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sz val="9"/>
      <color indexed="8"/>
      <name val="Arial Narrow"/>
      <family val="2"/>
    </font>
    <font>
      <sz val="9"/>
      <name val="Arial Narrow"/>
      <family val="2"/>
    </font>
    <font>
      <sz val="10"/>
      <color indexed="8"/>
      <name val="Arial Narrow"/>
      <family val="2"/>
    </font>
    <font>
      <b/>
      <sz val="8"/>
      <color indexed="8"/>
      <name val="Arial Narrow"/>
      <family val="2"/>
    </font>
    <font>
      <b/>
      <sz val="9"/>
      <name val="Arial Narrow"/>
      <family val="2"/>
    </font>
    <font>
      <b/>
      <sz val="13"/>
      <color theme="1"/>
      <name val="Arial Narrow"/>
      <family val="2"/>
    </font>
    <font>
      <sz val="10"/>
      <color theme="5" tint="-0.249977111117893"/>
      <name val="Arial"/>
      <family val="2"/>
    </font>
    <font>
      <b/>
      <sz val="10"/>
      <color theme="5" tint="-0.249977111117893"/>
      <name val="Arial Narrow"/>
      <family val="2"/>
    </font>
    <font>
      <sz val="10"/>
      <color theme="5" tint="-0.249977111117893"/>
      <name val="Arial Narrow"/>
      <family val="2"/>
    </font>
    <font>
      <b/>
      <sz val="12"/>
      <color theme="1"/>
      <name val="Arial"/>
      <family val="2"/>
    </font>
    <font>
      <sz val="10"/>
      <color rgb="FFC00000"/>
      <name val="Arial Narrow"/>
      <family val="2"/>
    </font>
    <font>
      <sz val="11"/>
      <color rgb="FFC00000"/>
      <name val="Calibri"/>
      <family val="2"/>
      <scheme val="minor"/>
    </font>
    <font>
      <sz val="10"/>
      <color theme="1"/>
      <name val="Arial Narrow"/>
      <family val="2"/>
    </font>
    <font>
      <sz val="10"/>
      <color rgb="FF0070C0"/>
      <name val="Arial Narrow"/>
      <family val="2"/>
    </font>
    <font>
      <sz val="10"/>
      <color theme="5" tint="0.39997558519241921"/>
      <name val="Arial Narrow"/>
      <family val="2"/>
    </font>
    <font>
      <b/>
      <sz val="10"/>
      <color theme="5" tint="0.39997558519241921"/>
      <name val="Arial Narrow"/>
      <family val="2"/>
    </font>
    <font>
      <sz val="10"/>
      <color rgb="FFFFFF00"/>
      <name val="Arial Narrow"/>
      <family val="2"/>
    </font>
    <font>
      <sz val="10"/>
      <color rgb="FF7030A0"/>
      <name val="Arial Narrow"/>
      <family val="2"/>
    </font>
    <font>
      <b/>
      <sz val="10"/>
      <color rgb="FF7030A0"/>
      <name val="Arial Narrow"/>
      <family val="2"/>
    </font>
    <font>
      <b/>
      <sz val="9"/>
      <color rgb="FF000000"/>
      <name val="Arial Narrow"/>
      <family val="2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</fonts>
  <fills count="1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BFBFBF"/>
        <bgColor rgb="FFFFFFFF"/>
      </patternFill>
    </fill>
  </fills>
  <borders count="3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231">
    <xf numFmtId="0" fontId="0" fillId="0" borderId="0" xfId="0"/>
    <xf numFmtId="164" fontId="0" fillId="0" borderId="0" xfId="0" applyNumberFormat="1"/>
    <xf numFmtId="0" fontId="3" fillId="4" borderId="1" xfId="1" applyNumberFormat="1" applyFont="1" applyFill="1" applyBorder="1" applyAlignment="1">
      <alignment horizontal="centerContinuous" vertical="center" wrapText="1"/>
    </xf>
    <xf numFmtId="0" fontId="3" fillId="6" borderId="1" xfId="1" applyNumberFormat="1" applyFont="1" applyFill="1" applyBorder="1" applyAlignment="1">
      <alignment horizontal="centerContinuous" vertical="center" wrapText="1"/>
    </xf>
    <xf numFmtId="0" fontId="3" fillId="4" borderId="6" xfId="1" applyNumberFormat="1" applyFont="1" applyFill="1" applyBorder="1" applyAlignment="1">
      <alignment horizontal="centerContinuous" vertical="center" wrapText="1"/>
    </xf>
    <xf numFmtId="0" fontId="3" fillId="6" borderId="6" xfId="1" applyNumberFormat="1" applyFont="1" applyFill="1" applyBorder="1" applyAlignment="1">
      <alignment horizontal="centerContinuous" vertical="center" wrapText="1"/>
    </xf>
    <xf numFmtId="0" fontId="3" fillId="6" borderId="6" xfId="1" applyNumberFormat="1" applyFont="1" applyFill="1" applyBorder="1" applyAlignment="1">
      <alignment horizontal="centerContinuous" vertical="center"/>
    </xf>
    <xf numFmtId="165" fontId="3" fillId="3" borderId="8" xfId="1" applyNumberFormat="1" applyFont="1" applyFill="1" applyBorder="1" applyAlignment="1">
      <alignment vertical="top"/>
    </xf>
    <xf numFmtId="165" fontId="3" fillId="3" borderId="2" xfId="1" applyNumberFormat="1" applyFont="1" applyFill="1" applyBorder="1" applyAlignment="1">
      <alignment vertical="top"/>
    </xf>
    <xf numFmtId="166" fontId="3" fillId="3" borderId="2" xfId="1" applyNumberFormat="1" applyFont="1" applyFill="1" applyBorder="1" applyAlignment="1">
      <alignment vertical="top"/>
    </xf>
    <xf numFmtId="164" fontId="3" fillId="3" borderId="2" xfId="1" applyNumberFormat="1" applyFont="1" applyFill="1" applyBorder="1" applyAlignment="1">
      <alignment vertical="top"/>
    </xf>
    <xf numFmtId="4" fontId="8" fillId="3" borderId="2" xfId="1" applyNumberFormat="1" applyFont="1" applyFill="1" applyBorder="1" applyAlignment="1">
      <alignment vertical="top"/>
    </xf>
    <xf numFmtId="166" fontId="8" fillId="0" borderId="9" xfId="1" applyNumberFormat="1" applyFont="1" applyFill="1" applyBorder="1" applyAlignment="1">
      <alignment vertical="top"/>
    </xf>
    <xf numFmtId="166" fontId="8" fillId="4" borderId="9" xfId="1" applyNumberFormat="1" applyFont="1" applyFill="1" applyBorder="1" applyAlignment="1">
      <alignment vertical="top"/>
    </xf>
    <xf numFmtId="166" fontId="8" fillId="5" borderId="9" xfId="1" applyNumberFormat="1" applyFont="1" applyFill="1" applyBorder="1" applyAlignment="1">
      <alignment vertical="top"/>
    </xf>
    <xf numFmtId="166" fontId="8" fillId="6" borderId="9" xfId="1" applyNumberFormat="1" applyFont="1" applyFill="1" applyBorder="1" applyAlignment="1">
      <alignment vertical="top"/>
    </xf>
    <xf numFmtId="166" fontId="8" fillId="6" borderId="10" xfId="1" applyNumberFormat="1" applyFont="1" applyFill="1" applyBorder="1" applyAlignment="1">
      <alignment vertical="top"/>
    </xf>
    <xf numFmtId="4" fontId="8" fillId="7" borderId="10" xfId="1" applyNumberFormat="1" applyFont="1" applyFill="1" applyBorder="1" applyAlignment="1">
      <alignment vertical="top"/>
    </xf>
    <xf numFmtId="166" fontId="8" fillId="0" borderId="12" xfId="1" applyNumberFormat="1" applyFont="1" applyFill="1" applyBorder="1" applyAlignment="1">
      <alignment vertical="top"/>
    </xf>
    <xf numFmtId="166" fontId="8" fillId="4" borderId="12" xfId="1" applyNumberFormat="1" applyFont="1" applyFill="1" applyBorder="1" applyAlignment="1">
      <alignment vertical="top"/>
    </xf>
    <xf numFmtId="166" fontId="8" fillId="5" borderId="12" xfId="1" applyNumberFormat="1" applyFont="1" applyFill="1" applyBorder="1" applyAlignment="1">
      <alignment vertical="top"/>
    </xf>
    <xf numFmtId="166" fontId="8" fillId="6" borderId="12" xfId="1" applyNumberFormat="1" applyFont="1" applyFill="1" applyBorder="1" applyAlignment="1">
      <alignment vertical="top"/>
    </xf>
    <xf numFmtId="166" fontId="8" fillId="4" borderId="13" xfId="1" applyNumberFormat="1" applyFont="1" applyFill="1" applyBorder="1" applyAlignment="1">
      <alignment vertical="top"/>
    </xf>
    <xf numFmtId="166" fontId="8" fillId="5" borderId="13" xfId="1" applyNumberFormat="1" applyFont="1" applyFill="1" applyBorder="1" applyAlignment="1">
      <alignment vertical="top"/>
    </xf>
    <xf numFmtId="0" fontId="3" fillId="8" borderId="7" xfId="1" applyNumberFormat="1" applyFont="1" applyFill="1" applyBorder="1" applyAlignment="1">
      <alignment horizontal="centerContinuous" vertical="top"/>
    </xf>
    <xf numFmtId="165" fontId="8" fillId="8" borderId="6" xfId="1" applyNumberFormat="1" applyFont="1" applyFill="1" applyBorder="1" applyAlignment="1">
      <alignment vertical="top"/>
    </xf>
    <xf numFmtId="166" fontId="8" fillId="8" borderId="2" xfId="1" applyNumberFormat="1" applyFont="1" applyFill="1" applyBorder="1" applyAlignment="1">
      <alignment vertical="top"/>
    </xf>
    <xf numFmtId="166" fontId="3" fillId="8" borderId="2" xfId="1" applyNumberFormat="1" applyFont="1" applyFill="1" applyBorder="1" applyAlignment="1">
      <alignment vertical="top"/>
    </xf>
    <xf numFmtId="4" fontId="3" fillId="9" borderId="2" xfId="1" applyNumberFormat="1" applyFont="1" applyFill="1" applyBorder="1" applyAlignment="1">
      <alignment vertical="top"/>
    </xf>
    <xf numFmtId="2" fontId="9" fillId="0" borderId="0" xfId="0" applyNumberFormat="1" applyFont="1" applyFill="1"/>
    <xf numFmtId="167" fontId="0" fillId="0" borderId="0" xfId="0" applyNumberFormat="1" applyFill="1"/>
    <xf numFmtId="4" fontId="0" fillId="0" borderId="0" xfId="0" applyNumberFormat="1" applyFill="1"/>
    <xf numFmtId="4" fontId="0" fillId="0" borderId="0" xfId="0" applyNumberFormat="1"/>
    <xf numFmtId="4" fontId="10" fillId="0" borderId="0" xfId="0" applyNumberFormat="1" applyFont="1"/>
    <xf numFmtId="2" fontId="0" fillId="0" borderId="0" xfId="0" applyNumberFormat="1"/>
    <xf numFmtId="165" fontId="0" fillId="0" borderId="0" xfId="0" applyNumberFormat="1"/>
    <xf numFmtId="0" fontId="12" fillId="8" borderId="2" xfId="0" applyNumberFormat="1" applyFont="1" applyFill="1" applyBorder="1" applyAlignment="1">
      <alignment vertical="top"/>
    </xf>
    <xf numFmtId="0" fontId="8" fillId="8" borderId="2" xfId="1" applyNumberFormat="1" applyFont="1" applyFill="1" applyBorder="1" applyAlignment="1">
      <alignment vertical="top"/>
    </xf>
    <xf numFmtId="4" fontId="3" fillId="3" borderId="2" xfId="1" applyNumberFormat="1" applyFont="1" applyFill="1" applyBorder="1" applyAlignment="1">
      <alignment vertical="top"/>
    </xf>
    <xf numFmtId="0" fontId="8" fillId="0" borderId="14" xfId="0" applyNumberFormat="1" applyFont="1" applyFill="1" applyBorder="1" applyAlignment="1">
      <alignment vertical="top"/>
    </xf>
    <xf numFmtId="165" fontId="8" fillId="0" borderId="11" xfId="0" applyNumberFormat="1" applyFont="1" applyFill="1" applyBorder="1" applyAlignment="1">
      <alignment vertical="top"/>
    </xf>
    <xf numFmtId="166" fontId="8" fillId="0" borderId="12" xfId="0" applyNumberFormat="1" applyFont="1" applyFill="1" applyBorder="1" applyAlignment="1">
      <alignment vertical="top"/>
    </xf>
    <xf numFmtId="0" fontId="8" fillId="0" borderId="15" xfId="0" applyNumberFormat="1" applyFont="1" applyFill="1" applyBorder="1" applyAlignment="1">
      <alignment vertical="top"/>
    </xf>
    <xf numFmtId="0" fontId="8" fillId="0" borderId="16" xfId="0" applyNumberFormat="1" applyFont="1" applyFill="1" applyBorder="1" applyAlignment="1">
      <alignment vertical="top"/>
    </xf>
    <xf numFmtId="0" fontId="13" fillId="8" borderId="2" xfId="0" applyNumberFormat="1" applyFont="1" applyFill="1" applyBorder="1" applyAlignment="1">
      <alignment vertical="top"/>
    </xf>
    <xf numFmtId="0" fontId="3" fillId="8" borderId="7" xfId="1" applyNumberFormat="1" applyFont="1" applyFill="1" applyBorder="1" applyAlignment="1">
      <alignment horizontal="left" vertical="top"/>
    </xf>
    <xf numFmtId="165" fontId="3" fillId="8" borderId="6" xfId="1" applyNumberFormat="1" applyFont="1" applyFill="1" applyBorder="1" applyAlignment="1">
      <alignment vertical="top"/>
    </xf>
    <xf numFmtId="0" fontId="14" fillId="0" borderId="0" xfId="0" applyFont="1"/>
    <xf numFmtId="0" fontId="8" fillId="0" borderId="0" xfId="0" applyNumberFormat="1" applyFont="1" applyFill="1" applyBorder="1" applyAlignment="1">
      <alignment vertical="top"/>
    </xf>
    <xf numFmtId="0" fontId="14" fillId="8" borderId="0" xfId="0" applyFont="1" applyFill="1"/>
    <xf numFmtId="165" fontId="14" fillId="8" borderId="0" xfId="0" applyNumberFormat="1" applyFont="1" applyFill="1"/>
    <xf numFmtId="0" fontId="15" fillId="0" borderId="0" xfId="0" quotePrefix="1" applyFont="1"/>
    <xf numFmtId="0" fontId="3" fillId="8" borderId="7" xfId="1" applyNumberFormat="1" applyFont="1" applyFill="1" applyBorder="1" applyAlignment="1">
      <alignment horizontal="left" vertical="center"/>
    </xf>
    <xf numFmtId="0" fontId="3" fillId="8" borderId="7" xfId="1" applyNumberFormat="1" applyFont="1" applyFill="1" applyBorder="1" applyAlignment="1">
      <alignment horizontal="center" vertical="center"/>
    </xf>
    <xf numFmtId="165" fontId="3" fillId="8" borderId="6" xfId="1" applyNumberFormat="1" applyFont="1" applyFill="1" applyBorder="1" applyAlignment="1">
      <alignment vertical="center"/>
    </xf>
    <xf numFmtId="166" fontId="3" fillId="8" borderId="2" xfId="1" applyNumberFormat="1" applyFont="1" applyFill="1" applyBorder="1" applyAlignment="1">
      <alignment vertical="center"/>
    </xf>
    <xf numFmtId="164" fontId="3" fillId="3" borderId="2" xfId="1" applyNumberFormat="1" applyFont="1" applyFill="1" applyBorder="1" applyAlignment="1">
      <alignment vertical="center"/>
    </xf>
    <xf numFmtId="4" fontId="3" fillId="9" borderId="2" xfId="1" applyNumberFormat="1" applyFont="1" applyFill="1" applyBorder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Fill="1"/>
    <xf numFmtId="165" fontId="14" fillId="0" borderId="0" xfId="0" applyNumberFormat="1" applyFont="1" applyFill="1"/>
    <xf numFmtId="166" fontId="17" fillId="9" borderId="12" xfId="1" applyNumberFormat="1" applyFont="1" applyFill="1" applyBorder="1" applyAlignment="1">
      <alignment vertical="top"/>
    </xf>
    <xf numFmtId="3" fontId="22" fillId="0" borderId="0" xfId="0" applyNumberFormat="1" applyFont="1" applyBorder="1" applyAlignment="1" applyProtection="1">
      <alignment horizontal="right" vertical="center" wrapText="1"/>
    </xf>
    <xf numFmtId="4" fontId="22" fillId="0" borderId="0" xfId="0" applyNumberFormat="1" applyFont="1" applyBorder="1" applyAlignment="1" applyProtection="1">
      <alignment horizontal="right" vertical="center" wrapText="1"/>
    </xf>
    <xf numFmtId="166" fontId="3" fillId="3" borderId="2" xfId="1" applyNumberFormat="1" applyFont="1" applyFill="1" applyBorder="1" applyAlignment="1"/>
    <xf numFmtId="3" fontId="21" fillId="0" borderId="22" xfId="0" applyNumberFormat="1" applyFont="1" applyBorder="1" applyAlignment="1" applyProtection="1">
      <alignment horizontal="right" vertical="center" wrapText="1"/>
    </xf>
    <xf numFmtId="4" fontId="21" fillId="0" borderId="22" xfId="0" applyNumberFormat="1" applyFont="1" applyBorder="1" applyAlignment="1" applyProtection="1">
      <alignment horizontal="right" vertical="center" wrapText="1"/>
    </xf>
    <xf numFmtId="3" fontId="21" fillId="0" borderId="12" xfId="0" applyNumberFormat="1" applyFont="1" applyBorder="1" applyAlignment="1" applyProtection="1">
      <alignment horizontal="right" vertical="center" wrapText="1"/>
    </xf>
    <xf numFmtId="4" fontId="21" fillId="0" borderId="12" xfId="0" applyNumberFormat="1" applyFont="1" applyBorder="1" applyAlignment="1" applyProtection="1">
      <alignment horizontal="right" vertical="center" wrapText="1"/>
    </xf>
    <xf numFmtId="0" fontId="21" fillId="0" borderId="12" xfId="0" applyFont="1" applyBorder="1" applyAlignment="1" applyProtection="1">
      <alignment horizontal="right" vertical="center" wrapText="1"/>
    </xf>
    <xf numFmtId="3" fontId="21" fillId="0" borderId="23" xfId="0" applyNumberFormat="1" applyFont="1" applyBorder="1" applyAlignment="1" applyProtection="1">
      <alignment horizontal="right" vertical="center" wrapText="1"/>
    </xf>
    <xf numFmtId="4" fontId="21" fillId="0" borderId="23" xfId="0" applyNumberFormat="1" applyFont="1" applyBorder="1" applyAlignment="1" applyProtection="1">
      <alignment horizontal="right" vertical="center" wrapText="1"/>
    </xf>
    <xf numFmtId="3" fontId="21" fillId="0" borderId="19" xfId="0" applyNumberFormat="1" applyFont="1" applyBorder="1" applyAlignment="1" applyProtection="1">
      <alignment horizontal="right" vertical="center" wrapText="1"/>
    </xf>
    <xf numFmtId="3" fontId="21" fillId="0" borderId="20" xfId="0" applyNumberFormat="1" applyFont="1" applyBorder="1" applyAlignment="1" applyProtection="1">
      <alignment horizontal="right" vertical="center" wrapText="1"/>
    </xf>
    <xf numFmtId="3" fontId="21" fillId="0" borderId="21" xfId="0" applyNumberFormat="1" applyFont="1" applyBorder="1" applyAlignment="1" applyProtection="1">
      <alignment horizontal="right" vertical="center" wrapText="1"/>
    </xf>
    <xf numFmtId="0" fontId="0" fillId="0" borderId="0" xfId="0" applyAlignment="1">
      <alignment horizontal="center"/>
    </xf>
    <xf numFmtId="0" fontId="25" fillId="0" borderId="0" xfId="0" applyFont="1"/>
    <xf numFmtId="0" fontId="26" fillId="6" borderId="2" xfId="1" applyNumberFormat="1" applyFont="1" applyFill="1" applyBorder="1" applyAlignment="1">
      <alignment horizontal="centerContinuous" vertical="center"/>
    </xf>
    <xf numFmtId="0" fontId="28" fillId="0" borderId="0" xfId="0" applyFont="1" applyAlignment="1">
      <alignment horizontal="left" vertical="center"/>
    </xf>
    <xf numFmtId="0" fontId="6" fillId="11" borderId="2" xfId="0" applyFont="1" applyFill="1" applyBorder="1" applyAlignment="1">
      <alignment vertical="top"/>
    </xf>
    <xf numFmtId="4" fontId="6" fillId="11" borderId="8" xfId="1" applyNumberFormat="1" applyFont="1" applyFill="1" applyBorder="1" applyAlignment="1">
      <alignment vertical="top"/>
    </xf>
    <xf numFmtId="0" fontId="30" fillId="0" borderId="0" xfId="0" applyFont="1"/>
    <xf numFmtId="0" fontId="8" fillId="0" borderId="14" xfId="0" applyFont="1" applyBorder="1" applyAlignment="1">
      <alignment vertical="top"/>
    </xf>
    <xf numFmtId="4" fontId="8" fillId="0" borderId="11" xfId="0" applyNumberFormat="1" applyFont="1" applyBorder="1" applyAlignment="1">
      <alignment vertical="top"/>
    </xf>
    <xf numFmtId="4" fontId="8" fillId="13" borderId="12" xfId="0" applyNumberFormat="1" applyFont="1" applyFill="1" applyBorder="1" applyAlignment="1">
      <alignment vertical="top"/>
    </xf>
    <xf numFmtId="4" fontId="8" fillId="0" borderId="9" xfId="0" applyNumberFormat="1" applyFont="1" applyBorder="1" applyAlignment="1">
      <alignment vertical="top"/>
    </xf>
    <xf numFmtId="4" fontId="31" fillId="13" borderId="9" xfId="0" applyNumberFormat="1" applyFont="1" applyFill="1" applyBorder="1"/>
    <xf numFmtId="4" fontId="31" fillId="12" borderId="9" xfId="0" applyNumberFormat="1" applyFont="1" applyFill="1" applyBorder="1"/>
    <xf numFmtId="0" fontId="8" fillId="0" borderId="15" xfId="0" applyFont="1" applyBorder="1" applyAlignment="1">
      <alignment vertical="top"/>
    </xf>
    <xf numFmtId="4" fontId="31" fillId="13" borderId="12" xfId="0" applyNumberFormat="1" applyFont="1" applyFill="1" applyBorder="1"/>
    <xf numFmtId="4" fontId="31" fillId="12" borderId="12" xfId="0" applyNumberFormat="1" applyFont="1" applyFill="1" applyBorder="1"/>
    <xf numFmtId="0" fontId="8" fillId="0" borderId="16" xfId="0" applyFont="1" applyBorder="1" applyAlignment="1">
      <alignment vertical="top"/>
    </xf>
    <xf numFmtId="4" fontId="6" fillId="11" borderId="2" xfId="0" applyNumberFormat="1" applyFont="1" applyFill="1" applyBorder="1" applyAlignment="1">
      <alignment vertical="top"/>
    </xf>
    <xf numFmtId="4" fontId="29" fillId="11" borderId="2" xfId="0" applyNumberFormat="1" applyFont="1" applyFill="1" applyBorder="1" applyAlignment="1">
      <alignment vertical="top"/>
    </xf>
    <xf numFmtId="4" fontId="6" fillId="12" borderId="8" xfId="1" applyNumberFormat="1" applyFont="1" applyFill="1" applyBorder="1" applyAlignment="1">
      <alignment vertical="top"/>
    </xf>
    <xf numFmtId="4" fontId="30" fillId="0" borderId="0" xfId="0" applyNumberFormat="1" applyFont="1"/>
    <xf numFmtId="0" fontId="3" fillId="11" borderId="7" xfId="1" applyFont="1" applyFill="1" applyBorder="1" applyAlignment="1">
      <alignment horizontal="left" vertical="top"/>
    </xf>
    <xf numFmtId="0" fontId="3" fillId="11" borderId="7" xfId="1" applyFont="1" applyFill="1" applyBorder="1" applyAlignment="1">
      <alignment horizontal="centerContinuous" vertical="top"/>
    </xf>
    <xf numFmtId="4" fontId="3" fillId="11" borderId="6" xfId="1" applyNumberFormat="1" applyFont="1" applyFill="1" applyBorder="1" applyAlignment="1">
      <alignment vertical="top"/>
    </xf>
    <xf numFmtId="4" fontId="3" fillId="13" borderId="6" xfId="1" applyNumberFormat="1" applyFont="1" applyFill="1" applyBorder="1" applyAlignment="1">
      <alignment vertical="top"/>
    </xf>
    <xf numFmtId="4" fontId="3" fillId="12" borderId="6" xfId="1" applyNumberFormat="1" applyFont="1" applyFill="1" applyBorder="1" applyAlignment="1">
      <alignment vertical="top"/>
    </xf>
    <xf numFmtId="2" fontId="9" fillId="0" borderId="0" xfId="0" applyNumberFormat="1" applyFont="1"/>
    <xf numFmtId="166" fontId="3" fillId="3" borderId="2" xfId="1" applyNumberFormat="1" applyFont="1" applyFill="1" applyBorder="1" applyAlignment="1">
      <alignment vertical="center"/>
    </xf>
    <xf numFmtId="0" fontId="0" fillId="0" borderId="0" xfId="0" applyAlignment="1">
      <alignment vertical="center"/>
    </xf>
    <xf numFmtId="0" fontId="14" fillId="0" borderId="0" xfId="0" applyFont="1" applyAlignment="1">
      <alignment horizontal="left"/>
    </xf>
    <xf numFmtId="0" fontId="24" fillId="10" borderId="0" xfId="0" applyFont="1" applyFill="1" applyAlignment="1">
      <alignment horizontal="left" vertical="center"/>
    </xf>
    <xf numFmtId="166" fontId="8" fillId="3" borderId="2" xfId="1" applyNumberFormat="1" applyFont="1" applyFill="1" applyBorder="1" applyAlignment="1"/>
    <xf numFmtId="0" fontId="3" fillId="2" borderId="2" xfId="0" quotePrefix="1" applyFont="1" applyFill="1" applyBorder="1" applyAlignment="1">
      <alignment horizontal="center" vertical="center" wrapText="1"/>
    </xf>
    <xf numFmtId="0" fontId="8" fillId="0" borderId="14" xfId="0" applyFont="1" applyBorder="1" applyAlignment="1">
      <alignment vertical="top" shrinkToFit="1"/>
    </xf>
    <xf numFmtId="0" fontId="8" fillId="0" borderId="15" xfId="0" applyFont="1" applyBorder="1" applyAlignment="1">
      <alignment vertical="top" shrinkToFit="1"/>
    </xf>
    <xf numFmtId="0" fontId="19" fillId="0" borderId="12" xfId="0" applyFont="1" applyBorder="1" applyAlignment="1" applyProtection="1">
      <alignment horizontal="left" shrinkToFit="1"/>
    </xf>
    <xf numFmtId="0" fontId="8" fillId="0" borderId="16" xfId="0" applyFont="1" applyBorder="1" applyAlignment="1">
      <alignment vertical="top" shrinkToFit="1"/>
    </xf>
    <xf numFmtId="0" fontId="29" fillId="11" borderId="2" xfId="1" applyFont="1" applyFill="1" applyBorder="1" applyAlignment="1">
      <alignment vertical="top" shrinkToFit="1"/>
    </xf>
    <xf numFmtId="0" fontId="3" fillId="6" borderId="2" xfId="1" applyNumberFormat="1" applyFont="1" applyFill="1" applyBorder="1" applyAlignment="1">
      <alignment horizontal="center" vertical="center" wrapText="1"/>
    </xf>
    <xf numFmtId="0" fontId="19" fillId="0" borderId="22" xfId="0" applyFont="1" applyBorder="1" applyAlignment="1" applyProtection="1">
      <alignment horizontal="left" vertical="center" shrinkToFit="1"/>
    </xf>
    <xf numFmtId="0" fontId="19" fillId="0" borderId="12" xfId="0" applyFont="1" applyBorder="1" applyAlignment="1" applyProtection="1">
      <alignment horizontal="left" vertical="center" shrinkToFit="1"/>
    </xf>
    <xf numFmtId="0" fontId="19" fillId="0" borderId="23" xfId="0" applyFont="1" applyBorder="1" applyAlignment="1" applyProtection="1">
      <alignment horizontal="left" vertical="center" shrinkToFit="1"/>
    </xf>
    <xf numFmtId="0" fontId="19" fillId="0" borderId="19" xfId="0" applyFont="1" applyBorder="1" applyAlignment="1" applyProtection="1">
      <alignment horizontal="left" vertical="center" shrinkToFit="1"/>
    </xf>
    <xf numFmtId="0" fontId="19" fillId="0" borderId="20" xfId="0" applyFont="1" applyBorder="1" applyAlignment="1" applyProtection="1">
      <alignment horizontal="left" vertical="center" shrinkToFit="1"/>
    </xf>
    <xf numFmtId="0" fontId="19" fillId="0" borderId="21" xfId="0" applyFont="1" applyBorder="1" applyAlignment="1" applyProtection="1">
      <alignment horizontal="left" vertical="center" shrinkToFit="1"/>
    </xf>
    <xf numFmtId="165" fontId="18" fillId="3" borderId="2" xfId="1" applyNumberFormat="1" applyFont="1" applyFill="1" applyBorder="1" applyAlignment="1">
      <alignment vertical="center"/>
    </xf>
    <xf numFmtId="164" fontId="18" fillId="3" borderId="2" xfId="1" applyNumberFormat="1" applyFont="1" applyFill="1" applyBorder="1" applyAlignment="1">
      <alignment vertical="center"/>
    </xf>
    <xf numFmtId="4" fontId="17" fillId="3" borderId="2" xfId="1" applyNumberFormat="1" applyFont="1" applyFill="1" applyBorder="1" applyAlignment="1">
      <alignment vertical="center"/>
    </xf>
    <xf numFmtId="0" fontId="37" fillId="3" borderId="6" xfId="1" applyNumberFormat="1" applyFont="1" applyFill="1" applyBorder="1" applyAlignment="1">
      <alignment horizontal="center" vertical="center"/>
    </xf>
    <xf numFmtId="0" fontId="8" fillId="3" borderId="8" xfId="1" applyNumberFormat="1" applyFont="1" applyFill="1" applyBorder="1" applyAlignment="1">
      <alignment vertical="center"/>
    </xf>
    <xf numFmtId="165" fontId="3" fillId="3" borderId="8" xfId="1" applyNumberFormat="1" applyFont="1" applyFill="1" applyBorder="1" applyAlignment="1">
      <alignment vertical="center"/>
    </xf>
    <xf numFmtId="165" fontId="3" fillId="3" borderId="2" xfId="1" applyNumberFormat="1" applyFont="1" applyFill="1" applyBorder="1" applyAlignment="1">
      <alignment vertical="center"/>
    </xf>
    <xf numFmtId="4" fontId="8" fillId="3" borderId="2" xfId="1" applyNumberFormat="1" applyFont="1" applyFill="1" applyBorder="1" applyAlignment="1">
      <alignment vertical="center"/>
    </xf>
    <xf numFmtId="0" fontId="36" fillId="0" borderId="6" xfId="1" applyNumberFormat="1" applyFont="1" applyFill="1" applyBorder="1" applyAlignment="1">
      <alignment horizontal="center" vertical="center"/>
    </xf>
    <xf numFmtId="166" fontId="17" fillId="0" borderId="22" xfId="1" applyNumberFormat="1" applyFont="1" applyFill="1" applyBorder="1" applyAlignment="1">
      <alignment vertical="center"/>
    </xf>
    <xf numFmtId="166" fontId="17" fillId="4" borderId="22" xfId="1" applyNumberFormat="1" applyFont="1" applyFill="1" applyBorder="1" applyAlignment="1">
      <alignment vertical="center"/>
    </xf>
    <xf numFmtId="166" fontId="17" fillId="5" borderId="22" xfId="1" applyNumberFormat="1" applyFont="1" applyFill="1" applyBorder="1" applyAlignment="1">
      <alignment vertical="center"/>
    </xf>
    <xf numFmtId="166" fontId="27" fillId="0" borderId="22" xfId="1" applyNumberFormat="1" applyFont="1" applyFill="1" applyBorder="1" applyAlignment="1">
      <alignment vertical="center"/>
    </xf>
    <xf numFmtId="166" fontId="17" fillId="6" borderId="22" xfId="1" applyNumberFormat="1" applyFont="1" applyFill="1" applyBorder="1" applyAlignment="1">
      <alignment vertical="center"/>
    </xf>
    <xf numFmtId="4" fontId="17" fillId="7" borderId="22" xfId="1" applyNumberFormat="1" applyFont="1" applyFill="1" applyBorder="1" applyAlignment="1">
      <alignment vertical="center"/>
    </xf>
    <xf numFmtId="0" fontId="16" fillId="0" borderId="0" xfId="0" applyFont="1" applyAlignment="1">
      <alignment vertical="center"/>
    </xf>
    <xf numFmtId="166" fontId="17" fillId="0" borderId="12" xfId="1" applyNumberFormat="1" applyFont="1" applyFill="1" applyBorder="1" applyAlignment="1">
      <alignment vertical="center"/>
    </xf>
    <xf numFmtId="166" fontId="17" fillId="4" borderId="12" xfId="1" applyNumberFormat="1" applyFont="1" applyFill="1" applyBorder="1" applyAlignment="1">
      <alignment vertical="center"/>
    </xf>
    <xf numFmtId="166" fontId="17" fillId="5" borderId="12" xfId="1" applyNumberFormat="1" applyFont="1" applyFill="1" applyBorder="1" applyAlignment="1">
      <alignment vertical="center"/>
    </xf>
    <xf numFmtId="166" fontId="27" fillId="0" borderId="12" xfId="1" applyNumberFormat="1" applyFont="1" applyFill="1" applyBorder="1" applyAlignment="1">
      <alignment vertical="center"/>
    </xf>
    <xf numFmtId="166" fontId="17" fillId="0" borderId="23" xfId="1" applyNumberFormat="1" applyFont="1" applyFill="1" applyBorder="1" applyAlignment="1">
      <alignment vertical="center"/>
    </xf>
    <xf numFmtId="166" fontId="17" fillId="4" borderId="23" xfId="1" applyNumberFormat="1" applyFont="1" applyFill="1" applyBorder="1" applyAlignment="1">
      <alignment vertical="center"/>
    </xf>
    <xf numFmtId="166" fontId="17" fillId="5" borderId="23" xfId="1" applyNumberFormat="1" applyFont="1" applyFill="1" applyBorder="1" applyAlignment="1">
      <alignment vertical="center"/>
    </xf>
    <xf numFmtId="166" fontId="27" fillId="0" borderId="23" xfId="1" applyNumberFormat="1" applyFont="1" applyFill="1" applyBorder="1" applyAlignment="1">
      <alignment vertical="center"/>
    </xf>
    <xf numFmtId="0" fontId="20" fillId="3" borderId="8" xfId="1" applyNumberFormat="1" applyFont="1" applyFill="1" applyBorder="1" applyAlignment="1">
      <alignment vertical="center"/>
    </xf>
    <xf numFmtId="165" fontId="18" fillId="3" borderId="8" xfId="1" applyNumberFormat="1" applyFont="1" applyFill="1" applyBorder="1" applyAlignment="1">
      <alignment vertical="center"/>
    </xf>
    <xf numFmtId="166" fontId="18" fillId="3" borderId="2" xfId="1" applyNumberFormat="1" applyFont="1" applyFill="1" applyBorder="1" applyAlignment="1">
      <alignment vertical="center"/>
    </xf>
    <xf numFmtId="0" fontId="36" fillId="0" borderId="22" xfId="1" quotePrefix="1" applyNumberFormat="1" applyFont="1" applyFill="1" applyBorder="1" applyAlignment="1">
      <alignment horizontal="center" vertical="center"/>
    </xf>
    <xf numFmtId="3" fontId="21" fillId="0" borderId="22" xfId="0" applyNumberFormat="1" applyFont="1" applyBorder="1" applyAlignment="1" applyProtection="1">
      <alignment horizontal="right" vertical="center"/>
    </xf>
    <xf numFmtId="3" fontId="21" fillId="0" borderId="12" xfId="0" applyNumberFormat="1" applyFont="1" applyBorder="1" applyAlignment="1" applyProtection="1">
      <alignment horizontal="right" vertical="center"/>
    </xf>
    <xf numFmtId="3" fontId="21" fillId="0" borderId="23" xfId="0" applyNumberFormat="1" applyFont="1" applyBorder="1" applyAlignment="1" applyProtection="1">
      <alignment horizontal="right" vertical="center"/>
    </xf>
    <xf numFmtId="0" fontId="23" fillId="3" borderId="8" xfId="1" applyNumberFormat="1" applyFont="1" applyFill="1" applyBorder="1" applyAlignment="1">
      <alignment vertical="center"/>
    </xf>
    <xf numFmtId="0" fontId="18" fillId="3" borderId="6" xfId="1" applyNumberFormat="1" applyFont="1" applyFill="1" applyBorder="1" applyAlignment="1">
      <alignment horizontal="center" vertical="center"/>
    </xf>
    <xf numFmtId="0" fontId="32" fillId="0" borderId="22" xfId="1" quotePrefix="1" applyNumberFormat="1" applyFont="1" applyFill="1" applyBorder="1" applyAlignment="1">
      <alignment horizontal="center" vertical="center"/>
    </xf>
    <xf numFmtId="0" fontId="33" fillId="0" borderId="19" xfId="1" quotePrefix="1" applyNumberFormat="1" applyFont="1" applyFill="1" applyBorder="1" applyAlignment="1">
      <alignment horizontal="center" vertical="center"/>
    </xf>
    <xf numFmtId="166" fontId="17" fillId="0" borderId="19" xfId="1" applyNumberFormat="1" applyFont="1" applyFill="1" applyBorder="1" applyAlignment="1">
      <alignment vertical="center"/>
    </xf>
    <xf numFmtId="166" fontId="17" fillId="4" borderId="19" xfId="1" applyNumberFormat="1" applyFont="1" applyFill="1" applyBorder="1" applyAlignment="1">
      <alignment vertical="center"/>
    </xf>
    <xf numFmtId="166" fontId="17" fillId="5" borderId="19" xfId="1" applyNumberFormat="1" applyFont="1" applyFill="1" applyBorder="1" applyAlignment="1">
      <alignment vertical="center"/>
    </xf>
    <xf numFmtId="166" fontId="27" fillId="0" borderId="19" xfId="1" applyNumberFormat="1" applyFont="1" applyFill="1" applyBorder="1" applyAlignment="1">
      <alignment vertical="center"/>
    </xf>
    <xf numFmtId="166" fontId="17" fillId="6" borderId="19" xfId="1" applyNumberFormat="1" applyFont="1" applyFill="1" applyBorder="1" applyAlignment="1">
      <alignment vertical="center"/>
    </xf>
    <xf numFmtId="4" fontId="17" fillId="7" borderId="19" xfId="1" applyNumberFormat="1" applyFont="1" applyFill="1" applyBorder="1" applyAlignment="1">
      <alignment vertical="center"/>
    </xf>
    <xf numFmtId="166" fontId="17" fillId="0" borderId="20" xfId="1" applyNumberFormat="1" applyFont="1" applyFill="1" applyBorder="1" applyAlignment="1">
      <alignment vertical="center"/>
    </xf>
    <xf numFmtId="166" fontId="17" fillId="4" borderId="20" xfId="1" applyNumberFormat="1" applyFont="1" applyFill="1" applyBorder="1" applyAlignment="1">
      <alignment vertical="center"/>
    </xf>
    <xf numFmtId="166" fontId="17" fillId="5" borderId="20" xfId="1" applyNumberFormat="1" applyFont="1" applyFill="1" applyBorder="1" applyAlignment="1">
      <alignment vertical="center"/>
    </xf>
    <xf numFmtId="166" fontId="27" fillId="0" borderId="20" xfId="1" applyNumberFormat="1" applyFont="1" applyFill="1" applyBorder="1" applyAlignment="1">
      <alignment vertical="center"/>
    </xf>
    <xf numFmtId="166" fontId="17" fillId="0" borderId="21" xfId="1" applyNumberFormat="1" applyFont="1" applyFill="1" applyBorder="1" applyAlignment="1">
      <alignment vertical="center"/>
    </xf>
    <xf numFmtId="166" fontId="17" fillId="4" borderId="21" xfId="1" applyNumberFormat="1" applyFont="1" applyFill="1" applyBorder="1" applyAlignment="1">
      <alignment vertical="center"/>
    </xf>
    <xf numFmtId="166" fontId="17" fillId="5" borderId="21" xfId="1" applyNumberFormat="1" applyFont="1" applyFill="1" applyBorder="1" applyAlignment="1">
      <alignment vertical="center"/>
    </xf>
    <xf numFmtId="166" fontId="27" fillId="0" borderId="21" xfId="1" applyNumberFormat="1" applyFont="1" applyFill="1" applyBorder="1" applyAlignment="1">
      <alignment vertical="center"/>
    </xf>
    <xf numFmtId="0" fontId="17" fillId="0" borderId="12" xfId="0" applyFont="1" applyFill="1" applyBorder="1" applyAlignment="1">
      <alignment vertical="center"/>
    </xf>
    <xf numFmtId="0" fontId="27" fillId="0" borderId="12" xfId="0" applyFont="1" applyFill="1" applyBorder="1" applyAlignment="1">
      <alignment vertical="center"/>
    </xf>
    <xf numFmtId="0" fontId="23" fillId="3" borderId="8" xfId="1" applyNumberFormat="1" applyFont="1" applyFill="1" applyBorder="1" applyAlignment="1">
      <alignment vertical="center" shrinkToFit="1"/>
    </xf>
    <xf numFmtId="0" fontId="35" fillId="0" borderId="22" xfId="1" quotePrefix="1" applyNumberFormat="1" applyFont="1" applyFill="1" applyBorder="1" applyAlignment="1">
      <alignment horizontal="center" vertical="center"/>
    </xf>
    <xf numFmtId="0" fontId="36" fillId="0" borderId="19" xfId="1" quotePrefix="1" applyNumberFormat="1" applyFont="1" applyFill="1" applyBorder="1" applyAlignment="1">
      <alignment horizontal="center" vertical="center"/>
    </xf>
    <xf numFmtId="4" fontId="17" fillId="7" borderId="20" xfId="1" applyNumberFormat="1" applyFont="1" applyFill="1" applyBorder="1" applyAlignment="1">
      <alignment vertical="center"/>
    </xf>
    <xf numFmtId="4" fontId="17" fillId="7" borderId="21" xfId="1" applyNumberFormat="1" applyFont="1" applyFill="1" applyBorder="1" applyAlignment="1">
      <alignment vertical="center"/>
    </xf>
    <xf numFmtId="0" fontId="34" fillId="3" borderId="6" xfId="1" applyNumberFormat="1" applyFont="1" applyFill="1" applyBorder="1" applyAlignment="1">
      <alignment horizontal="center" vertical="center"/>
    </xf>
    <xf numFmtId="0" fontId="17" fillId="0" borderId="20" xfId="0" applyFont="1" applyBorder="1" applyAlignment="1">
      <alignment vertical="center"/>
    </xf>
    <xf numFmtId="0" fontId="27" fillId="0" borderId="20" xfId="0" applyFont="1" applyBorder="1" applyAlignment="1">
      <alignment vertical="center"/>
    </xf>
    <xf numFmtId="0" fontId="39" fillId="14" borderId="28" xfId="0" applyFont="1" applyFill="1" applyBorder="1" applyAlignment="1">
      <alignment vertical="center"/>
    </xf>
    <xf numFmtId="0" fontId="39" fillId="0" borderId="29" xfId="0" applyFont="1" applyBorder="1" applyAlignment="1">
      <alignment horizontal="left" vertical="center" wrapText="1"/>
    </xf>
    <xf numFmtId="0" fontId="39" fillId="0" borderId="30" xfId="0" applyFont="1" applyBorder="1" applyAlignment="1">
      <alignment horizontal="left" vertical="center" wrapText="1"/>
    </xf>
    <xf numFmtId="0" fontId="39" fillId="0" borderId="31" xfId="0" applyFont="1" applyBorder="1" applyAlignment="1">
      <alignment horizontal="left" vertical="center" wrapText="1"/>
    </xf>
    <xf numFmtId="0" fontId="39" fillId="0" borderId="29" xfId="0" applyFont="1" applyBorder="1" applyAlignment="1">
      <alignment horizontal="left" vertical="center"/>
    </xf>
    <xf numFmtId="0" fontId="39" fillId="0" borderId="30" xfId="0" applyFont="1" applyBorder="1" applyAlignment="1">
      <alignment horizontal="left" vertical="center"/>
    </xf>
    <xf numFmtId="0" fontId="39" fillId="0" borderId="31" xfId="0" applyFont="1" applyBorder="1" applyAlignment="1">
      <alignment horizontal="left" vertical="center"/>
    </xf>
    <xf numFmtId="0" fontId="40" fillId="14" borderId="28" xfId="0" applyFont="1" applyFill="1" applyBorder="1" applyAlignment="1">
      <alignment vertical="center"/>
    </xf>
    <xf numFmtId="0" fontId="39" fillId="0" borderId="32" xfId="0" applyFont="1" applyBorder="1" applyAlignment="1">
      <alignment horizontal="left" vertical="center"/>
    </xf>
    <xf numFmtId="0" fontId="39" fillId="0" borderId="33" xfId="0" applyFont="1" applyBorder="1" applyAlignment="1">
      <alignment horizontal="left" vertical="center"/>
    </xf>
    <xf numFmtId="0" fontId="39" fillId="0" borderId="34" xfId="0" applyFont="1" applyBorder="1" applyAlignment="1">
      <alignment horizontal="left" vertical="center"/>
    </xf>
    <xf numFmtId="0" fontId="3" fillId="6" borderId="6" xfId="1" applyNumberFormat="1" applyFont="1" applyFill="1" applyBorder="1" applyAlignment="1">
      <alignment horizontal="center" vertical="center" wrapText="1"/>
    </xf>
    <xf numFmtId="0" fontId="3" fillId="6" borderId="6" xfId="1" applyNumberFormat="1" applyFont="1" applyFill="1" applyBorder="1" applyAlignment="1">
      <alignment horizontal="center" vertical="center" wrapText="1"/>
    </xf>
    <xf numFmtId="0" fontId="3" fillId="8" borderId="6" xfId="1" applyNumberFormat="1" applyFont="1" applyFill="1" applyBorder="1" applyAlignment="1">
      <alignment horizontal="center" vertical="center"/>
    </xf>
    <xf numFmtId="0" fontId="3" fillId="8" borderId="7" xfId="1" applyNumberFormat="1" applyFont="1" applyFill="1" applyBorder="1" applyAlignment="1">
      <alignment horizontal="center" vertical="center"/>
    </xf>
    <xf numFmtId="0" fontId="3" fillId="8" borderId="8" xfId="1" applyNumberFormat="1" applyFont="1" applyFill="1" applyBorder="1" applyAlignment="1">
      <alignment horizontal="center" vertical="center"/>
    </xf>
    <xf numFmtId="0" fontId="3" fillId="6" borderId="3" xfId="1" applyNumberFormat="1" applyFont="1" applyFill="1" applyBorder="1" applyAlignment="1">
      <alignment horizontal="center" vertical="center" wrapText="1"/>
    </xf>
    <xf numFmtId="0" fontId="3" fillId="6" borderId="5" xfId="1" applyNumberFormat="1" applyFont="1" applyFill="1" applyBorder="1" applyAlignment="1">
      <alignment horizontal="center" vertical="center" wrapText="1"/>
    </xf>
    <xf numFmtId="0" fontId="5" fillId="5" borderId="3" xfId="1" applyNumberFormat="1" applyFont="1" applyFill="1" applyBorder="1" applyAlignment="1">
      <alignment horizontal="center" vertical="center" wrapText="1"/>
    </xf>
    <xf numFmtId="0" fontId="7" fillId="5" borderId="5" xfId="1" applyFont="1" applyFill="1" applyBorder="1" applyAlignment="1">
      <alignment horizontal="center" vertical="center" wrapText="1"/>
    </xf>
    <xf numFmtId="0" fontId="6" fillId="7" borderId="3" xfId="1" applyNumberFormat="1" applyFont="1" applyFill="1" applyBorder="1" applyAlignment="1">
      <alignment horizontal="center" vertical="center" wrapText="1"/>
    </xf>
    <xf numFmtId="0" fontId="6" fillId="7" borderId="5" xfId="1" applyNumberFormat="1" applyFont="1" applyFill="1" applyBorder="1" applyAlignment="1">
      <alignment horizontal="center" vertical="center" wrapText="1"/>
    </xf>
    <xf numFmtId="0" fontId="3" fillId="2" borderId="1" xfId="1" applyNumberFormat="1" applyFont="1" applyFill="1" applyBorder="1" applyAlignment="1">
      <alignment horizontal="center" vertical="center" wrapText="1"/>
    </xf>
    <xf numFmtId="0" fontId="3" fillId="2" borderId="4" xfId="1" applyNumberFormat="1" applyFont="1" applyFill="1" applyBorder="1" applyAlignment="1">
      <alignment horizontal="center" vertical="center" wrapText="1"/>
    </xf>
    <xf numFmtId="0" fontId="38" fillId="14" borderId="26" xfId="0" applyFont="1" applyFill="1" applyBorder="1" applyAlignment="1">
      <alignment horizontal="center" vertical="center" wrapText="1"/>
    </xf>
    <xf numFmtId="0" fontId="38" fillId="14" borderId="27" xfId="0" applyFont="1" applyFill="1" applyBorder="1" applyAlignment="1">
      <alignment horizontal="center"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3" fillId="2" borderId="3" xfId="1" applyNumberFormat="1" applyFont="1" applyFill="1" applyBorder="1" applyAlignment="1">
      <alignment horizontal="center" vertical="center" wrapText="1"/>
    </xf>
    <xf numFmtId="0" fontId="2" fillId="0" borderId="5" xfId="1" applyFont="1" applyBorder="1" applyAlignment="1">
      <alignment horizontal="center" vertical="center" wrapText="1"/>
    </xf>
    <xf numFmtId="0" fontId="3" fillId="6" borderId="6" xfId="1" applyNumberFormat="1" applyFont="1" applyFill="1" applyBorder="1" applyAlignment="1">
      <alignment horizontal="center" vertical="center" wrapText="1"/>
    </xf>
    <xf numFmtId="0" fontId="3" fillId="6" borderId="7" xfId="1" applyNumberFormat="1" applyFont="1" applyFill="1" applyBorder="1" applyAlignment="1">
      <alignment horizontal="center" vertical="center" wrapText="1"/>
    </xf>
    <xf numFmtId="0" fontId="3" fillId="6" borderId="8" xfId="1" applyNumberFormat="1" applyFont="1" applyFill="1" applyBorder="1" applyAlignment="1">
      <alignment horizontal="center" vertical="center" wrapText="1"/>
    </xf>
    <xf numFmtId="0" fontId="3" fillId="6" borderId="2" xfId="1" applyNumberFormat="1" applyFont="1" applyFill="1" applyBorder="1" applyAlignment="1">
      <alignment horizontal="center" vertical="center"/>
    </xf>
    <xf numFmtId="0" fontId="26" fillId="6" borderId="3" xfId="1" applyNumberFormat="1" applyFont="1" applyFill="1" applyBorder="1" applyAlignment="1">
      <alignment horizontal="center" vertical="center" wrapText="1"/>
    </xf>
    <xf numFmtId="0" fontId="26" fillId="6" borderId="5" xfId="1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6" borderId="3" xfId="1" applyNumberFormat="1" applyFont="1" applyFill="1" applyBorder="1" applyAlignment="1">
      <alignment horizontal="center" vertical="center" shrinkToFit="1"/>
    </xf>
    <xf numFmtId="0" fontId="3" fillId="6" borderId="5" xfId="1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0" fontId="3" fillId="2" borderId="24" xfId="0" applyFont="1" applyFill="1" applyBorder="1" applyAlignment="1">
      <alignment horizontal="center" vertical="center" wrapText="1"/>
    </xf>
    <xf numFmtId="0" fontId="3" fillId="2" borderId="25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1" fillId="3" borderId="1" xfId="1" applyFont="1" applyFill="1" applyBorder="1" applyAlignment="1">
      <alignment horizontal="center" vertical="center" wrapText="1"/>
    </xf>
    <xf numFmtId="0" fontId="11" fillId="3" borderId="17" xfId="1" applyFont="1" applyFill="1" applyBorder="1" applyAlignment="1">
      <alignment horizontal="center" vertical="center" wrapText="1"/>
    </xf>
    <xf numFmtId="0" fontId="11" fillId="3" borderId="4" xfId="1" applyFont="1" applyFill="1" applyBorder="1" applyAlignment="1">
      <alignment horizontal="center" vertical="center" wrapText="1"/>
    </xf>
    <xf numFmtId="0" fontId="11" fillId="3" borderId="18" xfId="1" applyFont="1" applyFill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0" tint="-0.249977111117893"/>
  </sheetPr>
  <dimension ref="A1:AA178"/>
  <sheetViews>
    <sheetView tabSelected="1" zoomScale="96" zoomScaleNormal="96" workbookViewId="0">
      <pane ySplit="5" topLeftCell="A6" activePane="bottomLeft" state="frozen"/>
      <selection pane="bottomLeft" activeCell="C7" sqref="C7"/>
    </sheetView>
  </sheetViews>
  <sheetFormatPr baseColWidth="10" defaultRowHeight="12.75"/>
  <cols>
    <col min="1" max="1" width="6.140625" style="75" customWidth="1"/>
    <col min="2" max="2" width="12.140625" customWidth="1"/>
    <col min="3" max="3" width="33.28515625" customWidth="1"/>
    <col min="4" max="4" width="10.7109375" customWidth="1"/>
    <col min="5" max="6" width="11" customWidth="1"/>
    <col min="7" max="7" width="12" customWidth="1"/>
    <col min="8" max="8" width="11.85546875" customWidth="1"/>
    <col min="9" max="18" width="11.42578125" customWidth="1"/>
    <col min="19" max="19" width="11" customWidth="1"/>
    <col min="20" max="20" width="10.140625" customWidth="1"/>
    <col min="21" max="21" width="9.42578125" style="76" customWidth="1"/>
    <col min="22" max="22" width="8.7109375" style="76" customWidth="1"/>
    <col min="23" max="23" width="10.140625" style="76" customWidth="1"/>
    <col min="24" max="24" width="11.7109375" customWidth="1"/>
    <col min="25" max="26" width="12.140625" customWidth="1"/>
    <col min="27" max="27" width="16.5703125" customWidth="1"/>
  </cols>
  <sheetData>
    <row r="1" spans="1:27" ht="17.25">
      <c r="A1" s="105" t="s">
        <v>101</v>
      </c>
    </row>
    <row r="2" spans="1:27">
      <c r="A2" s="104" t="s">
        <v>100</v>
      </c>
    </row>
    <row r="3" spans="1:27">
      <c r="G3" s="1"/>
      <c r="Y3" s="1"/>
      <c r="Z3" s="1"/>
      <c r="AA3" s="1"/>
    </row>
    <row r="4" spans="1:27" ht="30" customHeight="1">
      <c r="A4" s="201" t="s">
        <v>0</v>
      </c>
      <c r="B4" s="203" t="s">
        <v>1</v>
      </c>
      <c r="C4" s="205" t="s">
        <v>2</v>
      </c>
      <c r="D4" s="207" t="s">
        <v>3</v>
      </c>
      <c r="E4" s="207" t="s">
        <v>4</v>
      </c>
      <c r="F4" s="207" t="s">
        <v>5</v>
      </c>
      <c r="G4" s="2"/>
      <c r="H4" s="197" t="s">
        <v>97</v>
      </c>
      <c r="I4" s="209" t="s">
        <v>120</v>
      </c>
      <c r="J4" s="210"/>
      <c r="K4" s="210"/>
      <c r="L4" s="210"/>
      <c r="M4" s="210"/>
      <c r="N4" s="210"/>
      <c r="O4" s="210"/>
      <c r="P4" s="210"/>
      <c r="Q4" s="210"/>
      <c r="R4" s="210"/>
      <c r="S4" s="210"/>
      <c r="T4" s="211"/>
      <c r="U4" s="209" t="s">
        <v>102</v>
      </c>
      <c r="V4" s="211"/>
      <c r="W4" s="213" t="s">
        <v>119</v>
      </c>
      <c r="X4" s="212" t="s">
        <v>118</v>
      </c>
      <c r="Y4" s="195" t="s">
        <v>25</v>
      </c>
      <c r="Z4" s="195" t="s">
        <v>9</v>
      </c>
      <c r="AA4" s="199" t="s">
        <v>10</v>
      </c>
    </row>
    <row r="5" spans="1:27" ht="41.25" customHeight="1">
      <c r="A5" s="202"/>
      <c r="B5" s="204"/>
      <c r="C5" s="206"/>
      <c r="D5" s="208"/>
      <c r="E5" s="208"/>
      <c r="F5" s="208"/>
      <c r="G5" s="4" t="s">
        <v>17</v>
      </c>
      <c r="H5" s="198"/>
      <c r="I5" s="191" t="s">
        <v>11</v>
      </c>
      <c r="J5" s="191" t="s">
        <v>12</v>
      </c>
      <c r="K5" s="191" t="s">
        <v>13</v>
      </c>
      <c r="L5" s="191" t="s">
        <v>14</v>
      </c>
      <c r="M5" s="191" t="s">
        <v>15</v>
      </c>
      <c r="N5" s="191" t="s">
        <v>96</v>
      </c>
      <c r="O5" s="191" t="s">
        <v>19</v>
      </c>
      <c r="P5" s="191" t="s">
        <v>20</v>
      </c>
      <c r="Q5" s="190" t="s">
        <v>21</v>
      </c>
      <c r="R5" s="190" t="s">
        <v>22</v>
      </c>
      <c r="S5" s="113" t="s">
        <v>23</v>
      </c>
      <c r="T5" s="113" t="s">
        <v>24</v>
      </c>
      <c r="U5" s="77">
        <v>276</v>
      </c>
      <c r="V5" s="77">
        <v>728</v>
      </c>
      <c r="W5" s="214"/>
      <c r="X5" s="212"/>
      <c r="Y5" s="196"/>
      <c r="Z5" s="196"/>
      <c r="AA5" s="200"/>
    </row>
    <row r="6" spans="1:27" s="103" customFormat="1" ht="15.75" customHeight="1">
      <c r="A6" s="123" t="s">
        <v>26</v>
      </c>
      <c r="B6" s="179"/>
      <c r="C6" s="124"/>
      <c r="D6" s="125">
        <f t="shared" ref="D6:F6" si="0">SUBTOTAL(9,D7:D21)</f>
        <v>0</v>
      </c>
      <c r="E6" s="126">
        <f t="shared" si="0"/>
        <v>0</v>
      </c>
      <c r="F6" s="126">
        <f t="shared" si="0"/>
        <v>0</v>
      </c>
      <c r="G6" s="102">
        <v>0</v>
      </c>
      <c r="H6" s="102">
        <f>D6-G6</f>
        <v>0</v>
      </c>
      <c r="I6" s="126">
        <f t="shared" ref="I6:X6" si="1">SUBTOTAL(9,I7:I21)</f>
        <v>0</v>
      </c>
      <c r="J6" s="126">
        <f t="shared" si="1"/>
        <v>0</v>
      </c>
      <c r="K6" s="126">
        <f t="shared" si="1"/>
        <v>0</v>
      </c>
      <c r="L6" s="126">
        <f t="shared" si="1"/>
        <v>0</v>
      </c>
      <c r="M6" s="126">
        <f t="shared" si="1"/>
        <v>0</v>
      </c>
      <c r="N6" s="126">
        <f t="shared" si="1"/>
        <v>0</v>
      </c>
      <c r="O6" s="126">
        <f t="shared" si="1"/>
        <v>0</v>
      </c>
      <c r="P6" s="126">
        <f t="shared" si="1"/>
        <v>0</v>
      </c>
      <c r="Q6" s="126">
        <f t="shared" si="1"/>
        <v>0</v>
      </c>
      <c r="R6" s="126">
        <f t="shared" si="1"/>
        <v>0</v>
      </c>
      <c r="S6" s="126">
        <f t="shared" si="1"/>
        <v>0</v>
      </c>
      <c r="T6" s="126">
        <f t="shared" si="1"/>
        <v>0</v>
      </c>
      <c r="U6" s="126">
        <f t="shared" si="1"/>
        <v>0</v>
      </c>
      <c r="V6" s="126">
        <f t="shared" si="1"/>
        <v>0</v>
      </c>
      <c r="W6" s="126">
        <f t="shared" si="1"/>
        <v>0</v>
      </c>
      <c r="X6" s="126">
        <f t="shared" si="1"/>
        <v>0</v>
      </c>
      <c r="Y6" s="120">
        <f>SUM(I6:X6)</f>
        <v>0</v>
      </c>
      <c r="Z6" s="56">
        <f>+G6+Y6</f>
        <v>0</v>
      </c>
      <c r="AA6" s="127">
        <f>+D6-Z6</f>
        <v>0</v>
      </c>
    </row>
    <row r="7" spans="1:27" s="135" customFormat="1" ht="17.25" customHeight="1">
      <c r="A7" s="128" t="s">
        <v>26</v>
      </c>
      <c r="B7" s="180" t="s">
        <v>27</v>
      </c>
      <c r="C7" s="114" t="s">
        <v>28</v>
      </c>
      <c r="D7" s="65"/>
      <c r="E7" s="129"/>
      <c r="F7" s="129"/>
      <c r="G7" s="130">
        <v>0</v>
      </c>
      <c r="H7" s="131">
        <f>D7-G7</f>
        <v>0</v>
      </c>
      <c r="I7" s="129"/>
      <c r="J7" s="129"/>
      <c r="K7" s="129"/>
      <c r="L7" s="129"/>
      <c r="M7" s="129"/>
      <c r="N7" s="129"/>
      <c r="O7" s="129"/>
      <c r="P7" s="129"/>
      <c r="Q7" s="129"/>
      <c r="R7" s="129"/>
      <c r="S7" s="129"/>
      <c r="T7" s="129"/>
      <c r="U7" s="132"/>
      <c r="V7" s="132"/>
      <c r="W7" s="132"/>
      <c r="X7" s="129"/>
      <c r="Y7" s="133">
        <f>SUM(I7:X7)</f>
        <v>0</v>
      </c>
      <c r="Z7" s="133">
        <f>+G7+Y7</f>
        <v>0</v>
      </c>
      <c r="AA7" s="134">
        <f>+D7-Z7</f>
        <v>0</v>
      </c>
    </row>
    <row r="8" spans="1:27" s="135" customFormat="1" ht="17.25" customHeight="1">
      <c r="A8" s="128" t="s">
        <v>26</v>
      </c>
      <c r="B8" s="181" t="s">
        <v>29</v>
      </c>
      <c r="C8" s="115" t="s">
        <v>98</v>
      </c>
      <c r="D8" s="67"/>
      <c r="E8" s="136"/>
      <c r="F8" s="136"/>
      <c r="G8" s="137">
        <v>0</v>
      </c>
      <c r="H8" s="138">
        <f>D8-G8</f>
        <v>0</v>
      </c>
      <c r="I8" s="136"/>
      <c r="J8" s="136"/>
      <c r="K8" s="136"/>
      <c r="L8" s="136"/>
      <c r="M8" s="136"/>
      <c r="N8" s="136"/>
      <c r="O8" s="136"/>
      <c r="P8" s="136"/>
      <c r="Q8" s="136"/>
      <c r="R8" s="136"/>
      <c r="S8" s="136"/>
      <c r="T8" s="136"/>
      <c r="U8" s="139"/>
      <c r="V8" s="139"/>
      <c r="W8" s="139"/>
      <c r="X8" s="136"/>
      <c r="Y8" s="133">
        <f t="shared" ref="Y8:Y21" si="2">SUM(I8:X8)</f>
        <v>0</v>
      </c>
      <c r="Z8" s="133">
        <f t="shared" ref="Z8:Z21" si="3">+G8+Y8</f>
        <v>0</v>
      </c>
      <c r="AA8" s="134">
        <f>+D8-Z8</f>
        <v>0</v>
      </c>
    </row>
    <row r="9" spans="1:27" s="135" customFormat="1" ht="17.25" customHeight="1">
      <c r="A9" s="128" t="s">
        <v>26</v>
      </c>
      <c r="B9" s="181" t="s">
        <v>31</v>
      </c>
      <c r="C9" s="115" t="s">
        <v>99</v>
      </c>
      <c r="D9" s="67"/>
      <c r="E9" s="136"/>
      <c r="F9" s="136"/>
      <c r="G9" s="137">
        <v>0</v>
      </c>
      <c r="H9" s="138">
        <f>D9-G9</f>
        <v>0</v>
      </c>
      <c r="I9" s="136"/>
      <c r="J9" s="136"/>
      <c r="K9" s="136"/>
      <c r="L9" s="136"/>
      <c r="M9" s="136"/>
      <c r="N9" s="136"/>
      <c r="O9" s="136"/>
      <c r="P9" s="136"/>
      <c r="Q9" s="136"/>
      <c r="R9" s="136"/>
      <c r="S9" s="136"/>
      <c r="T9" s="136"/>
      <c r="U9" s="139"/>
      <c r="V9" s="139"/>
      <c r="W9" s="139"/>
      <c r="X9" s="136"/>
      <c r="Y9" s="133">
        <f t="shared" si="2"/>
        <v>0</v>
      </c>
      <c r="Z9" s="133">
        <f t="shared" si="3"/>
        <v>0</v>
      </c>
      <c r="AA9" s="134">
        <f>+D9-Z9</f>
        <v>0</v>
      </c>
    </row>
    <row r="10" spans="1:27" s="135" customFormat="1" ht="17.25" customHeight="1">
      <c r="A10" s="128" t="s">
        <v>26</v>
      </c>
      <c r="B10" s="181" t="s">
        <v>33</v>
      </c>
      <c r="C10" s="115" t="s">
        <v>34</v>
      </c>
      <c r="D10" s="67"/>
      <c r="E10" s="136"/>
      <c r="F10" s="136"/>
      <c r="G10" s="137">
        <v>0</v>
      </c>
      <c r="H10" s="138">
        <f>D10-G10</f>
        <v>0</v>
      </c>
      <c r="I10" s="136"/>
      <c r="J10" s="136"/>
      <c r="K10" s="136"/>
      <c r="L10" s="136"/>
      <c r="M10" s="136"/>
      <c r="N10" s="136"/>
      <c r="O10" s="136"/>
      <c r="P10" s="136"/>
      <c r="Q10" s="136"/>
      <c r="R10" s="136"/>
      <c r="S10" s="136"/>
      <c r="T10" s="136"/>
      <c r="U10" s="139"/>
      <c r="V10" s="139"/>
      <c r="W10" s="139"/>
      <c r="X10" s="136"/>
      <c r="Y10" s="133">
        <f t="shared" si="2"/>
        <v>0</v>
      </c>
      <c r="Z10" s="133">
        <f t="shared" si="3"/>
        <v>0</v>
      </c>
      <c r="AA10" s="134">
        <f>+D10-Z10</f>
        <v>0</v>
      </c>
    </row>
    <row r="11" spans="1:27" s="135" customFormat="1" ht="17.25" customHeight="1">
      <c r="A11" s="128" t="s">
        <v>26</v>
      </c>
      <c r="B11" s="181" t="s">
        <v>35</v>
      </c>
      <c r="C11" s="115" t="s">
        <v>36</v>
      </c>
      <c r="D11" s="67"/>
      <c r="E11" s="136"/>
      <c r="F11" s="136"/>
      <c r="G11" s="137">
        <v>0</v>
      </c>
      <c r="H11" s="138">
        <f>D11-G11</f>
        <v>0</v>
      </c>
      <c r="I11" s="136"/>
      <c r="J11" s="136"/>
      <c r="K11" s="136"/>
      <c r="L11" s="136"/>
      <c r="M11" s="136"/>
      <c r="N11" s="136"/>
      <c r="O11" s="136"/>
      <c r="P11" s="136"/>
      <c r="Q11" s="136"/>
      <c r="R11" s="136"/>
      <c r="S11" s="136"/>
      <c r="T11" s="136"/>
      <c r="U11" s="139"/>
      <c r="V11" s="139"/>
      <c r="W11" s="139"/>
      <c r="X11" s="136"/>
      <c r="Y11" s="133">
        <f t="shared" si="2"/>
        <v>0</v>
      </c>
      <c r="Z11" s="133">
        <f t="shared" si="3"/>
        <v>0</v>
      </c>
      <c r="AA11" s="134">
        <f>+D11-Z11</f>
        <v>0</v>
      </c>
    </row>
    <row r="12" spans="1:27" s="135" customFormat="1" ht="17.25" customHeight="1">
      <c r="A12" s="128" t="s">
        <v>26</v>
      </c>
      <c r="B12" s="181" t="s">
        <v>37</v>
      </c>
      <c r="C12" s="115" t="s">
        <v>38</v>
      </c>
      <c r="D12" s="67"/>
      <c r="E12" s="136"/>
      <c r="F12" s="136"/>
      <c r="G12" s="137">
        <v>0</v>
      </c>
      <c r="H12" s="138">
        <f>D12-G12</f>
        <v>0</v>
      </c>
      <c r="I12" s="136"/>
      <c r="J12" s="136"/>
      <c r="K12" s="136"/>
      <c r="L12" s="136"/>
      <c r="M12" s="136"/>
      <c r="N12" s="136"/>
      <c r="O12" s="136"/>
      <c r="P12" s="136"/>
      <c r="Q12" s="136"/>
      <c r="R12" s="136"/>
      <c r="S12" s="136"/>
      <c r="T12" s="136"/>
      <c r="U12" s="139"/>
      <c r="V12" s="139"/>
      <c r="W12" s="139"/>
      <c r="X12" s="136"/>
      <c r="Y12" s="133">
        <f t="shared" si="2"/>
        <v>0</v>
      </c>
      <c r="Z12" s="133">
        <f t="shared" si="3"/>
        <v>0</v>
      </c>
      <c r="AA12" s="134">
        <f>+D12-Z12</f>
        <v>0</v>
      </c>
    </row>
    <row r="13" spans="1:27" s="135" customFormat="1" ht="17.25" customHeight="1">
      <c r="A13" s="128" t="s">
        <v>26</v>
      </c>
      <c r="B13" s="181" t="s">
        <v>39</v>
      </c>
      <c r="C13" s="115" t="s">
        <v>40</v>
      </c>
      <c r="D13" s="67"/>
      <c r="E13" s="136"/>
      <c r="F13" s="136"/>
      <c r="G13" s="137">
        <v>0</v>
      </c>
      <c r="H13" s="138">
        <f>D13-G13</f>
        <v>0</v>
      </c>
      <c r="I13" s="136"/>
      <c r="J13" s="136"/>
      <c r="K13" s="136"/>
      <c r="L13" s="136"/>
      <c r="M13" s="136"/>
      <c r="N13" s="136"/>
      <c r="O13" s="136"/>
      <c r="P13" s="136"/>
      <c r="Q13" s="136"/>
      <c r="R13" s="136"/>
      <c r="S13" s="136"/>
      <c r="T13" s="136"/>
      <c r="U13" s="139"/>
      <c r="V13" s="139"/>
      <c r="W13" s="139"/>
      <c r="X13" s="136"/>
      <c r="Y13" s="133">
        <f t="shared" si="2"/>
        <v>0</v>
      </c>
      <c r="Z13" s="133">
        <f t="shared" si="3"/>
        <v>0</v>
      </c>
      <c r="AA13" s="134">
        <f>+D13-Z13</f>
        <v>0</v>
      </c>
    </row>
    <row r="14" spans="1:27" s="135" customFormat="1" ht="17.25" customHeight="1">
      <c r="A14" s="128" t="s">
        <v>26</v>
      </c>
      <c r="B14" s="181" t="s">
        <v>41</v>
      </c>
      <c r="C14" s="115" t="s">
        <v>42</v>
      </c>
      <c r="D14" s="67"/>
      <c r="E14" s="136"/>
      <c r="F14" s="136"/>
      <c r="G14" s="137">
        <v>0</v>
      </c>
      <c r="H14" s="138">
        <f>D14-G14</f>
        <v>0</v>
      </c>
      <c r="I14" s="136"/>
      <c r="J14" s="136"/>
      <c r="K14" s="136"/>
      <c r="L14" s="136"/>
      <c r="M14" s="136"/>
      <c r="N14" s="136"/>
      <c r="O14" s="136"/>
      <c r="P14" s="136"/>
      <c r="Q14" s="136"/>
      <c r="R14" s="136"/>
      <c r="S14" s="136"/>
      <c r="T14" s="136"/>
      <c r="U14" s="139"/>
      <c r="V14" s="139"/>
      <c r="W14" s="139"/>
      <c r="X14" s="136"/>
      <c r="Y14" s="133">
        <f t="shared" si="2"/>
        <v>0</v>
      </c>
      <c r="Z14" s="133">
        <f t="shared" si="3"/>
        <v>0</v>
      </c>
      <c r="AA14" s="134">
        <f>+D14-Z14</f>
        <v>0</v>
      </c>
    </row>
    <row r="15" spans="1:27" s="135" customFormat="1" ht="17.25" customHeight="1">
      <c r="A15" s="128" t="s">
        <v>26</v>
      </c>
      <c r="B15" s="181" t="s">
        <v>43</v>
      </c>
      <c r="C15" s="115" t="s">
        <v>44</v>
      </c>
      <c r="D15" s="67"/>
      <c r="E15" s="136"/>
      <c r="F15" s="136"/>
      <c r="G15" s="137">
        <v>0</v>
      </c>
      <c r="H15" s="138">
        <f>D15-G15</f>
        <v>0</v>
      </c>
      <c r="I15" s="136"/>
      <c r="J15" s="136"/>
      <c r="K15" s="136"/>
      <c r="L15" s="136"/>
      <c r="M15" s="136"/>
      <c r="N15" s="136"/>
      <c r="O15" s="136"/>
      <c r="P15" s="136"/>
      <c r="Q15" s="136"/>
      <c r="R15" s="136"/>
      <c r="S15" s="136"/>
      <c r="T15" s="136"/>
      <c r="U15" s="139"/>
      <c r="V15" s="139"/>
      <c r="W15" s="139"/>
      <c r="X15" s="136"/>
      <c r="Y15" s="133">
        <f t="shared" si="2"/>
        <v>0</v>
      </c>
      <c r="Z15" s="133">
        <f t="shared" si="3"/>
        <v>0</v>
      </c>
      <c r="AA15" s="134">
        <f>+D15-Z15</f>
        <v>0</v>
      </c>
    </row>
    <row r="16" spans="1:27" s="135" customFormat="1" ht="17.25" customHeight="1">
      <c r="A16" s="128" t="s">
        <v>26</v>
      </c>
      <c r="B16" s="181" t="s">
        <v>45</v>
      </c>
      <c r="C16" s="115" t="s">
        <v>46</v>
      </c>
      <c r="D16" s="67"/>
      <c r="E16" s="136"/>
      <c r="F16" s="136"/>
      <c r="G16" s="137">
        <v>0</v>
      </c>
      <c r="H16" s="138">
        <f>D16-G16</f>
        <v>0</v>
      </c>
      <c r="I16" s="136"/>
      <c r="J16" s="136"/>
      <c r="K16" s="136"/>
      <c r="L16" s="136"/>
      <c r="M16" s="136"/>
      <c r="N16" s="136"/>
      <c r="O16" s="136"/>
      <c r="P16" s="136"/>
      <c r="Q16" s="136"/>
      <c r="R16" s="136"/>
      <c r="S16" s="136"/>
      <c r="T16" s="136"/>
      <c r="U16" s="139"/>
      <c r="V16" s="139"/>
      <c r="W16" s="139"/>
      <c r="X16" s="136"/>
      <c r="Y16" s="133">
        <f t="shared" si="2"/>
        <v>0</v>
      </c>
      <c r="Z16" s="133">
        <f t="shared" si="3"/>
        <v>0</v>
      </c>
      <c r="AA16" s="134">
        <f>+D16-Z16</f>
        <v>0</v>
      </c>
    </row>
    <row r="17" spans="1:27" s="135" customFormat="1" ht="17.25" customHeight="1">
      <c r="A17" s="128" t="s">
        <v>26</v>
      </c>
      <c r="B17" s="181" t="s">
        <v>47</v>
      </c>
      <c r="C17" s="115" t="s">
        <v>48</v>
      </c>
      <c r="D17" s="67"/>
      <c r="E17" s="136"/>
      <c r="F17" s="136"/>
      <c r="G17" s="137">
        <v>0</v>
      </c>
      <c r="H17" s="138">
        <f>D17-G17</f>
        <v>0</v>
      </c>
      <c r="I17" s="136"/>
      <c r="J17" s="136"/>
      <c r="K17" s="136"/>
      <c r="L17" s="136"/>
      <c r="M17" s="136"/>
      <c r="N17" s="136"/>
      <c r="O17" s="136"/>
      <c r="P17" s="136"/>
      <c r="Q17" s="136"/>
      <c r="R17" s="136"/>
      <c r="S17" s="136"/>
      <c r="T17" s="136"/>
      <c r="U17" s="139"/>
      <c r="V17" s="139"/>
      <c r="W17" s="139"/>
      <c r="X17" s="136"/>
      <c r="Y17" s="133">
        <f t="shared" si="2"/>
        <v>0</v>
      </c>
      <c r="Z17" s="133">
        <f t="shared" si="3"/>
        <v>0</v>
      </c>
      <c r="AA17" s="134">
        <f>+D17-Z17</f>
        <v>0</v>
      </c>
    </row>
    <row r="18" spans="1:27" s="135" customFormat="1" ht="17.25" customHeight="1">
      <c r="A18" s="128" t="s">
        <v>26</v>
      </c>
      <c r="B18" s="181" t="s">
        <v>49</v>
      </c>
      <c r="C18" s="115" t="s">
        <v>50</v>
      </c>
      <c r="D18" s="67"/>
      <c r="E18" s="136"/>
      <c r="F18" s="136"/>
      <c r="G18" s="137">
        <v>0</v>
      </c>
      <c r="H18" s="138">
        <f>D18-G18</f>
        <v>0</v>
      </c>
      <c r="I18" s="136"/>
      <c r="J18" s="136"/>
      <c r="K18" s="136"/>
      <c r="L18" s="136"/>
      <c r="M18" s="136"/>
      <c r="N18" s="136"/>
      <c r="O18" s="136"/>
      <c r="P18" s="136"/>
      <c r="Q18" s="136"/>
      <c r="R18" s="136"/>
      <c r="S18" s="136"/>
      <c r="T18" s="136"/>
      <c r="U18" s="139"/>
      <c r="V18" s="139"/>
      <c r="W18" s="139"/>
      <c r="X18" s="136"/>
      <c r="Y18" s="133">
        <f t="shared" si="2"/>
        <v>0</v>
      </c>
      <c r="Z18" s="133">
        <f t="shared" si="3"/>
        <v>0</v>
      </c>
      <c r="AA18" s="134">
        <f>+D18-Z18</f>
        <v>0</v>
      </c>
    </row>
    <row r="19" spans="1:27" s="135" customFormat="1" ht="17.25" customHeight="1">
      <c r="A19" s="128" t="s">
        <v>26</v>
      </c>
      <c r="B19" s="181" t="s">
        <v>51</v>
      </c>
      <c r="C19" s="115" t="s">
        <v>52</v>
      </c>
      <c r="D19" s="67"/>
      <c r="E19" s="136"/>
      <c r="F19" s="136"/>
      <c r="G19" s="137">
        <v>0</v>
      </c>
      <c r="H19" s="138">
        <f>D19-G19</f>
        <v>0</v>
      </c>
      <c r="I19" s="136"/>
      <c r="J19" s="136"/>
      <c r="K19" s="136"/>
      <c r="L19" s="136"/>
      <c r="M19" s="136"/>
      <c r="N19" s="136"/>
      <c r="O19" s="136"/>
      <c r="P19" s="136"/>
      <c r="Q19" s="136"/>
      <c r="R19" s="136"/>
      <c r="S19" s="136"/>
      <c r="T19" s="136"/>
      <c r="U19" s="139"/>
      <c r="V19" s="139"/>
      <c r="W19" s="139"/>
      <c r="X19" s="136"/>
      <c r="Y19" s="133">
        <f t="shared" si="2"/>
        <v>0</v>
      </c>
      <c r="Z19" s="133">
        <f t="shared" si="3"/>
        <v>0</v>
      </c>
      <c r="AA19" s="134">
        <f>+D19-Z19</f>
        <v>0</v>
      </c>
    </row>
    <row r="20" spans="1:27" s="135" customFormat="1" ht="17.25" customHeight="1">
      <c r="A20" s="128" t="s">
        <v>26</v>
      </c>
      <c r="B20" s="181" t="s">
        <v>53</v>
      </c>
      <c r="C20" s="115" t="s">
        <v>54</v>
      </c>
      <c r="D20" s="67"/>
      <c r="E20" s="136"/>
      <c r="F20" s="136"/>
      <c r="G20" s="137">
        <v>0</v>
      </c>
      <c r="H20" s="138">
        <f>D20-G20</f>
        <v>0</v>
      </c>
      <c r="I20" s="136"/>
      <c r="J20" s="136"/>
      <c r="K20" s="136"/>
      <c r="L20" s="136"/>
      <c r="M20" s="136"/>
      <c r="N20" s="136"/>
      <c r="O20" s="136"/>
      <c r="P20" s="136"/>
      <c r="Q20" s="136"/>
      <c r="R20" s="136"/>
      <c r="S20" s="136"/>
      <c r="T20" s="136"/>
      <c r="U20" s="139"/>
      <c r="V20" s="139"/>
      <c r="W20" s="139"/>
      <c r="X20" s="136"/>
      <c r="Y20" s="133">
        <f t="shared" si="2"/>
        <v>0</v>
      </c>
      <c r="Z20" s="133">
        <f t="shared" si="3"/>
        <v>0</v>
      </c>
      <c r="AA20" s="134">
        <f>+D20-Z20</f>
        <v>0</v>
      </c>
    </row>
    <row r="21" spans="1:27" s="135" customFormat="1" ht="17.25" customHeight="1">
      <c r="A21" s="128" t="s">
        <v>26</v>
      </c>
      <c r="B21" s="182" t="s">
        <v>55</v>
      </c>
      <c r="C21" s="116" t="s">
        <v>56</v>
      </c>
      <c r="D21" s="70"/>
      <c r="E21" s="140"/>
      <c r="F21" s="140"/>
      <c r="G21" s="141">
        <v>0</v>
      </c>
      <c r="H21" s="142">
        <f>D21-G21</f>
        <v>0</v>
      </c>
      <c r="I21" s="140"/>
      <c r="J21" s="140"/>
      <c r="K21" s="140"/>
      <c r="L21" s="140"/>
      <c r="M21" s="140"/>
      <c r="N21" s="140"/>
      <c r="O21" s="140"/>
      <c r="P21" s="140"/>
      <c r="Q21" s="140"/>
      <c r="R21" s="140"/>
      <c r="S21" s="140"/>
      <c r="T21" s="140"/>
      <c r="U21" s="143"/>
      <c r="V21" s="143"/>
      <c r="W21" s="143"/>
      <c r="X21" s="140"/>
      <c r="Y21" s="133">
        <f t="shared" si="2"/>
        <v>0</v>
      </c>
      <c r="Z21" s="133">
        <f t="shared" si="3"/>
        <v>0</v>
      </c>
      <c r="AA21" s="134">
        <f>+D21-Z21</f>
        <v>0</v>
      </c>
    </row>
    <row r="22" spans="1:27" s="135" customFormat="1" ht="13.5">
      <c r="A22" s="123" t="s">
        <v>57</v>
      </c>
      <c r="B22" s="179"/>
      <c r="C22" s="144"/>
      <c r="D22" s="145">
        <f t="shared" ref="D22:F22" si="4">SUBTOTAL(9,D23:D38)</f>
        <v>0</v>
      </c>
      <c r="E22" s="120">
        <f t="shared" si="4"/>
        <v>0</v>
      </c>
      <c r="F22" s="120">
        <f t="shared" si="4"/>
        <v>0</v>
      </c>
      <c r="G22" s="146">
        <v>0</v>
      </c>
      <c r="H22" s="146">
        <f>D22-G22</f>
        <v>0</v>
      </c>
      <c r="I22" s="145">
        <f t="shared" ref="I22:X22" si="5">SUBTOTAL(9,I23:I38)</f>
        <v>0</v>
      </c>
      <c r="J22" s="145">
        <f t="shared" si="5"/>
        <v>0</v>
      </c>
      <c r="K22" s="145">
        <f t="shared" si="5"/>
        <v>0</v>
      </c>
      <c r="L22" s="145">
        <f t="shared" si="5"/>
        <v>0</v>
      </c>
      <c r="M22" s="145">
        <f t="shared" si="5"/>
        <v>0</v>
      </c>
      <c r="N22" s="145">
        <f t="shared" si="5"/>
        <v>0</v>
      </c>
      <c r="O22" s="145">
        <f t="shared" si="5"/>
        <v>0</v>
      </c>
      <c r="P22" s="145">
        <f t="shared" si="5"/>
        <v>0</v>
      </c>
      <c r="Q22" s="145">
        <f t="shared" si="5"/>
        <v>0</v>
      </c>
      <c r="R22" s="145">
        <f t="shared" si="5"/>
        <v>0</v>
      </c>
      <c r="S22" s="145">
        <f t="shared" si="5"/>
        <v>0</v>
      </c>
      <c r="T22" s="145">
        <f t="shared" si="5"/>
        <v>0</v>
      </c>
      <c r="U22" s="145">
        <f t="shared" si="5"/>
        <v>0</v>
      </c>
      <c r="V22" s="145">
        <f t="shared" si="5"/>
        <v>0</v>
      </c>
      <c r="W22" s="145">
        <f t="shared" si="5"/>
        <v>0</v>
      </c>
      <c r="X22" s="145">
        <f t="shared" si="5"/>
        <v>0</v>
      </c>
      <c r="Y22" s="120">
        <f>SUM(I22:X22)</f>
        <v>0</v>
      </c>
      <c r="Z22" s="121">
        <f>+G22+Y22</f>
        <v>0</v>
      </c>
      <c r="AA22" s="122">
        <f>+D22-Z22</f>
        <v>0</v>
      </c>
    </row>
    <row r="23" spans="1:27" s="135" customFormat="1" ht="13.5">
      <c r="A23" s="147" t="s">
        <v>57</v>
      </c>
      <c r="B23" s="183" t="s">
        <v>27</v>
      </c>
      <c r="C23" s="114" t="s">
        <v>28</v>
      </c>
      <c r="D23" s="148"/>
      <c r="E23" s="129"/>
      <c r="F23" s="129"/>
      <c r="G23" s="130">
        <v>0</v>
      </c>
      <c r="H23" s="131">
        <f>D23-G23</f>
        <v>0</v>
      </c>
      <c r="I23" s="129"/>
      <c r="J23" s="129"/>
      <c r="K23" s="129"/>
      <c r="L23" s="129"/>
      <c r="M23" s="129"/>
      <c r="N23" s="129"/>
      <c r="O23" s="129"/>
      <c r="P23" s="129"/>
      <c r="Q23" s="129"/>
      <c r="R23" s="129"/>
      <c r="S23" s="129"/>
      <c r="T23" s="129"/>
      <c r="U23" s="132"/>
      <c r="V23" s="132"/>
      <c r="W23" s="132"/>
      <c r="X23" s="129"/>
      <c r="Y23" s="133">
        <f t="shared" ref="Y23" si="6">SUM(I23:X23)</f>
        <v>0</v>
      </c>
      <c r="Z23" s="133">
        <f t="shared" ref="Z23" si="7">+G23+Y23</f>
        <v>0</v>
      </c>
      <c r="AA23" s="134">
        <f>+D23-Z23</f>
        <v>0</v>
      </c>
    </row>
    <row r="24" spans="1:27" s="135" customFormat="1" ht="13.5">
      <c r="A24" s="147" t="s">
        <v>57</v>
      </c>
      <c r="B24" s="184" t="s">
        <v>29</v>
      </c>
      <c r="C24" s="115" t="s">
        <v>98</v>
      </c>
      <c r="D24" s="149"/>
      <c r="E24" s="136"/>
      <c r="F24" s="136"/>
      <c r="G24" s="137">
        <v>0</v>
      </c>
      <c r="H24" s="138">
        <f>D24-G24</f>
        <v>0</v>
      </c>
      <c r="I24" s="136"/>
      <c r="J24" s="136"/>
      <c r="K24" s="136"/>
      <c r="L24" s="136"/>
      <c r="M24" s="136"/>
      <c r="N24" s="136"/>
      <c r="O24" s="136"/>
      <c r="P24" s="136"/>
      <c r="Q24" s="136"/>
      <c r="R24" s="136"/>
      <c r="S24" s="136"/>
      <c r="T24" s="136"/>
      <c r="U24" s="139"/>
      <c r="V24" s="139"/>
      <c r="W24" s="139"/>
      <c r="X24" s="136"/>
      <c r="Y24" s="133">
        <f t="shared" ref="Y24:Y38" si="8">SUM(I24:X24)</f>
        <v>0</v>
      </c>
      <c r="Z24" s="133">
        <f t="shared" ref="Z24:Z38" si="9">+G24+Y24</f>
        <v>0</v>
      </c>
      <c r="AA24" s="134">
        <f>+D24-Z24</f>
        <v>0</v>
      </c>
    </row>
    <row r="25" spans="1:27" s="135" customFormat="1" ht="13.5">
      <c r="A25" s="147" t="s">
        <v>57</v>
      </c>
      <c r="B25" s="184" t="s">
        <v>31</v>
      </c>
      <c r="C25" s="115" t="s">
        <v>99</v>
      </c>
      <c r="D25" s="149"/>
      <c r="E25" s="136"/>
      <c r="F25" s="136"/>
      <c r="G25" s="137">
        <v>0</v>
      </c>
      <c r="H25" s="138">
        <f>D25-G25</f>
        <v>0</v>
      </c>
      <c r="I25" s="136"/>
      <c r="J25" s="136"/>
      <c r="K25" s="136"/>
      <c r="L25" s="136"/>
      <c r="M25" s="136"/>
      <c r="N25" s="136"/>
      <c r="O25" s="136"/>
      <c r="P25" s="136"/>
      <c r="Q25" s="136"/>
      <c r="R25" s="136"/>
      <c r="S25" s="136"/>
      <c r="T25" s="136"/>
      <c r="U25" s="139"/>
      <c r="V25" s="139"/>
      <c r="W25" s="139"/>
      <c r="X25" s="136"/>
      <c r="Y25" s="133">
        <f t="shared" si="8"/>
        <v>0</v>
      </c>
      <c r="Z25" s="133">
        <f t="shared" si="9"/>
        <v>0</v>
      </c>
      <c r="AA25" s="134">
        <f>+D25-Z25</f>
        <v>0</v>
      </c>
    </row>
    <row r="26" spans="1:27" s="135" customFormat="1" ht="13.5">
      <c r="A26" s="147" t="s">
        <v>57</v>
      </c>
      <c r="B26" s="184" t="s">
        <v>33</v>
      </c>
      <c r="C26" s="115" t="s">
        <v>34</v>
      </c>
      <c r="D26" s="149"/>
      <c r="E26" s="136"/>
      <c r="F26" s="136"/>
      <c r="G26" s="137">
        <v>0</v>
      </c>
      <c r="H26" s="138">
        <f>D26-G26</f>
        <v>0</v>
      </c>
      <c r="I26" s="136"/>
      <c r="J26" s="136"/>
      <c r="K26" s="136"/>
      <c r="L26" s="136"/>
      <c r="M26" s="136"/>
      <c r="N26" s="136"/>
      <c r="O26" s="136"/>
      <c r="P26" s="136"/>
      <c r="Q26" s="136"/>
      <c r="R26" s="136"/>
      <c r="S26" s="136"/>
      <c r="T26" s="136"/>
      <c r="U26" s="139"/>
      <c r="V26" s="139"/>
      <c r="W26" s="139"/>
      <c r="X26" s="136"/>
      <c r="Y26" s="133">
        <f t="shared" si="8"/>
        <v>0</v>
      </c>
      <c r="Z26" s="133">
        <f t="shared" si="9"/>
        <v>0</v>
      </c>
      <c r="AA26" s="134">
        <f>+D26-Z26</f>
        <v>0</v>
      </c>
    </row>
    <row r="27" spans="1:27" s="135" customFormat="1" ht="13.5">
      <c r="A27" s="147" t="s">
        <v>57</v>
      </c>
      <c r="B27" s="184" t="s">
        <v>35</v>
      </c>
      <c r="C27" s="115" t="s">
        <v>36</v>
      </c>
      <c r="D27" s="149"/>
      <c r="E27" s="136"/>
      <c r="F27" s="136"/>
      <c r="G27" s="137">
        <v>0</v>
      </c>
      <c r="H27" s="138">
        <f>D27-G27</f>
        <v>0</v>
      </c>
      <c r="I27" s="136"/>
      <c r="J27" s="136"/>
      <c r="K27" s="136"/>
      <c r="L27" s="136"/>
      <c r="M27" s="136"/>
      <c r="N27" s="136"/>
      <c r="O27" s="136"/>
      <c r="P27" s="136"/>
      <c r="Q27" s="136"/>
      <c r="R27" s="136"/>
      <c r="S27" s="136"/>
      <c r="T27" s="136"/>
      <c r="U27" s="139"/>
      <c r="V27" s="139"/>
      <c r="W27" s="139"/>
      <c r="X27" s="136"/>
      <c r="Y27" s="133">
        <f t="shared" si="8"/>
        <v>0</v>
      </c>
      <c r="Z27" s="133">
        <f t="shared" si="9"/>
        <v>0</v>
      </c>
      <c r="AA27" s="134">
        <f>+D27-Z27</f>
        <v>0</v>
      </c>
    </row>
    <row r="28" spans="1:27" s="135" customFormat="1" ht="13.5">
      <c r="A28" s="147" t="s">
        <v>57</v>
      </c>
      <c r="B28" s="184" t="s">
        <v>37</v>
      </c>
      <c r="C28" s="115" t="s">
        <v>38</v>
      </c>
      <c r="D28" s="149"/>
      <c r="E28" s="136"/>
      <c r="F28" s="136"/>
      <c r="G28" s="137">
        <v>0</v>
      </c>
      <c r="H28" s="138">
        <f>D28-G28</f>
        <v>0</v>
      </c>
      <c r="I28" s="136"/>
      <c r="J28" s="136"/>
      <c r="K28" s="136"/>
      <c r="L28" s="136"/>
      <c r="M28" s="136"/>
      <c r="N28" s="136"/>
      <c r="O28" s="136"/>
      <c r="P28" s="136"/>
      <c r="Q28" s="136"/>
      <c r="R28" s="136"/>
      <c r="S28" s="136"/>
      <c r="T28" s="136"/>
      <c r="U28" s="139"/>
      <c r="V28" s="139"/>
      <c r="W28" s="139"/>
      <c r="X28" s="136"/>
      <c r="Y28" s="133">
        <f t="shared" si="8"/>
        <v>0</v>
      </c>
      <c r="Z28" s="133">
        <f t="shared" si="9"/>
        <v>0</v>
      </c>
      <c r="AA28" s="134">
        <f>+D28-Z28</f>
        <v>0</v>
      </c>
    </row>
    <row r="29" spans="1:27" s="135" customFormat="1" ht="13.5">
      <c r="A29" s="147" t="s">
        <v>57</v>
      </c>
      <c r="B29" s="184" t="s">
        <v>39</v>
      </c>
      <c r="C29" s="115" t="s">
        <v>40</v>
      </c>
      <c r="D29" s="149"/>
      <c r="E29" s="136"/>
      <c r="F29" s="136"/>
      <c r="G29" s="137">
        <v>0</v>
      </c>
      <c r="H29" s="138">
        <f>D29-G29</f>
        <v>0</v>
      </c>
      <c r="I29" s="136"/>
      <c r="J29" s="136"/>
      <c r="K29" s="136"/>
      <c r="L29" s="136"/>
      <c r="M29" s="136"/>
      <c r="N29" s="136"/>
      <c r="O29" s="136"/>
      <c r="P29" s="136"/>
      <c r="Q29" s="136"/>
      <c r="R29" s="136"/>
      <c r="S29" s="136"/>
      <c r="T29" s="136"/>
      <c r="U29" s="139"/>
      <c r="V29" s="139"/>
      <c r="W29" s="139"/>
      <c r="X29" s="136"/>
      <c r="Y29" s="133">
        <f t="shared" si="8"/>
        <v>0</v>
      </c>
      <c r="Z29" s="133">
        <f t="shared" si="9"/>
        <v>0</v>
      </c>
      <c r="AA29" s="134">
        <f>+D29-Z29</f>
        <v>0</v>
      </c>
    </row>
    <row r="30" spans="1:27" s="135" customFormat="1" ht="13.5">
      <c r="A30" s="147" t="s">
        <v>57</v>
      </c>
      <c r="B30" s="184" t="s">
        <v>41</v>
      </c>
      <c r="C30" s="115" t="s">
        <v>42</v>
      </c>
      <c r="D30" s="149"/>
      <c r="E30" s="136"/>
      <c r="F30" s="136"/>
      <c r="G30" s="137">
        <v>0</v>
      </c>
      <c r="H30" s="138">
        <f>D30-G30</f>
        <v>0</v>
      </c>
      <c r="I30" s="136"/>
      <c r="J30" s="136"/>
      <c r="K30" s="136"/>
      <c r="L30" s="136"/>
      <c r="M30" s="136"/>
      <c r="N30" s="136"/>
      <c r="O30" s="136"/>
      <c r="P30" s="136"/>
      <c r="Q30" s="136"/>
      <c r="R30" s="136"/>
      <c r="S30" s="136"/>
      <c r="T30" s="136"/>
      <c r="U30" s="139"/>
      <c r="V30" s="139"/>
      <c r="W30" s="139"/>
      <c r="X30" s="136"/>
      <c r="Y30" s="133">
        <f t="shared" si="8"/>
        <v>0</v>
      </c>
      <c r="Z30" s="133">
        <f t="shared" si="9"/>
        <v>0</v>
      </c>
      <c r="AA30" s="134">
        <f>+D30-Z30</f>
        <v>0</v>
      </c>
    </row>
    <row r="31" spans="1:27" s="135" customFormat="1" ht="13.5">
      <c r="A31" s="147" t="s">
        <v>57</v>
      </c>
      <c r="B31" s="184" t="s">
        <v>43</v>
      </c>
      <c r="C31" s="115" t="s">
        <v>44</v>
      </c>
      <c r="D31" s="149"/>
      <c r="E31" s="136"/>
      <c r="F31" s="136"/>
      <c r="G31" s="137">
        <v>0</v>
      </c>
      <c r="H31" s="138">
        <f>D31-G31</f>
        <v>0</v>
      </c>
      <c r="I31" s="136"/>
      <c r="J31" s="136"/>
      <c r="K31" s="136"/>
      <c r="L31" s="136"/>
      <c r="M31" s="136"/>
      <c r="N31" s="136"/>
      <c r="O31" s="136"/>
      <c r="P31" s="136"/>
      <c r="Q31" s="136"/>
      <c r="R31" s="136"/>
      <c r="S31" s="136"/>
      <c r="T31" s="136"/>
      <c r="U31" s="139"/>
      <c r="V31" s="139"/>
      <c r="W31" s="139"/>
      <c r="X31" s="136"/>
      <c r="Y31" s="133">
        <f t="shared" si="8"/>
        <v>0</v>
      </c>
      <c r="Z31" s="133">
        <f t="shared" si="9"/>
        <v>0</v>
      </c>
      <c r="AA31" s="134">
        <f>+D31-Z31</f>
        <v>0</v>
      </c>
    </row>
    <row r="32" spans="1:27" s="135" customFormat="1" ht="13.5">
      <c r="A32" s="147" t="s">
        <v>57</v>
      </c>
      <c r="B32" s="184" t="s">
        <v>45</v>
      </c>
      <c r="C32" s="115" t="s">
        <v>46</v>
      </c>
      <c r="D32" s="149"/>
      <c r="E32" s="136"/>
      <c r="F32" s="136"/>
      <c r="G32" s="137">
        <v>0</v>
      </c>
      <c r="H32" s="138">
        <f>D32-G32</f>
        <v>0</v>
      </c>
      <c r="I32" s="136"/>
      <c r="J32" s="136"/>
      <c r="K32" s="136"/>
      <c r="L32" s="136"/>
      <c r="M32" s="136"/>
      <c r="N32" s="136"/>
      <c r="O32" s="136"/>
      <c r="P32" s="136"/>
      <c r="Q32" s="136"/>
      <c r="R32" s="136"/>
      <c r="S32" s="136"/>
      <c r="T32" s="136"/>
      <c r="U32" s="139"/>
      <c r="V32" s="139"/>
      <c r="W32" s="139"/>
      <c r="X32" s="136"/>
      <c r="Y32" s="133">
        <f t="shared" si="8"/>
        <v>0</v>
      </c>
      <c r="Z32" s="133">
        <f t="shared" si="9"/>
        <v>0</v>
      </c>
      <c r="AA32" s="134">
        <f>+D32-Z32</f>
        <v>0</v>
      </c>
    </row>
    <row r="33" spans="1:27" s="135" customFormat="1" ht="13.5">
      <c r="A33" s="147" t="s">
        <v>57</v>
      </c>
      <c r="B33" s="184" t="s">
        <v>47</v>
      </c>
      <c r="C33" s="115" t="s">
        <v>48</v>
      </c>
      <c r="D33" s="149"/>
      <c r="E33" s="136"/>
      <c r="F33" s="136"/>
      <c r="G33" s="137">
        <v>0</v>
      </c>
      <c r="H33" s="138">
        <f>D33-G33</f>
        <v>0</v>
      </c>
      <c r="I33" s="136"/>
      <c r="J33" s="136"/>
      <c r="K33" s="136"/>
      <c r="L33" s="136"/>
      <c r="M33" s="136"/>
      <c r="N33" s="136"/>
      <c r="O33" s="136"/>
      <c r="P33" s="136"/>
      <c r="Q33" s="136"/>
      <c r="R33" s="136"/>
      <c r="S33" s="136"/>
      <c r="T33" s="136"/>
      <c r="U33" s="139"/>
      <c r="V33" s="139"/>
      <c r="W33" s="139"/>
      <c r="X33" s="136"/>
      <c r="Y33" s="133">
        <f t="shared" si="8"/>
        <v>0</v>
      </c>
      <c r="Z33" s="133">
        <f t="shared" si="9"/>
        <v>0</v>
      </c>
      <c r="AA33" s="134">
        <f>+D33-Z33</f>
        <v>0</v>
      </c>
    </row>
    <row r="34" spans="1:27" s="135" customFormat="1" ht="13.5">
      <c r="A34" s="147" t="s">
        <v>57</v>
      </c>
      <c r="B34" s="184" t="s">
        <v>58</v>
      </c>
      <c r="C34" s="115" t="s">
        <v>59</v>
      </c>
      <c r="D34" s="149"/>
      <c r="E34" s="136"/>
      <c r="F34" s="136"/>
      <c r="G34" s="137">
        <v>0</v>
      </c>
      <c r="H34" s="138">
        <f>D34-G34</f>
        <v>0</v>
      </c>
      <c r="I34" s="136"/>
      <c r="J34" s="136"/>
      <c r="K34" s="136"/>
      <c r="L34" s="136"/>
      <c r="M34" s="136"/>
      <c r="N34" s="136"/>
      <c r="O34" s="136"/>
      <c r="P34" s="136"/>
      <c r="Q34" s="136"/>
      <c r="R34" s="136"/>
      <c r="S34" s="136"/>
      <c r="T34" s="136"/>
      <c r="U34" s="139"/>
      <c r="V34" s="139"/>
      <c r="W34" s="139"/>
      <c r="X34" s="136"/>
      <c r="Y34" s="133">
        <f t="shared" si="8"/>
        <v>0</v>
      </c>
      <c r="Z34" s="133">
        <f t="shared" si="9"/>
        <v>0</v>
      </c>
      <c r="AA34" s="134">
        <f>+D34-Z34</f>
        <v>0</v>
      </c>
    </row>
    <row r="35" spans="1:27" s="135" customFormat="1" ht="13.5">
      <c r="A35" s="147" t="s">
        <v>57</v>
      </c>
      <c r="B35" s="184" t="s">
        <v>49</v>
      </c>
      <c r="C35" s="115" t="s">
        <v>50</v>
      </c>
      <c r="D35" s="149"/>
      <c r="E35" s="136"/>
      <c r="F35" s="136"/>
      <c r="G35" s="137">
        <v>0</v>
      </c>
      <c r="H35" s="138">
        <f>D35-G35</f>
        <v>0</v>
      </c>
      <c r="I35" s="136"/>
      <c r="J35" s="136"/>
      <c r="K35" s="136"/>
      <c r="L35" s="136"/>
      <c r="M35" s="136"/>
      <c r="N35" s="136"/>
      <c r="O35" s="136"/>
      <c r="P35" s="136"/>
      <c r="Q35" s="136"/>
      <c r="R35" s="136"/>
      <c r="S35" s="136"/>
      <c r="T35" s="136"/>
      <c r="U35" s="139"/>
      <c r="V35" s="139"/>
      <c r="W35" s="139"/>
      <c r="X35" s="136"/>
      <c r="Y35" s="133">
        <f t="shared" si="8"/>
        <v>0</v>
      </c>
      <c r="Z35" s="133">
        <f t="shared" si="9"/>
        <v>0</v>
      </c>
      <c r="AA35" s="134">
        <f>+D35-Z35</f>
        <v>0</v>
      </c>
    </row>
    <row r="36" spans="1:27" s="135" customFormat="1" ht="13.5">
      <c r="A36" s="147" t="s">
        <v>57</v>
      </c>
      <c r="B36" s="184" t="s">
        <v>51</v>
      </c>
      <c r="C36" s="115" t="s">
        <v>52</v>
      </c>
      <c r="D36" s="149"/>
      <c r="E36" s="136"/>
      <c r="F36" s="136"/>
      <c r="G36" s="137">
        <v>0</v>
      </c>
      <c r="H36" s="138">
        <f>D36-G36</f>
        <v>0</v>
      </c>
      <c r="I36" s="136"/>
      <c r="J36" s="136"/>
      <c r="K36" s="136"/>
      <c r="L36" s="136"/>
      <c r="M36" s="136"/>
      <c r="N36" s="136"/>
      <c r="O36" s="136"/>
      <c r="P36" s="136"/>
      <c r="Q36" s="136"/>
      <c r="R36" s="136"/>
      <c r="S36" s="136"/>
      <c r="T36" s="136"/>
      <c r="U36" s="139"/>
      <c r="V36" s="139"/>
      <c r="W36" s="139"/>
      <c r="X36" s="136"/>
      <c r="Y36" s="133">
        <f t="shared" si="8"/>
        <v>0</v>
      </c>
      <c r="Z36" s="133">
        <f t="shared" si="9"/>
        <v>0</v>
      </c>
      <c r="AA36" s="134">
        <f>+D36-Z36</f>
        <v>0</v>
      </c>
    </row>
    <row r="37" spans="1:27" s="135" customFormat="1" ht="13.5">
      <c r="A37" s="147" t="s">
        <v>57</v>
      </c>
      <c r="B37" s="184" t="s">
        <v>53</v>
      </c>
      <c r="C37" s="115" t="s">
        <v>54</v>
      </c>
      <c r="D37" s="149"/>
      <c r="E37" s="136"/>
      <c r="F37" s="136"/>
      <c r="G37" s="137">
        <v>0</v>
      </c>
      <c r="H37" s="138">
        <f>D37-G37</f>
        <v>0</v>
      </c>
      <c r="I37" s="136"/>
      <c r="J37" s="136"/>
      <c r="K37" s="136"/>
      <c r="L37" s="136"/>
      <c r="M37" s="136"/>
      <c r="N37" s="136"/>
      <c r="O37" s="136"/>
      <c r="P37" s="136"/>
      <c r="Q37" s="136"/>
      <c r="R37" s="136"/>
      <c r="S37" s="136"/>
      <c r="T37" s="136"/>
      <c r="U37" s="139"/>
      <c r="V37" s="139"/>
      <c r="W37" s="139"/>
      <c r="X37" s="136"/>
      <c r="Y37" s="133">
        <f t="shared" si="8"/>
        <v>0</v>
      </c>
      <c r="Z37" s="133">
        <f t="shared" si="9"/>
        <v>0</v>
      </c>
      <c r="AA37" s="134">
        <f>+D37-Z37</f>
        <v>0</v>
      </c>
    </row>
    <row r="38" spans="1:27" s="135" customFormat="1" ht="13.5">
      <c r="A38" s="147" t="s">
        <v>57</v>
      </c>
      <c r="B38" s="185" t="s">
        <v>55</v>
      </c>
      <c r="C38" s="116" t="s">
        <v>56</v>
      </c>
      <c r="D38" s="150"/>
      <c r="E38" s="140"/>
      <c r="F38" s="140"/>
      <c r="G38" s="141">
        <v>0</v>
      </c>
      <c r="H38" s="142">
        <f>D38-G38</f>
        <v>0</v>
      </c>
      <c r="I38" s="140"/>
      <c r="J38" s="140"/>
      <c r="K38" s="140"/>
      <c r="L38" s="140"/>
      <c r="M38" s="140"/>
      <c r="N38" s="140"/>
      <c r="O38" s="140"/>
      <c r="P38" s="140"/>
      <c r="Q38" s="140"/>
      <c r="R38" s="140"/>
      <c r="S38" s="140"/>
      <c r="T38" s="140"/>
      <c r="U38" s="143"/>
      <c r="V38" s="143"/>
      <c r="W38" s="143"/>
      <c r="X38" s="140"/>
      <c r="Y38" s="133">
        <f t="shared" si="8"/>
        <v>0</v>
      </c>
      <c r="Z38" s="133">
        <f t="shared" si="9"/>
        <v>0</v>
      </c>
      <c r="AA38" s="134">
        <f>+D38-Z38</f>
        <v>0</v>
      </c>
    </row>
    <row r="39" spans="1:27" s="135" customFormat="1" ht="13.5">
      <c r="A39" s="123" t="s">
        <v>60</v>
      </c>
      <c r="B39" s="186"/>
      <c r="C39" s="151"/>
      <c r="D39" s="145">
        <f t="shared" ref="D39:F39" si="10">SUBTOTAL(9,D40:D48)</f>
        <v>0</v>
      </c>
      <c r="E39" s="120">
        <f t="shared" si="10"/>
        <v>0</v>
      </c>
      <c r="F39" s="120">
        <f t="shared" si="10"/>
        <v>0</v>
      </c>
      <c r="G39" s="146">
        <v>0</v>
      </c>
      <c r="H39" s="146">
        <f>D39-G39</f>
        <v>0</v>
      </c>
      <c r="I39" s="120">
        <f t="shared" ref="I39:R39" si="11">SUBTOTAL(9,I40:I48)</f>
        <v>0</v>
      </c>
      <c r="J39" s="120">
        <f t="shared" si="11"/>
        <v>0</v>
      </c>
      <c r="K39" s="120">
        <f t="shared" si="11"/>
        <v>0</v>
      </c>
      <c r="L39" s="120">
        <f t="shared" si="11"/>
        <v>0</v>
      </c>
      <c r="M39" s="120">
        <f t="shared" si="11"/>
        <v>0</v>
      </c>
      <c r="N39" s="120">
        <f t="shared" si="11"/>
        <v>0</v>
      </c>
      <c r="O39" s="120">
        <f t="shared" si="11"/>
        <v>0</v>
      </c>
      <c r="P39" s="120">
        <f t="shared" si="11"/>
        <v>0</v>
      </c>
      <c r="Q39" s="120">
        <f t="shared" si="11"/>
        <v>0</v>
      </c>
      <c r="R39" s="120">
        <f t="shared" si="11"/>
        <v>0</v>
      </c>
      <c r="S39" s="120">
        <f t="shared" ref="S39:W39" si="12">SUBTOTAL(9,S40:S48)</f>
        <v>0</v>
      </c>
      <c r="T39" s="120">
        <f t="shared" si="12"/>
        <v>0</v>
      </c>
      <c r="U39" s="120">
        <f t="shared" si="12"/>
        <v>0</v>
      </c>
      <c r="V39" s="120">
        <f t="shared" si="12"/>
        <v>0</v>
      </c>
      <c r="W39" s="120">
        <f t="shared" si="12"/>
        <v>0</v>
      </c>
      <c r="X39" s="120">
        <f t="shared" ref="X39" si="13">SUBTOTAL(9,X40:X48)</f>
        <v>0</v>
      </c>
      <c r="Y39" s="120">
        <f>SUM(I39:X39)</f>
        <v>0</v>
      </c>
      <c r="Z39" s="121">
        <f>+G39+Y39</f>
        <v>0</v>
      </c>
      <c r="AA39" s="122">
        <f>+D39-Z39</f>
        <v>0</v>
      </c>
    </row>
    <row r="40" spans="1:27" s="135" customFormat="1" ht="13.5">
      <c r="A40" s="147" t="s">
        <v>60</v>
      </c>
      <c r="B40" s="183" t="s">
        <v>29</v>
      </c>
      <c r="C40" s="114" t="s">
        <v>98</v>
      </c>
      <c r="D40" s="65"/>
      <c r="E40" s="129"/>
      <c r="F40" s="129"/>
      <c r="G40" s="130">
        <v>0</v>
      </c>
      <c r="H40" s="131">
        <f>D40-G40</f>
        <v>0</v>
      </c>
      <c r="I40" s="129"/>
      <c r="J40" s="129"/>
      <c r="K40" s="129"/>
      <c r="L40" s="129"/>
      <c r="M40" s="129"/>
      <c r="N40" s="129"/>
      <c r="O40" s="129"/>
      <c r="P40" s="129"/>
      <c r="Q40" s="129"/>
      <c r="R40" s="129"/>
      <c r="S40" s="129"/>
      <c r="T40" s="129"/>
      <c r="U40" s="132"/>
      <c r="V40" s="132"/>
      <c r="W40" s="132"/>
      <c r="X40" s="129"/>
      <c r="Y40" s="133">
        <f>SUM(I40:X40)</f>
        <v>0</v>
      </c>
      <c r="Z40" s="133">
        <f>+G40+Y40</f>
        <v>0</v>
      </c>
      <c r="AA40" s="134">
        <f>+D40-Z40</f>
        <v>0</v>
      </c>
    </row>
    <row r="41" spans="1:27" s="135" customFormat="1" ht="13.5">
      <c r="A41" s="147" t="s">
        <v>60</v>
      </c>
      <c r="B41" s="184" t="s">
        <v>31</v>
      </c>
      <c r="C41" s="115" t="s">
        <v>99</v>
      </c>
      <c r="D41" s="67"/>
      <c r="E41" s="136"/>
      <c r="F41" s="136"/>
      <c r="G41" s="137">
        <v>0</v>
      </c>
      <c r="H41" s="138">
        <f>D41-G41</f>
        <v>0</v>
      </c>
      <c r="I41" s="136"/>
      <c r="J41" s="136"/>
      <c r="K41" s="136"/>
      <c r="L41" s="136"/>
      <c r="M41" s="136"/>
      <c r="N41" s="136"/>
      <c r="O41" s="136"/>
      <c r="P41" s="136"/>
      <c r="Q41" s="136"/>
      <c r="R41" s="136"/>
      <c r="S41" s="136"/>
      <c r="T41" s="136"/>
      <c r="U41" s="139"/>
      <c r="V41" s="139"/>
      <c r="W41" s="139"/>
      <c r="X41" s="136"/>
      <c r="Y41" s="133">
        <f t="shared" ref="Y41:Y48" si="14">SUM(I41:X41)</f>
        <v>0</v>
      </c>
      <c r="Z41" s="133">
        <f t="shared" ref="Z41:Z48" si="15">+G41+Y41</f>
        <v>0</v>
      </c>
      <c r="AA41" s="134">
        <f>+D41-Z41</f>
        <v>0</v>
      </c>
    </row>
    <row r="42" spans="1:27" s="135" customFormat="1" ht="13.5">
      <c r="A42" s="147" t="s">
        <v>60</v>
      </c>
      <c r="B42" s="184" t="s">
        <v>61</v>
      </c>
      <c r="C42" s="115" t="s">
        <v>62</v>
      </c>
      <c r="D42" s="67"/>
      <c r="E42" s="136"/>
      <c r="F42" s="136"/>
      <c r="G42" s="137">
        <v>0</v>
      </c>
      <c r="H42" s="138">
        <f>D42-G42</f>
        <v>0</v>
      </c>
      <c r="I42" s="136"/>
      <c r="J42" s="136"/>
      <c r="K42" s="136"/>
      <c r="L42" s="136"/>
      <c r="M42" s="136"/>
      <c r="N42" s="136"/>
      <c r="O42" s="136"/>
      <c r="P42" s="136"/>
      <c r="Q42" s="136"/>
      <c r="R42" s="136"/>
      <c r="S42" s="136"/>
      <c r="T42" s="136"/>
      <c r="U42" s="139"/>
      <c r="V42" s="139"/>
      <c r="W42" s="139"/>
      <c r="X42" s="136"/>
      <c r="Y42" s="133">
        <f t="shared" si="14"/>
        <v>0</v>
      </c>
      <c r="Z42" s="133">
        <f t="shared" si="15"/>
        <v>0</v>
      </c>
      <c r="AA42" s="134">
        <f>+D42-Z42</f>
        <v>0</v>
      </c>
    </row>
    <row r="43" spans="1:27" s="135" customFormat="1" ht="13.5">
      <c r="A43" s="147" t="s">
        <v>60</v>
      </c>
      <c r="B43" s="184" t="s">
        <v>41</v>
      </c>
      <c r="C43" s="115" t="s">
        <v>42</v>
      </c>
      <c r="D43" s="67"/>
      <c r="E43" s="136"/>
      <c r="F43" s="136"/>
      <c r="G43" s="137">
        <v>0</v>
      </c>
      <c r="H43" s="138">
        <f>D43-G43</f>
        <v>0</v>
      </c>
      <c r="I43" s="136"/>
      <c r="J43" s="136"/>
      <c r="K43" s="136"/>
      <c r="L43" s="136"/>
      <c r="M43" s="136"/>
      <c r="N43" s="136"/>
      <c r="O43" s="136"/>
      <c r="P43" s="136"/>
      <c r="Q43" s="136"/>
      <c r="R43" s="136"/>
      <c r="S43" s="136"/>
      <c r="T43" s="136"/>
      <c r="U43" s="139"/>
      <c r="V43" s="139"/>
      <c r="W43" s="139"/>
      <c r="X43" s="136"/>
      <c r="Y43" s="133">
        <f t="shared" si="14"/>
        <v>0</v>
      </c>
      <c r="Z43" s="133">
        <f t="shared" si="15"/>
        <v>0</v>
      </c>
      <c r="AA43" s="134">
        <f>+D43-Z43</f>
        <v>0</v>
      </c>
    </row>
    <row r="44" spans="1:27" s="135" customFormat="1" ht="13.5">
      <c r="A44" s="147" t="s">
        <v>60</v>
      </c>
      <c r="B44" s="184" t="s">
        <v>45</v>
      </c>
      <c r="C44" s="115" t="s">
        <v>46</v>
      </c>
      <c r="D44" s="67"/>
      <c r="E44" s="136"/>
      <c r="F44" s="136"/>
      <c r="G44" s="137">
        <v>0</v>
      </c>
      <c r="H44" s="138">
        <f>D44-G44</f>
        <v>0</v>
      </c>
      <c r="I44" s="136"/>
      <c r="J44" s="136"/>
      <c r="K44" s="136"/>
      <c r="L44" s="136"/>
      <c r="M44" s="136"/>
      <c r="N44" s="136"/>
      <c r="O44" s="136"/>
      <c r="P44" s="136"/>
      <c r="Q44" s="136"/>
      <c r="R44" s="136"/>
      <c r="S44" s="136"/>
      <c r="T44" s="136"/>
      <c r="U44" s="139"/>
      <c r="V44" s="139"/>
      <c r="W44" s="139"/>
      <c r="X44" s="136"/>
      <c r="Y44" s="133">
        <f t="shared" si="14"/>
        <v>0</v>
      </c>
      <c r="Z44" s="133">
        <f t="shared" si="15"/>
        <v>0</v>
      </c>
      <c r="AA44" s="134">
        <f>+D44-Z44</f>
        <v>0</v>
      </c>
    </row>
    <row r="45" spans="1:27" s="135" customFormat="1" ht="13.5">
      <c r="A45" s="147" t="s">
        <v>60</v>
      </c>
      <c r="B45" s="184" t="s">
        <v>47</v>
      </c>
      <c r="C45" s="115" t="s">
        <v>48</v>
      </c>
      <c r="D45" s="67"/>
      <c r="E45" s="136"/>
      <c r="F45" s="136"/>
      <c r="G45" s="137">
        <v>0</v>
      </c>
      <c r="H45" s="138">
        <f>D45-G45</f>
        <v>0</v>
      </c>
      <c r="I45" s="136"/>
      <c r="J45" s="136"/>
      <c r="K45" s="136"/>
      <c r="L45" s="136"/>
      <c r="M45" s="136"/>
      <c r="N45" s="136"/>
      <c r="O45" s="136"/>
      <c r="P45" s="136"/>
      <c r="Q45" s="136"/>
      <c r="R45" s="136"/>
      <c r="S45" s="136"/>
      <c r="T45" s="136"/>
      <c r="U45" s="139"/>
      <c r="V45" s="139"/>
      <c r="W45" s="139"/>
      <c r="X45" s="136"/>
      <c r="Y45" s="133">
        <f t="shared" si="14"/>
        <v>0</v>
      </c>
      <c r="Z45" s="133">
        <f t="shared" si="15"/>
        <v>0</v>
      </c>
      <c r="AA45" s="134">
        <f>+D45-Z45</f>
        <v>0</v>
      </c>
    </row>
    <row r="46" spans="1:27" s="135" customFormat="1" ht="13.5">
      <c r="A46" s="147" t="s">
        <v>60</v>
      </c>
      <c r="B46" s="184" t="s">
        <v>49</v>
      </c>
      <c r="C46" s="115" t="s">
        <v>50</v>
      </c>
      <c r="D46" s="67"/>
      <c r="E46" s="136"/>
      <c r="F46" s="136"/>
      <c r="G46" s="137">
        <v>0</v>
      </c>
      <c r="H46" s="138">
        <f>D46-G46</f>
        <v>0</v>
      </c>
      <c r="I46" s="136"/>
      <c r="J46" s="136"/>
      <c r="K46" s="136"/>
      <c r="L46" s="136"/>
      <c r="M46" s="136"/>
      <c r="N46" s="136"/>
      <c r="O46" s="136"/>
      <c r="P46" s="136"/>
      <c r="Q46" s="136"/>
      <c r="R46" s="136"/>
      <c r="S46" s="136"/>
      <c r="T46" s="136"/>
      <c r="U46" s="139"/>
      <c r="V46" s="139"/>
      <c r="W46" s="139"/>
      <c r="X46" s="136"/>
      <c r="Y46" s="133">
        <f t="shared" si="14"/>
        <v>0</v>
      </c>
      <c r="Z46" s="133">
        <f t="shared" si="15"/>
        <v>0</v>
      </c>
      <c r="AA46" s="134">
        <f>+D46-Z46</f>
        <v>0</v>
      </c>
    </row>
    <row r="47" spans="1:27" s="135" customFormat="1" ht="13.5">
      <c r="A47" s="147" t="s">
        <v>60</v>
      </c>
      <c r="B47" s="184" t="s">
        <v>51</v>
      </c>
      <c r="C47" s="115" t="s">
        <v>52</v>
      </c>
      <c r="D47" s="67"/>
      <c r="E47" s="136"/>
      <c r="F47" s="136"/>
      <c r="G47" s="137">
        <v>0</v>
      </c>
      <c r="H47" s="138">
        <f>D47-G47</f>
        <v>0</v>
      </c>
      <c r="I47" s="136"/>
      <c r="J47" s="136"/>
      <c r="K47" s="136"/>
      <c r="L47" s="136"/>
      <c r="M47" s="136"/>
      <c r="N47" s="136"/>
      <c r="O47" s="136"/>
      <c r="P47" s="136"/>
      <c r="Q47" s="136"/>
      <c r="R47" s="136"/>
      <c r="S47" s="136"/>
      <c r="T47" s="136"/>
      <c r="U47" s="139"/>
      <c r="V47" s="139"/>
      <c r="W47" s="139"/>
      <c r="X47" s="136"/>
      <c r="Y47" s="133">
        <f t="shared" si="14"/>
        <v>0</v>
      </c>
      <c r="Z47" s="133">
        <f t="shared" si="15"/>
        <v>0</v>
      </c>
      <c r="AA47" s="134">
        <f>+D47-Z47</f>
        <v>0</v>
      </c>
    </row>
    <row r="48" spans="1:27" s="135" customFormat="1" ht="13.5">
      <c r="A48" s="147" t="s">
        <v>60</v>
      </c>
      <c r="B48" s="185" t="s">
        <v>55</v>
      </c>
      <c r="C48" s="116" t="s">
        <v>56</v>
      </c>
      <c r="D48" s="70"/>
      <c r="E48" s="140"/>
      <c r="F48" s="140"/>
      <c r="G48" s="141">
        <v>0</v>
      </c>
      <c r="H48" s="142">
        <f>D48-G48</f>
        <v>0</v>
      </c>
      <c r="I48" s="140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3"/>
      <c r="V48" s="143"/>
      <c r="W48" s="143"/>
      <c r="X48" s="140"/>
      <c r="Y48" s="133">
        <f t="shared" si="14"/>
        <v>0</v>
      </c>
      <c r="Z48" s="133">
        <f t="shared" si="15"/>
        <v>0</v>
      </c>
      <c r="AA48" s="134">
        <f>+D48-Z48</f>
        <v>0</v>
      </c>
    </row>
    <row r="49" spans="1:27" s="135" customFormat="1" ht="13.5">
      <c r="A49" s="152" t="s">
        <v>63</v>
      </c>
      <c r="B49" s="186"/>
      <c r="C49" s="151"/>
      <c r="D49" s="120">
        <f t="shared" ref="D49:F49" si="16">SUBTOTAL(9,D50:D61)</f>
        <v>0</v>
      </c>
      <c r="E49" s="120">
        <f t="shared" si="16"/>
        <v>0</v>
      </c>
      <c r="F49" s="120">
        <f t="shared" si="16"/>
        <v>0</v>
      </c>
      <c r="G49" s="146">
        <v>0</v>
      </c>
      <c r="H49" s="146">
        <f>D49-G49</f>
        <v>0</v>
      </c>
      <c r="I49" s="120">
        <f t="shared" ref="I49:R49" si="17">SUBTOTAL(9,I50:I61)</f>
        <v>0</v>
      </c>
      <c r="J49" s="120">
        <f t="shared" si="17"/>
        <v>0</v>
      </c>
      <c r="K49" s="120">
        <f t="shared" si="17"/>
        <v>0</v>
      </c>
      <c r="L49" s="120">
        <f t="shared" si="17"/>
        <v>0</v>
      </c>
      <c r="M49" s="120">
        <f t="shared" si="17"/>
        <v>0</v>
      </c>
      <c r="N49" s="120">
        <f t="shared" si="17"/>
        <v>0</v>
      </c>
      <c r="O49" s="120">
        <f t="shared" si="17"/>
        <v>0</v>
      </c>
      <c r="P49" s="120">
        <f t="shared" si="17"/>
        <v>0</v>
      </c>
      <c r="Q49" s="120">
        <f t="shared" si="17"/>
        <v>0</v>
      </c>
      <c r="R49" s="120">
        <f t="shared" si="17"/>
        <v>0</v>
      </c>
      <c r="S49" s="120">
        <f t="shared" ref="S49:X49" si="18">SUBTOTAL(9,S50:S61)</f>
        <v>0</v>
      </c>
      <c r="T49" s="120">
        <f t="shared" si="18"/>
        <v>0</v>
      </c>
      <c r="U49" s="120">
        <f t="shared" si="18"/>
        <v>0</v>
      </c>
      <c r="V49" s="120">
        <f t="shared" si="18"/>
        <v>0</v>
      </c>
      <c r="W49" s="120">
        <f t="shared" si="18"/>
        <v>0</v>
      </c>
      <c r="X49" s="120">
        <f t="shared" si="18"/>
        <v>0</v>
      </c>
      <c r="Y49" s="120">
        <f>SUM(I49:X49)</f>
        <v>0</v>
      </c>
      <c r="Z49" s="121">
        <f>+G49+Y49</f>
        <v>0</v>
      </c>
      <c r="AA49" s="122">
        <f>+D49-Z49</f>
        <v>0</v>
      </c>
    </row>
    <row r="50" spans="1:27" s="135" customFormat="1" ht="13.5">
      <c r="A50" s="153" t="s">
        <v>63</v>
      </c>
      <c r="B50" s="183" t="s">
        <v>27</v>
      </c>
      <c r="C50" s="114" t="s">
        <v>28</v>
      </c>
      <c r="D50" s="65"/>
      <c r="E50" s="66"/>
      <c r="F50" s="66"/>
      <c r="G50" s="130">
        <v>0</v>
      </c>
      <c r="H50" s="131">
        <f>D50-G50</f>
        <v>0</v>
      </c>
      <c r="I50" s="129"/>
      <c r="J50" s="129"/>
      <c r="K50" s="129"/>
      <c r="L50" s="129"/>
      <c r="M50" s="129"/>
      <c r="N50" s="129"/>
      <c r="O50" s="129"/>
      <c r="P50" s="129"/>
      <c r="Q50" s="129"/>
      <c r="R50" s="129"/>
      <c r="S50" s="129"/>
      <c r="T50" s="129"/>
      <c r="U50" s="132"/>
      <c r="V50" s="132"/>
      <c r="W50" s="132"/>
      <c r="X50" s="129"/>
      <c r="Y50" s="133">
        <f>SUM(I50:X50)</f>
        <v>0</v>
      </c>
      <c r="Z50" s="133">
        <f>+G50+Y50</f>
        <v>0</v>
      </c>
      <c r="AA50" s="134">
        <f>+D50-Z50</f>
        <v>0</v>
      </c>
    </row>
    <row r="51" spans="1:27" s="135" customFormat="1" ht="13.5">
      <c r="A51" s="153" t="s">
        <v>63</v>
      </c>
      <c r="B51" s="184" t="s">
        <v>29</v>
      </c>
      <c r="C51" s="115" t="s">
        <v>98</v>
      </c>
      <c r="D51" s="67"/>
      <c r="E51" s="68"/>
      <c r="F51" s="68"/>
      <c r="G51" s="137">
        <v>0</v>
      </c>
      <c r="H51" s="138">
        <f>D51-G51</f>
        <v>0</v>
      </c>
      <c r="I51" s="136"/>
      <c r="J51" s="136"/>
      <c r="K51" s="136"/>
      <c r="L51" s="136"/>
      <c r="M51" s="136"/>
      <c r="N51" s="136"/>
      <c r="O51" s="136"/>
      <c r="P51" s="136"/>
      <c r="Q51" s="136"/>
      <c r="R51" s="136"/>
      <c r="S51" s="136"/>
      <c r="T51" s="136"/>
      <c r="U51" s="139"/>
      <c r="V51" s="139"/>
      <c r="W51" s="139"/>
      <c r="X51" s="136"/>
      <c r="Y51" s="133">
        <f t="shared" ref="Y51:Y61" si="19">SUM(I51:X51)</f>
        <v>0</v>
      </c>
      <c r="Z51" s="133">
        <f t="shared" ref="Z51:Z61" si="20">+G51+Y51</f>
        <v>0</v>
      </c>
      <c r="AA51" s="134">
        <f>+D51-Z51</f>
        <v>0</v>
      </c>
    </row>
    <row r="52" spans="1:27" s="135" customFormat="1" ht="13.5">
      <c r="A52" s="153" t="s">
        <v>63</v>
      </c>
      <c r="B52" s="184" t="s">
        <v>31</v>
      </c>
      <c r="C52" s="115" t="s">
        <v>99</v>
      </c>
      <c r="D52" s="67"/>
      <c r="E52" s="68"/>
      <c r="F52" s="68"/>
      <c r="G52" s="137">
        <v>0</v>
      </c>
      <c r="H52" s="138">
        <f>D52-G52</f>
        <v>0</v>
      </c>
      <c r="I52" s="136"/>
      <c r="J52" s="136"/>
      <c r="K52" s="136"/>
      <c r="L52" s="136"/>
      <c r="M52" s="136"/>
      <c r="N52" s="136"/>
      <c r="O52" s="136"/>
      <c r="P52" s="136"/>
      <c r="Q52" s="136"/>
      <c r="R52" s="136"/>
      <c r="S52" s="136"/>
      <c r="T52" s="136"/>
      <c r="U52" s="139"/>
      <c r="V52" s="139"/>
      <c r="W52" s="139"/>
      <c r="X52" s="136"/>
      <c r="Y52" s="133">
        <f t="shared" si="19"/>
        <v>0</v>
      </c>
      <c r="Z52" s="133">
        <f t="shared" si="20"/>
        <v>0</v>
      </c>
      <c r="AA52" s="134">
        <f>+D52-Z52</f>
        <v>0</v>
      </c>
    </row>
    <row r="53" spans="1:27" s="135" customFormat="1" ht="13.5">
      <c r="A53" s="153" t="s">
        <v>63</v>
      </c>
      <c r="B53" s="184" t="s">
        <v>33</v>
      </c>
      <c r="C53" s="115" t="s">
        <v>34</v>
      </c>
      <c r="D53" s="67"/>
      <c r="E53" s="68"/>
      <c r="F53" s="68"/>
      <c r="G53" s="137">
        <v>0</v>
      </c>
      <c r="H53" s="138">
        <f>D53-G53</f>
        <v>0</v>
      </c>
      <c r="I53" s="136"/>
      <c r="J53" s="136"/>
      <c r="K53" s="136"/>
      <c r="L53" s="136"/>
      <c r="M53" s="136"/>
      <c r="N53" s="136"/>
      <c r="O53" s="136"/>
      <c r="P53" s="136"/>
      <c r="Q53" s="136"/>
      <c r="R53" s="136"/>
      <c r="S53" s="136"/>
      <c r="T53" s="136"/>
      <c r="U53" s="139"/>
      <c r="V53" s="139"/>
      <c r="W53" s="139"/>
      <c r="X53" s="136"/>
      <c r="Y53" s="133">
        <f t="shared" si="19"/>
        <v>0</v>
      </c>
      <c r="Z53" s="133">
        <f t="shared" si="20"/>
        <v>0</v>
      </c>
      <c r="AA53" s="134">
        <f>+D53-Z53</f>
        <v>0</v>
      </c>
    </row>
    <row r="54" spans="1:27" s="135" customFormat="1" ht="13.5">
      <c r="A54" s="153" t="s">
        <v>63</v>
      </c>
      <c r="B54" s="184" t="s">
        <v>41</v>
      </c>
      <c r="C54" s="115" t="s">
        <v>42</v>
      </c>
      <c r="D54" s="67"/>
      <c r="E54" s="69"/>
      <c r="F54" s="69"/>
      <c r="G54" s="137">
        <v>0</v>
      </c>
      <c r="H54" s="138">
        <f>D54-G54</f>
        <v>0</v>
      </c>
      <c r="I54" s="136"/>
      <c r="J54" s="136"/>
      <c r="K54" s="136"/>
      <c r="L54" s="136"/>
      <c r="M54" s="136"/>
      <c r="N54" s="136"/>
      <c r="O54" s="136"/>
      <c r="P54" s="136"/>
      <c r="Q54" s="136"/>
      <c r="R54" s="136"/>
      <c r="S54" s="136"/>
      <c r="T54" s="136"/>
      <c r="U54" s="139"/>
      <c r="V54" s="139"/>
      <c r="W54" s="139"/>
      <c r="X54" s="136"/>
      <c r="Y54" s="133">
        <f t="shared" si="19"/>
        <v>0</v>
      </c>
      <c r="Z54" s="133">
        <f t="shared" si="20"/>
        <v>0</v>
      </c>
      <c r="AA54" s="134">
        <f>+D54-Z54</f>
        <v>0</v>
      </c>
    </row>
    <row r="55" spans="1:27" s="135" customFormat="1" ht="13.5">
      <c r="A55" s="153" t="s">
        <v>63</v>
      </c>
      <c r="B55" s="184" t="s">
        <v>43</v>
      </c>
      <c r="C55" s="115" t="s">
        <v>44</v>
      </c>
      <c r="D55" s="67"/>
      <c r="E55" s="69"/>
      <c r="F55" s="69"/>
      <c r="G55" s="137">
        <v>0</v>
      </c>
      <c r="H55" s="138">
        <f>D55-G55</f>
        <v>0</v>
      </c>
      <c r="I55" s="136"/>
      <c r="J55" s="136"/>
      <c r="K55" s="136"/>
      <c r="L55" s="136"/>
      <c r="M55" s="136"/>
      <c r="N55" s="136"/>
      <c r="O55" s="136"/>
      <c r="P55" s="136"/>
      <c r="Q55" s="136"/>
      <c r="R55" s="136"/>
      <c r="S55" s="136"/>
      <c r="T55" s="136"/>
      <c r="U55" s="139"/>
      <c r="V55" s="139"/>
      <c r="W55" s="139"/>
      <c r="X55" s="136"/>
      <c r="Y55" s="133">
        <f t="shared" si="19"/>
        <v>0</v>
      </c>
      <c r="Z55" s="133">
        <f t="shared" si="20"/>
        <v>0</v>
      </c>
      <c r="AA55" s="134">
        <f>+D55-Z55</f>
        <v>0</v>
      </c>
    </row>
    <row r="56" spans="1:27" s="135" customFormat="1" ht="13.5">
      <c r="A56" s="153" t="s">
        <v>63</v>
      </c>
      <c r="B56" s="184" t="s">
        <v>45</v>
      </c>
      <c r="C56" s="115" t="s">
        <v>46</v>
      </c>
      <c r="D56" s="67"/>
      <c r="E56" s="68"/>
      <c r="F56" s="69"/>
      <c r="G56" s="137">
        <v>0</v>
      </c>
      <c r="H56" s="138">
        <f>D56-G56</f>
        <v>0</v>
      </c>
      <c r="I56" s="136"/>
      <c r="J56" s="136"/>
      <c r="K56" s="136"/>
      <c r="L56" s="136"/>
      <c r="M56" s="136"/>
      <c r="N56" s="136"/>
      <c r="O56" s="136"/>
      <c r="P56" s="136"/>
      <c r="Q56" s="136"/>
      <c r="R56" s="136"/>
      <c r="S56" s="136"/>
      <c r="T56" s="136"/>
      <c r="U56" s="139"/>
      <c r="V56" s="139"/>
      <c r="W56" s="139"/>
      <c r="X56" s="136"/>
      <c r="Y56" s="133">
        <f t="shared" si="19"/>
        <v>0</v>
      </c>
      <c r="Z56" s="133">
        <f t="shared" si="20"/>
        <v>0</v>
      </c>
      <c r="AA56" s="134">
        <f>+D56-Z56</f>
        <v>0</v>
      </c>
    </row>
    <row r="57" spans="1:27" s="135" customFormat="1" ht="13.5">
      <c r="A57" s="153" t="s">
        <v>63</v>
      </c>
      <c r="B57" s="184" t="s">
        <v>47</v>
      </c>
      <c r="C57" s="115" t="s">
        <v>48</v>
      </c>
      <c r="D57" s="67"/>
      <c r="E57" s="69"/>
      <c r="F57" s="69"/>
      <c r="G57" s="137">
        <v>0</v>
      </c>
      <c r="H57" s="138">
        <f>D57-G57</f>
        <v>0</v>
      </c>
      <c r="I57" s="136"/>
      <c r="J57" s="136"/>
      <c r="K57" s="136"/>
      <c r="L57" s="136"/>
      <c r="M57" s="136"/>
      <c r="N57" s="136"/>
      <c r="O57" s="136"/>
      <c r="P57" s="136"/>
      <c r="Q57" s="136"/>
      <c r="R57" s="136"/>
      <c r="S57" s="136"/>
      <c r="T57" s="136"/>
      <c r="U57" s="139"/>
      <c r="V57" s="139"/>
      <c r="W57" s="139"/>
      <c r="X57" s="136"/>
      <c r="Y57" s="133">
        <f t="shared" si="19"/>
        <v>0</v>
      </c>
      <c r="Z57" s="133">
        <f t="shared" si="20"/>
        <v>0</v>
      </c>
      <c r="AA57" s="134">
        <f>+D57-Z57</f>
        <v>0</v>
      </c>
    </row>
    <row r="58" spans="1:27" s="135" customFormat="1" ht="13.5">
      <c r="A58" s="153" t="s">
        <v>63</v>
      </c>
      <c r="B58" s="184" t="s">
        <v>58</v>
      </c>
      <c r="C58" s="115" t="s">
        <v>59</v>
      </c>
      <c r="D58" s="67"/>
      <c r="E58" s="69"/>
      <c r="F58" s="69"/>
      <c r="G58" s="137">
        <v>0</v>
      </c>
      <c r="H58" s="138">
        <f>D58-G58</f>
        <v>0</v>
      </c>
      <c r="I58" s="136"/>
      <c r="J58" s="136"/>
      <c r="K58" s="136"/>
      <c r="L58" s="136"/>
      <c r="M58" s="136"/>
      <c r="N58" s="136"/>
      <c r="O58" s="136"/>
      <c r="P58" s="136"/>
      <c r="Q58" s="136"/>
      <c r="R58" s="136"/>
      <c r="S58" s="136"/>
      <c r="T58" s="136"/>
      <c r="U58" s="139"/>
      <c r="V58" s="139"/>
      <c r="W58" s="139"/>
      <c r="X58" s="136"/>
      <c r="Y58" s="133">
        <f t="shared" si="19"/>
        <v>0</v>
      </c>
      <c r="Z58" s="133">
        <f t="shared" si="20"/>
        <v>0</v>
      </c>
      <c r="AA58" s="134">
        <f>+D58-Z58</f>
        <v>0</v>
      </c>
    </row>
    <row r="59" spans="1:27" s="135" customFormat="1" ht="13.5">
      <c r="A59" s="153" t="s">
        <v>63</v>
      </c>
      <c r="B59" s="184" t="s">
        <v>49</v>
      </c>
      <c r="C59" s="115" t="s">
        <v>50</v>
      </c>
      <c r="D59" s="67"/>
      <c r="E59" s="69"/>
      <c r="F59" s="69"/>
      <c r="G59" s="137">
        <v>0</v>
      </c>
      <c r="H59" s="138">
        <f>D59-G59</f>
        <v>0</v>
      </c>
      <c r="I59" s="136"/>
      <c r="J59" s="136"/>
      <c r="K59" s="136"/>
      <c r="L59" s="136"/>
      <c r="M59" s="136"/>
      <c r="N59" s="136"/>
      <c r="O59" s="136"/>
      <c r="P59" s="136"/>
      <c r="Q59" s="136"/>
      <c r="R59" s="136"/>
      <c r="S59" s="136"/>
      <c r="T59" s="136"/>
      <c r="U59" s="139"/>
      <c r="V59" s="139"/>
      <c r="W59" s="139"/>
      <c r="X59" s="136"/>
      <c r="Y59" s="133">
        <f t="shared" si="19"/>
        <v>0</v>
      </c>
      <c r="Z59" s="133">
        <f t="shared" si="20"/>
        <v>0</v>
      </c>
      <c r="AA59" s="134">
        <f>+D59-Z59</f>
        <v>0</v>
      </c>
    </row>
    <row r="60" spans="1:27" s="135" customFormat="1" ht="13.5">
      <c r="A60" s="153" t="s">
        <v>63</v>
      </c>
      <c r="B60" s="184" t="s">
        <v>51</v>
      </c>
      <c r="C60" s="115" t="s">
        <v>52</v>
      </c>
      <c r="D60" s="67"/>
      <c r="E60" s="68"/>
      <c r="F60" s="68"/>
      <c r="G60" s="137">
        <v>0</v>
      </c>
      <c r="H60" s="138">
        <f>D60-G60</f>
        <v>0</v>
      </c>
      <c r="I60" s="136"/>
      <c r="J60" s="136"/>
      <c r="K60" s="136"/>
      <c r="L60" s="136"/>
      <c r="M60" s="136"/>
      <c r="N60" s="136"/>
      <c r="O60" s="136"/>
      <c r="P60" s="136"/>
      <c r="Q60" s="136"/>
      <c r="R60" s="136"/>
      <c r="S60" s="136"/>
      <c r="T60" s="136"/>
      <c r="U60" s="139"/>
      <c r="V60" s="139"/>
      <c r="W60" s="139"/>
      <c r="X60" s="136"/>
      <c r="Y60" s="133">
        <f t="shared" si="19"/>
        <v>0</v>
      </c>
      <c r="Z60" s="133">
        <f t="shared" si="20"/>
        <v>0</v>
      </c>
      <c r="AA60" s="134">
        <f>+D60-Z60</f>
        <v>0</v>
      </c>
    </row>
    <row r="61" spans="1:27" s="135" customFormat="1" ht="13.5">
      <c r="A61" s="153" t="s">
        <v>63</v>
      </c>
      <c r="B61" s="185" t="s">
        <v>55</v>
      </c>
      <c r="C61" s="116" t="s">
        <v>56</v>
      </c>
      <c r="D61" s="70"/>
      <c r="E61" s="71"/>
      <c r="F61" s="71"/>
      <c r="G61" s="141">
        <v>0</v>
      </c>
      <c r="H61" s="142">
        <f>D61-G61</f>
        <v>0</v>
      </c>
      <c r="I61" s="140"/>
      <c r="J61" s="140"/>
      <c r="K61" s="140"/>
      <c r="L61" s="140"/>
      <c r="M61" s="140"/>
      <c r="N61" s="140"/>
      <c r="O61" s="140"/>
      <c r="P61" s="140"/>
      <c r="Q61" s="140"/>
      <c r="R61" s="140"/>
      <c r="S61" s="140"/>
      <c r="T61" s="140"/>
      <c r="U61" s="143"/>
      <c r="V61" s="143"/>
      <c r="W61" s="143"/>
      <c r="X61" s="140"/>
      <c r="Y61" s="133">
        <f t="shared" si="19"/>
        <v>0</v>
      </c>
      <c r="Z61" s="133">
        <f t="shared" si="20"/>
        <v>0</v>
      </c>
      <c r="AA61" s="134">
        <f>+D61-Z61</f>
        <v>0</v>
      </c>
    </row>
    <row r="62" spans="1:27" s="135" customFormat="1" ht="13.5">
      <c r="A62" s="152" t="s">
        <v>64</v>
      </c>
      <c r="B62" s="186"/>
      <c r="C62" s="151"/>
      <c r="D62" s="120">
        <f t="shared" ref="D62:F62" si="21">SUBTOTAL(9,D63:D77)</f>
        <v>0</v>
      </c>
      <c r="E62" s="120">
        <f t="shared" si="21"/>
        <v>0</v>
      </c>
      <c r="F62" s="120">
        <f t="shared" si="21"/>
        <v>0</v>
      </c>
      <c r="G62" s="146">
        <v>0</v>
      </c>
      <c r="H62" s="146">
        <f>D62-G62</f>
        <v>0</v>
      </c>
      <c r="I62" s="120">
        <f t="shared" ref="I62:R62" si="22">SUBTOTAL(9,I63:I77)</f>
        <v>0</v>
      </c>
      <c r="J62" s="120">
        <f t="shared" si="22"/>
        <v>0</v>
      </c>
      <c r="K62" s="120">
        <f t="shared" si="22"/>
        <v>0</v>
      </c>
      <c r="L62" s="120">
        <f t="shared" si="22"/>
        <v>0</v>
      </c>
      <c r="M62" s="120">
        <f t="shared" si="22"/>
        <v>0</v>
      </c>
      <c r="N62" s="120">
        <f t="shared" si="22"/>
        <v>0</v>
      </c>
      <c r="O62" s="120">
        <f t="shared" si="22"/>
        <v>0</v>
      </c>
      <c r="P62" s="120">
        <f t="shared" si="22"/>
        <v>0</v>
      </c>
      <c r="Q62" s="120">
        <f t="shared" si="22"/>
        <v>0</v>
      </c>
      <c r="R62" s="120">
        <f t="shared" si="22"/>
        <v>0</v>
      </c>
      <c r="S62" s="120">
        <f t="shared" ref="S62:X62" si="23">SUBTOTAL(9,S63:S77)</f>
        <v>0</v>
      </c>
      <c r="T62" s="120">
        <f t="shared" si="23"/>
        <v>0</v>
      </c>
      <c r="U62" s="120">
        <f t="shared" si="23"/>
        <v>0</v>
      </c>
      <c r="V62" s="120">
        <f t="shared" si="23"/>
        <v>0</v>
      </c>
      <c r="W62" s="120">
        <f t="shared" si="23"/>
        <v>0</v>
      </c>
      <c r="X62" s="120">
        <f t="shared" si="23"/>
        <v>0</v>
      </c>
      <c r="Y62" s="120">
        <f>SUM(I62:X62)</f>
        <v>0</v>
      </c>
      <c r="Z62" s="121">
        <f>+G62+Y62</f>
        <v>0</v>
      </c>
      <c r="AA62" s="122">
        <f>+D62-Z62</f>
        <v>0</v>
      </c>
    </row>
    <row r="63" spans="1:27" s="135" customFormat="1" ht="13.5">
      <c r="A63" s="154" t="s">
        <v>64</v>
      </c>
      <c r="B63" s="187" t="s">
        <v>27</v>
      </c>
      <c r="C63" s="117" t="s">
        <v>28</v>
      </c>
      <c r="D63" s="72"/>
      <c r="E63" s="155"/>
      <c r="F63" s="155"/>
      <c r="G63" s="156">
        <v>0</v>
      </c>
      <c r="H63" s="157">
        <f>D63-G63</f>
        <v>0</v>
      </c>
      <c r="I63" s="155"/>
      <c r="J63" s="155"/>
      <c r="K63" s="155"/>
      <c r="L63" s="155"/>
      <c r="M63" s="155"/>
      <c r="N63" s="155"/>
      <c r="O63" s="155"/>
      <c r="P63" s="155"/>
      <c r="Q63" s="155"/>
      <c r="R63" s="155"/>
      <c r="S63" s="155"/>
      <c r="T63" s="155"/>
      <c r="U63" s="158"/>
      <c r="V63" s="158"/>
      <c r="W63" s="158"/>
      <c r="X63" s="155"/>
      <c r="Y63" s="159">
        <f>SUM(I63:X63)</f>
        <v>0</v>
      </c>
      <c r="Z63" s="159">
        <f>+G63+Y63</f>
        <v>0</v>
      </c>
      <c r="AA63" s="160">
        <f>+D63-Z63</f>
        <v>0</v>
      </c>
    </row>
    <row r="64" spans="1:27" s="135" customFormat="1" ht="13.5">
      <c r="A64" s="154" t="s">
        <v>64</v>
      </c>
      <c r="B64" s="188" t="s">
        <v>29</v>
      </c>
      <c r="C64" s="118" t="s">
        <v>98</v>
      </c>
      <c r="D64" s="73"/>
      <c r="E64" s="161"/>
      <c r="F64" s="161"/>
      <c r="G64" s="162">
        <v>0</v>
      </c>
      <c r="H64" s="163">
        <f>D64-G64</f>
        <v>0</v>
      </c>
      <c r="I64" s="161"/>
      <c r="J64" s="161"/>
      <c r="K64" s="161"/>
      <c r="L64" s="161"/>
      <c r="M64" s="161"/>
      <c r="N64" s="161"/>
      <c r="O64" s="161"/>
      <c r="P64" s="161"/>
      <c r="Q64" s="161"/>
      <c r="R64" s="161"/>
      <c r="S64" s="161"/>
      <c r="T64" s="161"/>
      <c r="U64" s="164"/>
      <c r="V64" s="164"/>
      <c r="W64" s="164"/>
      <c r="X64" s="161"/>
      <c r="Y64" s="159">
        <f t="shared" ref="Y64:Y77" si="24">SUM(I64:X64)</f>
        <v>0</v>
      </c>
      <c r="Z64" s="159">
        <f t="shared" ref="Z64:Z77" si="25">+G64+Y64</f>
        <v>0</v>
      </c>
      <c r="AA64" s="160">
        <f>+D64-Z64</f>
        <v>0</v>
      </c>
    </row>
    <row r="65" spans="1:27" s="135" customFormat="1" ht="13.5">
      <c r="A65" s="154" t="s">
        <v>64</v>
      </c>
      <c r="B65" s="188" t="s">
        <v>31</v>
      </c>
      <c r="C65" s="118" t="s">
        <v>99</v>
      </c>
      <c r="D65" s="73"/>
      <c r="E65" s="161"/>
      <c r="F65" s="161"/>
      <c r="G65" s="162">
        <v>0</v>
      </c>
      <c r="H65" s="163">
        <f>D65-G65</f>
        <v>0</v>
      </c>
      <c r="I65" s="161"/>
      <c r="J65" s="161"/>
      <c r="K65" s="161"/>
      <c r="L65" s="161"/>
      <c r="M65" s="161"/>
      <c r="N65" s="161"/>
      <c r="O65" s="161"/>
      <c r="P65" s="161"/>
      <c r="Q65" s="161"/>
      <c r="R65" s="161"/>
      <c r="S65" s="161"/>
      <c r="T65" s="161"/>
      <c r="U65" s="164"/>
      <c r="V65" s="164"/>
      <c r="W65" s="164"/>
      <c r="X65" s="161"/>
      <c r="Y65" s="159">
        <f t="shared" si="24"/>
        <v>0</v>
      </c>
      <c r="Z65" s="159">
        <f t="shared" si="25"/>
        <v>0</v>
      </c>
      <c r="AA65" s="160">
        <f>+D65-Z65</f>
        <v>0</v>
      </c>
    </row>
    <row r="66" spans="1:27" s="135" customFormat="1" ht="13.5">
      <c r="A66" s="154" t="s">
        <v>64</v>
      </c>
      <c r="B66" s="188" t="s">
        <v>33</v>
      </c>
      <c r="C66" s="118" t="s">
        <v>34</v>
      </c>
      <c r="D66" s="73"/>
      <c r="E66" s="161"/>
      <c r="F66" s="161"/>
      <c r="G66" s="162">
        <v>0</v>
      </c>
      <c r="H66" s="163">
        <f>D66-G66</f>
        <v>0</v>
      </c>
      <c r="I66" s="161"/>
      <c r="J66" s="161"/>
      <c r="K66" s="161"/>
      <c r="L66" s="161"/>
      <c r="M66" s="161"/>
      <c r="N66" s="161"/>
      <c r="O66" s="161"/>
      <c r="P66" s="161"/>
      <c r="Q66" s="161"/>
      <c r="R66" s="161"/>
      <c r="S66" s="161"/>
      <c r="T66" s="161"/>
      <c r="U66" s="164"/>
      <c r="V66" s="164"/>
      <c r="W66" s="164"/>
      <c r="X66" s="161"/>
      <c r="Y66" s="159">
        <f t="shared" si="24"/>
        <v>0</v>
      </c>
      <c r="Z66" s="159">
        <f t="shared" si="25"/>
        <v>0</v>
      </c>
      <c r="AA66" s="160">
        <f>+D66-Z66</f>
        <v>0</v>
      </c>
    </row>
    <row r="67" spans="1:27" s="135" customFormat="1" ht="13.5">
      <c r="A67" s="154" t="s">
        <v>64</v>
      </c>
      <c r="B67" s="188" t="s">
        <v>35</v>
      </c>
      <c r="C67" s="118" t="s">
        <v>36</v>
      </c>
      <c r="D67" s="73"/>
      <c r="E67" s="161"/>
      <c r="F67" s="161"/>
      <c r="G67" s="162">
        <v>0</v>
      </c>
      <c r="H67" s="163">
        <f>D67-G67</f>
        <v>0</v>
      </c>
      <c r="I67" s="161"/>
      <c r="J67" s="161"/>
      <c r="K67" s="161"/>
      <c r="L67" s="161"/>
      <c r="M67" s="161"/>
      <c r="N67" s="161"/>
      <c r="O67" s="161"/>
      <c r="P67" s="161"/>
      <c r="Q67" s="161"/>
      <c r="R67" s="161"/>
      <c r="S67" s="161"/>
      <c r="T67" s="161"/>
      <c r="U67" s="164"/>
      <c r="V67" s="164"/>
      <c r="W67" s="164"/>
      <c r="X67" s="161"/>
      <c r="Y67" s="159">
        <f t="shared" si="24"/>
        <v>0</v>
      </c>
      <c r="Z67" s="159">
        <f t="shared" si="25"/>
        <v>0</v>
      </c>
      <c r="AA67" s="160">
        <f>+D67-Z67</f>
        <v>0</v>
      </c>
    </row>
    <row r="68" spans="1:27" s="135" customFormat="1" ht="13.5">
      <c r="A68" s="154" t="s">
        <v>64</v>
      </c>
      <c r="B68" s="188" t="s">
        <v>37</v>
      </c>
      <c r="C68" s="118" t="s">
        <v>38</v>
      </c>
      <c r="D68" s="73"/>
      <c r="E68" s="161"/>
      <c r="F68" s="161"/>
      <c r="G68" s="162">
        <v>0</v>
      </c>
      <c r="H68" s="163">
        <f>D68-G68</f>
        <v>0</v>
      </c>
      <c r="I68" s="161"/>
      <c r="J68" s="161"/>
      <c r="K68" s="161"/>
      <c r="L68" s="161"/>
      <c r="M68" s="161"/>
      <c r="N68" s="161"/>
      <c r="O68" s="161"/>
      <c r="P68" s="161"/>
      <c r="Q68" s="161"/>
      <c r="R68" s="161"/>
      <c r="S68" s="161"/>
      <c r="T68" s="161"/>
      <c r="U68" s="164"/>
      <c r="V68" s="164"/>
      <c r="W68" s="164"/>
      <c r="X68" s="161"/>
      <c r="Y68" s="159">
        <f t="shared" si="24"/>
        <v>0</v>
      </c>
      <c r="Z68" s="159">
        <f t="shared" si="25"/>
        <v>0</v>
      </c>
      <c r="AA68" s="160">
        <f>+D68-Z68</f>
        <v>0</v>
      </c>
    </row>
    <row r="69" spans="1:27" s="135" customFormat="1" ht="13.5">
      <c r="A69" s="154" t="s">
        <v>64</v>
      </c>
      <c r="B69" s="188" t="s">
        <v>39</v>
      </c>
      <c r="C69" s="118" t="s">
        <v>40</v>
      </c>
      <c r="D69" s="73"/>
      <c r="E69" s="161"/>
      <c r="F69" s="161"/>
      <c r="G69" s="162">
        <v>0</v>
      </c>
      <c r="H69" s="163">
        <f>D69-G69</f>
        <v>0</v>
      </c>
      <c r="I69" s="161"/>
      <c r="J69" s="161"/>
      <c r="K69" s="161"/>
      <c r="L69" s="161"/>
      <c r="M69" s="161"/>
      <c r="N69" s="161"/>
      <c r="O69" s="161"/>
      <c r="P69" s="161"/>
      <c r="Q69" s="161"/>
      <c r="R69" s="161"/>
      <c r="S69" s="161"/>
      <c r="T69" s="161"/>
      <c r="U69" s="164"/>
      <c r="V69" s="164"/>
      <c r="W69" s="164"/>
      <c r="X69" s="161"/>
      <c r="Y69" s="159">
        <f t="shared" si="24"/>
        <v>0</v>
      </c>
      <c r="Z69" s="159">
        <f t="shared" si="25"/>
        <v>0</v>
      </c>
      <c r="AA69" s="160">
        <f>+D69-Z69</f>
        <v>0</v>
      </c>
    </row>
    <row r="70" spans="1:27" s="135" customFormat="1" ht="13.5">
      <c r="A70" s="154" t="s">
        <v>64</v>
      </c>
      <c r="B70" s="188" t="s">
        <v>41</v>
      </c>
      <c r="C70" s="118" t="s">
        <v>42</v>
      </c>
      <c r="D70" s="73"/>
      <c r="E70" s="161"/>
      <c r="F70" s="161"/>
      <c r="G70" s="162">
        <v>0</v>
      </c>
      <c r="H70" s="163">
        <f>D70-G70</f>
        <v>0</v>
      </c>
      <c r="I70" s="161"/>
      <c r="J70" s="161"/>
      <c r="K70" s="161"/>
      <c r="L70" s="161"/>
      <c r="M70" s="161"/>
      <c r="N70" s="161"/>
      <c r="O70" s="161"/>
      <c r="P70" s="161"/>
      <c r="Q70" s="161"/>
      <c r="R70" s="161"/>
      <c r="S70" s="161"/>
      <c r="T70" s="161"/>
      <c r="U70" s="164"/>
      <c r="V70" s="164"/>
      <c r="W70" s="164"/>
      <c r="X70" s="161"/>
      <c r="Y70" s="159">
        <f t="shared" si="24"/>
        <v>0</v>
      </c>
      <c r="Z70" s="159">
        <f t="shared" si="25"/>
        <v>0</v>
      </c>
      <c r="AA70" s="160">
        <f>+D70-Z70</f>
        <v>0</v>
      </c>
    </row>
    <row r="71" spans="1:27" s="135" customFormat="1" ht="13.5">
      <c r="A71" s="154" t="s">
        <v>64</v>
      </c>
      <c r="B71" s="188" t="s">
        <v>43</v>
      </c>
      <c r="C71" s="118" t="s">
        <v>44</v>
      </c>
      <c r="D71" s="73"/>
      <c r="E71" s="161"/>
      <c r="F71" s="161"/>
      <c r="G71" s="162">
        <v>0</v>
      </c>
      <c r="H71" s="163">
        <f>D71-G71</f>
        <v>0</v>
      </c>
      <c r="I71" s="161"/>
      <c r="J71" s="161"/>
      <c r="K71" s="161"/>
      <c r="L71" s="161"/>
      <c r="M71" s="161"/>
      <c r="N71" s="161"/>
      <c r="O71" s="161"/>
      <c r="P71" s="161"/>
      <c r="Q71" s="161"/>
      <c r="R71" s="161"/>
      <c r="S71" s="161"/>
      <c r="T71" s="161"/>
      <c r="U71" s="164"/>
      <c r="V71" s="164"/>
      <c r="W71" s="164"/>
      <c r="X71" s="161"/>
      <c r="Y71" s="159">
        <f t="shared" si="24"/>
        <v>0</v>
      </c>
      <c r="Z71" s="159">
        <f t="shared" si="25"/>
        <v>0</v>
      </c>
      <c r="AA71" s="160">
        <f>+D71-Z71</f>
        <v>0</v>
      </c>
    </row>
    <row r="72" spans="1:27" s="135" customFormat="1" ht="13.5">
      <c r="A72" s="154" t="s">
        <v>64</v>
      </c>
      <c r="B72" s="188" t="s">
        <v>45</v>
      </c>
      <c r="C72" s="118" t="s">
        <v>46</v>
      </c>
      <c r="D72" s="73"/>
      <c r="E72" s="161"/>
      <c r="F72" s="161"/>
      <c r="G72" s="162">
        <v>0</v>
      </c>
      <c r="H72" s="163">
        <f>D72-G72</f>
        <v>0</v>
      </c>
      <c r="I72" s="161"/>
      <c r="J72" s="161"/>
      <c r="K72" s="161"/>
      <c r="L72" s="161"/>
      <c r="M72" s="161"/>
      <c r="N72" s="161"/>
      <c r="O72" s="161"/>
      <c r="P72" s="161"/>
      <c r="Q72" s="161"/>
      <c r="R72" s="161"/>
      <c r="S72" s="161"/>
      <c r="T72" s="161"/>
      <c r="U72" s="164"/>
      <c r="V72" s="164"/>
      <c r="W72" s="164"/>
      <c r="X72" s="161"/>
      <c r="Y72" s="159">
        <f t="shared" si="24"/>
        <v>0</v>
      </c>
      <c r="Z72" s="159">
        <f t="shared" si="25"/>
        <v>0</v>
      </c>
      <c r="AA72" s="160">
        <f>+D72-Z72</f>
        <v>0</v>
      </c>
    </row>
    <row r="73" spans="1:27" s="135" customFormat="1" ht="13.5">
      <c r="A73" s="154" t="s">
        <v>64</v>
      </c>
      <c r="B73" s="188" t="s">
        <v>47</v>
      </c>
      <c r="C73" s="118" t="s">
        <v>48</v>
      </c>
      <c r="D73" s="73"/>
      <c r="E73" s="161"/>
      <c r="F73" s="161"/>
      <c r="G73" s="162">
        <v>0</v>
      </c>
      <c r="H73" s="163">
        <f>D73-G73</f>
        <v>0</v>
      </c>
      <c r="I73" s="161"/>
      <c r="J73" s="161"/>
      <c r="K73" s="161"/>
      <c r="L73" s="161"/>
      <c r="M73" s="161"/>
      <c r="N73" s="161"/>
      <c r="O73" s="161"/>
      <c r="P73" s="161"/>
      <c r="Q73" s="161"/>
      <c r="R73" s="161"/>
      <c r="S73" s="161"/>
      <c r="T73" s="161"/>
      <c r="U73" s="164"/>
      <c r="V73" s="164"/>
      <c r="W73" s="164"/>
      <c r="X73" s="161"/>
      <c r="Y73" s="159">
        <f t="shared" si="24"/>
        <v>0</v>
      </c>
      <c r="Z73" s="159">
        <f t="shared" si="25"/>
        <v>0</v>
      </c>
      <c r="AA73" s="160">
        <f>+D73-Z73</f>
        <v>0</v>
      </c>
    </row>
    <row r="74" spans="1:27" s="135" customFormat="1" ht="13.5">
      <c r="A74" s="154" t="s">
        <v>64</v>
      </c>
      <c r="B74" s="188" t="s">
        <v>49</v>
      </c>
      <c r="C74" s="118" t="s">
        <v>50</v>
      </c>
      <c r="D74" s="73"/>
      <c r="E74" s="161"/>
      <c r="F74" s="161"/>
      <c r="G74" s="162">
        <v>0</v>
      </c>
      <c r="H74" s="163">
        <f>D74-G74</f>
        <v>0</v>
      </c>
      <c r="I74" s="161"/>
      <c r="J74" s="161"/>
      <c r="K74" s="161"/>
      <c r="L74" s="161"/>
      <c r="M74" s="161"/>
      <c r="N74" s="161"/>
      <c r="O74" s="161"/>
      <c r="P74" s="161"/>
      <c r="Q74" s="161"/>
      <c r="R74" s="161"/>
      <c r="S74" s="161"/>
      <c r="T74" s="161"/>
      <c r="U74" s="164"/>
      <c r="V74" s="164"/>
      <c r="W74" s="164"/>
      <c r="X74" s="161"/>
      <c r="Y74" s="159">
        <f t="shared" si="24"/>
        <v>0</v>
      </c>
      <c r="Z74" s="159">
        <f t="shared" si="25"/>
        <v>0</v>
      </c>
      <c r="AA74" s="160">
        <f>+D74-Z74</f>
        <v>0</v>
      </c>
    </row>
    <row r="75" spans="1:27" s="135" customFormat="1" ht="13.5">
      <c r="A75" s="154" t="s">
        <v>64</v>
      </c>
      <c r="B75" s="188" t="s">
        <v>51</v>
      </c>
      <c r="C75" s="118" t="s">
        <v>52</v>
      </c>
      <c r="D75" s="73"/>
      <c r="E75" s="161"/>
      <c r="F75" s="161"/>
      <c r="G75" s="162">
        <v>0</v>
      </c>
      <c r="H75" s="163">
        <f>D75-G75</f>
        <v>0</v>
      </c>
      <c r="I75" s="161"/>
      <c r="J75" s="161"/>
      <c r="K75" s="161"/>
      <c r="L75" s="161"/>
      <c r="M75" s="161"/>
      <c r="N75" s="161"/>
      <c r="O75" s="161"/>
      <c r="P75" s="161"/>
      <c r="Q75" s="161"/>
      <c r="R75" s="161"/>
      <c r="S75" s="161"/>
      <c r="T75" s="161"/>
      <c r="U75" s="164"/>
      <c r="V75" s="164"/>
      <c r="W75" s="164"/>
      <c r="X75" s="161"/>
      <c r="Y75" s="159">
        <f t="shared" si="24"/>
        <v>0</v>
      </c>
      <c r="Z75" s="159">
        <f t="shared" si="25"/>
        <v>0</v>
      </c>
      <c r="AA75" s="160">
        <f>+D75-Z75</f>
        <v>0</v>
      </c>
    </row>
    <row r="76" spans="1:27" s="135" customFormat="1" ht="13.5">
      <c r="A76" s="154" t="s">
        <v>64</v>
      </c>
      <c r="B76" s="188" t="s">
        <v>53</v>
      </c>
      <c r="C76" s="118" t="s">
        <v>54</v>
      </c>
      <c r="D76" s="73"/>
      <c r="E76" s="161"/>
      <c r="F76" s="161"/>
      <c r="G76" s="162">
        <v>0</v>
      </c>
      <c r="H76" s="163">
        <f>D76-G76</f>
        <v>0</v>
      </c>
      <c r="I76" s="161"/>
      <c r="J76" s="161"/>
      <c r="K76" s="161"/>
      <c r="L76" s="161"/>
      <c r="M76" s="161"/>
      <c r="N76" s="161"/>
      <c r="O76" s="161"/>
      <c r="P76" s="161"/>
      <c r="Q76" s="161"/>
      <c r="R76" s="161"/>
      <c r="S76" s="161"/>
      <c r="T76" s="161"/>
      <c r="U76" s="164"/>
      <c r="V76" s="164"/>
      <c r="W76" s="164"/>
      <c r="X76" s="161"/>
      <c r="Y76" s="159">
        <f t="shared" si="24"/>
        <v>0</v>
      </c>
      <c r="Z76" s="159">
        <f t="shared" si="25"/>
        <v>0</v>
      </c>
      <c r="AA76" s="160">
        <f>+D76-Z76</f>
        <v>0</v>
      </c>
    </row>
    <row r="77" spans="1:27" s="135" customFormat="1" ht="13.5">
      <c r="A77" s="154" t="s">
        <v>64</v>
      </c>
      <c r="B77" s="189" t="s">
        <v>55</v>
      </c>
      <c r="C77" s="119" t="s">
        <v>56</v>
      </c>
      <c r="D77" s="74"/>
      <c r="E77" s="165"/>
      <c r="F77" s="165"/>
      <c r="G77" s="166">
        <v>0</v>
      </c>
      <c r="H77" s="167">
        <f>D77-G77</f>
        <v>0</v>
      </c>
      <c r="I77" s="165"/>
      <c r="J77" s="165"/>
      <c r="K77" s="165"/>
      <c r="L77" s="165"/>
      <c r="M77" s="165"/>
      <c r="N77" s="165"/>
      <c r="O77" s="165"/>
      <c r="P77" s="165"/>
      <c r="Q77" s="165"/>
      <c r="R77" s="165"/>
      <c r="S77" s="165"/>
      <c r="T77" s="165"/>
      <c r="U77" s="168"/>
      <c r="V77" s="168"/>
      <c r="W77" s="168"/>
      <c r="X77" s="165"/>
      <c r="Y77" s="159">
        <f t="shared" si="24"/>
        <v>0</v>
      </c>
      <c r="Z77" s="159">
        <f t="shared" si="25"/>
        <v>0</v>
      </c>
      <c r="AA77" s="160">
        <f>+D77-Z77</f>
        <v>0</v>
      </c>
    </row>
    <row r="78" spans="1:27" s="135" customFormat="1" ht="13.5">
      <c r="A78" s="123" t="s">
        <v>65</v>
      </c>
      <c r="B78" s="186"/>
      <c r="C78" s="151"/>
      <c r="D78" s="120">
        <f t="shared" ref="D78:F78" si="26">SUBTOTAL(9,D79:D90)</f>
        <v>0</v>
      </c>
      <c r="E78" s="120">
        <f t="shared" si="26"/>
        <v>0</v>
      </c>
      <c r="F78" s="120">
        <f t="shared" si="26"/>
        <v>0</v>
      </c>
      <c r="G78" s="146">
        <v>0</v>
      </c>
      <c r="H78" s="146">
        <f>D78-G78</f>
        <v>0</v>
      </c>
      <c r="I78" s="120">
        <f t="shared" ref="I78:R78" si="27">SUBTOTAL(9,I79:I90)</f>
        <v>0</v>
      </c>
      <c r="J78" s="120">
        <f t="shared" si="27"/>
        <v>0</v>
      </c>
      <c r="K78" s="120">
        <f t="shared" si="27"/>
        <v>0</v>
      </c>
      <c r="L78" s="120">
        <f t="shared" si="27"/>
        <v>0</v>
      </c>
      <c r="M78" s="120">
        <f t="shared" si="27"/>
        <v>0</v>
      </c>
      <c r="N78" s="120">
        <f t="shared" si="27"/>
        <v>0</v>
      </c>
      <c r="O78" s="120">
        <f t="shared" si="27"/>
        <v>0</v>
      </c>
      <c r="P78" s="120">
        <f t="shared" si="27"/>
        <v>0</v>
      </c>
      <c r="Q78" s="120">
        <f t="shared" si="27"/>
        <v>0</v>
      </c>
      <c r="R78" s="120">
        <f t="shared" si="27"/>
        <v>0</v>
      </c>
      <c r="S78" s="120">
        <f t="shared" ref="S78:X78" si="28">SUBTOTAL(9,S79:S90)</f>
        <v>0</v>
      </c>
      <c r="T78" s="120">
        <f t="shared" si="28"/>
        <v>0</v>
      </c>
      <c r="U78" s="120">
        <f t="shared" si="28"/>
        <v>0</v>
      </c>
      <c r="V78" s="120">
        <f t="shared" si="28"/>
        <v>0</v>
      </c>
      <c r="W78" s="120">
        <f t="shared" si="28"/>
        <v>0</v>
      </c>
      <c r="X78" s="120">
        <f t="shared" si="28"/>
        <v>0</v>
      </c>
      <c r="Y78" s="120">
        <f>SUM(I78:X78)</f>
        <v>0</v>
      </c>
      <c r="Z78" s="121">
        <f>+G78+Y78</f>
        <v>0</v>
      </c>
      <c r="AA78" s="122">
        <f>+D78-Z78</f>
        <v>0</v>
      </c>
    </row>
    <row r="79" spans="1:27" s="135" customFormat="1" ht="13.5">
      <c r="A79" s="147" t="s">
        <v>65</v>
      </c>
      <c r="B79" s="183" t="s">
        <v>29</v>
      </c>
      <c r="C79" s="114" t="s">
        <v>98</v>
      </c>
      <c r="D79" s="65"/>
      <c r="E79" s="129"/>
      <c r="F79" s="129"/>
      <c r="G79" s="130">
        <v>0</v>
      </c>
      <c r="H79" s="131">
        <f>D79-G79</f>
        <v>0</v>
      </c>
      <c r="I79" s="129"/>
      <c r="J79" s="129"/>
      <c r="K79" s="129"/>
      <c r="L79" s="129"/>
      <c r="M79" s="129"/>
      <c r="N79" s="129"/>
      <c r="O79" s="129"/>
      <c r="P79" s="129"/>
      <c r="Q79" s="129"/>
      <c r="R79" s="129"/>
      <c r="S79" s="129"/>
      <c r="T79" s="129"/>
      <c r="U79" s="132"/>
      <c r="V79" s="132"/>
      <c r="W79" s="132"/>
      <c r="X79" s="129"/>
      <c r="Y79" s="133">
        <f>SUM(I79:X79)</f>
        <v>0</v>
      </c>
      <c r="Z79" s="133">
        <f>+G79+Y79</f>
        <v>0</v>
      </c>
      <c r="AA79" s="134">
        <f>+D79-Z79</f>
        <v>0</v>
      </c>
    </row>
    <row r="80" spans="1:27" s="135" customFormat="1" ht="13.5">
      <c r="A80" s="147" t="s">
        <v>65</v>
      </c>
      <c r="B80" s="184" t="s">
        <v>35</v>
      </c>
      <c r="C80" s="115" t="s">
        <v>36</v>
      </c>
      <c r="D80" s="67"/>
      <c r="E80" s="136"/>
      <c r="F80" s="136"/>
      <c r="G80" s="137">
        <v>0</v>
      </c>
      <c r="H80" s="138">
        <f>D80-G80</f>
        <v>0</v>
      </c>
      <c r="I80" s="169"/>
      <c r="J80" s="169"/>
      <c r="K80" s="169"/>
      <c r="L80" s="169"/>
      <c r="M80" s="169"/>
      <c r="N80" s="169"/>
      <c r="O80" s="169"/>
      <c r="P80" s="169"/>
      <c r="Q80" s="169"/>
      <c r="R80" s="169"/>
      <c r="S80" s="169"/>
      <c r="T80" s="169"/>
      <c r="U80" s="170"/>
      <c r="V80" s="170"/>
      <c r="W80" s="170"/>
      <c r="X80" s="169"/>
      <c r="Y80" s="133">
        <f t="shared" ref="Y80:Y90" si="29">SUM(I80:X80)</f>
        <v>0</v>
      </c>
      <c r="Z80" s="133">
        <f t="shared" ref="Z80:Z90" si="30">+G80+Y80</f>
        <v>0</v>
      </c>
      <c r="AA80" s="134">
        <f>+D80-Z80</f>
        <v>0</v>
      </c>
    </row>
    <row r="81" spans="1:27" s="135" customFormat="1" ht="13.5">
      <c r="A81" s="147" t="s">
        <v>65</v>
      </c>
      <c r="B81" s="184" t="s">
        <v>37</v>
      </c>
      <c r="C81" s="115" t="s">
        <v>38</v>
      </c>
      <c r="D81" s="67"/>
      <c r="E81" s="136"/>
      <c r="F81" s="136"/>
      <c r="G81" s="137">
        <v>0</v>
      </c>
      <c r="H81" s="138">
        <f>D81-G81</f>
        <v>0</v>
      </c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9"/>
      <c r="V81" s="139"/>
      <c r="W81" s="139"/>
      <c r="X81" s="136"/>
      <c r="Y81" s="133">
        <f t="shared" si="29"/>
        <v>0</v>
      </c>
      <c r="Z81" s="133">
        <f t="shared" si="30"/>
        <v>0</v>
      </c>
      <c r="AA81" s="134">
        <f>+D81-Z81</f>
        <v>0</v>
      </c>
    </row>
    <row r="82" spans="1:27" s="135" customFormat="1" ht="13.5">
      <c r="A82" s="147" t="s">
        <v>65</v>
      </c>
      <c r="B82" s="184" t="s">
        <v>39</v>
      </c>
      <c r="C82" s="115" t="s">
        <v>40</v>
      </c>
      <c r="D82" s="67"/>
      <c r="E82" s="136"/>
      <c r="F82" s="136"/>
      <c r="G82" s="137">
        <v>0</v>
      </c>
      <c r="H82" s="138">
        <f>D82-G82</f>
        <v>0</v>
      </c>
      <c r="I82" s="136"/>
      <c r="J82" s="136"/>
      <c r="K82" s="136"/>
      <c r="L82" s="136"/>
      <c r="M82" s="136"/>
      <c r="N82" s="136"/>
      <c r="O82" s="136"/>
      <c r="P82" s="136"/>
      <c r="Q82" s="136"/>
      <c r="R82" s="136"/>
      <c r="S82" s="136"/>
      <c r="T82" s="136"/>
      <c r="U82" s="139"/>
      <c r="V82" s="139"/>
      <c r="W82" s="139"/>
      <c r="X82" s="136"/>
      <c r="Y82" s="133">
        <f t="shared" si="29"/>
        <v>0</v>
      </c>
      <c r="Z82" s="133">
        <f t="shared" si="30"/>
        <v>0</v>
      </c>
      <c r="AA82" s="134">
        <f>+D82-Z82</f>
        <v>0</v>
      </c>
    </row>
    <row r="83" spans="1:27" s="135" customFormat="1" ht="13.5">
      <c r="A83" s="147" t="s">
        <v>65</v>
      </c>
      <c r="B83" s="184" t="s">
        <v>41</v>
      </c>
      <c r="C83" s="115" t="s">
        <v>42</v>
      </c>
      <c r="D83" s="67"/>
      <c r="E83" s="136"/>
      <c r="F83" s="136"/>
      <c r="G83" s="137">
        <v>0</v>
      </c>
      <c r="H83" s="138">
        <f>D83-G83</f>
        <v>0</v>
      </c>
      <c r="I83" s="136"/>
      <c r="J83" s="136"/>
      <c r="K83" s="136"/>
      <c r="L83" s="136"/>
      <c r="M83" s="136"/>
      <c r="N83" s="136"/>
      <c r="O83" s="136"/>
      <c r="P83" s="136"/>
      <c r="Q83" s="136"/>
      <c r="R83" s="136"/>
      <c r="S83" s="136"/>
      <c r="T83" s="136"/>
      <c r="U83" s="139"/>
      <c r="V83" s="139"/>
      <c r="W83" s="139"/>
      <c r="X83" s="136"/>
      <c r="Y83" s="133">
        <f t="shared" si="29"/>
        <v>0</v>
      </c>
      <c r="Z83" s="133">
        <f t="shared" si="30"/>
        <v>0</v>
      </c>
      <c r="AA83" s="134">
        <f>+D83-Z83</f>
        <v>0</v>
      </c>
    </row>
    <row r="84" spans="1:27" s="135" customFormat="1" ht="13.5">
      <c r="A84" s="147" t="s">
        <v>65</v>
      </c>
      <c r="B84" s="184" t="s">
        <v>43</v>
      </c>
      <c r="C84" s="115" t="s">
        <v>44</v>
      </c>
      <c r="D84" s="67"/>
      <c r="E84" s="136"/>
      <c r="F84" s="136"/>
      <c r="G84" s="137">
        <v>0</v>
      </c>
      <c r="H84" s="138">
        <f>D84-G84</f>
        <v>0</v>
      </c>
      <c r="I84" s="136"/>
      <c r="J84" s="136"/>
      <c r="K84" s="136"/>
      <c r="L84" s="136"/>
      <c r="M84" s="136"/>
      <c r="N84" s="136"/>
      <c r="O84" s="136"/>
      <c r="P84" s="136"/>
      <c r="Q84" s="136"/>
      <c r="R84" s="136"/>
      <c r="S84" s="136"/>
      <c r="T84" s="136"/>
      <c r="U84" s="139"/>
      <c r="V84" s="139"/>
      <c r="W84" s="139"/>
      <c r="X84" s="136"/>
      <c r="Y84" s="133">
        <f t="shared" si="29"/>
        <v>0</v>
      </c>
      <c r="Z84" s="133">
        <f t="shared" si="30"/>
        <v>0</v>
      </c>
      <c r="AA84" s="134">
        <f>+D84-Z84</f>
        <v>0</v>
      </c>
    </row>
    <row r="85" spans="1:27" s="135" customFormat="1" ht="13.5">
      <c r="A85" s="147" t="s">
        <v>65</v>
      </c>
      <c r="B85" s="184" t="s">
        <v>45</v>
      </c>
      <c r="C85" s="115" t="s">
        <v>46</v>
      </c>
      <c r="D85" s="67"/>
      <c r="E85" s="136"/>
      <c r="F85" s="136"/>
      <c r="G85" s="137">
        <v>0</v>
      </c>
      <c r="H85" s="138">
        <f>D85-G85</f>
        <v>0</v>
      </c>
      <c r="I85" s="136"/>
      <c r="J85" s="136"/>
      <c r="K85" s="136"/>
      <c r="L85" s="136"/>
      <c r="M85" s="136"/>
      <c r="N85" s="136"/>
      <c r="O85" s="136"/>
      <c r="P85" s="136"/>
      <c r="Q85" s="136"/>
      <c r="R85" s="136"/>
      <c r="S85" s="136"/>
      <c r="T85" s="136"/>
      <c r="U85" s="139"/>
      <c r="V85" s="139"/>
      <c r="W85" s="139"/>
      <c r="X85" s="136"/>
      <c r="Y85" s="133">
        <f t="shared" si="29"/>
        <v>0</v>
      </c>
      <c r="Z85" s="133">
        <f t="shared" si="30"/>
        <v>0</v>
      </c>
      <c r="AA85" s="134">
        <f>+D85-Z85</f>
        <v>0</v>
      </c>
    </row>
    <row r="86" spans="1:27" s="135" customFormat="1" ht="13.5">
      <c r="A86" s="147" t="s">
        <v>65</v>
      </c>
      <c r="B86" s="184" t="s">
        <v>47</v>
      </c>
      <c r="C86" s="115" t="s">
        <v>48</v>
      </c>
      <c r="D86" s="67"/>
      <c r="E86" s="136"/>
      <c r="F86" s="136"/>
      <c r="G86" s="137">
        <v>0</v>
      </c>
      <c r="H86" s="138">
        <f>D86-G86</f>
        <v>0</v>
      </c>
      <c r="I86" s="136"/>
      <c r="J86" s="136"/>
      <c r="K86" s="136"/>
      <c r="L86" s="136"/>
      <c r="M86" s="136"/>
      <c r="N86" s="136"/>
      <c r="O86" s="136"/>
      <c r="P86" s="136"/>
      <c r="Q86" s="136"/>
      <c r="R86" s="136"/>
      <c r="S86" s="136"/>
      <c r="T86" s="136"/>
      <c r="U86" s="139"/>
      <c r="V86" s="139"/>
      <c r="W86" s="139"/>
      <c r="X86" s="136"/>
      <c r="Y86" s="133">
        <f t="shared" si="29"/>
        <v>0</v>
      </c>
      <c r="Z86" s="133">
        <f t="shared" si="30"/>
        <v>0</v>
      </c>
      <c r="AA86" s="134">
        <f>+D86-Z86</f>
        <v>0</v>
      </c>
    </row>
    <row r="87" spans="1:27" s="135" customFormat="1" ht="13.5">
      <c r="A87" s="147" t="s">
        <v>65</v>
      </c>
      <c r="B87" s="184" t="s">
        <v>49</v>
      </c>
      <c r="C87" s="115" t="s">
        <v>50</v>
      </c>
      <c r="D87" s="67"/>
      <c r="E87" s="136"/>
      <c r="F87" s="136"/>
      <c r="G87" s="137">
        <v>0</v>
      </c>
      <c r="H87" s="138">
        <f>D87-G87</f>
        <v>0</v>
      </c>
      <c r="I87" s="136"/>
      <c r="J87" s="136"/>
      <c r="K87" s="136"/>
      <c r="L87" s="136"/>
      <c r="M87" s="136"/>
      <c r="N87" s="136"/>
      <c r="O87" s="136"/>
      <c r="P87" s="136"/>
      <c r="Q87" s="136"/>
      <c r="R87" s="136"/>
      <c r="S87" s="136"/>
      <c r="T87" s="136"/>
      <c r="U87" s="139"/>
      <c r="V87" s="139"/>
      <c r="W87" s="139"/>
      <c r="X87" s="136"/>
      <c r="Y87" s="133">
        <f t="shared" si="29"/>
        <v>0</v>
      </c>
      <c r="Z87" s="133">
        <f t="shared" si="30"/>
        <v>0</v>
      </c>
      <c r="AA87" s="134">
        <f>+D87-Z87</f>
        <v>0</v>
      </c>
    </row>
    <row r="88" spans="1:27" s="135" customFormat="1" ht="13.5">
      <c r="A88" s="147" t="s">
        <v>65</v>
      </c>
      <c r="B88" s="184" t="s">
        <v>51</v>
      </c>
      <c r="C88" s="115" t="s">
        <v>52</v>
      </c>
      <c r="D88" s="67"/>
      <c r="E88" s="136"/>
      <c r="F88" s="136"/>
      <c r="G88" s="137">
        <v>0</v>
      </c>
      <c r="H88" s="138">
        <f>D88-G88</f>
        <v>0</v>
      </c>
      <c r="I88" s="136"/>
      <c r="J88" s="136"/>
      <c r="K88" s="136"/>
      <c r="L88" s="136"/>
      <c r="M88" s="136"/>
      <c r="N88" s="136"/>
      <c r="O88" s="136"/>
      <c r="P88" s="136"/>
      <c r="Q88" s="136"/>
      <c r="R88" s="136"/>
      <c r="S88" s="136"/>
      <c r="T88" s="136"/>
      <c r="U88" s="139"/>
      <c r="V88" s="139"/>
      <c r="W88" s="139"/>
      <c r="X88" s="136"/>
      <c r="Y88" s="133">
        <f t="shared" si="29"/>
        <v>0</v>
      </c>
      <c r="Z88" s="133">
        <f t="shared" si="30"/>
        <v>0</v>
      </c>
      <c r="AA88" s="134">
        <f>+D88-Z88</f>
        <v>0</v>
      </c>
    </row>
    <row r="89" spans="1:27" s="135" customFormat="1" ht="13.5">
      <c r="A89" s="147" t="s">
        <v>65</v>
      </c>
      <c r="B89" s="184" t="s">
        <v>53</v>
      </c>
      <c r="C89" s="115" t="s">
        <v>54</v>
      </c>
      <c r="D89" s="67"/>
      <c r="E89" s="136"/>
      <c r="F89" s="136"/>
      <c r="G89" s="137">
        <v>0</v>
      </c>
      <c r="H89" s="138">
        <f>D89-G89</f>
        <v>0</v>
      </c>
      <c r="I89" s="136"/>
      <c r="J89" s="136"/>
      <c r="K89" s="136"/>
      <c r="L89" s="136"/>
      <c r="M89" s="136"/>
      <c r="N89" s="136"/>
      <c r="O89" s="136"/>
      <c r="P89" s="136"/>
      <c r="Q89" s="136"/>
      <c r="R89" s="136"/>
      <c r="S89" s="136"/>
      <c r="T89" s="136"/>
      <c r="U89" s="139"/>
      <c r="V89" s="139"/>
      <c r="W89" s="139"/>
      <c r="X89" s="136"/>
      <c r="Y89" s="133">
        <f t="shared" si="29"/>
        <v>0</v>
      </c>
      <c r="Z89" s="133">
        <f t="shared" si="30"/>
        <v>0</v>
      </c>
      <c r="AA89" s="134">
        <f>+D89-Z89</f>
        <v>0</v>
      </c>
    </row>
    <row r="90" spans="1:27" s="135" customFormat="1" ht="13.5">
      <c r="A90" s="147" t="s">
        <v>65</v>
      </c>
      <c r="B90" s="185" t="s">
        <v>55</v>
      </c>
      <c r="C90" s="116" t="s">
        <v>56</v>
      </c>
      <c r="D90" s="70"/>
      <c r="E90" s="140"/>
      <c r="F90" s="140"/>
      <c r="G90" s="141">
        <v>0</v>
      </c>
      <c r="H90" s="142">
        <f>D90-G90</f>
        <v>0</v>
      </c>
      <c r="I90" s="140"/>
      <c r="J90" s="140"/>
      <c r="K90" s="140"/>
      <c r="L90" s="140"/>
      <c r="M90" s="140"/>
      <c r="N90" s="140"/>
      <c r="O90" s="140"/>
      <c r="P90" s="140"/>
      <c r="Q90" s="140"/>
      <c r="R90" s="140"/>
      <c r="S90" s="140"/>
      <c r="T90" s="140"/>
      <c r="U90" s="143"/>
      <c r="V90" s="143"/>
      <c r="W90" s="143"/>
      <c r="X90" s="140"/>
      <c r="Y90" s="133">
        <f t="shared" si="29"/>
        <v>0</v>
      </c>
      <c r="Z90" s="133">
        <f t="shared" si="30"/>
        <v>0</v>
      </c>
      <c r="AA90" s="134">
        <f>+D90-Z90</f>
        <v>0</v>
      </c>
    </row>
    <row r="91" spans="1:27" s="135" customFormat="1" ht="13.5">
      <c r="A91" s="123" t="s">
        <v>66</v>
      </c>
      <c r="B91" s="186"/>
      <c r="C91" s="151"/>
      <c r="D91" s="120">
        <f t="shared" ref="D91:F91" si="31">SUBTOTAL(9,D92:D102)</f>
        <v>0</v>
      </c>
      <c r="E91" s="120">
        <f t="shared" si="31"/>
        <v>0</v>
      </c>
      <c r="F91" s="120">
        <f t="shared" si="31"/>
        <v>0</v>
      </c>
      <c r="G91" s="146">
        <v>0</v>
      </c>
      <c r="H91" s="146">
        <f>D91-G91</f>
        <v>0</v>
      </c>
      <c r="I91" s="120">
        <f t="shared" ref="I91:R91" si="32">SUBTOTAL(9,I92:I102)</f>
        <v>0</v>
      </c>
      <c r="J91" s="120">
        <f t="shared" si="32"/>
        <v>0</v>
      </c>
      <c r="K91" s="120">
        <f t="shared" si="32"/>
        <v>0</v>
      </c>
      <c r="L91" s="120">
        <f t="shared" si="32"/>
        <v>0</v>
      </c>
      <c r="M91" s="120">
        <f t="shared" si="32"/>
        <v>0</v>
      </c>
      <c r="N91" s="120">
        <f t="shared" si="32"/>
        <v>0</v>
      </c>
      <c r="O91" s="120">
        <f t="shared" si="32"/>
        <v>0</v>
      </c>
      <c r="P91" s="120">
        <f t="shared" si="32"/>
        <v>0</v>
      </c>
      <c r="Q91" s="120">
        <f t="shared" si="32"/>
        <v>0</v>
      </c>
      <c r="R91" s="120">
        <f t="shared" si="32"/>
        <v>0</v>
      </c>
      <c r="S91" s="120">
        <f t="shared" ref="S91:X91" si="33">SUBTOTAL(9,S92:S102)</f>
        <v>0</v>
      </c>
      <c r="T91" s="120">
        <f t="shared" si="33"/>
        <v>0</v>
      </c>
      <c r="U91" s="120">
        <f t="shared" si="33"/>
        <v>0</v>
      </c>
      <c r="V91" s="120">
        <f t="shared" si="33"/>
        <v>0</v>
      </c>
      <c r="W91" s="120">
        <f t="shared" si="33"/>
        <v>0</v>
      </c>
      <c r="X91" s="120">
        <f t="shared" si="33"/>
        <v>0</v>
      </c>
      <c r="Y91" s="120">
        <f>SUM(I91:X91)</f>
        <v>0</v>
      </c>
      <c r="Z91" s="121">
        <f>+G91+Y91</f>
        <v>0</v>
      </c>
      <c r="AA91" s="122">
        <f>+D91-Z91</f>
        <v>0</v>
      </c>
    </row>
    <row r="92" spans="1:27" s="135" customFormat="1" ht="13.5">
      <c r="A92" s="147" t="s">
        <v>66</v>
      </c>
      <c r="B92" s="183" t="s">
        <v>29</v>
      </c>
      <c r="C92" s="114" t="s">
        <v>98</v>
      </c>
      <c r="D92" s="65"/>
      <c r="E92" s="129"/>
      <c r="F92" s="129"/>
      <c r="G92" s="130">
        <v>0</v>
      </c>
      <c r="H92" s="131">
        <f>D92-G92</f>
        <v>0</v>
      </c>
      <c r="I92" s="129"/>
      <c r="J92" s="129"/>
      <c r="K92" s="129"/>
      <c r="L92" s="129"/>
      <c r="M92" s="129"/>
      <c r="N92" s="129"/>
      <c r="O92" s="129"/>
      <c r="P92" s="129"/>
      <c r="Q92" s="129"/>
      <c r="R92" s="129"/>
      <c r="S92" s="129"/>
      <c r="T92" s="129"/>
      <c r="U92" s="132"/>
      <c r="V92" s="132"/>
      <c r="W92" s="132"/>
      <c r="X92" s="129"/>
      <c r="Y92" s="133">
        <f>SUM(I92:X92)</f>
        <v>0</v>
      </c>
      <c r="Z92" s="133">
        <f>+G92+Y92</f>
        <v>0</v>
      </c>
      <c r="AA92" s="134">
        <f>+D92-Z92</f>
        <v>0</v>
      </c>
    </row>
    <row r="93" spans="1:27" s="135" customFormat="1" ht="13.5">
      <c r="A93" s="147" t="s">
        <v>66</v>
      </c>
      <c r="B93" s="184" t="s">
        <v>31</v>
      </c>
      <c r="C93" s="115" t="s">
        <v>99</v>
      </c>
      <c r="D93" s="67"/>
      <c r="E93" s="136"/>
      <c r="F93" s="136"/>
      <c r="G93" s="137">
        <v>0</v>
      </c>
      <c r="H93" s="138">
        <f>D93-G93</f>
        <v>0</v>
      </c>
      <c r="I93" s="136"/>
      <c r="J93" s="136"/>
      <c r="K93" s="136"/>
      <c r="L93" s="136"/>
      <c r="M93" s="136"/>
      <c r="N93" s="136"/>
      <c r="O93" s="136"/>
      <c r="P93" s="136"/>
      <c r="Q93" s="136"/>
      <c r="R93" s="136"/>
      <c r="S93" s="136"/>
      <c r="T93" s="136"/>
      <c r="U93" s="139"/>
      <c r="V93" s="139"/>
      <c r="W93" s="139"/>
      <c r="X93" s="136"/>
      <c r="Y93" s="133">
        <f t="shared" ref="Y93:Y102" si="34">SUM(I93:X93)</f>
        <v>0</v>
      </c>
      <c r="Z93" s="133">
        <f t="shared" ref="Z93:Z102" si="35">+G93+Y93</f>
        <v>0</v>
      </c>
      <c r="AA93" s="134">
        <f>+D93-Z93</f>
        <v>0</v>
      </c>
    </row>
    <row r="94" spans="1:27" s="135" customFormat="1" ht="13.5">
      <c r="A94" s="147" t="s">
        <v>66</v>
      </c>
      <c r="B94" s="184" t="s">
        <v>35</v>
      </c>
      <c r="C94" s="115" t="s">
        <v>36</v>
      </c>
      <c r="D94" s="67"/>
      <c r="E94" s="136"/>
      <c r="F94" s="136"/>
      <c r="G94" s="137">
        <v>0</v>
      </c>
      <c r="H94" s="138">
        <f>D94-G94</f>
        <v>0</v>
      </c>
      <c r="I94" s="136"/>
      <c r="J94" s="136"/>
      <c r="K94" s="136"/>
      <c r="L94" s="136"/>
      <c r="M94" s="136"/>
      <c r="N94" s="136"/>
      <c r="O94" s="136"/>
      <c r="P94" s="136"/>
      <c r="Q94" s="136"/>
      <c r="R94" s="136"/>
      <c r="S94" s="136"/>
      <c r="T94" s="136"/>
      <c r="U94" s="139"/>
      <c r="V94" s="139"/>
      <c r="W94" s="139"/>
      <c r="X94" s="136"/>
      <c r="Y94" s="133">
        <f t="shared" si="34"/>
        <v>0</v>
      </c>
      <c r="Z94" s="133">
        <f t="shared" si="35"/>
        <v>0</v>
      </c>
      <c r="AA94" s="134">
        <f>+D94-Z94</f>
        <v>0</v>
      </c>
    </row>
    <row r="95" spans="1:27" s="135" customFormat="1" ht="13.5">
      <c r="A95" s="147" t="s">
        <v>66</v>
      </c>
      <c r="B95" s="184" t="s">
        <v>37</v>
      </c>
      <c r="C95" s="115" t="s">
        <v>38</v>
      </c>
      <c r="D95" s="67"/>
      <c r="E95" s="136"/>
      <c r="F95" s="136"/>
      <c r="G95" s="137">
        <v>0</v>
      </c>
      <c r="H95" s="138">
        <f>D95-G95</f>
        <v>0</v>
      </c>
      <c r="I95" s="136"/>
      <c r="J95" s="136"/>
      <c r="K95" s="136"/>
      <c r="L95" s="136"/>
      <c r="M95" s="136"/>
      <c r="N95" s="136"/>
      <c r="O95" s="136"/>
      <c r="P95" s="136"/>
      <c r="Q95" s="136"/>
      <c r="R95" s="136"/>
      <c r="S95" s="136"/>
      <c r="T95" s="136"/>
      <c r="U95" s="139"/>
      <c r="V95" s="139"/>
      <c r="W95" s="139"/>
      <c r="X95" s="136"/>
      <c r="Y95" s="133">
        <f t="shared" si="34"/>
        <v>0</v>
      </c>
      <c r="Z95" s="133">
        <f t="shared" si="35"/>
        <v>0</v>
      </c>
      <c r="AA95" s="134">
        <f>+D95-Z95</f>
        <v>0</v>
      </c>
    </row>
    <row r="96" spans="1:27" s="135" customFormat="1" ht="13.5">
      <c r="A96" s="147" t="s">
        <v>66</v>
      </c>
      <c r="B96" s="184" t="s">
        <v>39</v>
      </c>
      <c r="C96" s="115" t="s">
        <v>40</v>
      </c>
      <c r="D96" s="67"/>
      <c r="E96" s="136"/>
      <c r="F96" s="136"/>
      <c r="G96" s="137">
        <v>0</v>
      </c>
      <c r="H96" s="138">
        <f>D96-G96</f>
        <v>0</v>
      </c>
      <c r="I96" s="136"/>
      <c r="J96" s="136"/>
      <c r="K96" s="136"/>
      <c r="L96" s="136"/>
      <c r="M96" s="136"/>
      <c r="N96" s="136"/>
      <c r="O96" s="136"/>
      <c r="P96" s="136"/>
      <c r="Q96" s="136"/>
      <c r="R96" s="136"/>
      <c r="S96" s="136"/>
      <c r="T96" s="136"/>
      <c r="U96" s="139"/>
      <c r="V96" s="139"/>
      <c r="W96" s="139"/>
      <c r="X96" s="136"/>
      <c r="Y96" s="133">
        <f t="shared" si="34"/>
        <v>0</v>
      </c>
      <c r="Z96" s="133">
        <f t="shared" si="35"/>
        <v>0</v>
      </c>
      <c r="AA96" s="134">
        <f>+D96-Z96</f>
        <v>0</v>
      </c>
    </row>
    <row r="97" spans="1:27" s="135" customFormat="1" ht="13.5">
      <c r="A97" s="147" t="s">
        <v>66</v>
      </c>
      <c r="B97" s="184" t="s">
        <v>41</v>
      </c>
      <c r="C97" s="115" t="s">
        <v>42</v>
      </c>
      <c r="D97" s="67"/>
      <c r="E97" s="136"/>
      <c r="F97" s="136"/>
      <c r="G97" s="137">
        <v>0</v>
      </c>
      <c r="H97" s="138">
        <f>D97-G97</f>
        <v>0</v>
      </c>
      <c r="I97" s="136"/>
      <c r="J97" s="136"/>
      <c r="K97" s="136"/>
      <c r="L97" s="136"/>
      <c r="M97" s="136"/>
      <c r="N97" s="136"/>
      <c r="O97" s="136"/>
      <c r="P97" s="136"/>
      <c r="Q97" s="136"/>
      <c r="R97" s="136"/>
      <c r="S97" s="136"/>
      <c r="T97" s="136"/>
      <c r="U97" s="139"/>
      <c r="V97" s="139"/>
      <c r="W97" s="139"/>
      <c r="X97" s="136"/>
      <c r="Y97" s="133">
        <f t="shared" si="34"/>
        <v>0</v>
      </c>
      <c r="Z97" s="133">
        <f t="shared" si="35"/>
        <v>0</v>
      </c>
      <c r="AA97" s="134">
        <f>+D97-Z97</f>
        <v>0</v>
      </c>
    </row>
    <row r="98" spans="1:27" s="135" customFormat="1" ht="13.5">
      <c r="A98" s="147" t="s">
        <v>66</v>
      </c>
      <c r="B98" s="184" t="s">
        <v>43</v>
      </c>
      <c r="C98" s="115" t="s">
        <v>44</v>
      </c>
      <c r="D98" s="67"/>
      <c r="E98" s="136"/>
      <c r="F98" s="136"/>
      <c r="G98" s="137">
        <v>0</v>
      </c>
      <c r="H98" s="138">
        <f>D98-G98</f>
        <v>0</v>
      </c>
      <c r="I98" s="136"/>
      <c r="J98" s="136"/>
      <c r="K98" s="136"/>
      <c r="L98" s="136"/>
      <c r="M98" s="136"/>
      <c r="N98" s="136"/>
      <c r="O98" s="136"/>
      <c r="P98" s="136"/>
      <c r="Q98" s="136"/>
      <c r="R98" s="136"/>
      <c r="S98" s="136"/>
      <c r="T98" s="136"/>
      <c r="U98" s="139"/>
      <c r="V98" s="139"/>
      <c r="W98" s="139"/>
      <c r="X98" s="136"/>
      <c r="Y98" s="133">
        <f t="shared" si="34"/>
        <v>0</v>
      </c>
      <c r="Z98" s="133">
        <f t="shared" si="35"/>
        <v>0</v>
      </c>
      <c r="AA98" s="134">
        <f>+D98-Z98</f>
        <v>0</v>
      </c>
    </row>
    <row r="99" spans="1:27" s="135" customFormat="1" ht="13.5">
      <c r="A99" s="147" t="s">
        <v>66</v>
      </c>
      <c r="B99" s="184" t="s">
        <v>45</v>
      </c>
      <c r="C99" s="115" t="s">
        <v>46</v>
      </c>
      <c r="D99" s="67"/>
      <c r="E99" s="136"/>
      <c r="F99" s="136"/>
      <c r="G99" s="137">
        <v>0</v>
      </c>
      <c r="H99" s="138">
        <f>D99-G99</f>
        <v>0</v>
      </c>
      <c r="I99" s="136"/>
      <c r="J99" s="136"/>
      <c r="K99" s="136"/>
      <c r="L99" s="136"/>
      <c r="M99" s="136"/>
      <c r="N99" s="136"/>
      <c r="O99" s="136"/>
      <c r="P99" s="136"/>
      <c r="Q99" s="136"/>
      <c r="R99" s="136"/>
      <c r="S99" s="136"/>
      <c r="T99" s="136"/>
      <c r="U99" s="139"/>
      <c r="V99" s="139"/>
      <c r="W99" s="139"/>
      <c r="X99" s="136"/>
      <c r="Y99" s="133">
        <f t="shared" si="34"/>
        <v>0</v>
      </c>
      <c r="Z99" s="133">
        <f t="shared" si="35"/>
        <v>0</v>
      </c>
      <c r="AA99" s="134">
        <f>+D99-Z99</f>
        <v>0</v>
      </c>
    </row>
    <row r="100" spans="1:27" s="135" customFormat="1" ht="13.5">
      <c r="A100" s="147" t="s">
        <v>66</v>
      </c>
      <c r="B100" s="184" t="s">
        <v>47</v>
      </c>
      <c r="C100" s="115" t="s">
        <v>48</v>
      </c>
      <c r="D100" s="67"/>
      <c r="E100" s="136"/>
      <c r="F100" s="136"/>
      <c r="G100" s="137">
        <v>0</v>
      </c>
      <c r="H100" s="138">
        <f>D100-G100</f>
        <v>0</v>
      </c>
      <c r="I100" s="136"/>
      <c r="J100" s="136"/>
      <c r="K100" s="136"/>
      <c r="L100" s="136"/>
      <c r="M100" s="136"/>
      <c r="N100" s="136"/>
      <c r="O100" s="136"/>
      <c r="P100" s="136"/>
      <c r="Q100" s="136"/>
      <c r="R100" s="136"/>
      <c r="S100" s="136"/>
      <c r="T100" s="136"/>
      <c r="U100" s="139"/>
      <c r="V100" s="139"/>
      <c r="W100" s="139"/>
      <c r="X100" s="136"/>
      <c r="Y100" s="133">
        <f t="shared" si="34"/>
        <v>0</v>
      </c>
      <c r="Z100" s="133">
        <f t="shared" si="35"/>
        <v>0</v>
      </c>
      <c r="AA100" s="134">
        <f>+D100-Z100</f>
        <v>0</v>
      </c>
    </row>
    <row r="101" spans="1:27" s="135" customFormat="1" ht="11.25" customHeight="1">
      <c r="A101" s="147" t="s">
        <v>66</v>
      </c>
      <c r="B101" s="184" t="s">
        <v>49</v>
      </c>
      <c r="C101" s="115" t="s">
        <v>50</v>
      </c>
      <c r="D101" s="67"/>
      <c r="E101" s="136"/>
      <c r="F101" s="136"/>
      <c r="G101" s="137">
        <v>0</v>
      </c>
      <c r="H101" s="138">
        <f>D101-G101</f>
        <v>0</v>
      </c>
      <c r="I101" s="136"/>
      <c r="J101" s="136"/>
      <c r="K101" s="136"/>
      <c r="L101" s="136"/>
      <c r="M101" s="136"/>
      <c r="N101" s="136"/>
      <c r="O101" s="136"/>
      <c r="P101" s="136"/>
      <c r="Q101" s="136"/>
      <c r="R101" s="136"/>
      <c r="S101" s="136"/>
      <c r="T101" s="136"/>
      <c r="U101" s="139"/>
      <c r="V101" s="139"/>
      <c r="W101" s="139"/>
      <c r="X101" s="136"/>
      <c r="Y101" s="133">
        <f t="shared" si="34"/>
        <v>0</v>
      </c>
      <c r="Z101" s="133">
        <f t="shared" si="35"/>
        <v>0</v>
      </c>
      <c r="AA101" s="134">
        <f>+D101-Z101</f>
        <v>0</v>
      </c>
    </row>
    <row r="102" spans="1:27" s="135" customFormat="1" ht="13.5">
      <c r="A102" s="147" t="s">
        <v>66</v>
      </c>
      <c r="B102" s="185" t="s">
        <v>55</v>
      </c>
      <c r="C102" s="116" t="s">
        <v>56</v>
      </c>
      <c r="D102" s="70"/>
      <c r="E102" s="140"/>
      <c r="F102" s="140"/>
      <c r="G102" s="137">
        <v>0</v>
      </c>
      <c r="H102" s="138">
        <f>D102-G102</f>
        <v>0</v>
      </c>
      <c r="I102" s="140"/>
      <c r="J102" s="140"/>
      <c r="K102" s="140"/>
      <c r="L102" s="140"/>
      <c r="M102" s="140"/>
      <c r="N102" s="140"/>
      <c r="O102" s="140"/>
      <c r="P102" s="140"/>
      <c r="Q102" s="140"/>
      <c r="R102" s="140"/>
      <c r="S102" s="140"/>
      <c r="T102" s="140"/>
      <c r="U102" s="143"/>
      <c r="V102" s="143"/>
      <c r="W102" s="143"/>
      <c r="X102" s="140"/>
      <c r="Y102" s="133">
        <f t="shared" si="34"/>
        <v>0</v>
      </c>
      <c r="Z102" s="133">
        <f t="shared" si="35"/>
        <v>0</v>
      </c>
      <c r="AA102" s="134">
        <f>+D102-Z102</f>
        <v>0</v>
      </c>
    </row>
    <row r="103" spans="1:27" s="135" customFormat="1" ht="13.5">
      <c r="A103" s="123" t="s">
        <v>67</v>
      </c>
      <c r="B103" s="186"/>
      <c r="C103" s="151"/>
      <c r="D103" s="120">
        <f t="shared" ref="D103:F103" si="36">SUBTOTAL(9,D104:D113)</f>
        <v>0</v>
      </c>
      <c r="E103" s="120">
        <f t="shared" si="36"/>
        <v>0</v>
      </c>
      <c r="F103" s="120">
        <f t="shared" si="36"/>
        <v>0</v>
      </c>
      <c r="G103" s="146">
        <v>0</v>
      </c>
      <c r="H103" s="146">
        <f>D103-G103</f>
        <v>0</v>
      </c>
      <c r="I103" s="120">
        <f t="shared" ref="I103:R103" si="37">SUBTOTAL(9,I104:I113)</f>
        <v>0</v>
      </c>
      <c r="J103" s="120">
        <f t="shared" si="37"/>
        <v>0</v>
      </c>
      <c r="K103" s="120">
        <f t="shared" si="37"/>
        <v>0</v>
      </c>
      <c r="L103" s="120">
        <f t="shared" si="37"/>
        <v>0</v>
      </c>
      <c r="M103" s="120">
        <f t="shared" si="37"/>
        <v>0</v>
      </c>
      <c r="N103" s="120">
        <f t="shared" si="37"/>
        <v>0</v>
      </c>
      <c r="O103" s="120">
        <f t="shared" si="37"/>
        <v>0</v>
      </c>
      <c r="P103" s="120">
        <f t="shared" si="37"/>
        <v>0</v>
      </c>
      <c r="Q103" s="120">
        <f t="shared" si="37"/>
        <v>0</v>
      </c>
      <c r="R103" s="120">
        <f t="shared" si="37"/>
        <v>0</v>
      </c>
      <c r="S103" s="120">
        <f t="shared" ref="S103:X103" si="38">SUBTOTAL(9,S104:S113)</f>
        <v>0</v>
      </c>
      <c r="T103" s="120">
        <f t="shared" si="38"/>
        <v>0</v>
      </c>
      <c r="U103" s="120">
        <f t="shared" si="38"/>
        <v>0</v>
      </c>
      <c r="V103" s="120">
        <f t="shared" si="38"/>
        <v>0</v>
      </c>
      <c r="W103" s="120">
        <f t="shared" si="38"/>
        <v>0</v>
      </c>
      <c r="X103" s="120">
        <f t="shared" si="38"/>
        <v>0</v>
      </c>
      <c r="Y103" s="120">
        <f>SUM(I103:X103)</f>
        <v>0</v>
      </c>
      <c r="Z103" s="121">
        <f>+G103+Y103</f>
        <v>0</v>
      </c>
      <c r="AA103" s="122">
        <f>+D103-Z103</f>
        <v>0</v>
      </c>
    </row>
    <row r="104" spans="1:27" s="135" customFormat="1" ht="13.5">
      <c r="A104" s="147" t="s">
        <v>67</v>
      </c>
      <c r="B104" s="183" t="s">
        <v>29</v>
      </c>
      <c r="C104" s="114" t="s">
        <v>98</v>
      </c>
      <c r="D104" s="65"/>
      <c r="E104" s="129"/>
      <c r="F104" s="129"/>
      <c r="G104" s="130">
        <v>0</v>
      </c>
      <c r="H104" s="131">
        <f>D104-G104</f>
        <v>0</v>
      </c>
      <c r="I104" s="129"/>
      <c r="J104" s="129"/>
      <c r="K104" s="129"/>
      <c r="L104" s="129"/>
      <c r="M104" s="129"/>
      <c r="N104" s="129"/>
      <c r="O104" s="129"/>
      <c r="P104" s="129"/>
      <c r="Q104" s="129"/>
      <c r="R104" s="129"/>
      <c r="S104" s="129"/>
      <c r="T104" s="129"/>
      <c r="U104" s="132"/>
      <c r="V104" s="132"/>
      <c r="W104" s="132"/>
      <c r="X104" s="129"/>
      <c r="Y104" s="133">
        <f>SUM(I104:X104)</f>
        <v>0</v>
      </c>
      <c r="Z104" s="133">
        <f>+G104+Y104</f>
        <v>0</v>
      </c>
      <c r="AA104" s="134">
        <f>+D104-Z104</f>
        <v>0</v>
      </c>
    </row>
    <row r="105" spans="1:27" s="135" customFormat="1" ht="13.5">
      <c r="A105" s="147" t="s">
        <v>67</v>
      </c>
      <c r="B105" s="184" t="s">
        <v>35</v>
      </c>
      <c r="C105" s="115" t="s">
        <v>36</v>
      </c>
      <c r="D105" s="67"/>
      <c r="E105" s="136"/>
      <c r="F105" s="136"/>
      <c r="G105" s="137">
        <v>0</v>
      </c>
      <c r="H105" s="138">
        <f>D105-G105</f>
        <v>0</v>
      </c>
      <c r="I105" s="136"/>
      <c r="J105" s="136"/>
      <c r="K105" s="136"/>
      <c r="L105" s="136"/>
      <c r="M105" s="136"/>
      <c r="N105" s="136"/>
      <c r="O105" s="136"/>
      <c r="P105" s="136"/>
      <c r="Q105" s="136"/>
      <c r="R105" s="136"/>
      <c r="S105" s="136"/>
      <c r="T105" s="136"/>
      <c r="U105" s="139"/>
      <c r="V105" s="139"/>
      <c r="W105" s="139"/>
      <c r="X105" s="136"/>
      <c r="Y105" s="133">
        <f t="shared" ref="Y105:Y113" si="39">SUM(I105:X105)</f>
        <v>0</v>
      </c>
      <c r="Z105" s="133">
        <f t="shared" ref="Z105:Z113" si="40">+G105+Y105</f>
        <v>0</v>
      </c>
      <c r="AA105" s="134">
        <f>+D105-Z105</f>
        <v>0</v>
      </c>
    </row>
    <row r="106" spans="1:27" s="135" customFormat="1" ht="13.5">
      <c r="A106" s="147" t="s">
        <v>67</v>
      </c>
      <c r="B106" s="184" t="s">
        <v>37</v>
      </c>
      <c r="C106" s="115" t="s">
        <v>38</v>
      </c>
      <c r="D106" s="67"/>
      <c r="E106" s="136"/>
      <c r="F106" s="136"/>
      <c r="G106" s="137">
        <v>0</v>
      </c>
      <c r="H106" s="138">
        <f>D106-G106</f>
        <v>0</v>
      </c>
      <c r="I106" s="136"/>
      <c r="J106" s="136"/>
      <c r="K106" s="136"/>
      <c r="L106" s="136"/>
      <c r="M106" s="136"/>
      <c r="N106" s="136"/>
      <c r="O106" s="136"/>
      <c r="P106" s="136"/>
      <c r="Q106" s="136"/>
      <c r="R106" s="136"/>
      <c r="S106" s="136"/>
      <c r="T106" s="136"/>
      <c r="U106" s="139"/>
      <c r="V106" s="139"/>
      <c r="W106" s="139"/>
      <c r="X106" s="136"/>
      <c r="Y106" s="133">
        <f t="shared" si="39"/>
        <v>0</v>
      </c>
      <c r="Z106" s="133">
        <f t="shared" si="40"/>
        <v>0</v>
      </c>
      <c r="AA106" s="134">
        <f>+D106-Z106</f>
        <v>0</v>
      </c>
    </row>
    <row r="107" spans="1:27" s="135" customFormat="1" ht="13.5">
      <c r="A107" s="147" t="s">
        <v>67</v>
      </c>
      <c r="B107" s="184" t="s">
        <v>39</v>
      </c>
      <c r="C107" s="115" t="s">
        <v>40</v>
      </c>
      <c r="D107" s="67"/>
      <c r="E107" s="136"/>
      <c r="F107" s="136"/>
      <c r="G107" s="137">
        <v>0</v>
      </c>
      <c r="H107" s="138">
        <f>D107-G107</f>
        <v>0</v>
      </c>
      <c r="I107" s="136"/>
      <c r="J107" s="136"/>
      <c r="K107" s="136"/>
      <c r="L107" s="136"/>
      <c r="M107" s="136"/>
      <c r="N107" s="136"/>
      <c r="O107" s="136"/>
      <c r="P107" s="136"/>
      <c r="Q107" s="136"/>
      <c r="R107" s="136"/>
      <c r="S107" s="136"/>
      <c r="T107" s="136"/>
      <c r="U107" s="139"/>
      <c r="V107" s="139"/>
      <c r="W107" s="139"/>
      <c r="X107" s="136"/>
      <c r="Y107" s="133">
        <f t="shared" si="39"/>
        <v>0</v>
      </c>
      <c r="Z107" s="133">
        <f t="shared" si="40"/>
        <v>0</v>
      </c>
      <c r="AA107" s="134">
        <f>+D107-Z107</f>
        <v>0</v>
      </c>
    </row>
    <row r="108" spans="1:27" s="135" customFormat="1" ht="13.5">
      <c r="A108" s="147" t="s">
        <v>67</v>
      </c>
      <c r="B108" s="184" t="s">
        <v>41</v>
      </c>
      <c r="C108" s="115" t="s">
        <v>42</v>
      </c>
      <c r="D108" s="67"/>
      <c r="E108" s="136"/>
      <c r="F108" s="136"/>
      <c r="G108" s="137">
        <v>0</v>
      </c>
      <c r="H108" s="138">
        <f>D108-G108</f>
        <v>0</v>
      </c>
      <c r="I108" s="136"/>
      <c r="J108" s="136"/>
      <c r="K108" s="136"/>
      <c r="L108" s="136"/>
      <c r="M108" s="136"/>
      <c r="N108" s="136"/>
      <c r="O108" s="136"/>
      <c r="P108" s="136"/>
      <c r="Q108" s="136"/>
      <c r="R108" s="136"/>
      <c r="S108" s="136"/>
      <c r="T108" s="136"/>
      <c r="U108" s="139"/>
      <c r="V108" s="139"/>
      <c r="W108" s="139"/>
      <c r="X108" s="136"/>
      <c r="Y108" s="133">
        <f t="shared" si="39"/>
        <v>0</v>
      </c>
      <c r="Z108" s="133">
        <f t="shared" si="40"/>
        <v>0</v>
      </c>
      <c r="AA108" s="134">
        <f>+D108-Z108</f>
        <v>0</v>
      </c>
    </row>
    <row r="109" spans="1:27" s="135" customFormat="1" ht="13.5">
      <c r="A109" s="147" t="s">
        <v>67</v>
      </c>
      <c r="B109" s="184" t="s">
        <v>43</v>
      </c>
      <c r="C109" s="115" t="s">
        <v>44</v>
      </c>
      <c r="D109" s="67"/>
      <c r="E109" s="136"/>
      <c r="F109" s="136"/>
      <c r="G109" s="137">
        <v>0</v>
      </c>
      <c r="H109" s="138">
        <f>D109-G109</f>
        <v>0</v>
      </c>
      <c r="I109" s="136"/>
      <c r="J109" s="136"/>
      <c r="K109" s="136"/>
      <c r="L109" s="136"/>
      <c r="M109" s="136"/>
      <c r="N109" s="136"/>
      <c r="O109" s="136"/>
      <c r="P109" s="136"/>
      <c r="Q109" s="136"/>
      <c r="R109" s="136"/>
      <c r="S109" s="136"/>
      <c r="T109" s="136"/>
      <c r="U109" s="139"/>
      <c r="V109" s="139"/>
      <c r="W109" s="139"/>
      <c r="X109" s="136"/>
      <c r="Y109" s="133">
        <f t="shared" si="39"/>
        <v>0</v>
      </c>
      <c r="Z109" s="133">
        <f t="shared" si="40"/>
        <v>0</v>
      </c>
      <c r="AA109" s="134">
        <f>+D109-Z109</f>
        <v>0</v>
      </c>
    </row>
    <row r="110" spans="1:27" s="135" customFormat="1" ht="13.5">
      <c r="A110" s="147" t="s">
        <v>67</v>
      </c>
      <c r="B110" s="184" t="s">
        <v>45</v>
      </c>
      <c r="C110" s="115" t="s">
        <v>46</v>
      </c>
      <c r="D110" s="67"/>
      <c r="E110" s="136"/>
      <c r="F110" s="136"/>
      <c r="G110" s="137">
        <v>0</v>
      </c>
      <c r="H110" s="138">
        <f>D110-G110</f>
        <v>0</v>
      </c>
      <c r="I110" s="136"/>
      <c r="J110" s="136"/>
      <c r="K110" s="136"/>
      <c r="L110" s="136"/>
      <c r="M110" s="136"/>
      <c r="N110" s="136"/>
      <c r="O110" s="136"/>
      <c r="P110" s="136"/>
      <c r="Q110" s="136"/>
      <c r="R110" s="136"/>
      <c r="S110" s="136"/>
      <c r="T110" s="136"/>
      <c r="U110" s="139"/>
      <c r="V110" s="139"/>
      <c r="W110" s="139"/>
      <c r="X110" s="136"/>
      <c r="Y110" s="133">
        <f t="shared" si="39"/>
        <v>0</v>
      </c>
      <c r="Z110" s="133">
        <f t="shared" si="40"/>
        <v>0</v>
      </c>
      <c r="AA110" s="134">
        <f>+D110-Z110</f>
        <v>0</v>
      </c>
    </row>
    <row r="111" spans="1:27" s="135" customFormat="1" ht="13.5">
      <c r="A111" s="147" t="s">
        <v>67</v>
      </c>
      <c r="B111" s="184" t="s">
        <v>47</v>
      </c>
      <c r="C111" s="115" t="s">
        <v>48</v>
      </c>
      <c r="D111" s="67"/>
      <c r="E111" s="136"/>
      <c r="F111" s="136"/>
      <c r="G111" s="137">
        <v>0</v>
      </c>
      <c r="H111" s="138">
        <f>D111-G111</f>
        <v>0</v>
      </c>
      <c r="I111" s="136"/>
      <c r="J111" s="136"/>
      <c r="K111" s="136"/>
      <c r="L111" s="136"/>
      <c r="M111" s="136"/>
      <c r="N111" s="136"/>
      <c r="O111" s="136"/>
      <c r="P111" s="136"/>
      <c r="Q111" s="136"/>
      <c r="R111" s="136"/>
      <c r="S111" s="136"/>
      <c r="T111" s="136"/>
      <c r="U111" s="139"/>
      <c r="V111" s="139"/>
      <c r="W111" s="139"/>
      <c r="X111" s="136"/>
      <c r="Y111" s="133">
        <f t="shared" si="39"/>
        <v>0</v>
      </c>
      <c r="Z111" s="133">
        <f t="shared" si="40"/>
        <v>0</v>
      </c>
      <c r="AA111" s="134">
        <f>+D111-Z111</f>
        <v>0</v>
      </c>
    </row>
    <row r="112" spans="1:27" s="135" customFormat="1" ht="13.5">
      <c r="A112" s="147" t="s">
        <v>67</v>
      </c>
      <c r="B112" s="184" t="s">
        <v>49</v>
      </c>
      <c r="C112" s="115" t="s">
        <v>50</v>
      </c>
      <c r="D112" s="67"/>
      <c r="E112" s="136"/>
      <c r="F112" s="136"/>
      <c r="G112" s="137">
        <v>0</v>
      </c>
      <c r="H112" s="138">
        <f>D112-G112</f>
        <v>0</v>
      </c>
      <c r="I112" s="136"/>
      <c r="J112" s="136"/>
      <c r="K112" s="136"/>
      <c r="L112" s="136"/>
      <c r="M112" s="136"/>
      <c r="N112" s="136"/>
      <c r="O112" s="136"/>
      <c r="P112" s="136"/>
      <c r="Q112" s="136"/>
      <c r="R112" s="136"/>
      <c r="S112" s="136"/>
      <c r="T112" s="136"/>
      <c r="U112" s="139"/>
      <c r="V112" s="139"/>
      <c r="W112" s="139"/>
      <c r="X112" s="136"/>
      <c r="Y112" s="133">
        <f t="shared" si="39"/>
        <v>0</v>
      </c>
      <c r="Z112" s="133">
        <f t="shared" si="40"/>
        <v>0</v>
      </c>
      <c r="AA112" s="134">
        <f>+D112-Z112</f>
        <v>0</v>
      </c>
    </row>
    <row r="113" spans="1:27" s="135" customFormat="1" ht="12" customHeight="1">
      <c r="A113" s="147" t="s">
        <v>67</v>
      </c>
      <c r="B113" s="185" t="s">
        <v>55</v>
      </c>
      <c r="C113" s="116" t="s">
        <v>56</v>
      </c>
      <c r="D113" s="70"/>
      <c r="E113" s="140"/>
      <c r="F113" s="140"/>
      <c r="G113" s="141">
        <v>0</v>
      </c>
      <c r="H113" s="142">
        <f>D113-G113</f>
        <v>0</v>
      </c>
      <c r="I113" s="140"/>
      <c r="J113" s="140"/>
      <c r="K113" s="140"/>
      <c r="L113" s="140"/>
      <c r="M113" s="140"/>
      <c r="N113" s="140"/>
      <c r="O113" s="140"/>
      <c r="P113" s="140"/>
      <c r="Q113" s="140"/>
      <c r="R113" s="140"/>
      <c r="S113" s="140"/>
      <c r="T113" s="140"/>
      <c r="U113" s="143"/>
      <c r="V113" s="143"/>
      <c r="W113" s="143"/>
      <c r="X113" s="140"/>
      <c r="Y113" s="133">
        <f t="shared" si="39"/>
        <v>0</v>
      </c>
      <c r="Z113" s="133">
        <f t="shared" si="40"/>
        <v>0</v>
      </c>
      <c r="AA113" s="134">
        <f>+D113-Z113</f>
        <v>0</v>
      </c>
    </row>
    <row r="114" spans="1:27" s="135" customFormat="1" ht="13.5">
      <c r="A114" s="123" t="s">
        <v>68</v>
      </c>
      <c r="B114" s="186"/>
      <c r="C114" s="151"/>
      <c r="D114" s="120">
        <f t="shared" ref="D114:F114" si="41">SUBTOTAL(9,D115:D120)</f>
        <v>0</v>
      </c>
      <c r="E114" s="120">
        <f t="shared" si="41"/>
        <v>0</v>
      </c>
      <c r="F114" s="120">
        <f t="shared" si="41"/>
        <v>0</v>
      </c>
      <c r="G114" s="146">
        <v>0</v>
      </c>
      <c r="H114" s="146">
        <f>D114-G114</f>
        <v>0</v>
      </c>
      <c r="I114" s="120">
        <f t="shared" ref="I114:R114" si="42">SUBTOTAL(9,I115:I120)</f>
        <v>0</v>
      </c>
      <c r="J114" s="120">
        <f t="shared" si="42"/>
        <v>0</v>
      </c>
      <c r="K114" s="120">
        <f t="shared" si="42"/>
        <v>0</v>
      </c>
      <c r="L114" s="120">
        <f t="shared" si="42"/>
        <v>0</v>
      </c>
      <c r="M114" s="120">
        <f t="shared" si="42"/>
        <v>0</v>
      </c>
      <c r="N114" s="120">
        <f t="shared" si="42"/>
        <v>0</v>
      </c>
      <c r="O114" s="120">
        <f t="shared" si="42"/>
        <v>0</v>
      </c>
      <c r="P114" s="120">
        <f t="shared" si="42"/>
        <v>0</v>
      </c>
      <c r="Q114" s="120">
        <f t="shared" si="42"/>
        <v>0</v>
      </c>
      <c r="R114" s="120">
        <f t="shared" si="42"/>
        <v>0</v>
      </c>
      <c r="S114" s="120">
        <f t="shared" ref="S114:X114" si="43">SUBTOTAL(9,S115:S120)</f>
        <v>0</v>
      </c>
      <c r="T114" s="120">
        <f t="shared" si="43"/>
        <v>0</v>
      </c>
      <c r="U114" s="120">
        <f t="shared" si="43"/>
        <v>0</v>
      </c>
      <c r="V114" s="120">
        <f t="shared" si="43"/>
        <v>0</v>
      </c>
      <c r="W114" s="120">
        <f t="shared" si="43"/>
        <v>0</v>
      </c>
      <c r="X114" s="120">
        <f t="shared" si="43"/>
        <v>0</v>
      </c>
      <c r="Y114" s="120">
        <f>SUM(I114:X114)</f>
        <v>0</v>
      </c>
      <c r="Z114" s="121">
        <f>+G114+Y114</f>
        <v>0</v>
      </c>
      <c r="AA114" s="122">
        <f>+D114-Z114</f>
        <v>0</v>
      </c>
    </row>
    <row r="115" spans="1:27" s="135" customFormat="1" ht="13.5">
      <c r="A115" s="147" t="s">
        <v>68</v>
      </c>
      <c r="B115" s="183" t="s">
        <v>35</v>
      </c>
      <c r="C115" s="114" t="s">
        <v>36</v>
      </c>
      <c r="D115" s="65"/>
      <c r="E115" s="129"/>
      <c r="F115" s="129"/>
      <c r="G115" s="130">
        <v>0</v>
      </c>
      <c r="H115" s="131">
        <f>D115-G115</f>
        <v>0</v>
      </c>
      <c r="I115" s="129"/>
      <c r="J115" s="129"/>
      <c r="K115" s="129"/>
      <c r="L115" s="129"/>
      <c r="M115" s="129"/>
      <c r="N115" s="129"/>
      <c r="O115" s="129"/>
      <c r="P115" s="129"/>
      <c r="Q115" s="129"/>
      <c r="R115" s="129"/>
      <c r="S115" s="129"/>
      <c r="T115" s="129"/>
      <c r="U115" s="132"/>
      <c r="V115" s="132"/>
      <c r="W115" s="132"/>
      <c r="X115" s="129"/>
      <c r="Y115" s="133">
        <f>SUM(I115:X115)</f>
        <v>0</v>
      </c>
      <c r="Z115" s="133">
        <f>+G115+Y115</f>
        <v>0</v>
      </c>
      <c r="AA115" s="134">
        <f>+D115-Z115</f>
        <v>0</v>
      </c>
    </row>
    <row r="116" spans="1:27" s="135" customFormat="1" ht="13.5">
      <c r="A116" s="147" t="s">
        <v>68</v>
      </c>
      <c r="B116" s="184" t="s">
        <v>37</v>
      </c>
      <c r="C116" s="115" t="s">
        <v>38</v>
      </c>
      <c r="D116" s="67"/>
      <c r="E116" s="136"/>
      <c r="F116" s="136"/>
      <c r="G116" s="137">
        <v>0</v>
      </c>
      <c r="H116" s="138">
        <f>D116-G116</f>
        <v>0</v>
      </c>
      <c r="I116" s="136"/>
      <c r="J116" s="136"/>
      <c r="K116" s="136"/>
      <c r="L116" s="136"/>
      <c r="M116" s="136"/>
      <c r="N116" s="136"/>
      <c r="O116" s="136"/>
      <c r="P116" s="136"/>
      <c r="Q116" s="136"/>
      <c r="R116" s="136"/>
      <c r="S116" s="136"/>
      <c r="T116" s="136"/>
      <c r="U116" s="139"/>
      <c r="V116" s="139"/>
      <c r="W116" s="139"/>
      <c r="X116" s="136"/>
      <c r="Y116" s="133">
        <f t="shared" ref="Y116:Y120" si="44">SUM(I116:X116)</f>
        <v>0</v>
      </c>
      <c r="Z116" s="133">
        <f t="shared" ref="Z116:Z120" si="45">+G116+Y116</f>
        <v>0</v>
      </c>
      <c r="AA116" s="134">
        <f>+D116-Z116</f>
        <v>0</v>
      </c>
    </row>
    <row r="117" spans="1:27" s="135" customFormat="1" ht="13.5">
      <c r="A117" s="147" t="s">
        <v>68</v>
      </c>
      <c r="B117" s="184" t="s">
        <v>39</v>
      </c>
      <c r="C117" s="115" t="s">
        <v>40</v>
      </c>
      <c r="D117" s="67"/>
      <c r="E117" s="136"/>
      <c r="F117" s="136"/>
      <c r="G117" s="137">
        <v>0</v>
      </c>
      <c r="H117" s="138">
        <f>D117-G117</f>
        <v>0</v>
      </c>
      <c r="I117" s="136"/>
      <c r="J117" s="136"/>
      <c r="K117" s="136"/>
      <c r="L117" s="136"/>
      <c r="M117" s="136"/>
      <c r="N117" s="136"/>
      <c r="O117" s="136"/>
      <c r="P117" s="136"/>
      <c r="Q117" s="136"/>
      <c r="R117" s="136"/>
      <c r="S117" s="136"/>
      <c r="T117" s="136"/>
      <c r="U117" s="139"/>
      <c r="V117" s="139"/>
      <c r="W117" s="139"/>
      <c r="X117" s="136"/>
      <c r="Y117" s="133">
        <f t="shared" si="44"/>
        <v>0</v>
      </c>
      <c r="Z117" s="133">
        <f t="shared" si="45"/>
        <v>0</v>
      </c>
      <c r="AA117" s="134">
        <f>+D117-Z117</f>
        <v>0</v>
      </c>
    </row>
    <row r="118" spans="1:27" s="135" customFormat="1" ht="13.5">
      <c r="A118" s="147" t="s">
        <v>68</v>
      </c>
      <c r="B118" s="184" t="s">
        <v>43</v>
      </c>
      <c r="C118" s="115" t="s">
        <v>44</v>
      </c>
      <c r="D118" s="67"/>
      <c r="E118" s="136"/>
      <c r="F118" s="136"/>
      <c r="G118" s="137">
        <v>0</v>
      </c>
      <c r="H118" s="138">
        <f>D118-G118</f>
        <v>0</v>
      </c>
      <c r="I118" s="136"/>
      <c r="J118" s="136"/>
      <c r="K118" s="136"/>
      <c r="L118" s="136"/>
      <c r="M118" s="136"/>
      <c r="N118" s="136"/>
      <c r="O118" s="136"/>
      <c r="P118" s="136"/>
      <c r="Q118" s="136"/>
      <c r="R118" s="136"/>
      <c r="S118" s="136"/>
      <c r="T118" s="136"/>
      <c r="U118" s="139"/>
      <c r="V118" s="139"/>
      <c r="W118" s="139"/>
      <c r="X118" s="136"/>
      <c r="Y118" s="133">
        <f t="shared" si="44"/>
        <v>0</v>
      </c>
      <c r="Z118" s="133">
        <f t="shared" si="45"/>
        <v>0</v>
      </c>
      <c r="AA118" s="134">
        <f>+D118-Z118</f>
        <v>0</v>
      </c>
    </row>
    <row r="119" spans="1:27" s="135" customFormat="1" ht="13.5">
      <c r="A119" s="147" t="s">
        <v>68</v>
      </c>
      <c r="B119" s="184" t="s">
        <v>45</v>
      </c>
      <c r="C119" s="115" t="s">
        <v>46</v>
      </c>
      <c r="D119" s="67"/>
      <c r="E119" s="136"/>
      <c r="F119" s="136"/>
      <c r="G119" s="137">
        <v>0</v>
      </c>
      <c r="H119" s="138">
        <f>D119-G119</f>
        <v>0</v>
      </c>
      <c r="I119" s="136"/>
      <c r="J119" s="136"/>
      <c r="K119" s="136"/>
      <c r="L119" s="136"/>
      <c r="M119" s="136"/>
      <c r="N119" s="136"/>
      <c r="O119" s="136"/>
      <c r="P119" s="136"/>
      <c r="Q119" s="136"/>
      <c r="R119" s="136"/>
      <c r="S119" s="136"/>
      <c r="T119" s="136"/>
      <c r="U119" s="139"/>
      <c r="V119" s="139"/>
      <c r="W119" s="139"/>
      <c r="X119" s="136"/>
      <c r="Y119" s="133">
        <f t="shared" si="44"/>
        <v>0</v>
      </c>
      <c r="Z119" s="133">
        <f t="shared" si="45"/>
        <v>0</v>
      </c>
      <c r="AA119" s="134">
        <f>+D119-Z119</f>
        <v>0</v>
      </c>
    </row>
    <row r="120" spans="1:27" s="135" customFormat="1" ht="13.5">
      <c r="A120" s="147" t="s">
        <v>68</v>
      </c>
      <c r="B120" s="185" t="s">
        <v>55</v>
      </c>
      <c r="C120" s="116" t="s">
        <v>56</v>
      </c>
      <c r="D120" s="70"/>
      <c r="E120" s="140"/>
      <c r="F120" s="140"/>
      <c r="G120" s="141">
        <v>0</v>
      </c>
      <c r="H120" s="142">
        <f>D120-G120</f>
        <v>0</v>
      </c>
      <c r="I120" s="140"/>
      <c r="J120" s="140"/>
      <c r="K120" s="140"/>
      <c r="L120" s="140"/>
      <c r="M120" s="140"/>
      <c r="N120" s="140"/>
      <c r="O120" s="140"/>
      <c r="P120" s="140"/>
      <c r="Q120" s="140"/>
      <c r="R120" s="140"/>
      <c r="S120" s="140"/>
      <c r="T120" s="140"/>
      <c r="U120" s="143"/>
      <c r="V120" s="143"/>
      <c r="W120" s="143"/>
      <c r="X120" s="140"/>
      <c r="Y120" s="133">
        <f t="shared" si="44"/>
        <v>0</v>
      </c>
      <c r="Z120" s="133">
        <f t="shared" si="45"/>
        <v>0</v>
      </c>
      <c r="AA120" s="134">
        <f>+D120-Z120</f>
        <v>0</v>
      </c>
    </row>
    <row r="121" spans="1:27" s="135" customFormat="1" ht="13.5">
      <c r="A121" s="123" t="s">
        <v>69</v>
      </c>
      <c r="B121" s="186"/>
      <c r="C121" s="171"/>
      <c r="D121" s="120">
        <f t="shared" ref="D121:F121" si="46">SUBTOTAL(9,D122:D128)</f>
        <v>0</v>
      </c>
      <c r="E121" s="120">
        <f t="shared" si="46"/>
        <v>0</v>
      </c>
      <c r="F121" s="120">
        <f t="shared" si="46"/>
        <v>0</v>
      </c>
      <c r="G121" s="146">
        <v>0</v>
      </c>
      <c r="H121" s="146">
        <f>D121-G121</f>
        <v>0</v>
      </c>
      <c r="I121" s="120">
        <f t="shared" ref="I121:R121" si="47">SUBTOTAL(9,I122:I128)</f>
        <v>0</v>
      </c>
      <c r="J121" s="120">
        <f t="shared" si="47"/>
        <v>0</v>
      </c>
      <c r="K121" s="120">
        <f t="shared" si="47"/>
        <v>0</v>
      </c>
      <c r="L121" s="120">
        <f t="shared" si="47"/>
        <v>0</v>
      </c>
      <c r="M121" s="120">
        <f t="shared" si="47"/>
        <v>0</v>
      </c>
      <c r="N121" s="120">
        <f t="shared" si="47"/>
        <v>0</v>
      </c>
      <c r="O121" s="120">
        <f t="shared" si="47"/>
        <v>0</v>
      </c>
      <c r="P121" s="120">
        <f t="shared" si="47"/>
        <v>0</v>
      </c>
      <c r="Q121" s="120">
        <f t="shared" si="47"/>
        <v>0</v>
      </c>
      <c r="R121" s="120">
        <f t="shared" si="47"/>
        <v>0</v>
      </c>
      <c r="S121" s="120">
        <f t="shared" ref="S121:X121" si="48">SUBTOTAL(9,S122:S128)</f>
        <v>0</v>
      </c>
      <c r="T121" s="120">
        <f t="shared" si="48"/>
        <v>0</v>
      </c>
      <c r="U121" s="120">
        <f t="shared" si="48"/>
        <v>0</v>
      </c>
      <c r="V121" s="120">
        <f t="shared" si="48"/>
        <v>0</v>
      </c>
      <c r="W121" s="120">
        <f t="shared" si="48"/>
        <v>0</v>
      </c>
      <c r="X121" s="120">
        <f t="shared" si="48"/>
        <v>0</v>
      </c>
      <c r="Y121" s="120">
        <f>SUM(I121:X121)</f>
        <v>0</v>
      </c>
      <c r="Z121" s="121">
        <f>+G121+Y121</f>
        <v>0</v>
      </c>
      <c r="AA121" s="122">
        <f>+D121-Z121</f>
        <v>0</v>
      </c>
    </row>
    <row r="122" spans="1:27" s="135" customFormat="1" ht="13.5">
      <c r="A122" s="147" t="s">
        <v>69</v>
      </c>
      <c r="B122" s="183" t="s">
        <v>35</v>
      </c>
      <c r="C122" s="114" t="s">
        <v>36</v>
      </c>
      <c r="D122" s="65"/>
      <c r="E122" s="129"/>
      <c r="F122" s="129"/>
      <c r="G122" s="130">
        <v>0</v>
      </c>
      <c r="H122" s="131">
        <f>D122-G122</f>
        <v>0</v>
      </c>
      <c r="I122" s="129"/>
      <c r="J122" s="129"/>
      <c r="K122" s="129"/>
      <c r="L122" s="129"/>
      <c r="M122" s="129"/>
      <c r="N122" s="129"/>
      <c r="O122" s="129"/>
      <c r="P122" s="129"/>
      <c r="Q122" s="129"/>
      <c r="R122" s="129"/>
      <c r="S122" s="129"/>
      <c r="T122" s="129"/>
      <c r="U122" s="132"/>
      <c r="V122" s="132"/>
      <c r="W122" s="132"/>
      <c r="X122" s="129"/>
      <c r="Y122" s="133">
        <f>SUM(I122:X122)</f>
        <v>0</v>
      </c>
      <c r="Z122" s="133">
        <f>+G122+Y122</f>
        <v>0</v>
      </c>
      <c r="AA122" s="134">
        <f>+D122-Z122</f>
        <v>0</v>
      </c>
    </row>
    <row r="123" spans="1:27" s="135" customFormat="1" ht="13.5">
      <c r="A123" s="147" t="s">
        <v>69</v>
      </c>
      <c r="B123" s="184" t="s">
        <v>37</v>
      </c>
      <c r="C123" s="115" t="s">
        <v>38</v>
      </c>
      <c r="D123" s="67"/>
      <c r="E123" s="136"/>
      <c r="F123" s="136"/>
      <c r="G123" s="137">
        <v>0</v>
      </c>
      <c r="H123" s="138">
        <f>D123-G123</f>
        <v>0</v>
      </c>
      <c r="I123" s="136"/>
      <c r="J123" s="136"/>
      <c r="K123" s="136"/>
      <c r="L123" s="136"/>
      <c r="M123" s="136"/>
      <c r="N123" s="136"/>
      <c r="O123" s="136"/>
      <c r="P123" s="136"/>
      <c r="Q123" s="136"/>
      <c r="R123" s="136"/>
      <c r="S123" s="136"/>
      <c r="T123" s="136"/>
      <c r="U123" s="139"/>
      <c r="V123" s="139"/>
      <c r="W123" s="139"/>
      <c r="X123" s="136"/>
      <c r="Y123" s="133">
        <f t="shared" ref="Y123:Y128" si="49">SUM(I123:X123)</f>
        <v>0</v>
      </c>
      <c r="Z123" s="133">
        <f t="shared" ref="Z123:Z128" si="50">+G123+Y123</f>
        <v>0</v>
      </c>
      <c r="AA123" s="134">
        <f>+D123-Z123</f>
        <v>0</v>
      </c>
    </row>
    <row r="124" spans="1:27" s="135" customFormat="1" ht="13.5">
      <c r="A124" s="147" t="s">
        <v>69</v>
      </c>
      <c r="B124" s="184" t="s">
        <v>39</v>
      </c>
      <c r="C124" s="115" t="s">
        <v>40</v>
      </c>
      <c r="D124" s="67"/>
      <c r="E124" s="136"/>
      <c r="F124" s="136"/>
      <c r="G124" s="137">
        <v>0</v>
      </c>
      <c r="H124" s="138">
        <f>D124-G124</f>
        <v>0</v>
      </c>
      <c r="I124" s="136"/>
      <c r="J124" s="136"/>
      <c r="K124" s="136"/>
      <c r="L124" s="136"/>
      <c r="M124" s="136"/>
      <c r="N124" s="136"/>
      <c r="O124" s="136"/>
      <c r="P124" s="136"/>
      <c r="Q124" s="136"/>
      <c r="R124" s="136"/>
      <c r="S124" s="136"/>
      <c r="T124" s="136"/>
      <c r="U124" s="139"/>
      <c r="V124" s="139"/>
      <c r="W124" s="139"/>
      <c r="X124" s="136"/>
      <c r="Y124" s="133">
        <f t="shared" si="49"/>
        <v>0</v>
      </c>
      <c r="Z124" s="133">
        <f t="shared" si="50"/>
        <v>0</v>
      </c>
      <c r="AA124" s="134">
        <f>+D124-Z124</f>
        <v>0</v>
      </c>
    </row>
    <row r="125" spans="1:27" s="135" customFormat="1" ht="13.5">
      <c r="A125" s="147" t="s">
        <v>69</v>
      </c>
      <c r="B125" s="184" t="s">
        <v>43</v>
      </c>
      <c r="C125" s="115" t="s">
        <v>44</v>
      </c>
      <c r="D125" s="67"/>
      <c r="E125" s="136"/>
      <c r="F125" s="136"/>
      <c r="G125" s="137">
        <v>0</v>
      </c>
      <c r="H125" s="138">
        <f>D125-G125</f>
        <v>0</v>
      </c>
      <c r="I125" s="136"/>
      <c r="J125" s="136"/>
      <c r="K125" s="136"/>
      <c r="L125" s="136"/>
      <c r="M125" s="136"/>
      <c r="N125" s="136"/>
      <c r="O125" s="136"/>
      <c r="P125" s="136"/>
      <c r="Q125" s="136"/>
      <c r="R125" s="136"/>
      <c r="S125" s="136"/>
      <c r="T125" s="136"/>
      <c r="U125" s="139"/>
      <c r="V125" s="139"/>
      <c r="W125" s="139"/>
      <c r="X125" s="136"/>
      <c r="Y125" s="133">
        <f t="shared" si="49"/>
        <v>0</v>
      </c>
      <c r="Z125" s="133">
        <f t="shared" si="50"/>
        <v>0</v>
      </c>
      <c r="AA125" s="134">
        <f>+D125-Z125</f>
        <v>0</v>
      </c>
    </row>
    <row r="126" spans="1:27" s="135" customFormat="1" ht="13.5">
      <c r="A126" s="147" t="s">
        <v>69</v>
      </c>
      <c r="B126" s="184" t="s">
        <v>45</v>
      </c>
      <c r="C126" s="115" t="s">
        <v>46</v>
      </c>
      <c r="D126" s="67"/>
      <c r="E126" s="136"/>
      <c r="F126" s="136"/>
      <c r="G126" s="137">
        <v>0</v>
      </c>
      <c r="H126" s="138">
        <f>D126-G126</f>
        <v>0</v>
      </c>
      <c r="I126" s="136"/>
      <c r="J126" s="136"/>
      <c r="K126" s="136"/>
      <c r="L126" s="136"/>
      <c r="M126" s="136"/>
      <c r="N126" s="136"/>
      <c r="O126" s="136"/>
      <c r="P126" s="136"/>
      <c r="Q126" s="136"/>
      <c r="R126" s="136"/>
      <c r="S126" s="136"/>
      <c r="T126" s="136"/>
      <c r="U126" s="139"/>
      <c r="V126" s="139"/>
      <c r="W126" s="139"/>
      <c r="X126" s="136"/>
      <c r="Y126" s="133">
        <f t="shared" si="49"/>
        <v>0</v>
      </c>
      <c r="Z126" s="133">
        <f t="shared" si="50"/>
        <v>0</v>
      </c>
      <c r="AA126" s="134">
        <f>+D126-Z126</f>
        <v>0</v>
      </c>
    </row>
    <row r="127" spans="1:27" s="135" customFormat="1" ht="13.5">
      <c r="A127" s="147" t="s">
        <v>69</v>
      </c>
      <c r="B127" s="184" t="s">
        <v>51</v>
      </c>
      <c r="C127" s="115" t="s">
        <v>52</v>
      </c>
      <c r="D127" s="67"/>
      <c r="E127" s="136"/>
      <c r="F127" s="136"/>
      <c r="G127" s="137">
        <v>0</v>
      </c>
      <c r="H127" s="138">
        <f>D127-G127</f>
        <v>0</v>
      </c>
      <c r="I127" s="136"/>
      <c r="J127" s="136"/>
      <c r="K127" s="136"/>
      <c r="L127" s="136"/>
      <c r="M127" s="136"/>
      <c r="N127" s="136"/>
      <c r="O127" s="136"/>
      <c r="P127" s="136"/>
      <c r="Q127" s="136"/>
      <c r="R127" s="136"/>
      <c r="S127" s="136"/>
      <c r="T127" s="136"/>
      <c r="U127" s="139"/>
      <c r="V127" s="139"/>
      <c r="W127" s="139"/>
      <c r="X127" s="136"/>
      <c r="Y127" s="133">
        <f t="shared" si="49"/>
        <v>0</v>
      </c>
      <c r="Z127" s="133">
        <f t="shared" si="50"/>
        <v>0</v>
      </c>
      <c r="AA127" s="134">
        <f>+D127-Z127</f>
        <v>0</v>
      </c>
    </row>
    <row r="128" spans="1:27" s="135" customFormat="1" ht="13.5">
      <c r="A128" s="147" t="s">
        <v>69</v>
      </c>
      <c r="B128" s="185" t="s">
        <v>55</v>
      </c>
      <c r="C128" s="116" t="s">
        <v>56</v>
      </c>
      <c r="D128" s="70"/>
      <c r="E128" s="140"/>
      <c r="F128" s="140"/>
      <c r="G128" s="141">
        <v>0</v>
      </c>
      <c r="H128" s="142">
        <f>D128-G128</f>
        <v>0</v>
      </c>
      <c r="I128" s="140"/>
      <c r="J128" s="140"/>
      <c r="K128" s="140"/>
      <c r="L128" s="140"/>
      <c r="M128" s="140"/>
      <c r="N128" s="140"/>
      <c r="O128" s="140"/>
      <c r="P128" s="140"/>
      <c r="Q128" s="140"/>
      <c r="R128" s="140"/>
      <c r="S128" s="140"/>
      <c r="T128" s="140"/>
      <c r="U128" s="143"/>
      <c r="V128" s="143"/>
      <c r="W128" s="143"/>
      <c r="X128" s="140"/>
      <c r="Y128" s="133">
        <f t="shared" si="49"/>
        <v>0</v>
      </c>
      <c r="Z128" s="133">
        <f t="shared" si="50"/>
        <v>0</v>
      </c>
      <c r="AA128" s="134">
        <f>+D128-Z128</f>
        <v>0</v>
      </c>
    </row>
    <row r="129" spans="1:27" s="135" customFormat="1" ht="13.5">
      <c r="A129" s="152" t="s">
        <v>70</v>
      </c>
      <c r="B129" s="186"/>
      <c r="C129" s="171"/>
      <c r="D129" s="120">
        <f t="shared" ref="D129:F129" si="51">SUBTOTAL(9,D130:D143)</f>
        <v>0</v>
      </c>
      <c r="E129" s="120">
        <f t="shared" si="51"/>
        <v>0</v>
      </c>
      <c r="F129" s="120">
        <f t="shared" si="51"/>
        <v>0</v>
      </c>
      <c r="G129" s="146">
        <v>0</v>
      </c>
      <c r="H129" s="146">
        <f>D129-G129</f>
        <v>0</v>
      </c>
      <c r="I129" s="120">
        <f t="shared" ref="I129:R129" si="52">SUBTOTAL(9,I130:I143)</f>
        <v>0</v>
      </c>
      <c r="J129" s="120">
        <f t="shared" si="52"/>
        <v>0</v>
      </c>
      <c r="K129" s="120">
        <f t="shared" si="52"/>
        <v>0</v>
      </c>
      <c r="L129" s="120">
        <f t="shared" si="52"/>
        <v>0</v>
      </c>
      <c r="M129" s="120">
        <f t="shared" si="52"/>
        <v>0</v>
      </c>
      <c r="N129" s="120">
        <f t="shared" si="52"/>
        <v>0</v>
      </c>
      <c r="O129" s="120">
        <f t="shared" si="52"/>
        <v>0</v>
      </c>
      <c r="P129" s="120">
        <f t="shared" si="52"/>
        <v>0</v>
      </c>
      <c r="Q129" s="120">
        <f t="shared" si="52"/>
        <v>0</v>
      </c>
      <c r="R129" s="120">
        <f t="shared" si="52"/>
        <v>0</v>
      </c>
      <c r="S129" s="120">
        <f t="shared" ref="S129:X129" si="53">SUBTOTAL(9,S130:S143)</f>
        <v>0</v>
      </c>
      <c r="T129" s="120">
        <f t="shared" si="53"/>
        <v>0</v>
      </c>
      <c r="U129" s="120">
        <f t="shared" si="53"/>
        <v>0</v>
      </c>
      <c r="V129" s="120">
        <f t="shared" si="53"/>
        <v>0</v>
      </c>
      <c r="W129" s="120">
        <f t="shared" si="53"/>
        <v>0</v>
      </c>
      <c r="X129" s="120">
        <f t="shared" si="53"/>
        <v>0</v>
      </c>
      <c r="Y129" s="120">
        <f>SUM(I129:X129)</f>
        <v>0</v>
      </c>
      <c r="Z129" s="121">
        <f>+G129+Y129</f>
        <v>0</v>
      </c>
      <c r="AA129" s="122">
        <f>+D129-Z129</f>
        <v>0</v>
      </c>
    </row>
    <row r="130" spans="1:27" s="135" customFormat="1" ht="13.5">
      <c r="A130" s="172" t="s">
        <v>70</v>
      </c>
      <c r="B130" s="183" t="s">
        <v>27</v>
      </c>
      <c r="C130" s="114" t="s">
        <v>28</v>
      </c>
      <c r="D130" s="65"/>
      <c r="E130" s="129"/>
      <c r="F130" s="129"/>
      <c r="G130" s="130">
        <v>0</v>
      </c>
      <c r="H130" s="131">
        <f>D130-G130</f>
        <v>0</v>
      </c>
      <c r="I130" s="129"/>
      <c r="J130" s="129"/>
      <c r="K130" s="129"/>
      <c r="L130" s="129"/>
      <c r="M130" s="129"/>
      <c r="N130" s="129"/>
      <c r="O130" s="129"/>
      <c r="P130" s="129"/>
      <c r="Q130" s="129"/>
      <c r="R130" s="129"/>
      <c r="S130" s="129"/>
      <c r="T130" s="129"/>
      <c r="U130" s="132"/>
      <c r="V130" s="132"/>
      <c r="W130" s="132"/>
      <c r="X130" s="129"/>
      <c r="Y130" s="133">
        <f>SUM(I130:X130)</f>
        <v>0</v>
      </c>
      <c r="Z130" s="133">
        <f>+G130+Y130</f>
        <v>0</v>
      </c>
      <c r="AA130" s="134">
        <f>+D130-Z130</f>
        <v>0</v>
      </c>
    </row>
    <row r="131" spans="1:27" s="135" customFormat="1" ht="13.5">
      <c r="A131" s="172" t="s">
        <v>70</v>
      </c>
      <c r="B131" s="184" t="s">
        <v>29</v>
      </c>
      <c r="C131" s="115" t="s">
        <v>98</v>
      </c>
      <c r="D131" s="67"/>
      <c r="E131" s="136"/>
      <c r="F131" s="136"/>
      <c r="G131" s="137">
        <v>0</v>
      </c>
      <c r="H131" s="138">
        <f>D131-G131</f>
        <v>0</v>
      </c>
      <c r="I131" s="136"/>
      <c r="J131" s="136"/>
      <c r="K131" s="136"/>
      <c r="L131" s="136"/>
      <c r="M131" s="136"/>
      <c r="N131" s="136"/>
      <c r="O131" s="136"/>
      <c r="P131" s="136"/>
      <c r="Q131" s="136"/>
      <c r="R131" s="136"/>
      <c r="S131" s="136"/>
      <c r="T131" s="136"/>
      <c r="U131" s="139"/>
      <c r="V131" s="139"/>
      <c r="W131" s="139"/>
      <c r="X131" s="136"/>
      <c r="Y131" s="133">
        <f t="shared" ref="Y131:Y143" si="54">SUM(I131:X131)</f>
        <v>0</v>
      </c>
      <c r="Z131" s="133">
        <f t="shared" ref="Z131:Z143" si="55">+G131+Y131</f>
        <v>0</v>
      </c>
      <c r="AA131" s="134">
        <f>+D131-Z131</f>
        <v>0</v>
      </c>
    </row>
    <row r="132" spans="1:27" s="135" customFormat="1" ht="13.5">
      <c r="A132" s="172" t="s">
        <v>70</v>
      </c>
      <c r="B132" s="184" t="s">
        <v>31</v>
      </c>
      <c r="C132" s="115" t="s">
        <v>99</v>
      </c>
      <c r="D132" s="67"/>
      <c r="E132" s="136"/>
      <c r="F132" s="136"/>
      <c r="G132" s="137">
        <v>0</v>
      </c>
      <c r="H132" s="138">
        <f>D132-G132</f>
        <v>0</v>
      </c>
      <c r="I132" s="136"/>
      <c r="J132" s="136"/>
      <c r="K132" s="136"/>
      <c r="L132" s="136"/>
      <c r="M132" s="136"/>
      <c r="N132" s="136"/>
      <c r="O132" s="136"/>
      <c r="P132" s="136"/>
      <c r="Q132" s="136"/>
      <c r="R132" s="136"/>
      <c r="S132" s="136"/>
      <c r="T132" s="136"/>
      <c r="U132" s="139"/>
      <c r="V132" s="139"/>
      <c r="W132" s="139"/>
      <c r="X132" s="136"/>
      <c r="Y132" s="133">
        <f t="shared" si="54"/>
        <v>0</v>
      </c>
      <c r="Z132" s="133">
        <f t="shared" si="55"/>
        <v>0</v>
      </c>
      <c r="AA132" s="134">
        <f>+D132-Z132</f>
        <v>0</v>
      </c>
    </row>
    <row r="133" spans="1:27" s="135" customFormat="1" ht="13.5">
      <c r="A133" s="172" t="s">
        <v>70</v>
      </c>
      <c r="B133" s="184" t="s">
        <v>33</v>
      </c>
      <c r="C133" s="115" t="s">
        <v>34</v>
      </c>
      <c r="D133" s="67"/>
      <c r="E133" s="136"/>
      <c r="F133" s="136"/>
      <c r="G133" s="137">
        <v>0</v>
      </c>
      <c r="H133" s="138">
        <f>D133-G133</f>
        <v>0</v>
      </c>
      <c r="I133" s="136"/>
      <c r="J133" s="136"/>
      <c r="K133" s="136"/>
      <c r="L133" s="136"/>
      <c r="M133" s="136"/>
      <c r="N133" s="136"/>
      <c r="O133" s="136"/>
      <c r="P133" s="136"/>
      <c r="Q133" s="136"/>
      <c r="R133" s="136"/>
      <c r="S133" s="136"/>
      <c r="T133" s="136"/>
      <c r="U133" s="139"/>
      <c r="V133" s="139"/>
      <c r="W133" s="139"/>
      <c r="X133" s="136"/>
      <c r="Y133" s="133">
        <f t="shared" si="54"/>
        <v>0</v>
      </c>
      <c r="Z133" s="133">
        <f t="shared" si="55"/>
        <v>0</v>
      </c>
      <c r="AA133" s="134">
        <f>+D133-Z133</f>
        <v>0</v>
      </c>
    </row>
    <row r="134" spans="1:27" s="135" customFormat="1" ht="13.5">
      <c r="A134" s="172" t="s">
        <v>70</v>
      </c>
      <c r="B134" s="184" t="s">
        <v>35</v>
      </c>
      <c r="C134" s="115" t="s">
        <v>36</v>
      </c>
      <c r="D134" s="67"/>
      <c r="E134" s="136"/>
      <c r="F134" s="136"/>
      <c r="G134" s="137">
        <v>0</v>
      </c>
      <c r="H134" s="138">
        <f>D134-G134</f>
        <v>0</v>
      </c>
      <c r="I134" s="136"/>
      <c r="J134" s="136"/>
      <c r="K134" s="136"/>
      <c r="L134" s="136"/>
      <c r="M134" s="136"/>
      <c r="N134" s="136"/>
      <c r="O134" s="136"/>
      <c r="P134" s="136"/>
      <c r="Q134" s="136"/>
      <c r="R134" s="136"/>
      <c r="S134" s="136"/>
      <c r="T134" s="136"/>
      <c r="U134" s="139"/>
      <c r="V134" s="139"/>
      <c r="W134" s="139"/>
      <c r="X134" s="136"/>
      <c r="Y134" s="133">
        <f t="shared" si="54"/>
        <v>0</v>
      </c>
      <c r="Z134" s="133">
        <f t="shared" si="55"/>
        <v>0</v>
      </c>
      <c r="AA134" s="134">
        <f>+D134-Z134</f>
        <v>0</v>
      </c>
    </row>
    <row r="135" spans="1:27" s="135" customFormat="1" ht="13.5">
      <c r="A135" s="172" t="s">
        <v>70</v>
      </c>
      <c r="B135" s="184" t="s">
        <v>37</v>
      </c>
      <c r="C135" s="115" t="s">
        <v>38</v>
      </c>
      <c r="D135" s="67"/>
      <c r="E135" s="136"/>
      <c r="F135" s="136"/>
      <c r="G135" s="137">
        <v>0</v>
      </c>
      <c r="H135" s="138">
        <f>D135-G135</f>
        <v>0</v>
      </c>
      <c r="I135" s="136"/>
      <c r="J135" s="136"/>
      <c r="K135" s="136"/>
      <c r="L135" s="136"/>
      <c r="M135" s="136"/>
      <c r="N135" s="136"/>
      <c r="O135" s="136"/>
      <c r="P135" s="136"/>
      <c r="Q135" s="136"/>
      <c r="R135" s="136"/>
      <c r="S135" s="136"/>
      <c r="T135" s="136"/>
      <c r="U135" s="139"/>
      <c r="V135" s="139"/>
      <c r="W135" s="139"/>
      <c r="X135" s="136"/>
      <c r="Y135" s="133">
        <f t="shared" si="54"/>
        <v>0</v>
      </c>
      <c r="Z135" s="133">
        <f t="shared" si="55"/>
        <v>0</v>
      </c>
      <c r="AA135" s="134">
        <f>+D135-Z135</f>
        <v>0</v>
      </c>
    </row>
    <row r="136" spans="1:27" s="135" customFormat="1" ht="13.5">
      <c r="A136" s="172" t="s">
        <v>70</v>
      </c>
      <c r="B136" s="184" t="s">
        <v>39</v>
      </c>
      <c r="C136" s="115" t="s">
        <v>40</v>
      </c>
      <c r="D136" s="67"/>
      <c r="E136" s="136"/>
      <c r="F136" s="136"/>
      <c r="G136" s="137">
        <v>0</v>
      </c>
      <c r="H136" s="138">
        <f>D136-G136</f>
        <v>0</v>
      </c>
      <c r="I136" s="136"/>
      <c r="J136" s="136"/>
      <c r="K136" s="136"/>
      <c r="L136" s="136"/>
      <c r="M136" s="136"/>
      <c r="N136" s="136"/>
      <c r="O136" s="136"/>
      <c r="P136" s="136"/>
      <c r="Q136" s="136"/>
      <c r="R136" s="136"/>
      <c r="S136" s="136"/>
      <c r="T136" s="136"/>
      <c r="U136" s="139"/>
      <c r="V136" s="139"/>
      <c r="W136" s="139"/>
      <c r="X136" s="136"/>
      <c r="Y136" s="133">
        <f t="shared" si="54"/>
        <v>0</v>
      </c>
      <c r="Z136" s="133">
        <f t="shared" si="55"/>
        <v>0</v>
      </c>
      <c r="AA136" s="134">
        <f>+D136-Z136</f>
        <v>0</v>
      </c>
    </row>
    <row r="137" spans="1:27" s="135" customFormat="1" ht="13.5">
      <c r="A137" s="172" t="s">
        <v>70</v>
      </c>
      <c r="B137" s="184" t="s">
        <v>41</v>
      </c>
      <c r="C137" s="115" t="s">
        <v>42</v>
      </c>
      <c r="D137" s="67"/>
      <c r="E137" s="136"/>
      <c r="F137" s="136"/>
      <c r="G137" s="137">
        <v>0</v>
      </c>
      <c r="H137" s="138">
        <f>D137-G137</f>
        <v>0</v>
      </c>
      <c r="I137" s="136"/>
      <c r="J137" s="136"/>
      <c r="K137" s="136"/>
      <c r="L137" s="136"/>
      <c r="M137" s="136"/>
      <c r="N137" s="136"/>
      <c r="O137" s="136"/>
      <c r="P137" s="136"/>
      <c r="Q137" s="136"/>
      <c r="R137" s="136"/>
      <c r="S137" s="136"/>
      <c r="T137" s="136"/>
      <c r="U137" s="139"/>
      <c r="V137" s="139"/>
      <c r="W137" s="139"/>
      <c r="X137" s="136"/>
      <c r="Y137" s="133">
        <f t="shared" si="54"/>
        <v>0</v>
      </c>
      <c r="Z137" s="133">
        <f t="shared" si="55"/>
        <v>0</v>
      </c>
      <c r="AA137" s="134">
        <f>+D137-Z137</f>
        <v>0</v>
      </c>
    </row>
    <row r="138" spans="1:27" s="135" customFormat="1" ht="13.5">
      <c r="A138" s="172" t="s">
        <v>70</v>
      </c>
      <c r="B138" s="184" t="s">
        <v>43</v>
      </c>
      <c r="C138" s="115" t="s">
        <v>44</v>
      </c>
      <c r="D138" s="67"/>
      <c r="E138" s="136"/>
      <c r="F138" s="136"/>
      <c r="G138" s="137">
        <v>0</v>
      </c>
      <c r="H138" s="138">
        <f>D138-G138</f>
        <v>0</v>
      </c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9"/>
      <c r="V138" s="139"/>
      <c r="W138" s="139"/>
      <c r="X138" s="136"/>
      <c r="Y138" s="133">
        <f t="shared" si="54"/>
        <v>0</v>
      </c>
      <c r="Z138" s="133">
        <f t="shared" si="55"/>
        <v>0</v>
      </c>
      <c r="AA138" s="134">
        <f>+D138-Z138</f>
        <v>0</v>
      </c>
    </row>
    <row r="139" spans="1:27" s="135" customFormat="1" ht="13.5">
      <c r="A139" s="172" t="s">
        <v>70</v>
      </c>
      <c r="B139" s="184" t="s">
        <v>45</v>
      </c>
      <c r="C139" s="115" t="s">
        <v>46</v>
      </c>
      <c r="D139" s="67"/>
      <c r="E139" s="136"/>
      <c r="F139" s="136"/>
      <c r="G139" s="137">
        <v>0</v>
      </c>
      <c r="H139" s="138">
        <f>D139-G139</f>
        <v>0</v>
      </c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9"/>
      <c r="V139" s="139"/>
      <c r="W139" s="139"/>
      <c r="X139" s="136"/>
      <c r="Y139" s="133">
        <f t="shared" si="54"/>
        <v>0</v>
      </c>
      <c r="Z139" s="133">
        <f t="shared" si="55"/>
        <v>0</v>
      </c>
      <c r="AA139" s="134">
        <f>+D139-Z139</f>
        <v>0</v>
      </c>
    </row>
    <row r="140" spans="1:27" s="135" customFormat="1" ht="13.5">
      <c r="A140" s="172" t="s">
        <v>70</v>
      </c>
      <c r="B140" s="184" t="s">
        <v>47</v>
      </c>
      <c r="C140" s="115" t="s">
        <v>48</v>
      </c>
      <c r="D140" s="67"/>
      <c r="E140" s="136"/>
      <c r="F140" s="136"/>
      <c r="G140" s="137">
        <v>0</v>
      </c>
      <c r="H140" s="138">
        <f>D140-G140</f>
        <v>0</v>
      </c>
      <c r="I140" s="136"/>
      <c r="J140" s="136"/>
      <c r="K140" s="136"/>
      <c r="L140" s="136"/>
      <c r="M140" s="136"/>
      <c r="N140" s="136"/>
      <c r="O140" s="136"/>
      <c r="P140" s="136"/>
      <c r="Q140" s="136"/>
      <c r="R140" s="136"/>
      <c r="S140" s="136"/>
      <c r="T140" s="136"/>
      <c r="U140" s="139"/>
      <c r="V140" s="139"/>
      <c r="W140" s="139"/>
      <c r="X140" s="136"/>
      <c r="Y140" s="133">
        <f t="shared" si="54"/>
        <v>0</v>
      </c>
      <c r="Z140" s="133">
        <f t="shared" si="55"/>
        <v>0</v>
      </c>
      <c r="AA140" s="134">
        <f>+D140-Z140</f>
        <v>0</v>
      </c>
    </row>
    <row r="141" spans="1:27" s="135" customFormat="1" ht="13.5">
      <c r="A141" s="172" t="s">
        <v>70</v>
      </c>
      <c r="B141" s="184" t="s">
        <v>49</v>
      </c>
      <c r="C141" s="115" t="s">
        <v>50</v>
      </c>
      <c r="D141" s="67"/>
      <c r="E141" s="136"/>
      <c r="F141" s="136"/>
      <c r="G141" s="137">
        <v>0</v>
      </c>
      <c r="H141" s="138">
        <f>D141-G141</f>
        <v>0</v>
      </c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9"/>
      <c r="V141" s="139"/>
      <c r="W141" s="139"/>
      <c r="X141" s="136"/>
      <c r="Y141" s="133">
        <f t="shared" si="54"/>
        <v>0</v>
      </c>
      <c r="Z141" s="133">
        <f t="shared" si="55"/>
        <v>0</v>
      </c>
      <c r="AA141" s="134">
        <f>+D141-Z141</f>
        <v>0</v>
      </c>
    </row>
    <row r="142" spans="1:27" s="135" customFormat="1" ht="13.5">
      <c r="A142" s="172" t="s">
        <v>70</v>
      </c>
      <c r="B142" s="184" t="s">
        <v>51</v>
      </c>
      <c r="C142" s="115" t="s">
        <v>52</v>
      </c>
      <c r="D142" s="67"/>
      <c r="E142" s="136"/>
      <c r="F142" s="136"/>
      <c r="G142" s="137">
        <v>0</v>
      </c>
      <c r="H142" s="138">
        <f>D142-G142</f>
        <v>0</v>
      </c>
      <c r="I142" s="136"/>
      <c r="J142" s="136"/>
      <c r="K142" s="136"/>
      <c r="L142" s="136"/>
      <c r="M142" s="136"/>
      <c r="N142" s="136"/>
      <c r="O142" s="136"/>
      <c r="P142" s="136"/>
      <c r="Q142" s="136"/>
      <c r="R142" s="136"/>
      <c r="S142" s="136"/>
      <c r="T142" s="136"/>
      <c r="U142" s="139"/>
      <c r="V142" s="139"/>
      <c r="W142" s="139"/>
      <c r="X142" s="136"/>
      <c r="Y142" s="133">
        <f t="shared" si="54"/>
        <v>0</v>
      </c>
      <c r="Z142" s="133">
        <f t="shared" si="55"/>
        <v>0</v>
      </c>
      <c r="AA142" s="134">
        <f>+D142-Z142</f>
        <v>0</v>
      </c>
    </row>
    <row r="143" spans="1:27" s="135" customFormat="1" ht="13.5">
      <c r="A143" s="172" t="s">
        <v>70</v>
      </c>
      <c r="B143" s="185" t="s">
        <v>55</v>
      </c>
      <c r="C143" s="116" t="s">
        <v>56</v>
      </c>
      <c r="D143" s="70"/>
      <c r="E143" s="140"/>
      <c r="F143" s="140"/>
      <c r="G143" s="141">
        <v>0</v>
      </c>
      <c r="H143" s="142">
        <f>D143-G143</f>
        <v>0</v>
      </c>
      <c r="I143" s="140"/>
      <c r="J143" s="140"/>
      <c r="K143" s="140"/>
      <c r="L143" s="140"/>
      <c r="M143" s="140"/>
      <c r="N143" s="140"/>
      <c r="O143" s="140"/>
      <c r="P143" s="140"/>
      <c r="Q143" s="140"/>
      <c r="R143" s="140"/>
      <c r="S143" s="140"/>
      <c r="T143" s="140"/>
      <c r="U143" s="143"/>
      <c r="V143" s="143"/>
      <c r="W143" s="143"/>
      <c r="X143" s="140"/>
      <c r="Y143" s="133">
        <f t="shared" si="54"/>
        <v>0</v>
      </c>
      <c r="Z143" s="133">
        <f t="shared" si="55"/>
        <v>0</v>
      </c>
      <c r="AA143" s="134">
        <f>+D143-Z143</f>
        <v>0</v>
      </c>
    </row>
    <row r="144" spans="1:27" s="135" customFormat="1" ht="13.5">
      <c r="A144" s="123" t="s">
        <v>71</v>
      </c>
      <c r="B144" s="186"/>
      <c r="C144" s="171"/>
      <c r="D144" s="120">
        <f t="shared" ref="D144:F144" si="56">SUBTOTAL(9,D145:D155)</f>
        <v>0</v>
      </c>
      <c r="E144" s="120">
        <f t="shared" si="56"/>
        <v>0</v>
      </c>
      <c r="F144" s="120">
        <f t="shared" si="56"/>
        <v>0</v>
      </c>
      <c r="G144" s="146">
        <v>0</v>
      </c>
      <c r="H144" s="146">
        <f>D144-G144</f>
        <v>0</v>
      </c>
      <c r="I144" s="120">
        <f t="shared" ref="I144:R144" si="57">SUBTOTAL(9,I145:I155)</f>
        <v>0</v>
      </c>
      <c r="J144" s="120">
        <f t="shared" si="57"/>
        <v>0</v>
      </c>
      <c r="K144" s="120">
        <f t="shared" si="57"/>
        <v>0</v>
      </c>
      <c r="L144" s="120">
        <f t="shared" si="57"/>
        <v>0</v>
      </c>
      <c r="M144" s="120">
        <f t="shared" si="57"/>
        <v>0</v>
      </c>
      <c r="N144" s="120">
        <f t="shared" si="57"/>
        <v>0</v>
      </c>
      <c r="O144" s="120">
        <f t="shared" si="57"/>
        <v>0</v>
      </c>
      <c r="P144" s="120">
        <f t="shared" si="57"/>
        <v>0</v>
      </c>
      <c r="Q144" s="120">
        <f t="shared" si="57"/>
        <v>0</v>
      </c>
      <c r="R144" s="120">
        <f t="shared" si="57"/>
        <v>0</v>
      </c>
      <c r="S144" s="120">
        <f t="shared" ref="S144:X144" si="58">SUBTOTAL(9,S145:S155)</f>
        <v>0</v>
      </c>
      <c r="T144" s="120">
        <f t="shared" si="58"/>
        <v>0</v>
      </c>
      <c r="U144" s="120">
        <f t="shared" si="58"/>
        <v>0</v>
      </c>
      <c r="V144" s="120">
        <f t="shared" si="58"/>
        <v>0</v>
      </c>
      <c r="W144" s="120">
        <f t="shared" si="58"/>
        <v>0</v>
      </c>
      <c r="X144" s="120">
        <f t="shared" si="58"/>
        <v>0</v>
      </c>
      <c r="Y144" s="120">
        <f>SUM(I144:X144)</f>
        <v>0</v>
      </c>
      <c r="Z144" s="121">
        <f>+G144+Y144</f>
        <v>0</v>
      </c>
      <c r="AA144" s="122">
        <f>+D144-Z144</f>
        <v>0</v>
      </c>
    </row>
    <row r="145" spans="1:27" s="135" customFormat="1" ht="13.5">
      <c r="A145" s="173" t="s">
        <v>71</v>
      </c>
      <c r="B145" s="187" t="s">
        <v>29</v>
      </c>
      <c r="C145" s="117" t="s">
        <v>98</v>
      </c>
      <c r="D145" s="72"/>
      <c r="E145" s="155"/>
      <c r="F145" s="155"/>
      <c r="G145" s="156">
        <v>0</v>
      </c>
      <c r="H145" s="157">
        <f>D145-G145</f>
        <v>0</v>
      </c>
      <c r="I145" s="155"/>
      <c r="J145" s="155"/>
      <c r="K145" s="155"/>
      <c r="L145" s="155"/>
      <c r="M145" s="155"/>
      <c r="N145" s="155"/>
      <c r="O145" s="155"/>
      <c r="P145" s="155"/>
      <c r="Q145" s="155"/>
      <c r="R145" s="155"/>
      <c r="S145" s="155"/>
      <c r="T145" s="155"/>
      <c r="U145" s="158"/>
      <c r="V145" s="158"/>
      <c r="W145" s="158"/>
      <c r="X145" s="155"/>
      <c r="Y145" s="159">
        <f>SUM(I145:X145)</f>
        <v>0</v>
      </c>
      <c r="Z145" s="159">
        <f>+G145+Y145</f>
        <v>0</v>
      </c>
      <c r="AA145" s="160">
        <f>+D145-Z145</f>
        <v>0</v>
      </c>
    </row>
    <row r="146" spans="1:27" s="135" customFormat="1" ht="13.5">
      <c r="A146" s="173" t="s">
        <v>71</v>
      </c>
      <c r="B146" s="188" t="s">
        <v>35</v>
      </c>
      <c r="C146" s="118" t="s">
        <v>36</v>
      </c>
      <c r="D146" s="73"/>
      <c r="E146" s="161"/>
      <c r="F146" s="161"/>
      <c r="G146" s="156">
        <v>0</v>
      </c>
      <c r="H146" s="163">
        <f>D146-G146</f>
        <v>0</v>
      </c>
      <c r="I146" s="161"/>
      <c r="J146" s="161"/>
      <c r="K146" s="161"/>
      <c r="L146" s="161"/>
      <c r="M146" s="161"/>
      <c r="N146" s="161"/>
      <c r="O146" s="161"/>
      <c r="P146" s="161"/>
      <c r="Q146" s="161"/>
      <c r="R146" s="161"/>
      <c r="S146" s="161"/>
      <c r="T146" s="161"/>
      <c r="U146" s="164"/>
      <c r="V146" s="164"/>
      <c r="W146" s="164"/>
      <c r="X146" s="161"/>
      <c r="Y146" s="159">
        <f t="shared" ref="Y146:Y155" si="59">SUM(I146:X146)</f>
        <v>0</v>
      </c>
      <c r="Z146" s="159">
        <f t="shared" ref="Z146:Z155" si="60">+G146+Y146</f>
        <v>0</v>
      </c>
      <c r="AA146" s="174">
        <f>+D146-Z146</f>
        <v>0</v>
      </c>
    </row>
    <row r="147" spans="1:27" s="135" customFormat="1" ht="13.5">
      <c r="A147" s="173" t="s">
        <v>71</v>
      </c>
      <c r="B147" s="188" t="s">
        <v>37</v>
      </c>
      <c r="C147" s="118" t="s">
        <v>38</v>
      </c>
      <c r="D147" s="73"/>
      <c r="E147" s="161"/>
      <c r="F147" s="161"/>
      <c r="G147" s="156">
        <v>0</v>
      </c>
      <c r="H147" s="163">
        <f>D147-G147</f>
        <v>0</v>
      </c>
      <c r="I147" s="161"/>
      <c r="J147" s="161"/>
      <c r="K147" s="161"/>
      <c r="L147" s="161"/>
      <c r="M147" s="161"/>
      <c r="N147" s="161"/>
      <c r="O147" s="161"/>
      <c r="P147" s="161"/>
      <c r="Q147" s="161"/>
      <c r="R147" s="161"/>
      <c r="S147" s="161"/>
      <c r="T147" s="161"/>
      <c r="U147" s="164"/>
      <c r="V147" s="164"/>
      <c r="W147" s="164"/>
      <c r="X147" s="161"/>
      <c r="Y147" s="159">
        <f t="shared" si="59"/>
        <v>0</v>
      </c>
      <c r="Z147" s="159">
        <f t="shared" si="60"/>
        <v>0</v>
      </c>
      <c r="AA147" s="174">
        <f>+D147-Z147</f>
        <v>0</v>
      </c>
    </row>
    <row r="148" spans="1:27" s="135" customFormat="1" ht="13.5">
      <c r="A148" s="173" t="s">
        <v>71</v>
      </c>
      <c r="B148" s="188" t="s">
        <v>39</v>
      </c>
      <c r="C148" s="118" t="s">
        <v>40</v>
      </c>
      <c r="D148" s="73"/>
      <c r="E148" s="161"/>
      <c r="F148" s="161"/>
      <c r="G148" s="156">
        <v>0</v>
      </c>
      <c r="H148" s="163">
        <f>D148-G148</f>
        <v>0</v>
      </c>
      <c r="I148" s="161"/>
      <c r="J148" s="161"/>
      <c r="K148" s="161"/>
      <c r="L148" s="161"/>
      <c r="M148" s="161"/>
      <c r="N148" s="161"/>
      <c r="O148" s="161"/>
      <c r="P148" s="161"/>
      <c r="Q148" s="161"/>
      <c r="R148" s="161"/>
      <c r="S148" s="161"/>
      <c r="T148" s="161"/>
      <c r="U148" s="164"/>
      <c r="V148" s="164"/>
      <c r="W148" s="164"/>
      <c r="X148" s="161"/>
      <c r="Y148" s="159">
        <f t="shared" si="59"/>
        <v>0</v>
      </c>
      <c r="Z148" s="159">
        <f t="shared" si="60"/>
        <v>0</v>
      </c>
      <c r="AA148" s="174">
        <f>+D148-Z148</f>
        <v>0</v>
      </c>
    </row>
    <row r="149" spans="1:27" s="135" customFormat="1" ht="13.5">
      <c r="A149" s="173" t="s">
        <v>71</v>
      </c>
      <c r="B149" s="188" t="s">
        <v>41</v>
      </c>
      <c r="C149" s="118" t="s">
        <v>42</v>
      </c>
      <c r="D149" s="73"/>
      <c r="E149" s="161"/>
      <c r="F149" s="161"/>
      <c r="G149" s="156">
        <v>0</v>
      </c>
      <c r="H149" s="163">
        <f>D149-G149</f>
        <v>0</v>
      </c>
      <c r="I149" s="161"/>
      <c r="J149" s="161"/>
      <c r="K149" s="161"/>
      <c r="L149" s="161"/>
      <c r="M149" s="161"/>
      <c r="N149" s="161"/>
      <c r="O149" s="161"/>
      <c r="P149" s="161"/>
      <c r="Q149" s="161"/>
      <c r="R149" s="161"/>
      <c r="S149" s="161"/>
      <c r="T149" s="161"/>
      <c r="U149" s="164"/>
      <c r="V149" s="164"/>
      <c r="W149" s="164"/>
      <c r="X149" s="161"/>
      <c r="Y149" s="159">
        <f t="shared" si="59"/>
        <v>0</v>
      </c>
      <c r="Z149" s="159">
        <f t="shared" si="60"/>
        <v>0</v>
      </c>
      <c r="AA149" s="174">
        <f>+D149-Z149</f>
        <v>0</v>
      </c>
    </row>
    <row r="150" spans="1:27" s="135" customFormat="1" ht="13.5">
      <c r="A150" s="173" t="s">
        <v>71</v>
      </c>
      <c r="B150" s="188" t="s">
        <v>43</v>
      </c>
      <c r="C150" s="118" t="s">
        <v>44</v>
      </c>
      <c r="D150" s="73"/>
      <c r="E150" s="161"/>
      <c r="F150" s="161"/>
      <c r="G150" s="156">
        <v>0</v>
      </c>
      <c r="H150" s="163">
        <f>D150-G150</f>
        <v>0</v>
      </c>
      <c r="I150" s="161"/>
      <c r="J150" s="161"/>
      <c r="K150" s="161"/>
      <c r="L150" s="161"/>
      <c r="M150" s="161"/>
      <c r="N150" s="161"/>
      <c r="O150" s="161"/>
      <c r="P150" s="161"/>
      <c r="Q150" s="161"/>
      <c r="R150" s="161"/>
      <c r="S150" s="161"/>
      <c r="T150" s="161"/>
      <c r="U150" s="164"/>
      <c r="V150" s="164"/>
      <c r="W150" s="164"/>
      <c r="X150" s="161"/>
      <c r="Y150" s="159">
        <f t="shared" si="59"/>
        <v>0</v>
      </c>
      <c r="Z150" s="159">
        <f t="shared" si="60"/>
        <v>0</v>
      </c>
      <c r="AA150" s="174">
        <f>+D150-Z150</f>
        <v>0</v>
      </c>
    </row>
    <row r="151" spans="1:27" s="135" customFormat="1" ht="13.5">
      <c r="A151" s="173" t="s">
        <v>71</v>
      </c>
      <c r="B151" s="188" t="s">
        <v>45</v>
      </c>
      <c r="C151" s="118" t="s">
        <v>46</v>
      </c>
      <c r="D151" s="73"/>
      <c r="E151" s="161"/>
      <c r="F151" s="161"/>
      <c r="G151" s="156">
        <v>0</v>
      </c>
      <c r="H151" s="163">
        <f>D151-G151</f>
        <v>0</v>
      </c>
      <c r="I151" s="161"/>
      <c r="J151" s="161"/>
      <c r="K151" s="161"/>
      <c r="L151" s="161"/>
      <c r="M151" s="161"/>
      <c r="N151" s="161"/>
      <c r="O151" s="161"/>
      <c r="P151" s="161"/>
      <c r="Q151" s="161"/>
      <c r="R151" s="161"/>
      <c r="S151" s="161"/>
      <c r="T151" s="161"/>
      <c r="U151" s="164"/>
      <c r="V151" s="164"/>
      <c r="W151" s="164"/>
      <c r="X151" s="161"/>
      <c r="Y151" s="159">
        <f t="shared" si="59"/>
        <v>0</v>
      </c>
      <c r="Z151" s="159">
        <f t="shared" si="60"/>
        <v>0</v>
      </c>
      <c r="AA151" s="174">
        <f>+D151-Z151</f>
        <v>0</v>
      </c>
    </row>
    <row r="152" spans="1:27" s="135" customFormat="1" ht="13.5">
      <c r="A152" s="173" t="s">
        <v>71</v>
      </c>
      <c r="B152" s="188" t="s">
        <v>47</v>
      </c>
      <c r="C152" s="118" t="s">
        <v>48</v>
      </c>
      <c r="D152" s="73"/>
      <c r="E152" s="161"/>
      <c r="F152" s="161"/>
      <c r="G152" s="156">
        <v>0</v>
      </c>
      <c r="H152" s="163">
        <f>D152-G152</f>
        <v>0</v>
      </c>
      <c r="I152" s="161"/>
      <c r="J152" s="161"/>
      <c r="K152" s="161"/>
      <c r="L152" s="161"/>
      <c r="M152" s="161"/>
      <c r="N152" s="161"/>
      <c r="O152" s="161"/>
      <c r="P152" s="161"/>
      <c r="Q152" s="161"/>
      <c r="R152" s="161"/>
      <c r="S152" s="161"/>
      <c r="T152" s="161"/>
      <c r="U152" s="164"/>
      <c r="V152" s="164"/>
      <c r="W152" s="164"/>
      <c r="X152" s="161"/>
      <c r="Y152" s="159">
        <f t="shared" si="59"/>
        <v>0</v>
      </c>
      <c r="Z152" s="159">
        <f t="shared" si="60"/>
        <v>0</v>
      </c>
      <c r="AA152" s="174">
        <f>+D152-Z152</f>
        <v>0</v>
      </c>
    </row>
    <row r="153" spans="1:27" s="135" customFormat="1" ht="13.5">
      <c r="A153" s="173" t="s">
        <v>71</v>
      </c>
      <c r="B153" s="188" t="s">
        <v>49</v>
      </c>
      <c r="C153" s="118" t="s">
        <v>50</v>
      </c>
      <c r="D153" s="73"/>
      <c r="E153" s="161"/>
      <c r="F153" s="161"/>
      <c r="G153" s="156">
        <v>0</v>
      </c>
      <c r="H153" s="163">
        <f>D153-G153</f>
        <v>0</v>
      </c>
      <c r="I153" s="161"/>
      <c r="J153" s="161"/>
      <c r="K153" s="161"/>
      <c r="L153" s="161"/>
      <c r="M153" s="161"/>
      <c r="N153" s="161"/>
      <c r="O153" s="161"/>
      <c r="P153" s="161"/>
      <c r="Q153" s="161"/>
      <c r="R153" s="161"/>
      <c r="S153" s="161"/>
      <c r="T153" s="161"/>
      <c r="U153" s="164"/>
      <c r="V153" s="164"/>
      <c r="W153" s="164"/>
      <c r="X153" s="161"/>
      <c r="Y153" s="159">
        <f t="shared" si="59"/>
        <v>0</v>
      </c>
      <c r="Z153" s="159">
        <f t="shared" si="60"/>
        <v>0</v>
      </c>
      <c r="AA153" s="174">
        <f>+D153-Z153</f>
        <v>0</v>
      </c>
    </row>
    <row r="154" spans="1:27" s="135" customFormat="1" ht="13.5">
      <c r="A154" s="173" t="s">
        <v>71</v>
      </c>
      <c r="B154" s="188" t="s">
        <v>51</v>
      </c>
      <c r="C154" s="118" t="s">
        <v>52</v>
      </c>
      <c r="D154" s="73"/>
      <c r="E154" s="161"/>
      <c r="F154" s="161"/>
      <c r="G154" s="156">
        <v>0</v>
      </c>
      <c r="H154" s="163">
        <f>D154-G154</f>
        <v>0</v>
      </c>
      <c r="I154" s="161"/>
      <c r="J154" s="161"/>
      <c r="K154" s="161"/>
      <c r="L154" s="161"/>
      <c r="M154" s="161"/>
      <c r="N154" s="161"/>
      <c r="O154" s="161"/>
      <c r="P154" s="161"/>
      <c r="Q154" s="161"/>
      <c r="R154" s="161"/>
      <c r="S154" s="161"/>
      <c r="T154" s="161"/>
      <c r="U154" s="164"/>
      <c r="V154" s="164"/>
      <c r="W154" s="164"/>
      <c r="X154" s="161"/>
      <c r="Y154" s="159">
        <f t="shared" si="59"/>
        <v>0</v>
      </c>
      <c r="Z154" s="159">
        <f t="shared" si="60"/>
        <v>0</v>
      </c>
      <c r="AA154" s="174">
        <f>+D154-Z154</f>
        <v>0</v>
      </c>
    </row>
    <row r="155" spans="1:27" s="135" customFormat="1" ht="13.5">
      <c r="A155" s="173" t="s">
        <v>71</v>
      </c>
      <c r="B155" s="189" t="s">
        <v>55</v>
      </c>
      <c r="C155" s="119" t="s">
        <v>56</v>
      </c>
      <c r="D155" s="74"/>
      <c r="E155" s="165"/>
      <c r="F155" s="165"/>
      <c r="G155" s="156">
        <v>0</v>
      </c>
      <c r="H155" s="167">
        <f>D155-G155</f>
        <v>0</v>
      </c>
      <c r="I155" s="165"/>
      <c r="J155" s="165"/>
      <c r="K155" s="165"/>
      <c r="L155" s="165"/>
      <c r="M155" s="165"/>
      <c r="N155" s="165"/>
      <c r="O155" s="165"/>
      <c r="P155" s="165"/>
      <c r="Q155" s="165"/>
      <c r="R155" s="165"/>
      <c r="S155" s="165"/>
      <c r="T155" s="165"/>
      <c r="U155" s="168"/>
      <c r="V155" s="168"/>
      <c r="W155" s="168"/>
      <c r="X155" s="165"/>
      <c r="Y155" s="159">
        <f t="shared" si="59"/>
        <v>0</v>
      </c>
      <c r="Z155" s="159">
        <f t="shared" si="60"/>
        <v>0</v>
      </c>
      <c r="AA155" s="175">
        <f>+D155-Z155</f>
        <v>0</v>
      </c>
    </row>
    <row r="156" spans="1:27" s="135" customFormat="1" ht="13.5">
      <c r="A156" s="176" t="s">
        <v>72</v>
      </c>
      <c r="B156" s="186"/>
      <c r="C156" s="171"/>
      <c r="D156" s="120">
        <f t="shared" ref="D156:F156" si="61">SUBTOTAL(9,D157:D167)</f>
        <v>0</v>
      </c>
      <c r="E156" s="120">
        <f t="shared" si="61"/>
        <v>0</v>
      </c>
      <c r="F156" s="120">
        <f t="shared" si="61"/>
        <v>0</v>
      </c>
      <c r="G156" s="146">
        <v>0</v>
      </c>
      <c r="H156" s="146">
        <f>D156-G156</f>
        <v>0</v>
      </c>
      <c r="I156" s="120">
        <f t="shared" ref="I156:R156" si="62">SUBTOTAL(9,I157:I167)</f>
        <v>0</v>
      </c>
      <c r="J156" s="120">
        <f t="shared" si="62"/>
        <v>0</v>
      </c>
      <c r="K156" s="120">
        <f t="shared" si="62"/>
        <v>0</v>
      </c>
      <c r="L156" s="120">
        <f t="shared" si="62"/>
        <v>0</v>
      </c>
      <c r="M156" s="120">
        <f t="shared" si="62"/>
        <v>0</v>
      </c>
      <c r="N156" s="120">
        <f t="shared" si="62"/>
        <v>0</v>
      </c>
      <c r="O156" s="120">
        <f t="shared" si="62"/>
        <v>0</v>
      </c>
      <c r="P156" s="120">
        <f t="shared" si="62"/>
        <v>0</v>
      </c>
      <c r="Q156" s="120">
        <f t="shared" si="62"/>
        <v>0</v>
      </c>
      <c r="R156" s="120">
        <f t="shared" si="62"/>
        <v>0</v>
      </c>
      <c r="S156" s="120">
        <f t="shared" ref="S156:X156" si="63">SUBTOTAL(9,S157:S167)</f>
        <v>0</v>
      </c>
      <c r="T156" s="120">
        <f t="shared" si="63"/>
        <v>0</v>
      </c>
      <c r="U156" s="120">
        <f t="shared" si="63"/>
        <v>0</v>
      </c>
      <c r="V156" s="120">
        <f t="shared" si="63"/>
        <v>0</v>
      </c>
      <c r="W156" s="120">
        <f t="shared" si="63"/>
        <v>0</v>
      </c>
      <c r="X156" s="120">
        <f t="shared" si="63"/>
        <v>0</v>
      </c>
      <c r="Y156" s="120">
        <f>SUM(I156:X156)</f>
        <v>0</v>
      </c>
      <c r="Z156" s="121">
        <f>+G156+Y156</f>
        <v>0</v>
      </c>
      <c r="AA156" s="122">
        <f>+D156-Z156</f>
        <v>0</v>
      </c>
    </row>
    <row r="157" spans="1:27" s="135" customFormat="1" ht="13.5">
      <c r="A157" s="154" t="s">
        <v>72</v>
      </c>
      <c r="B157" s="187" t="s">
        <v>31</v>
      </c>
      <c r="C157" s="117" t="s">
        <v>99</v>
      </c>
      <c r="D157" s="72"/>
      <c r="E157" s="155"/>
      <c r="F157" s="155"/>
      <c r="G157" s="156">
        <v>0</v>
      </c>
      <c r="H157" s="157">
        <f>D157-G157</f>
        <v>0</v>
      </c>
      <c r="I157" s="155"/>
      <c r="J157" s="155"/>
      <c r="K157" s="155"/>
      <c r="L157" s="155"/>
      <c r="M157" s="155"/>
      <c r="N157" s="155"/>
      <c r="O157" s="155"/>
      <c r="P157" s="155"/>
      <c r="Q157" s="155"/>
      <c r="R157" s="155"/>
      <c r="S157" s="155"/>
      <c r="T157" s="155"/>
      <c r="U157" s="158"/>
      <c r="V157" s="158"/>
      <c r="W157" s="158"/>
      <c r="X157" s="155"/>
      <c r="Y157" s="159">
        <f>SUM(I157:X157)</f>
        <v>0</v>
      </c>
      <c r="Z157" s="159">
        <f>+G157+Y157</f>
        <v>0</v>
      </c>
      <c r="AA157" s="160">
        <f>+D157-Z157</f>
        <v>0</v>
      </c>
    </row>
    <row r="158" spans="1:27" s="135" customFormat="1" ht="13.5">
      <c r="A158" s="154" t="s">
        <v>72</v>
      </c>
      <c r="B158" s="188" t="s">
        <v>35</v>
      </c>
      <c r="C158" s="118" t="s">
        <v>36</v>
      </c>
      <c r="D158" s="73"/>
      <c r="E158" s="161"/>
      <c r="F158" s="161"/>
      <c r="G158" s="162">
        <v>0</v>
      </c>
      <c r="H158" s="163">
        <f>D158-G158</f>
        <v>0</v>
      </c>
      <c r="I158" s="161"/>
      <c r="J158" s="161"/>
      <c r="K158" s="161"/>
      <c r="L158" s="161"/>
      <c r="M158" s="161"/>
      <c r="N158" s="161"/>
      <c r="O158" s="161"/>
      <c r="P158" s="161"/>
      <c r="Q158" s="161"/>
      <c r="R158" s="161"/>
      <c r="S158" s="161"/>
      <c r="T158" s="161"/>
      <c r="U158" s="164"/>
      <c r="V158" s="164"/>
      <c r="W158" s="164"/>
      <c r="X158" s="161"/>
      <c r="Y158" s="159">
        <f t="shared" ref="Y158:Y167" si="64">SUM(I158:X158)</f>
        <v>0</v>
      </c>
      <c r="Z158" s="159">
        <f t="shared" ref="Z158:Z167" si="65">+G158+Y158</f>
        <v>0</v>
      </c>
      <c r="AA158" s="174">
        <f>+D158-Z158</f>
        <v>0</v>
      </c>
    </row>
    <row r="159" spans="1:27" s="135" customFormat="1" ht="13.5">
      <c r="A159" s="154" t="s">
        <v>72</v>
      </c>
      <c r="B159" s="188" t="s">
        <v>37</v>
      </c>
      <c r="C159" s="118" t="s">
        <v>38</v>
      </c>
      <c r="D159" s="73"/>
      <c r="E159" s="161"/>
      <c r="F159" s="161"/>
      <c r="G159" s="162">
        <v>0</v>
      </c>
      <c r="H159" s="163">
        <f>D159-G159</f>
        <v>0</v>
      </c>
      <c r="I159" s="177"/>
      <c r="J159" s="177"/>
      <c r="K159" s="177"/>
      <c r="L159" s="177"/>
      <c r="M159" s="177"/>
      <c r="N159" s="177"/>
      <c r="O159" s="177"/>
      <c r="P159" s="177"/>
      <c r="Q159" s="177"/>
      <c r="R159" s="177"/>
      <c r="S159" s="177"/>
      <c r="T159" s="177"/>
      <c r="U159" s="178"/>
      <c r="V159" s="178"/>
      <c r="W159" s="178"/>
      <c r="X159" s="177"/>
      <c r="Y159" s="159">
        <f t="shared" si="64"/>
        <v>0</v>
      </c>
      <c r="Z159" s="159">
        <f t="shared" si="65"/>
        <v>0</v>
      </c>
      <c r="AA159" s="174">
        <f>+D159-Z159</f>
        <v>0</v>
      </c>
    </row>
    <row r="160" spans="1:27" s="135" customFormat="1" ht="13.5">
      <c r="A160" s="154" t="s">
        <v>72</v>
      </c>
      <c r="B160" s="188" t="s">
        <v>39</v>
      </c>
      <c r="C160" s="118" t="s">
        <v>40</v>
      </c>
      <c r="D160" s="73"/>
      <c r="E160" s="161"/>
      <c r="F160" s="161"/>
      <c r="G160" s="162">
        <v>0</v>
      </c>
      <c r="H160" s="163">
        <f>D160-G160</f>
        <v>0</v>
      </c>
      <c r="I160" s="161"/>
      <c r="J160" s="161"/>
      <c r="K160" s="161"/>
      <c r="L160" s="161"/>
      <c r="M160" s="161"/>
      <c r="N160" s="161"/>
      <c r="O160" s="161"/>
      <c r="P160" s="161"/>
      <c r="Q160" s="161"/>
      <c r="R160" s="161"/>
      <c r="S160" s="161"/>
      <c r="T160" s="161"/>
      <c r="U160" s="164"/>
      <c r="V160" s="164"/>
      <c r="W160" s="164"/>
      <c r="X160" s="161"/>
      <c r="Y160" s="159">
        <f t="shared" si="64"/>
        <v>0</v>
      </c>
      <c r="Z160" s="159">
        <f t="shared" si="65"/>
        <v>0</v>
      </c>
      <c r="AA160" s="174">
        <f>+D160-Z160</f>
        <v>0</v>
      </c>
    </row>
    <row r="161" spans="1:27" s="135" customFormat="1" ht="13.5">
      <c r="A161" s="154" t="s">
        <v>72</v>
      </c>
      <c r="B161" s="188" t="s">
        <v>41</v>
      </c>
      <c r="C161" s="118" t="s">
        <v>42</v>
      </c>
      <c r="D161" s="73"/>
      <c r="E161" s="161"/>
      <c r="F161" s="161"/>
      <c r="G161" s="162">
        <v>0</v>
      </c>
      <c r="H161" s="163">
        <f>D161-G161</f>
        <v>0</v>
      </c>
      <c r="I161" s="161"/>
      <c r="J161" s="161"/>
      <c r="K161" s="161"/>
      <c r="L161" s="161"/>
      <c r="M161" s="161"/>
      <c r="N161" s="161"/>
      <c r="O161" s="161"/>
      <c r="P161" s="161"/>
      <c r="Q161" s="161"/>
      <c r="R161" s="161"/>
      <c r="S161" s="161"/>
      <c r="T161" s="161"/>
      <c r="U161" s="164"/>
      <c r="V161" s="164"/>
      <c r="W161" s="164"/>
      <c r="X161" s="161"/>
      <c r="Y161" s="159">
        <f t="shared" si="64"/>
        <v>0</v>
      </c>
      <c r="Z161" s="159">
        <f t="shared" si="65"/>
        <v>0</v>
      </c>
      <c r="AA161" s="174">
        <f>+D161-Z161</f>
        <v>0</v>
      </c>
    </row>
    <row r="162" spans="1:27" s="135" customFormat="1" ht="13.5">
      <c r="A162" s="154" t="s">
        <v>72</v>
      </c>
      <c r="B162" s="188" t="s">
        <v>43</v>
      </c>
      <c r="C162" s="118" t="s">
        <v>44</v>
      </c>
      <c r="D162" s="73"/>
      <c r="E162" s="161"/>
      <c r="F162" s="161"/>
      <c r="G162" s="162">
        <v>0</v>
      </c>
      <c r="H162" s="163">
        <f>D162-G162</f>
        <v>0</v>
      </c>
      <c r="I162" s="161"/>
      <c r="J162" s="161"/>
      <c r="K162" s="161"/>
      <c r="L162" s="161"/>
      <c r="M162" s="161"/>
      <c r="N162" s="161"/>
      <c r="O162" s="161"/>
      <c r="P162" s="161"/>
      <c r="Q162" s="161"/>
      <c r="R162" s="161"/>
      <c r="S162" s="161"/>
      <c r="T162" s="161"/>
      <c r="U162" s="164"/>
      <c r="V162" s="164"/>
      <c r="W162" s="164"/>
      <c r="X162" s="161"/>
      <c r="Y162" s="159">
        <f t="shared" si="64"/>
        <v>0</v>
      </c>
      <c r="Z162" s="159">
        <f t="shared" si="65"/>
        <v>0</v>
      </c>
      <c r="AA162" s="174">
        <f>+D162-Z162</f>
        <v>0</v>
      </c>
    </row>
    <row r="163" spans="1:27" s="135" customFormat="1" ht="13.5">
      <c r="A163" s="154" t="s">
        <v>72</v>
      </c>
      <c r="B163" s="188" t="s">
        <v>45</v>
      </c>
      <c r="C163" s="118" t="s">
        <v>46</v>
      </c>
      <c r="D163" s="73"/>
      <c r="E163" s="161"/>
      <c r="F163" s="161"/>
      <c r="G163" s="162">
        <v>0</v>
      </c>
      <c r="H163" s="163">
        <f>D163-G163</f>
        <v>0</v>
      </c>
      <c r="I163" s="161"/>
      <c r="J163" s="161"/>
      <c r="K163" s="161"/>
      <c r="L163" s="161"/>
      <c r="M163" s="161"/>
      <c r="N163" s="161"/>
      <c r="O163" s="161"/>
      <c r="P163" s="161"/>
      <c r="Q163" s="161"/>
      <c r="R163" s="161"/>
      <c r="S163" s="161"/>
      <c r="T163" s="161"/>
      <c r="U163" s="164"/>
      <c r="V163" s="164"/>
      <c r="W163" s="164"/>
      <c r="X163" s="161"/>
      <c r="Y163" s="159">
        <f t="shared" si="64"/>
        <v>0</v>
      </c>
      <c r="Z163" s="159">
        <f t="shared" si="65"/>
        <v>0</v>
      </c>
      <c r="AA163" s="174">
        <f>+D163-Z163</f>
        <v>0</v>
      </c>
    </row>
    <row r="164" spans="1:27" s="135" customFormat="1" ht="13.5">
      <c r="A164" s="154" t="s">
        <v>72</v>
      </c>
      <c r="B164" s="188" t="s">
        <v>47</v>
      </c>
      <c r="C164" s="118" t="s">
        <v>48</v>
      </c>
      <c r="D164" s="73"/>
      <c r="E164" s="161"/>
      <c r="F164" s="161"/>
      <c r="G164" s="162">
        <v>0</v>
      </c>
      <c r="H164" s="163">
        <f>D164-G164</f>
        <v>0</v>
      </c>
      <c r="I164" s="161"/>
      <c r="J164" s="161"/>
      <c r="K164" s="161"/>
      <c r="L164" s="161"/>
      <c r="M164" s="161"/>
      <c r="N164" s="161"/>
      <c r="O164" s="161"/>
      <c r="P164" s="161"/>
      <c r="Q164" s="161"/>
      <c r="R164" s="161"/>
      <c r="S164" s="161"/>
      <c r="T164" s="161"/>
      <c r="U164" s="164"/>
      <c r="V164" s="164"/>
      <c r="W164" s="164"/>
      <c r="X164" s="161"/>
      <c r="Y164" s="159">
        <f t="shared" si="64"/>
        <v>0</v>
      </c>
      <c r="Z164" s="159">
        <f t="shared" si="65"/>
        <v>0</v>
      </c>
      <c r="AA164" s="174">
        <f>+D164-Z164</f>
        <v>0</v>
      </c>
    </row>
    <row r="165" spans="1:27" s="135" customFormat="1" ht="13.5">
      <c r="A165" s="154" t="s">
        <v>72</v>
      </c>
      <c r="B165" s="188" t="s">
        <v>49</v>
      </c>
      <c r="C165" s="118" t="s">
        <v>50</v>
      </c>
      <c r="D165" s="73"/>
      <c r="E165" s="161"/>
      <c r="F165" s="161"/>
      <c r="G165" s="162">
        <v>0</v>
      </c>
      <c r="H165" s="163">
        <f>D165-G165</f>
        <v>0</v>
      </c>
      <c r="I165" s="161"/>
      <c r="J165" s="161"/>
      <c r="K165" s="161"/>
      <c r="L165" s="161"/>
      <c r="M165" s="161"/>
      <c r="N165" s="161"/>
      <c r="O165" s="161"/>
      <c r="P165" s="161"/>
      <c r="Q165" s="161"/>
      <c r="R165" s="161"/>
      <c r="S165" s="161"/>
      <c r="T165" s="161"/>
      <c r="U165" s="164"/>
      <c r="V165" s="164"/>
      <c r="W165" s="164"/>
      <c r="X165" s="161"/>
      <c r="Y165" s="159">
        <f t="shared" si="64"/>
        <v>0</v>
      </c>
      <c r="Z165" s="159">
        <f t="shared" si="65"/>
        <v>0</v>
      </c>
      <c r="AA165" s="174">
        <f>+D165-Z165</f>
        <v>0</v>
      </c>
    </row>
    <row r="166" spans="1:27" s="135" customFormat="1" ht="13.5">
      <c r="A166" s="154" t="s">
        <v>72</v>
      </c>
      <c r="B166" s="188" t="s">
        <v>51</v>
      </c>
      <c r="C166" s="118" t="s">
        <v>52</v>
      </c>
      <c r="D166" s="73"/>
      <c r="E166" s="161"/>
      <c r="F166" s="161"/>
      <c r="G166" s="162">
        <v>0</v>
      </c>
      <c r="H166" s="163">
        <f>D166-G166</f>
        <v>0</v>
      </c>
      <c r="I166" s="161"/>
      <c r="J166" s="161"/>
      <c r="K166" s="161"/>
      <c r="L166" s="161"/>
      <c r="M166" s="161"/>
      <c r="N166" s="161"/>
      <c r="O166" s="161"/>
      <c r="P166" s="161"/>
      <c r="Q166" s="161"/>
      <c r="R166" s="161"/>
      <c r="S166" s="161"/>
      <c r="T166" s="161"/>
      <c r="U166" s="164"/>
      <c r="V166" s="164"/>
      <c r="W166" s="164"/>
      <c r="X166" s="161"/>
      <c r="Y166" s="159">
        <f t="shared" si="64"/>
        <v>0</v>
      </c>
      <c r="Z166" s="159">
        <f t="shared" si="65"/>
        <v>0</v>
      </c>
      <c r="AA166" s="174">
        <f>+D166-Z166</f>
        <v>0</v>
      </c>
    </row>
    <row r="167" spans="1:27" s="135" customFormat="1" ht="13.5">
      <c r="A167" s="154" t="s">
        <v>72</v>
      </c>
      <c r="B167" s="189" t="s">
        <v>55</v>
      </c>
      <c r="C167" s="119" t="s">
        <v>56</v>
      </c>
      <c r="D167" s="74"/>
      <c r="E167" s="165"/>
      <c r="F167" s="165"/>
      <c r="G167" s="166">
        <v>0</v>
      </c>
      <c r="H167" s="167">
        <f>D167-G167</f>
        <v>0</v>
      </c>
      <c r="I167" s="165"/>
      <c r="J167" s="165"/>
      <c r="K167" s="165"/>
      <c r="L167" s="165"/>
      <c r="M167" s="165"/>
      <c r="N167" s="165"/>
      <c r="O167" s="165"/>
      <c r="P167" s="165"/>
      <c r="Q167" s="165"/>
      <c r="R167" s="165"/>
      <c r="S167" s="165"/>
      <c r="T167" s="165"/>
      <c r="U167" s="168"/>
      <c r="V167" s="168"/>
      <c r="W167" s="168"/>
      <c r="X167" s="165"/>
      <c r="Y167" s="159">
        <f t="shared" si="64"/>
        <v>0</v>
      </c>
      <c r="Z167" s="159">
        <f t="shared" si="65"/>
        <v>0</v>
      </c>
      <c r="AA167" s="175">
        <f>+D167-Z167</f>
        <v>0</v>
      </c>
    </row>
    <row r="168" spans="1:27" s="58" customFormat="1" ht="17.25" customHeight="1">
      <c r="A168" s="192" t="s">
        <v>73</v>
      </c>
      <c r="B168" s="193"/>
      <c r="C168" s="194"/>
      <c r="D168" s="54">
        <f t="shared" ref="D168:F168" si="66">SUBTOTAL(9,D6:D167)</f>
        <v>0</v>
      </c>
      <c r="E168" s="54">
        <f t="shared" si="66"/>
        <v>0</v>
      </c>
      <c r="F168" s="54">
        <f t="shared" si="66"/>
        <v>0</v>
      </c>
      <c r="G168" s="55">
        <v>0</v>
      </c>
      <c r="H168" s="55"/>
      <c r="I168" s="54">
        <f t="shared" ref="I168:X168" si="67">SUBTOTAL(9,I6:I167)</f>
        <v>0</v>
      </c>
      <c r="J168" s="54">
        <f t="shared" si="67"/>
        <v>0</v>
      </c>
      <c r="K168" s="54">
        <f t="shared" si="67"/>
        <v>0</v>
      </c>
      <c r="L168" s="54">
        <f t="shared" si="67"/>
        <v>0</v>
      </c>
      <c r="M168" s="54">
        <f t="shared" si="67"/>
        <v>0</v>
      </c>
      <c r="N168" s="54">
        <f t="shared" si="67"/>
        <v>0</v>
      </c>
      <c r="O168" s="54">
        <f t="shared" si="67"/>
        <v>0</v>
      </c>
      <c r="P168" s="54">
        <f t="shared" si="67"/>
        <v>0</v>
      </c>
      <c r="Q168" s="54">
        <f t="shared" si="67"/>
        <v>0</v>
      </c>
      <c r="R168" s="54">
        <f t="shared" si="67"/>
        <v>0</v>
      </c>
      <c r="S168" s="54">
        <f t="shared" si="67"/>
        <v>0</v>
      </c>
      <c r="T168" s="54">
        <f t="shared" si="67"/>
        <v>0</v>
      </c>
      <c r="U168" s="54">
        <f t="shared" si="67"/>
        <v>0</v>
      </c>
      <c r="V168" s="54">
        <f t="shared" si="67"/>
        <v>0</v>
      </c>
      <c r="W168" s="54">
        <f t="shared" si="67"/>
        <v>0</v>
      </c>
      <c r="X168" s="54">
        <f t="shared" si="67"/>
        <v>0</v>
      </c>
      <c r="Y168" s="120">
        <f>SUM(I168:X168)</f>
        <v>0</v>
      </c>
      <c r="Z168" s="121">
        <f>+G168+Y168</f>
        <v>0</v>
      </c>
      <c r="AA168" s="122">
        <f>+D168-Z168</f>
        <v>0</v>
      </c>
    </row>
    <row r="170" spans="1:27">
      <c r="D170" s="29"/>
      <c r="E170" s="30"/>
      <c r="F170" s="31"/>
      <c r="G170" s="32"/>
      <c r="H170" s="33"/>
      <c r="AA170" s="32"/>
    </row>
    <row r="171" spans="1:27">
      <c r="D171" s="34"/>
      <c r="H171" s="35"/>
    </row>
    <row r="172" spans="1:27">
      <c r="D172" s="62"/>
      <c r="G172" s="63"/>
    </row>
    <row r="173" spans="1:27">
      <c r="D173" s="34"/>
      <c r="G173" s="32"/>
    </row>
    <row r="174" spans="1:27">
      <c r="D174" s="34"/>
    </row>
    <row r="175" spans="1:27">
      <c r="D175" s="34"/>
    </row>
    <row r="176" spans="1:27">
      <c r="D176" s="34"/>
    </row>
    <row r="177" spans="4:4">
      <c r="D177" s="34"/>
    </row>
    <row r="178" spans="4:4">
      <c r="D178" s="34"/>
    </row>
  </sheetData>
  <mergeCells count="15">
    <mergeCell ref="A168:C168"/>
    <mergeCell ref="Y4:Y5"/>
    <mergeCell ref="H4:H5"/>
    <mergeCell ref="Z4:Z5"/>
    <mergeCell ref="AA4:AA5"/>
    <mergeCell ref="A4:A5"/>
    <mergeCell ref="B4:B5"/>
    <mergeCell ref="C4:C5"/>
    <mergeCell ref="D4:D5"/>
    <mergeCell ref="E4:E5"/>
    <mergeCell ref="F4:F5"/>
    <mergeCell ref="I4:T4"/>
    <mergeCell ref="U4:V4"/>
    <mergeCell ref="X4:X5"/>
    <mergeCell ref="W4:W5"/>
  </mergeCells>
  <phoneticPr fontId="10" type="noConversion"/>
  <pageMargins left="0.70866141732283472" right="0.31496062992125984" top="0.74803149606299213" bottom="0.35433070866141736" header="0.31496062992125984" footer="0.31496062992125984"/>
  <pageSetup paperSize="9" scale="6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7"/>
  <sheetViews>
    <sheetView workbookViewId="0">
      <selection activeCell="F26" sqref="F26"/>
    </sheetView>
  </sheetViews>
  <sheetFormatPr baseColWidth="10" defaultRowHeight="12.75"/>
  <cols>
    <col min="1" max="1" width="9.140625" customWidth="1"/>
    <col min="2" max="2" width="32" customWidth="1"/>
    <col min="3" max="3" width="10.5703125" customWidth="1"/>
    <col min="4" max="5" width="10.5703125" hidden="1" customWidth="1"/>
    <col min="7" max="7" width="0" hidden="1" customWidth="1"/>
    <col min="8" max="17" width="11" customWidth="1"/>
    <col min="18" max="18" width="10.5703125" customWidth="1"/>
    <col min="19" max="19" width="11.28515625" customWidth="1"/>
    <col min="20" max="20" width="9.28515625" customWidth="1"/>
    <col min="21" max="21" width="9.42578125" customWidth="1"/>
    <col min="22" max="22" width="9.140625" customWidth="1"/>
    <col min="23" max="23" width="8.42578125" customWidth="1"/>
    <col min="24" max="24" width="11.7109375" customWidth="1"/>
    <col min="25" max="25" width="12.7109375" customWidth="1"/>
    <col min="26" max="26" width="11.140625" customWidth="1"/>
  </cols>
  <sheetData>
    <row r="1" spans="1:26" ht="15.75">
      <c r="A1" s="78" t="s">
        <v>103</v>
      </c>
      <c r="F1" s="1"/>
      <c r="G1" s="1"/>
      <c r="Z1" s="1"/>
    </row>
    <row r="2" spans="1:26">
      <c r="F2" s="1"/>
      <c r="G2" s="1"/>
      <c r="Z2" s="1"/>
    </row>
    <row r="3" spans="1:26" ht="33" customHeight="1">
      <c r="A3" s="222" t="s">
        <v>74</v>
      </c>
      <c r="B3" s="223"/>
      <c r="C3" s="215" t="s">
        <v>104</v>
      </c>
      <c r="D3" s="207" t="s">
        <v>4</v>
      </c>
      <c r="E3" s="207" t="s">
        <v>5</v>
      </c>
      <c r="F3" s="215" t="s">
        <v>73</v>
      </c>
      <c r="G3" s="197" t="s">
        <v>97</v>
      </c>
      <c r="H3" s="217" t="s">
        <v>123</v>
      </c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9"/>
      <c r="T3" s="209" t="s">
        <v>102</v>
      </c>
      <c r="U3" s="211"/>
      <c r="V3" s="213" t="s">
        <v>119</v>
      </c>
      <c r="W3" s="220" t="s">
        <v>118</v>
      </c>
      <c r="X3" s="215" t="s">
        <v>105</v>
      </c>
      <c r="Y3" s="215" t="s">
        <v>106</v>
      </c>
      <c r="Z3" s="215" t="s">
        <v>107</v>
      </c>
    </row>
    <row r="4" spans="1:26" ht="33" customHeight="1">
      <c r="A4" s="224"/>
      <c r="B4" s="225"/>
      <c r="C4" s="226"/>
      <c r="D4" s="208"/>
      <c r="E4" s="208"/>
      <c r="F4" s="216"/>
      <c r="G4" s="198"/>
      <c r="H4" s="107" t="s">
        <v>108</v>
      </c>
      <c r="I4" s="107" t="s">
        <v>109</v>
      </c>
      <c r="J4" s="107" t="s">
        <v>110</v>
      </c>
      <c r="K4" s="107" t="s">
        <v>111</v>
      </c>
      <c r="L4" s="107" t="s">
        <v>112</v>
      </c>
      <c r="M4" s="107" t="s">
        <v>113</v>
      </c>
      <c r="N4" s="107" t="s">
        <v>114</v>
      </c>
      <c r="O4" s="107" t="s">
        <v>115</v>
      </c>
      <c r="P4" s="107" t="s">
        <v>116</v>
      </c>
      <c r="Q4" s="107" t="s">
        <v>117</v>
      </c>
      <c r="R4" s="107" t="s">
        <v>121</v>
      </c>
      <c r="S4" s="107" t="s">
        <v>122</v>
      </c>
      <c r="T4" s="77">
        <v>276</v>
      </c>
      <c r="U4" s="77">
        <v>728</v>
      </c>
      <c r="V4" s="214"/>
      <c r="W4" s="221"/>
      <c r="X4" s="216"/>
      <c r="Y4" s="216"/>
      <c r="Z4" s="216"/>
    </row>
    <row r="5" spans="1:26" s="81" customFormat="1" ht="15.75" customHeight="1">
      <c r="A5" s="79" t="s">
        <v>75</v>
      </c>
      <c r="B5" s="112"/>
      <c r="C5" s="80">
        <f t="shared" ref="C5:F5" si="0">SUBTOTAL(9,C6:C22)</f>
        <v>0</v>
      </c>
      <c r="D5" s="80">
        <f t="shared" si="0"/>
        <v>0</v>
      </c>
      <c r="E5" s="80">
        <f t="shared" si="0"/>
        <v>0</v>
      </c>
      <c r="F5" s="80">
        <f t="shared" si="0"/>
        <v>0</v>
      </c>
      <c r="G5" s="64">
        <f>C5-F5</f>
        <v>0</v>
      </c>
      <c r="H5" s="80">
        <f t="shared" ref="H5:T5" si="1">SUBTOTAL(9,H6:H22)</f>
        <v>0</v>
      </c>
      <c r="I5" s="80">
        <f t="shared" ref="I5" si="2">SUBTOTAL(9,I6:I22)</f>
        <v>0</v>
      </c>
      <c r="J5" s="80">
        <f t="shared" ref="J5" si="3">SUBTOTAL(9,J6:J22)</f>
        <v>0</v>
      </c>
      <c r="K5" s="80">
        <f t="shared" ref="K5" si="4">SUBTOTAL(9,K6:K22)</f>
        <v>0</v>
      </c>
      <c r="L5" s="80">
        <f t="shared" ref="L5" si="5">SUBTOTAL(9,L6:L22)</f>
        <v>0</v>
      </c>
      <c r="M5" s="80">
        <f t="shared" ref="M5" si="6">SUBTOTAL(9,M6:M22)</f>
        <v>0</v>
      </c>
      <c r="N5" s="80">
        <f t="shared" ref="N5" si="7">SUBTOTAL(9,N6:N22)</f>
        <v>0</v>
      </c>
      <c r="O5" s="80">
        <f t="shared" ref="O5" si="8">SUBTOTAL(9,O6:O22)</f>
        <v>0</v>
      </c>
      <c r="P5" s="80">
        <f t="shared" si="1"/>
        <v>0</v>
      </c>
      <c r="Q5" s="80">
        <f t="shared" si="1"/>
        <v>0</v>
      </c>
      <c r="R5" s="80">
        <f t="shared" si="1"/>
        <v>0</v>
      </c>
      <c r="S5" s="80">
        <f t="shared" si="1"/>
        <v>0</v>
      </c>
      <c r="T5" s="80">
        <f t="shared" si="1"/>
        <v>0</v>
      </c>
      <c r="U5" s="80">
        <f t="shared" ref="U5:Z5" si="9">SUBTOTAL(9,U6:U22)</f>
        <v>0</v>
      </c>
      <c r="V5" s="80">
        <f t="shared" si="9"/>
        <v>0</v>
      </c>
      <c r="W5" s="80">
        <f t="shared" si="9"/>
        <v>0</v>
      </c>
      <c r="X5" s="80">
        <f t="shared" si="9"/>
        <v>0</v>
      </c>
      <c r="Y5" s="80">
        <f t="shared" si="9"/>
        <v>0</v>
      </c>
      <c r="Z5" s="80">
        <f t="shared" si="9"/>
        <v>0</v>
      </c>
    </row>
    <row r="6" spans="1:26">
      <c r="A6" s="82" t="s">
        <v>27</v>
      </c>
      <c r="B6" s="108" t="s">
        <v>28</v>
      </c>
      <c r="C6" s="83">
        <f>'2.1meta'!D7+'2.1meta'!D23</f>
        <v>0</v>
      </c>
      <c r="D6" s="83">
        <f>'2.1meta'!E7+'2.1meta'!E23</f>
        <v>0</v>
      </c>
      <c r="E6" s="83">
        <f>'2.1meta'!F7+'2.1meta'!F23</f>
        <v>0</v>
      </c>
      <c r="F6" s="84">
        <v>0</v>
      </c>
      <c r="G6" s="106">
        <f>C6-F6</f>
        <v>0</v>
      </c>
      <c r="H6" s="83">
        <f>'2.1meta'!I7+'2.1meta'!I23</f>
        <v>0</v>
      </c>
      <c r="I6" s="83">
        <f>'2.1meta'!J7+'2.1meta'!J23</f>
        <v>0</v>
      </c>
      <c r="J6" s="83">
        <f>'2.1meta'!K7+'2.1meta'!K23</f>
        <v>0</v>
      </c>
      <c r="K6" s="83">
        <f>'2.1meta'!L7+'2.1meta'!L23</f>
        <v>0</v>
      </c>
      <c r="L6" s="83">
        <f>'2.1meta'!M7+'2.1meta'!M23</f>
        <v>0</v>
      </c>
      <c r="M6" s="83">
        <f>'2.1meta'!N7+'2.1meta'!N23</f>
        <v>0</v>
      </c>
      <c r="N6" s="83">
        <f>'2.1meta'!O7+'2.1meta'!O23</f>
        <v>0</v>
      </c>
      <c r="O6" s="83">
        <f>'2.1meta'!P7+'2.1meta'!P23</f>
        <v>0</v>
      </c>
      <c r="P6" s="83">
        <f>'2.1meta'!Q7+'2.1meta'!Q23</f>
        <v>0</v>
      </c>
      <c r="Q6" s="83">
        <f>'2.1meta'!R7+'2.1meta'!R23</f>
        <v>0</v>
      </c>
      <c r="R6" s="83">
        <f>'2.1meta'!S7+'2.1meta'!S23</f>
        <v>0</v>
      </c>
      <c r="S6" s="83">
        <f>'2.1meta'!T7+'2.1meta'!T23</f>
        <v>0</v>
      </c>
      <c r="T6" s="83">
        <f>'2.1meta'!U7+'2.1meta'!U23</f>
        <v>0</v>
      </c>
      <c r="U6" s="83">
        <f>'2.1meta'!V7+'2.1meta'!V23</f>
        <v>0</v>
      </c>
      <c r="V6" s="83">
        <f>'2.1meta'!W7+'2.1meta'!W23</f>
        <v>0</v>
      </c>
      <c r="W6" s="83">
        <f>'2.1meta'!X7+'2.1meta'!X23</f>
        <v>0</v>
      </c>
      <c r="X6" s="85">
        <f>SUM(H6:W6)</f>
        <v>0</v>
      </c>
      <c r="Y6" s="86">
        <f>F6+X6</f>
        <v>0</v>
      </c>
      <c r="Z6" s="87">
        <f>C6-Y6</f>
        <v>0</v>
      </c>
    </row>
    <row r="7" spans="1:26">
      <c r="A7" s="88" t="s">
        <v>29</v>
      </c>
      <c r="B7" s="109" t="s">
        <v>30</v>
      </c>
      <c r="C7" s="83">
        <f>'2.1meta'!D8+'2.1meta'!D24+'2.1meta'!D40+'2.1meta'!D79+'2.1meta'!D92+'2.1meta'!D104+'2.1meta'!D145</f>
        <v>0</v>
      </c>
      <c r="D7" s="83">
        <f>'2.1meta'!E8+'2.1meta'!E24+'2.1meta'!E40+'2.1meta'!E79+'2.1meta'!E92+'2.1meta'!E104+'2.1meta'!E145</f>
        <v>0</v>
      </c>
      <c r="E7" s="83">
        <f>'2.1meta'!F8+'2.1meta'!F24+'2.1meta'!F40+'2.1meta'!F79+'2.1meta'!F92+'2.1meta'!F104+'2.1meta'!F145</f>
        <v>0</v>
      </c>
      <c r="F7" s="84">
        <v>0</v>
      </c>
      <c r="G7" s="106">
        <f>C7-F7</f>
        <v>0</v>
      </c>
      <c r="H7" s="83">
        <f>'2.1meta'!I8+'2.1meta'!I24+'2.1meta'!I40+'2.1meta'!I79+'2.1meta'!I92+'2.1meta'!I104+'2.1meta'!I145</f>
        <v>0</v>
      </c>
      <c r="I7" s="83">
        <f>'2.1meta'!J8+'2.1meta'!J24+'2.1meta'!J40+'2.1meta'!J79+'2.1meta'!J92+'2.1meta'!J104+'2.1meta'!J145</f>
        <v>0</v>
      </c>
      <c r="J7" s="83">
        <f>'2.1meta'!K8+'2.1meta'!K24+'2.1meta'!K40+'2.1meta'!K79+'2.1meta'!K92+'2.1meta'!K104+'2.1meta'!K145</f>
        <v>0</v>
      </c>
      <c r="K7" s="83">
        <f>'2.1meta'!L8+'2.1meta'!L24+'2.1meta'!L40+'2.1meta'!L79+'2.1meta'!L92+'2.1meta'!L104+'2.1meta'!L145</f>
        <v>0</v>
      </c>
      <c r="L7" s="83">
        <f>'2.1meta'!M8+'2.1meta'!M24+'2.1meta'!M40+'2.1meta'!M79+'2.1meta'!M92+'2.1meta'!M104+'2.1meta'!M145</f>
        <v>0</v>
      </c>
      <c r="M7" s="83">
        <f>'2.1meta'!N8+'2.1meta'!N24+'2.1meta'!N40+'2.1meta'!N79+'2.1meta'!N92+'2.1meta'!N104+'2.1meta'!N145</f>
        <v>0</v>
      </c>
      <c r="N7" s="83">
        <f>'2.1meta'!O8+'2.1meta'!O24+'2.1meta'!O40+'2.1meta'!O79+'2.1meta'!O92+'2.1meta'!O104+'2.1meta'!O145</f>
        <v>0</v>
      </c>
      <c r="O7" s="83">
        <f>'2.1meta'!P8+'2.1meta'!P24+'2.1meta'!P40+'2.1meta'!P79+'2.1meta'!P92+'2.1meta'!P104+'2.1meta'!P145</f>
        <v>0</v>
      </c>
      <c r="P7" s="83">
        <f>'2.1meta'!Q8+'2.1meta'!Q24+'2.1meta'!Q40+'2.1meta'!Q79+'2.1meta'!Q92+'2.1meta'!Q104+'2.1meta'!Q145</f>
        <v>0</v>
      </c>
      <c r="Q7" s="83">
        <f>'2.1meta'!R8+'2.1meta'!R24+'2.1meta'!R40+'2.1meta'!R79+'2.1meta'!R92+'2.1meta'!R104+'2.1meta'!R145</f>
        <v>0</v>
      </c>
      <c r="R7" s="83">
        <f>'2.1meta'!S8+'2.1meta'!S24+'2.1meta'!S40+'2.1meta'!S79+'2.1meta'!S92+'2.1meta'!S104+'2.1meta'!S145</f>
        <v>0</v>
      </c>
      <c r="S7" s="83">
        <f>'2.1meta'!T8+'2.1meta'!T24+'2.1meta'!T40+'2.1meta'!T79+'2.1meta'!T92+'2.1meta'!T104+'2.1meta'!T145</f>
        <v>0</v>
      </c>
      <c r="T7" s="83">
        <f>'2.1meta'!U8+'2.1meta'!U24+'2.1meta'!U40+'2.1meta'!U79+'2.1meta'!U92+'2.1meta'!U104+'2.1meta'!U145</f>
        <v>0</v>
      </c>
      <c r="U7" s="83">
        <f>'2.1meta'!V8+'2.1meta'!V24+'2.1meta'!V40+'2.1meta'!V79+'2.1meta'!V92+'2.1meta'!V104+'2.1meta'!V145</f>
        <v>0</v>
      </c>
      <c r="V7" s="83">
        <f>'2.1meta'!W8+'2.1meta'!W24+'2.1meta'!W40+'2.1meta'!W79+'2.1meta'!W92+'2.1meta'!W104+'2.1meta'!W145</f>
        <v>0</v>
      </c>
      <c r="W7" s="83">
        <f>'2.1meta'!X8+'2.1meta'!X24+'2.1meta'!X40+'2.1meta'!X79+'2.1meta'!X92+'2.1meta'!X104+'2.1meta'!X145</f>
        <v>0</v>
      </c>
      <c r="X7" s="85">
        <f t="shared" ref="X7:X37" si="10">SUM(H7:W7)</f>
        <v>0</v>
      </c>
      <c r="Y7" s="89">
        <f>F7+X7</f>
        <v>0</v>
      </c>
      <c r="Z7" s="90">
        <f>C7-Y7</f>
        <v>0</v>
      </c>
    </row>
    <row r="8" spans="1:26">
      <c r="A8" s="88" t="s">
        <v>31</v>
      </c>
      <c r="B8" s="109" t="s">
        <v>32</v>
      </c>
      <c r="C8" s="83">
        <f>'2.1meta'!D9+'2.1meta'!D25+'2.1meta'!D41+'2.1meta'!D93</f>
        <v>0</v>
      </c>
      <c r="D8" s="83">
        <f>'2.1meta'!E9+'2.1meta'!E25+'2.1meta'!E41+'2.1meta'!E93</f>
        <v>0</v>
      </c>
      <c r="E8" s="83">
        <f>'2.1meta'!F9+'2.1meta'!F25+'2.1meta'!F41+'2.1meta'!F93</f>
        <v>0</v>
      </c>
      <c r="F8" s="84">
        <v>0</v>
      </c>
      <c r="G8" s="106">
        <f>C8-F8</f>
        <v>0</v>
      </c>
      <c r="H8" s="83">
        <f>'2.1meta'!I9+'2.1meta'!I25+'2.1meta'!I41+'2.1meta'!I93</f>
        <v>0</v>
      </c>
      <c r="I8" s="83">
        <f>'2.1meta'!J9+'2.1meta'!J25+'2.1meta'!J41+'2.1meta'!J93</f>
        <v>0</v>
      </c>
      <c r="J8" s="83">
        <f>'2.1meta'!K9+'2.1meta'!K25+'2.1meta'!K41+'2.1meta'!K93</f>
        <v>0</v>
      </c>
      <c r="K8" s="83">
        <f>'2.1meta'!L9+'2.1meta'!L25+'2.1meta'!L41+'2.1meta'!L93</f>
        <v>0</v>
      </c>
      <c r="L8" s="83">
        <f>'2.1meta'!M9+'2.1meta'!M25+'2.1meta'!M41+'2.1meta'!M93</f>
        <v>0</v>
      </c>
      <c r="M8" s="83">
        <f>'2.1meta'!N9+'2.1meta'!N25+'2.1meta'!N41+'2.1meta'!N93</f>
        <v>0</v>
      </c>
      <c r="N8" s="83">
        <f>'2.1meta'!O9+'2.1meta'!O25+'2.1meta'!O41+'2.1meta'!O93</f>
        <v>0</v>
      </c>
      <c r="O8" s="83">
        <f>'2.1meta'!P9+'2.1meta'!P25+'2.1meta'!P41+'2.1meta'!P93</f>
        <v>0</v>
      </c>
      <c r="P8" s="83">
        <f>'2.1meta'!Q9+'2.1meta'!Q25+'2.1meta'!Q41+'2.1meta'!Q93</f>
        <v>0</v>
      </c>
      <c r="Q8" s="83">
        <f>'2.1meta'!R9+'2.1meta'!R25+'2.1meta'!R41+'2.1meta'!R93</f>
        <v>0</v>
      </c>
      <c r="R8" s="83">
        <f>'2.1meta'!S9+'2.1meta'!S25+'2.1meta'!S41+'2.1meta'!S93</f>
        <v>0</v>
      </c>
      <c r="S8" s="83">
        <f>'2.1meta'!T9+'2.1meta'!T25+'2.1meta'!T41+'2.1meta'!T93</f>
        <v>0</v>
      </c>
      <c r="T8" s="83">
        <f>'2.1meta'!U9+'2.1meta'!U25+'2.1meta'!U41+'2.1meta'!U93</f>
        <v>0</v>
      </c>
      <c r="U8" s="83">
        <f>'2.1meta'!V9+'2.1meta'!V25+'2.1meta'!V41+'2.1meta'!V93</f>
        <v>0</v>
      </c>
      <c r="V8" s="83">
        <f>'2.1meta'!W9+'2.1meta'!W25+'2.1meta'!W41+'2.1meta'!W93</f>
        <v>0</v>
      </c>
      <c r="W8" s="83">
        <f>'2.1meta'!X9+'2.1meta'!X25+'2.1meta'!X41+'2.1meta'!X93</f>
        <v>0</v>
      </c>
      <c r="X8" s="85">
        <f t="shared" si="10"/>
        <v>0</v>
      </c>
      <c r="Y8" s="89">
        <f>F8+X8</f>
        <v>0</v>
      </c>
      <c r="Z8" s="90">
        <f>C8-Y8</f>
        <v>0</v>
      </c>
    </row>
    <row r="9" spans="1:26">
      <c r="A9" s="88" t="s">
        <v>33</v>
      </c>
      <c r="B9" s="109" t="s">
        <v>34</v>
      </c>
      <c r="C9" s="83">
        <f>'2.1meta'!D10+'2.1meta'!D26</f>
        <v>0</v>
      </c>
      <c r="D9" s="83">
        <f>'2.1meta'!E10+'2.1meta'!E26</f>
        <v>0</v>
      </c>
      <c r="E9" s="83">
        <f>'2.1meta'!F10+'2.1meta'!F26</f>
        <v>0</v>
      </c>
      <c r="F9" s="84">
        <v>0</v>
      </c>
      <c r="G9" s="106">
        <f>C9-F9</f>
        <v>0</v>
      </c>
      <c r="H9" s="83">
        <f>'2.1meta'!I10+'2.1meta'!I26</f>
        <v>0</v>
      </c>
      <c r="I9" s="83">
        <f>'2.1meta'!J10+'2.1meta'!J26</f>
        <v>0</v>
      </c>
      <c r="J9" s="83">
        <f>'2.1meta'!K10+'2.1meta'!K26</f>
        <v>0</v>
      </c>
      <c r="K9" s="83">
        <f>'2.1meta'!L10+'2.1meta'!L26</f>
        <v>0</v>
      </c>
      <c r="L9" s="83">
        <f>'2.1meta'!M10+'2.1meta'!M26</f>
        <v>0</v>
      </c>
      <c r="M9" s="83">
        <f>'2.1meta'!N10+'2.1meta'!N26</f>
        <v>0</v>
      </c>
      <c r="N9" s="83">
        <f>'2.1meta'!O10+'2.1meta'!O26</f>
        <v>0</v>
      </c>
      <c r="O9" s="83">
        <f>'2.1meta'!P10+'2.1meta'!P26</f>
        <v>0</v>
      </c>
      <c r="P9" s="83">
        <f>'2.1meta'!Q10+'2.1meta'!Q26</f>
        <v>0</v>
      </c>
      <c r="Q9" s="83">
        <f>'2.1meta'!R10+'2.1meta'!R26</f>
        <v>0</v>
      </c>
      <c r="R9" s="83">
        <f>'2.1meta'!S10+'2.1meta'!S26</f>
        <v>0</v>
      </c>
      <c r="S9" s="83">
        <f>'2.1meta'!T10+'2.1meta'!T26</f>
        <v>0</v>
      </c>
      <c r="T9" s="83">
        <f>'2.1meta'!U10+'2.1meta'!U26</f>
        <v>0</v>
      </c>
      <c r="U9" s="83">
        <f>'2.1meta'!V10+'2.1meta'!V26</f>
        <v>0</v>
      </c>
      <c r="V9" s="83">
        <f>'2.1meta'!W10+'2.1meta'!W26</f>
        <v>0</v>
      </c>
      <c r="W9" s="83">
        <f>'2.1meta'!X10+'2.1meta'!X26</f>
        <v>0</v>
      </c>
      <c r="X9" s="85">
        <f t="shared" si="10"/>
        <v>0</v>
      </c>
      <c r="Y9" s="89">
        <f>F9+X9</f>
        <v>0</v>
      </c>
      <c r="Z9" s="90">
        <f>C9-Y9</f>
        <v>0</v>
      </c>
    </row>
    <row r="10" spans="1:26" ht="13.5">
      <c r="A10" s="88" t="s">
        <v>61</v>
      </c>
      <c r="B10" s="110" t="s">
        <v>62</v>
      </c>
      <c r="C10" s="83">
        <f>'2.1meta'!D42</f>
        <v>0</v>
      </c>
      <c r="D10" s="83">
        <f>'2.1meta'!E42</f>
        <v>0</v>
      </c>
      <c r="E10" s="83">
        <f>'2.1meta'!F42</f>
        <v>0</v>
      </c>
      <c r="F10" s="84">
        <v>0</v>
      </c>
      <c r="G10" s="106">
        <f>C10-F10</f>
        <v>0</v>
      </c>
      <c r="H10" s="83">
        <f>'2.1meta'!I42</f>
        <v>0</v>
      </c>
      <c r="I10" s="83">
        <f>'2.1meta'!J42</f>
        <v>0</v>
      </c>
      <c r="J10" s="83">
        <f>'2.1meta'!K42</f>
        <v>0</v>
      </c>
      <c r="K10" s="83">
        <f>'2.1meta'!L42</f>
        <v>0</v>
      </c>
      <c r="L10" s="83">
        <f>'2.1meta'!M42</f>
        <v>0</v>
      </c>
      <c r="M10" s="83">
        <f>'2.1meta'!N42</f>
        <v>0</v>
      </c>
      <c r="N10" s="83">
        <f>'2.1meta'!O42</f>
        <v>0</v>
      </c>
      <c r="O10" s="83">
        <f>'2.1meta'!P42</f>
        <v>0</v>
      </c>
      <c r="P10" s="83">
        <f>'2.1meta'!Q42</f>
        <v>0</v>
      </c>
      <c r="Q10" s="83">
        <f>'2.1meta'!R42</f>
        <v>0</v>
      </c>
      <c r="R10" s="83">
        <f>'2.1meta'!S42</f>
        <v>0</v>
      </c>
      <c r="S10" s="83">
        <f>'2.1meta'!T42</f>
        <v>0</v>
      </c>
      <c r="T10" s="83">
        <f>'2.1meta'!U42</f>
        <v>0</v>
      </c>
      <c r="U10" s="83">
        <f>'2.1meta'!V42</f>
        <v>0</v>
      </c>
      <c r="V10" s="83">
        <f>'2.1meta'!W42</f>
        <v>0</v>
      </c>
      <c r="W10" s="83">
        <f>'2.1meta'!X42</f>
        <v>0</v>
      </c>
      <c r="X10" s="85">
        <f t="shared" ref="X10:X11" si="11">SUM(H10:W10)</f>
        <v>0</v>
      </c>
      <c r="Y10" s="89">
        <f t="shared" ref="Y10:Y11" si="12">F10+X10</f>
        <v>0</v>
      </c>
      <c r="Z10" s="90">
        <f>C10-Y10</f>
        <v>0</v>
      </c>
    </row>
    <row r="11" spans="1:26">
      <c r="A11" s="88" t="s">
        <v>35</v>
      </c>
      <c r="B11" s="109" t="s">
        <v>36</v>
      </c>
      <c r="C11" s="83">
        <f>'2.1meta'!D11+'2.1meta'!D27+'2.1meta'!D80+'2.1meta'!D94+'2.1meta'!D105+'2.1meta'!D115+'2.1meta'!D122+'2.1meta'!D146</f>
        <v>0</v>
      </c>
      <c r="D11" s="83">
        <f>'2.1meta'!E11+'2.1meta'!E27+'2.1meta'!E80+'2.1meta'!E94+'2.1meta'!E105+'2.1meta'!E115+'2.1meta'!E122+'2.1meta'!E146</f>
        <v>0</v>
      </c>
      <c r="E11" s="83">
        <f>'2.1meta'!F11+'2.1meta'!F27+'2.1meta'!F80+'2.1meta'!F94+'2.1meta'!F105+'2.1meta'!F115+'2.1meta'!F122+'2.1meta'!F146</f>
        <v>0</v>
      </c>
      <c r="F11" s="84">
        <v>0</v>
      </c>
      <c r="G11" s="106">
        <f>C11-F11</f>
        <v>0</v>
      </c>
      <c r="H11" s="83">
        <f>'2.1meta'!I11+'2.1meta'!I27+'2.1meta'!I80+'2.1meta'!I94+'2.1meta'!I105+'2.1meta'!I115+'2.1meta'!I122+'2.1meta'!I146</f>
        <v>0</v>
      </c>
      <c r="I11" s="83">
        <f>'2.1meta'!J11+'2.1meta'!J27+'2.1meta'!J80+'2.1meta'!J94+'2.1meta'!J105+'2.1meta'!J115+'2.1meta'!J122+'2.1meta'!J146</f>
        <v>0</v>
      </c>
      <c r="J11" s="83">
        <f>'2.1meta'!K11+'2.1meta'!K27+'2.1meta'!K80+'2.1meta'!K94+'2.1meta'!K105+'2.1meta'!K115+'2.1meta'!K122+'2.1meta'!K146</f>
        <v>0</v>
      </c>
      <c r="K11" s="83">
        <f>'2.1meta'!L11+'2.1meta'!L27+'2.1meta'!L80+'2.1meta'!L94+'2.1meta'!L105+'2.1meta'!L115+'2.1meta'!L122+'2.1meta'!L146</f>
        <v>0</v>
      </c>
      <c r="L11" s="83">
        <f>'2.1meta'!M11+'2.1meta'!M27+'2.1meta'!M80+'2.1meta'!M94+'2.1meta'!M105+'2.1meta'!M115+'2.1meta'!M122+'2.1meta'!M146</f>
        <v>0</v>
      </c>
      <c r="M11" s="83">
        <f>'2.1meta'!N11+'2.1meta'!N27+'2.1meta'!N80+'2.1meta'!N94+'2.1meta'!N105+'2.1meta'!N115+'2.1meta'!N122+'2.1meta'!N146</f>
        <v>0</v>
      </c>
      <c r="N11" s="83">
        <f>'2.1meta'!O11+'2.1meta'!O27+'2.1meta'!O80+'2.1meta'!O94+'2.1meta'!O105+'2.1meta'!O115+'2.1meta'!O122+'2.1meta'!O146</f>
        <v>0</v>
      </c>
      <c r="O11" s="83">
        <f>'2.1meta'!P11+'2.1meta'!P27+'2.1meta'!P80+'2.1meta'!P94+'2.1meta'!P105+'2.1meta'!P115+'2.1meta'!P122+'2.1meta'!P146</f>
        <v>0</v>
      </c>
      <c r="P11" s="83">
        <f>'2.1meta'!Q11+'2.1meta'!Q27+'2.1meta'!Q80+'2.1meta'!Q94+'2.1meta'!Q105+'2.1meta'!Q115+'2.1meta'!Q122+'2.1meta'!Q146</f>
        <v>0</v>
      </c>
      <c r="Q11" s="83">
        <f>'2.1meta'!R11+'2.1meta'!R27+'2.1meta'!R80+'2.1meta'!R94+'2.1meta'!R105+'2.1meta'!R115+'2.1meta'!R122+'2.1meta'!R146</f>
        <v>0</v>
      </c>
      <c r="R11" s="83">
        <f>'2.1meta'!S11+'2.1meta'!S27+'2.1meta'!S80+'2.1meta'!S94+'2.1meta'!S105+'2.1meta'!S115+'2.1meta'!S122+'2.1meta'!S146</f>
        <v>0</v>
      </c>
      <c r="S11" s="83">
        <f>'2.1meta'!T11+'2.1meta'!T27+'2.1meta'!T80+'2.1meta'!T94+'2.1meta'!T105+'2.1meta'!T115+'2.1meta'!T122+'2.1meta'!T146</f>
        <v>0</v>
      </c>
      <c r="T11" s="83">
        <f>'2.1meta'!U11+'2.1meta'!U27+'2.1meta'!U80+'2.1meta'!U94+'2.1meta'!U105+'2.1meta'!U115+'2.1meta'!U122+'2.1meta'!U146</f>
        <v>0</v>
      </c>
      <c r="U11" s="83">
        <f>'2.1meta'!V11+'2.1meta'!V27+'2.1meta'!V80+'2.1meta'!V94+'2.1meta'!V105+'2.1meta'!V115+'2.1meta'!V122+'2.1meta'!V146</f>
        <v>0</v>
      </c>
      <c r="V11" s="83">
        <f>'2.1meta'!W11+'2.1meta'!W27+'2.1meta'!W80+'2.1meta'!W94+'2.1meta'!W105+'2.1meta'!W115+'2.1meta'!W122+'2.1meta'!W146</f>
        <v>0</v>
      </c>
      <c r="W11" s="83">
        <f>'2.1meta'!X11+'2.1meta'!X27+'2.1meta'!X80+'2.1meta'!X94+'2.1meta'!X105+'2.1meta'!X115+'2.1meta'!X122+'2.1meta'!X146</f>
        <v>0</v>
      </c>
      <c r="X11" s="85">
        <f t="shared" si="11"/>
        <v>0</v>
      </c>
      <c r="Y11" s="89">
        <f t="shared" si="12"/>
        <v>0</v>
      </c>
      <c r="Z11" s="90">
        <f>C11-Y11</f>
        <v>0</v>
      </c>
    </row>
    <row r="12" spans="1:26">
      <c r="A12" s="88" t="s">
        <v>37</v>
      </c>
      <c r="B12" s="109" t="s">
        <v>38</v>
      </c>
      <c r="C12" s="83">
        <f>'2.1meta'!D12+'2.1meta'!D28+'2.1meta'!D81+'2.1meta'!D95+'2.1meta'!D106+'2.1meta'!D116+'2.1meta'!D123+'2.1meta'!D147</f>
        <v>0</v>
      </c>
      <c r="D12" s="83">
        <f>'2.1meta'!E12+'2.1meta'!E28+'2.1meta'!E81+'2.1meta'!E95+'2.1meta'!E106+'2.1meta'!E116+'2.1meta'!E123+'2.1meta'!E147</f>
        <v>0</v>
      </c>
      <c r="E12" s="83">
        <f>'2.1meta'!F12+'2.1meta'!F28+'2.1meta'!F81+'2.1meta'!F95+'2.1meta'!F106+'2.1meta'!F116+'2.1meta'!F123+'2.1meta'!F147</f>
        <v>0</v>
      </c>
      <c r="F12" s="84">
        <v>0</v>
      </c>
      <c r="G12" s="106">
        <f>C12-F12</f>
        <v>0</v>
      </c>
      <c r="H12" s="83">
        <f>'2.1meta'!I12+'2.1meta'!I28+'2.1meta'!I81+'2.1meta'!I95+'2.1meta'!I106+'2.1meta'!I116+'2.1meta'!I123+'2.1meta'!I147</f>
        <v>0</v>
      </c>
      <c r="I12" s="83">
        <f>'2.1meta'!J12+'2.1meta'!J28+'2.1meta'!J81+'2.1meta'!J95+'2.1meta'!J106+'2.1meta'!J116+'2.1meta'!J123+'2.1meta'!J147</f>
        <v>0</v>
      </c>
      <c r="J12" s="83">
        <f>'2.1meta'!K12+'2.1meta'!K28+'2.1meta'!K81+'2.1meta'!K95+'2.1meta'!K106+'2.1meta'!K116+'2.1meta'!K123+'2.1meta'!K147</f>
        <v>0</v>
      </c>
      <c r="K12" s="83">
        <f>'2.1meta'!L12+'2.1meta'!L28+'2.1meta'!L81+'2.1meta'!L95+'2.1meta'!L106+'2.1meta'!L116+'2.1meta'!L123+'2.1meta'!L147</f>
        <v>0</v>
      </c>
      <c r="L12" s="83">
        <f>'2.1meta'!M12+'2.1meta'!M28+'2.1meta'!M81+'2.1meta'!M95+'2.1meta'!M106+'2.1meta'!M116+'2.1meta'!M123+'2.1meta'!M147</f>
        <v>0</v>
      </c>
      <c r="M12" s="83">
        <f>'2.1meta'!N12+'2.1meta'!N28+'2.1meta'!N81+'2.1meta'!N95+'2.1meta'!N106+'2.1meta'!N116+'2.1meta'!N123+'2.1meta'!N147</f>
        <v>0</v>
      </c>
      <c r="N12" s="83">
        <f>'2.1meta'!O12+'2.1meta'!O28+'2.1meta'!O81+'2.1meta'!O95+'2.1meta'!O106+'2.1meta'!O116+'2.1meta'!O123+'2.1meta'!O147</f>
        <v>0</v>
      </c>
      <c r="O12" s="83">
        <f>'2.1meta'!P12+'2.1meta'!P28+'2.1meta'!P81+'2.1meta'!P95+'2.1meta'!P106+'2.1meta'!P116+'2.1meta'!P123+'2.1meta'!P147</f>
        <v>0</v>
      </c>
      <c r="P12" s="83">
        <f>'2.1meta'!Q12+'2.1meta'!Q28+'2.1meta'!Q81+'2.1meta'!Q95+'2.1meta'!Q106+'2.1meta'!Q116+'2.1meta'!Q123+'2.1meta'!Q147</f>
        <v>0</v>
      </c>
      <c r="Q12" s="83">
        <f>'2.1meta'!R12+'2.1meta'!R28+'2.1meta'!R81+'2.1meta'!R95+'2.1meta'!R106+'2.1meta'!R116+'2.1meta'!R123+'2.1meta'!R147</f>
        <v>0</v>
      </c>
      <c r="R12" s="83">
        <f>'2.1meta'!S12+'2.1meta'!S28+'2.1meta'!S81+'2.1meta'!S95+'2.1meta'!S106+'2.1meta'!S116+'2.1meta'!S123+'2.1meta'!S147</f>
        <v>0</v>
      </c>
      <c r="S12" s="83">
        <f>'2.1meta'!T12+'2.1meta'!T28+'2.1meta'!T81+'2.1meta'!T95+'2.1meta'!T106+'2.1meta'!T116+'2.1meta'!T123+'2.1meta'!T147</f>
        <v>0</v>
      </c>
      <c r="T12" s="83">
        <f>'2.1meta'!U12+'2.1meta'!U28+'2.1meta'!U81+'2.1meta'!U95+'2.1meta'!U106+'2.1meta'!U116+'2.1meta'!U123+'2.1meta'!U147</f>
        <v>0</v>
      </c>
      <c r="U12" s="83">
        <f>'2.1meta'!V12+'2.1meta'!V28+'2.1meta'!V81+'2.1meta'!V95+'2.1meta'!V106+'2.1meta'!V116+'2.1meta'!V123+'2.1meta'!V147</f>
        <v>0</v>
      </c>
      <c r="V12" s="83">
        <f>'2.1meta'!W12+'2.1meta'!W28+'2.1meta'!W81+'2.1meta'!W95+'2.1meta'!W106+'2.1meta'!W116+'2.1meta'!W123+'2.1meta'!W147</f>
        <v>0</v>
      </c>
      <c r="W12" s="83">
        <f>'2.1meta'!X12+'2.1meta'!X28+'2.1meta'!X81+'2.1meta'!X95+'2.1meta'!X106+'2.1meta'!X116+'2.1meta'!X123+'2.1meta'!X147</f>
        <v>0</v>
      </c>
      <c r="X12" s="85">
        <f t="shared" si="10"/>
        <v>0</v>
      </c>
      <c r="Y12" s="89">
        <f t="shared" ref="Y12:Y22" si="13">F12+X12</f>
        <v>0</v>
      </c>
      <c r="Z12" s="90">
        <f>C12-Y12</f>
        <v>0</v>
      </c>
    </row>
    <row r="13" spans="1:26">
      <c r="A13" s="88" t="s">
        <v>39</v>
      </c>
      <c r="B13" s="109" t="s">
        <v>40</v>
      </c>
      <c r="C13" s="83">
        <f>'2.1meta'!D13+'2.1meta'!D29+'2.1meta'!D82+'2.1meta'!D96+'2.1meta'!D107+'2.1meta'!D117+'2.1meta'!D124+'2.1meta'!D148</f>
        <v>0</v>
      </c>
      <c r="D13" s="83">
        <f>'2.1meta'!E13+'2.1meta'!E29+'2.1meta'!E82+'2.1meta'!E96+'2.1meta'!E107+'2.1meta'!E117+'2.1meta'!E124+'2.1meta'!E148</f>
        <v>0</v>
      </c>
      <c r="E13" s="83">
        <f>'2.1meta'!F13+'2.1meta'!F29+'2.1meta'!F82+'2.1meta'!F96+'2.1meta'!F107+'2.1meta'!F117+'2.1meta'!F124+'2.1meta'!F148</f>
        <v>0</v>
      </c>
      <c r="F13" s="84">
        <v>0</v>
      </c>
      <c r="G13" s="106">
        <f>C13-F13</f>
        <v>0</v>
      </c>
      <c r="H13" s="83">
        <f>'2.1meta'!I13+'2.1meta'!I29+'2.1meta'!I82+'2.1meta'!I96+'2.1meta'!I107+'2.1meta'!I117+'2.1meta'!I124+'2.1meta'!I148</f>
        <v>0</v>
      </c>
      <c r="I13" s="83">
        <f>'2.1meta'!J13+'2.1meta'!J29+'2.1meta'!J82+'2.1meta'!J96+'2.1meta'!J107+'2.1meta'!J117+'2.1meta'!J124+'2.1meta'!J148</f>
        <v>0</v>
      </c>
      <c r="J13" s="83">
        <f>'2.1meta'!K13+'2.1meta'!K29+'2.1meta'!K82+'2.1meta'!K96+'2.1meta'!K107+'2.1meta'!K117+'2.1meta'!K124+'2.1meta'!K148</f>
        <v>0</v>
      </c>
      <c r="K13" s="83">
        <f>'2.1meta'!L13+'2.1meta'!L29+'2.1meta'!L82+'2.1meta'!L96+'2.1meta'!L107+'2.1meta'!L117+'2.1meta'!L124+'2.1meta'!L148</f>
        <v>0</v>
      </c>
      <c r="L13" s="83">
        <f>'2.1meta'!M13+'2.1meta'!M29+'2.1meta'!M82+'2.1meta'!M96+'2.1meta'!M107+'2.1meta'!M117+'2.1meta'!M124+'2.1meta'!M148</f>
        <v>0</v>
      </c>
      <c r="M13" s="83">
        <f>'2.1meta'!N13+'2.1meta'!N29+'2.1meta'!N82+'2.1meta'!N96+'2.1meta'!N107+'2.1meta'!N117+'2.1meta'!N124+'2.1meta'!N148</f>
        <v>0</v>
      </c>
      <c r="N13" s="83">
        <f>'2.1meta'!O13+'2.1meta'!O29+'2.1meta'!O82+'2.1meta'!O96+'2.1meta'!O107+'2.1meta'!O117+'2.1meta'!O124+'2.1meta'!O148</f>
        <v>0</v>
      </c>
      <c r="O13" s="83">
        <f>'2.1meta'!P13+'2.1meta'!P29+'2.1meta'!P82+'2.1meta'!P96+'2.1meta'!P107+'2.1meta'!P117+'2.1meta'!P124+'2.1meta'!P148</f>
        <v>0</v>
      </c>
      <c r="P13" s="83">
        <f>'2.1meta'!Q13+'2.1meta'!Q29+'2.1meta'!Q82+'2.1meta'!Q96+'2.1meta'!Q107+'2.1meta'!Q117+'2.1meta'!Q124+'2.1meta'!Q148</f>
        <v>0</v>
      </c>
      <c r="Q13" s="83">
        <f>'2.1meta'!R13+'2.1meta'!R29+'2.1meta'!R82+'2.1meta'!R96+'2.1meta'!R107+'2.1meta'!R117+'2.1meta'!R124+'2.1meta'!R148</f>
        <v>0</v>
      </c>
      <c r="R13" s="83">
        <f>'2.1meta'!S13+'2.1meta'!S29+'2.1meta'!S82+'2.1meta'!S96+'2.1meta'!S107+'2.1meta'!S117+'2.1meta'!S124+'2.1meta'!S148</f>
        <v>0</v>
      </c>
      <c r="S13" s="83">
        <f>'2.1meta'!T13+'2.1meta'!T29+'2.1meta'!T82+'2.1meta'!T96+'2.1meta'!T107+'2.1meta'!T117+'2.1meta'!T124+'2.1meta'!T148</f>
        <v>0</v>
      </c>
      <c r="T13" s="83">
        <f>'2.1meta'!U13+'2.1meta'!U29+'2.1meta'!U82+'2.1meta'!U96+'2.1meta'!U107+'2.1meta'!U117+'2.1meta'!U124+'2.1meta'!U148</f>
        <v>0</v>
      </c>
      <c r="U13" s="83">
        <f>'2.1meta'!V13+'2.1meta'!V29+'2.1meta'!V82+'2.1meta'!V96+'2.1meta'!V107+'2.1meta'!V117+'2.1meta'!V124+'2.1meta'!V148</f>
        <v>0</v>
      </c>
      <c r="V13" s="83">
        <f>'2.1meta'!W13+'2.1meta'!W29+'2.1meta'!W82+'2.1meta'!W96+'2.1meta'!W107+'2.1meta'!W117+'2.1meta'!W124+'2.1meta'!W148</f>
        <v>0</v>
      </c>
      <c r="W13" s="83">
        <f>'2.1meta'!X13+'2.1meta'!X29+'2.1meta'!X82+'2.1meta'!X96+'2.1meta'!X107+'2.1meta'!X117+'2.1meta'!X124+'2.1meta'!X148</f>
        <v>0</v>
      </c>
      <c r="X13" s="85">
        <f t="shared" si="10"/>
        <v>0</v>
      </c>
      <c r="Y13" s="89">
        <f t="shared" si="13"/>
        <v>0</v>
      </c>
      <c r="Z13" s="90">
        <f>C13-Y13</f>
        <v>0</v>
      </c>
    </row>
    <row r="14" spans="1:26">
      <c r="A14" s="88" t="s">
        <v>41</v>
      </c>
      <c r="B14" s="109" t="s">
        <v>42</v>
      </c>
      <c r="C14" s="83">
        <f>'2.1meta'!D14+'2.1meta'!D30+'2.1meta'!D43+'2.1meta'!D83+'2.1meta'!D97+'2.1meta'!D108+'2.1meta'!D149</f>
        <v>0</v>
      </c>
      <c r="D14" s="83">
        <f>'2.1meta'!E14+'2.1meta'!E30+'2.1meta'!E43+'2.1meta'!E83+'2.1meta'!E97+'2.1meta'!E108+'2.1meta'!E149</f>
        <v>0</v>
      </c>
      <c r="E14" s="83">
        <f>'2.1meta'!F14+'2.1meta'!F30+'2.1meta'!F43+'2.1meta'!F83+'2.1meta'!F97+'2.1meta'!F108+'2.1meta'!F149</f>
        <v>0</v>
      </c>
      <c r="F14" s="84">
        <v>0</v>
      </c>
      <c r="G14" s="106">
        <f>C14-F14</f>
        <v>0</v>
      </c>
      <c r="H14" s="83">
        <f>'2.1meta'!I14+'2.1meta'!I30+'2.1meta'!I43+'2.1meta'!I83+'2.1meta'!I97+'2.1meta'!I108+'2.1meta'!I149</f>
        <v>0</v>
      </c>
      <c r="I14" s="83">
        <f>'2.1meta'!J14+'2.1meta'!J30+'2.1meta'!J43+'2.1meta'!J83+'2.1meta'!J97+'2.1meta'!J108+'2.1meta'!J149</f>
        <v>0</v>
      </c>
      <c r="J14" s="83">
        <f>'2.1meta'!K14+'2.1meta'!K30+'2.1meta'!K43+'2.1meta'!K83+'2.1meta'!K97+'2.1meta'!K108+'2.1meta'!K149</f>
        <v>0</v>
      </c>
      <c r="K14" s="83">
        <f>'2.1meta'!L14+'2.1meta'!L30+'2.1meta'!L43+'2.1meta'!L83+'2.1meta'!L97+'2.1meta'!L108+'2.1meta'!L149</f>
        <v>0</v>
      </c>
      <c r="L14" s="83">
        <f>'2.1meta'!M14+'2.1meta'!M30+'2.1meta'!M43+'2.1meta'!M83+'2.1meta'!M97+'2.1meta'!M108+'2.1meta'!M149</f>
        <v>0</v>
      </c>
      <c r="M14" s="83">
        <f>'2.1meta'!N14+'2.1meta'!N30+'2.1meta'!N43+'2.1meta'!N83+'2.1meta'!N97+'2.1meta'!N108+'2.1meta'!N149</f>
        <v>0</v>
      </c>
      <c r="N14" s="83">
        <f>'2.1meta'!O14+'2.1meta'!O30+'2.1meta'!O43+'2.1meta'!O83+'2.1meta'!O97+'2.1meta'!O108+'2.1meta'!O149</f>
        <v>0</v>
      </c>
      <c r="O14" s="83">
        <f>'2.1meta'!P14+'2.1meta'!P30+'2.1meta'!P43+'2.1meta'!P83+'2.1meta'!P97+'2.1meta'!P108+'2.1meta'!P149</f>
        <v>0</v>
      </c>
      <c r="P14" s="83">
        <f>'2.1meta'!Q14+'2.1meta'!Q30+'2.1meta'!Q43+'2.1meta'!Q83+'2.1meta'!Q97+'2.1meta'!Q108+'2.1meta'!Q149</f>
        <v>0</v>
      </c>
      <c r="Q14" s="83">
        <f>'2.1meta'!R14+'2.1meta'!R30+'2.1meta'!R43+'2.1meta'!R83+'2.1meta'!R97+'2.1meta'!R108+'2.1meta'!R149</f>
        <v>0</v>
      </c>
      <c r="R14" s="83">
        <f>'2.1meta'!S14+'2.1meta'!S30+'2.1meta'!S43+'2.1meta'!S83+'2.1meta'!S97+'2.1meta'!S108+'2.1meta'!S149</f>
        <v>0</v>
      </c>
      <c r="S14" s="83">
        <f>'2.1meta'!T14+'2.1meta'!T30+'2.1meta'!T43+'2.1meta'!T83+'2.1meta'!T97+'2.1meta'!T108+'2.1meta'!T149</f>
        <v>0</v>
      </c>
      <c r="T14" s="83">
        <f>'2.1meta'!U14+'2.1meta'!U30+'2.1meta'!U43+'2.1meta'!U83+'2.1meta'!U97+'2.1meta'!U108+'2.1meta'!U149</f>
        <v>0</v>
      </c>
      <c r="U14" s="83">
        <f>'2.1meta'!V14+'2.1meta'!V30+'2.1meta'!V43+'2.1meta'!V83+'2.1meta'!V97+'2.1meta'!V108+'2.1meta'!V149</f>
        <v>0</v>
      </c>
      <c r="V14" s="83">
        <f>'2.1meta'!W14+'2.1meta'!W30+'2.1meta'!W43+'2.1meta'!W83+'2.1meta'!W97+'2.1meta'!W108+'2.1meta'!W149</f>
        <v>0</v>
      </c>
      <c r="W14" s="83">
        <f>'2.1meta'!X14+'2.1meta'!X30+'2.1meta'!X43+'2.1meta'!X83+'2.1meta'!X97+'2.1meta'!X108+'2.1meta'!X149</f>
        <v>0</v>
      </c>
      <c r="X14" s="85">
        <f t="shared" si="10"/>
        <v>0</v>
      </c>
      <c r="Y14" s="89">
        <f t="shared" si="13"/>
        <v>0</v>
      </c>
      <c r="Z14" s="90">
        <f>C14-Y14</f>
        <v>0</v>
      </c>
    </row>
    <row r="15" spans="1:26">
      <c r="A15" s="88" t="s">
        <v>43</v>
      </c>
      <c r="B15" s="109" t="s">
        <v>44</v>
      </c>
      <c r="C15" s="83">
        <f>'2.1meta'!D15+'2.1meta'!D31+'2.1meta'!D84+'2.1meta'!D98+'2.1meta'!D109+'2.1meta'!D118+'2.1meta'!D125+'2.1meta'!D150</f>
        <v>0</v>
      </c>
      <c r="D15" s="83">
        <f>'2.1meta'!E15+'2.1meta'!E31+'2.1meta'!E84+'2.1meta'!E98+'2.1meta'!E109+'2.1meta'!E118+'2.1meta'!E125+'2.1meta'!E150</f>
        <v>0</v>
      </c>
      <c r="E15" s="83">
        <f>'2.1meta'!F15+'2.1meta'!F31+'2.1meta'!F84+'2.1meta'!F98+'2.1meta'!F109+'2.1meta'!F118+'2.1meta'!F125+'2.1meta'!F150</f>
        <v>0</v>
      </c>
      <c r="F15" s="84">
        <v>0</v>
      </c>
      <c r="G15" s="106">
        <f>C15-F15</f>
        <v>0</v>
      </c>
      <c r="H15" s="83">
        <f>'2.1meta'!I15+'2.1meta'!I31+'2.1meta'!I84+'2.1meta'!I98+'2.1meta'!I109+'2.1meta'!I118+'2.1meta'!I125+'2.1meta'!I150</f>
        <v>0</v>
      </c>
      <c r="I15" s="83">
        <f>'2.1meta'!J15+'2.1meta'!J31+'2.1meta'!J84+'2.1meta'!J98+'2.1meta'!J109+'2.1meta'!J118+'2.1meta'!J125+'2.1meta'!J150</f>
        <v>0</v>
      </c>
      <c r="J15" s="83">
        <f>'2.1meta'!K15+'2.1meta'!K31+'2.1meta'!K84+'2.1meta'!K98+'2.1meta'!K109+'2.1meta'!K118+'2.1meta'!K125+'2.1meta'!K150</f>
        <v>0</v>
      </c>
      <c r="K15" s="83">
        <f>'2.1meta'!L15+'2.1meta'!L31+'2.1meta'!L84+'2.1meta'!L98+'2.1meta'!L109+'2.1meta'!L118+'2.1meta'!L125+'2.1meta'!L150</f>
        <v>0</v>
      </c>
      <c r="L15" s="83">
        <f>'2.1meta'!M15+'2.1meta'!M31+'2.1meta'!M84+'2.1meta'!M98+'2.1meta'!M109+'2.1meta'!M118+'2.1meta'!M125+'2.1meta'!M150</f>
        <v>0</v>
      </c>
      <c r="M15" s="83">
        <f>'2.1meta'!N15+'2.1meta'!N31+'2.1meta'!N84+'2.1meta'!N98+'2.1meta'!N109+'2.1meta'!N118+'2.1meta'!N125+'2.1meta'!N150</f>
        <v>0</v>
      </c>
      <c r="N15" s="83">
        <f>'2.1meta'!O15+'2.1meta'!O31+'2.1meta'!O84+'2.1meta'!O98+'2.1meta'!O109+'2.1meta'!O118+'2.1meta'!O125+'2.1meta'!O150</f>
        <v>0</v>
      </c>
      <c r="O15" s="83">
        <f>'2.1meta'!P15+'2.1meta'!P31+'2.1meta'!P84+'2.1meta'!P98+'2.1meta'!P109+'2.1meta'!P118+'2.1meta'!P125+'2.1meta'!P150</f>
        <v>0</v>
      </c>
      <c r="P15" s="83">
        <f>'2.1meta'!Q15+'2.1meta'!Q31+'2.1meta'!Q84+'2.1meta'!Q98+'2.1meta'!Q109+'2.1meta'!Q118+'2.1meta'!Q125+'2.1meta'!Q150</f>
        <v>0</v>
      </c>
      <c r="Q15" s="83">
        <f>'2.1meta'!R15+'2.1meta'!R31+'2.1meta'!R84+'2.1meta'!R98+'2.1meta'!R109+'2.1meta'!R118+'2.1meta'!R125+'2.1meta'!R150</f>
        <v>0</v>
      </c>
      <c r="R15" s="83">
        <f>'2.1meta'!S15+'2.1meta'!S31+'2.1meta'!S84+'2.1meta'!S98+'2.1meta'!S109+'2.1meta'!S118+'2.1meta'!S125+'2.1meta'!S150</f>
        <v>0</v>
      </c>
      <c r="S15" s="83">
        <f>'2.1meta'!T15+'2.1meta'!T31+'2.1meta'!T84+'2.1meta'!T98+'2.1meta'!T109+'2.1meta'!T118+'2.1meta'!T125+'2.1meta'!T150</f>
        <v>0</v>
      </c>
      <c r="T15" s="83">
        <f>'2.1meta'!U15+'2.1meta'!U31+'2.1meta'!U84+'2.1meta'!U98+'2.1meta'!U109+'2.1meta'!U118+'2.1meta'!U125+'2.1meta'!U150</f>
        <v>0</v>
      </c>
      <c r="U15" s="83">
        <f>'2.1meta'!V15+'2.1meta'!V31+'2.1meta'!V84+'2.1meta'!V98+'2.1meta'!V109+'2.1meta'!V118+'2.1meta'!V125+'2.1meta'!V150</f>
        <v>0</v>
      </c>
      <c r="V15" s="83">
        <f>'2.1meta'!W15+'2.1meta'!W31+'2.1meta'!W84+'2.1meta'!W98+'2.1meta'!W109+'2.1meta'!W118+'2.1meta'!W125+'2.1meta'!W150</f>
        <v>0</v>
      </c>
      <c r="W15" s="83">
        <f>'2.1meta'!X15+'2.1meta'!X31+'2.1meta'!X84+'2.1meta'!X98+'2.1meta'!X109+'2.1meta'!X118+'2.1meta'!X125+'2.1meta'!X150</f>
        <v>0</v>
      </c>
      <c r="X15" s="85">
        <f t="shared" si="10"/>
        <v>0</v>
      </c>
      <c r="Y15" s="89">
        <f t="shared" si="13"/>
        <v>0</v>
      </c>
      <c r="Z15" s="90">
        <f>C15-Y15</f>
        <v>0</v>
      </c>
    </row>
    <row r="16" spans="1:26">
      <c r="A16" s="88" t="s">
        <v>45</v>
      </c>
      <c r="B16" s="109" t="s">
        <v>46</v>
      </c>
      <c r="C16" s="83">
        <f>'2.1meta'!D16+'2.1meta'!D32+'2.1meta'!D44+'2.1meta'!D85+'2.1meta'!D99+'2.1meta'!D110+'2.1meta'!D119+'2.1meta'!D126+'2.1meta'!D151</f>
        <v>0</v>
      </c>
      <c r="D16" s="83">
        <f>'2.1meta'!E16+'2.1meta'!E32+'2.1meta'!E44+'2.1meta'!E85+'2.1meta'!E99+'2.1meta'!E110+'2.1meta'!E119+'2.1meta'!E126+'2.1meta'!E151</f>
        <v>0</v>
      </c>
      <c r="E16" s="83">
        <f>'2.1meta'!F16+'2.1meta'!F32+'2.1meta'!F44+'2.1meta'!F85+'2.1meta'!F99+'2.1meta'!F110+'2.1meta'!F119+'2.1meta'!F126+'2.1meta'!F151</f>
        <v>0</v>
      </c>
      <c r="F16" s="84">
        <v>0</v>
      </c>
      <c r="G16" s="106">
        <f>C16-F16</f>
        <v>0</v>
      </c>
      <c r="H16" s="83">
        <f>'2.1meta'!I16+'2.1meta'!I32+'2.1meta'!I44+'2.1meta'!I85+'2.1meta'!I99+'2.1meta'!I110+'2.1meta'!I119+'2.1meta'!I126+'2.1meta'!I151</f>
        <v>0</v>
      </c>
      <c r="I16" s="83">
        <f>'2.1meta'!J16+'2.1meta'!J32+'2.1meta'!J44+'2.1meta'!J85+'2.1meta'!J99+'2.1meta'!J110+'2.1meta'!J119+'2.1meta'!J126+'2.1meta'!J151</f>
        <v>0</v>
      </c>
      <c r="J16" s="83">
        <f>'2.1meta'!K16+'2.1meta'!K32+'2.1meta'!K44+'2.1meta'!K85+'2.1meta'!K99+'2.1meta'!K110+'2.1meta'!K119+'2.1meta'!K126+'2.1meta'!K151</f>
        <v>0</v>
      </c>
      <c r="K16" s="83">
        <f>'2.1meta'!L16+'2.1meta'!L32+'2.1meta'!L44+'2.1meta'!L85+'2.1meta'!L99+'2.1meta'!L110+'2.1meta'!L119+'2.1meta'!L126+'2.1meta'!L151</f>
        <v>0</v>
      </c>
      <c r="L16" s="83">
        <f>'2.1meta'!M16+'2.1meta'!M32+'2.1meta'!M44+'2.1meta'!M85+'2.1meta'!M99+'2.1meta'!M110+'2.1meta'!M119+'2.1meta'!M126+'2.1meta'!M151</f>
        <v>0</v>
      </c>
      <c r="M16" s="83">
        <f>'2.1meta'!N16+'2.1meta'!N32+'2.1meta'!N44+'2.1meta'!N85+'2.1meta'!N99+'2.1meta'!N110+'2.1meta'!N119+'2.1meta'!N126+'2.1meta'!N151</f>
        <v>0</v>
      </c>
      <c r="N16" s="83">
        <f>'2.1meta'!O16+'2.1meta'!O32+'2.1meta'!O44+'2.1meta'!O85+'2.1meta'!O99+'2.1meta'!O110+'2.1meta'!O119+'2.1meta'!O126+'2.1meta'!O151</f>
        <v>0</v>
      </c>
      <c r="O16" s="83">
        <f>'2.1meta'!P16+'2.1meta'!P32+'2.1meta'!P44+'2.1meta'!P85+'2.1meta'!P99+'2.1meta'!P110+'2.1meta'!P119+'2.1meta'!P126+'2.1meta'!P151</f>
        <v>0</v>
      </c>
      <c r="P16" s="83">
        <f>'2.1meta'!Q16+'2.1meta'!Q32+'2.1meta'!Q44+'2.1meta'!Q85+'2.1meta'!Q99+'2.1meta'!Q110+'2.1meta'!Q119+'2.1meta'!Q126+'2.1meta'!Q151</f>
        <v>0</v>
      </c>
      <c r="Q16" s="83">
        <f>'2.1meta'!R16+'2.1meta'!R32+'2.1meta'!R44+'2.1meta'!R85+'2.1meta'!R99+'2.1meta'!R110+'2.1meta'!R119+'2.1meta'!R126+'2.1meta'!R151</f>
        <v>0</v>
      </c>
      <c r="R16" s="83">
        <f>'2.1meta'!S16+'2.1meta'!S32+'2.1meta'!S44+'2.1meta'!S85+'2.1meta'!S99+'2.1meta'!S110+'2.1meta'!S119+'2.1meta'!S126+'2.1meta'!S151</f>
        <v>0</v>
      </c>
      <c r="S16" s="83">
        <f>'2.1meta'!T16+'2.1meta'!T32+'2.1meta'!T44+'2.1meta'!T85+'2.1meta'!T99+'2.1meta'!T110+'2.1meta'!T119+'2.1meta'!T126+'2.1meta'!T151</f>
        <v>0</v>
      </c>
      <c r="T16" s="83">
        <f>'2.1meta'!U16+'2.1meta'!U32+'2.1meta'!U44+'2.1meta'!U85+'2.1meta'!U99+'2.1meta'!U110+'2.1meta'!U119+'2.1meta'!U126+'2.1meta'!U151</f>
        <v>0</v>
      </c>
      <c r="U16" s="83">
        <f>'2.1meta'!V16+'2.1meta'!V32+'2.1meta'!V44+'2.1meta'!V85+'2.1meta'!V99+'2.1meta'!V110+'2.1meta'!V119+'2.1meta'!V126+'2.1meta'!V151</f>
        <v>0</v>
      </c>
      <c r="V16" s="83">
        <f>'2.1meta'!W16+'2.1meta'!W32+'2.1meta'!W44+'2.1meta'!W85+'2.1meta'!W99+'2.1meta'!W110+'2.1meta'!W119+'2.1meta'!W126+'2.1meta'!W151</f>
        <v>0</v>
      </c>
      <c r="W16" s="83">
        <f>'2.1meta'!X16+'2.1meta'!X32+'2.1meta'!X44+'2.1meta'!X85+'2.1meta'!X99+'2.1meta'!X110+'2.1meta'!X119+'2.1meta'!X126+'2.1meta'!X151</f>
        <v>0</v>
      </c>
      <c r="X16" s="85">
        <f t="shared" si="10"/>
        <v>0</v>
      </c>
      <c r="Y16" s="89">
        <f t="shared" si="13"/>
        <v>0</v>
      </c>
      <c r="Z16" s="90">
        <f>C16-Y16</f>
        <v>0</v>
      </c>
    </row>
    <row r="17" spans="1:26">
      <c r="A17" s="88" t="s">
        <v>47</v>
      </c>
      <c r="B17" s="109" t="s">
        <v>48</v>
      </c>
      <c r="C17" s="83">
        <f>'2.1meta'!D17+'2.1meta'!D33+'2.1meta'!D45+'2.1meta'!D86+'2.1meta'!D100+'2.1meta'!D111+'2.1meta'!D152</f>
        <v>0</v>
      </c>
      <c r="D17" s="83">
        <f>'2.1meta'!E17+'2.1meta'!E33+'2.1meta'!E45+'2.1meta'!E86+'2.1meta'!E100+'2.1meta'!E111+'2.1meta'!E152</f>
        <v>0</v>
      </c>
      <c r="E17" s="83">
        <f>'2.1meta'!F17+'2.1meta'!F33+'2.1meta'!F45+'2.1meta'!F86+'2.1meta'!F100+'2.1meta'!F111+'2.1meta'!F152</f>
        <v>0</v>
      </c>
      <c r="F17" s="84">
        <v>0</v>
      </c>
      <c r="G17" s="106">
        <f>C17-F17</f>
        <v>0</v>
      </c>
      <c r="H17" s="83">
        <f>'2.1meta'!I17+'2.1meta'!I33+'2.1meta'!I45+'2.1meta'!I86+'2.1meta'!I100+'2.1meta'!I111+'2.1meta'!I152</f>
        <v>0</v>
      </c>
      <c r="I17" s="83">
        <f>'2.1meta'!J17+'2.1meta'!J33+'2.1meta'!J45+'2.1meta'!J86+'2.1meta'!J100+'2.1meta'!J111+'2.1meta'!J152</f>
        <v>0</v>
      </c>
      <c r="J17" s="83">
        <f>'2.1meta'!K17+'2.1meta'!K33+'2.1meta'!K45+'2.1meta'!K86+'2.1meta'!K100+'2.1meta'!K111+'2.1meta'!K152</f>
        <v>0</v>
      </c>
      <c r="K17" s="83">
        <f>'2.1meta'!L17+'2.1meta'!L33+'2.1meta'!L45+'2.1meta'!L86+'2.1meta'!L100+'2.1meta'!L111+'2.1meta'!L152</f>
        <v>0</v>
      </c>
      <c r="L17" s="83">
        <f>'2.1meta'!M17+'2.1meta'!M33+'2.1meta'!M45+'2.1meta'!M86+'2.1meta'!M100+'2.1meta'!M111+'2.1meta'!M152</f>
        <v>0</v>
      </c>
      <c r="M17" s="83">
        <f>'2.1meta'!N17+'2.1meta'!N33+'2.1meta'!N45+'2.1meta'!N86+'2.1meta'!N100+'2.1meta'!N111+'2.1meta'!N152</f>
        <v>0</v>
      </c>
      <c r="N17" s="83">
        <f>'2.1meta'!O17+'2.1meta'!O33+'2.1meta'!O45+'2.1meta'!O86+'2.1meta'!O100+'2.1meta'!O111+'2.1meta'!O152</f>
        <v>0</v>
      </c>
      <c r="O17" s="83">
        <f>'2.1meta'!P17+'2.1meta'!P33+'2.1meta'!P45+'2.1meta'!P86+'2.1meta'!P100+'2.1meta'!P111+'2.1meta'!P152</f>
        <v>0</v>
      </c>
      <c r="P17" s="83">
        <f>'2.1meta'!Q17+'2.1meta'!Q33+'2.1meta'!Q45+'2.1meta'!Q86+'2.1meta'!Q100+'2.1meta'!Q111+'2.1meta'!Q152</f>
        <v>0</v>
      </c>
      <c r="Q17" s="83">
        <f>'2.1meta'!R17+'2.1meta'!R33+'2.1meta'!R45+'2.1meta'!R86+'2.1meta'!R100+'2.1meta'!R111+'2.1meta'!R152</f>
        <v>0</v>
      </c>
      <c r="R17" s="83">
        <f>'2.1meta'!S17+'2.1meta'!S33+'2.1meta'!S45+'2.1meta'!S86+'2.1meta'!S100+'2.1meta'!S111+'2.1meta'!S152</f>
        <v>0</v>
      </c>
      <c r="S17" s="83">
        <f>'2.1meta'!T17+'2.1meta'!T33+'2.1meta'!T45+'2.1meta'!T86+'2.1meta'!T100+'2.1meta'!T111+'2.1meta'!T152</f>
        <v>0</v>
      </c>
      <c r="T17" s="83">
        <f>'2.1meta'!U17+'2.1meta'!U33+'2.1meta'!U45+'2.1meta'!U86+'2.1meta'!U100+'2.1meta'!U111+'2.1meta'!U152</f>
        <v>0</v>
      </c>
      <c r="U17" s="83">
        <f>'2.1meta'!V17+'2.1meta'!V33+'2.1meta'!V45+'2.1meta'!V86+'2.1meta'!V100+'2.1meta'!V111+'2.1meta'!V152</f>
        <v>0</v>
      </c>
      <c r="V17" s="83">
        <f>'2.1meta'!W17+'2.1meta'!W33+'2.1meta'!W45+'2.1meta'!W86+'2.1meta'!W100+'2.1meta'!W111+'2.1meta'!W152</f>
        <v>0</v>
      </c>
      <c r="W17" s="83">
        <f>'2.1meta'!X17+'2.1meta'!X33+'2.1meta'!X45+'2.1meta'!X86+'2.1meta'!X100+'2.1meta'!X111+'2.1meta'!X152</f>
        <v>0</v>
      </c>
      <c r="X17" s="85">
        <f t="shared" si="10"/>
        <v>0</v>
      </c>
      <c r="Y17" s="89">
        <f t="shared" si="13"/>
        <v>0</v>
      </c>
      <c r="Z17" s="90">
        <f>C17-Y17</f>
        <v>0</v>
      </c>
    </row>
    <row r="18" spans="1:26">
      <c r="A18" s="88" t="s">
        <v>58</v>
      </c>
      <c r="B18" s="109" t="s">
        <v>59</v>
      </c>
      <c r="C18" s="83">
        <f>'2.1meta'!D34</f>
        <v>0</v>
      </c>
      <c r="D18" s="83">
        <f>'2.1meta'!E34</f>
        <v>0</v>
      </c>
      <c r="E18" s="83">
        <f>'2.1meta'!F34</f>
        <v>0</v>
      </c>
      <c r="F18" s="84">
        <v>0</v>
      </c>
      <c r="G18" s="106">
        <f>C18-F18</f>
        <v>0</v>
      </c>
      <c r="H18" s="83">
        <f>'2.1meta'!I34</f>
        <v>0</v>
      </c>
      <c r="I18" s="83">
        <f>'2.1meta'!J34</f>
        <v>0</v>
      </c>
      <c r="J18" s="83">
        <f>'2.1meta'!K34</f>
        <v>0</v>
      </c>
      <c r="K18" s="83">
        <f>'2.1meta'!L34</f>
        <v>0</v>
      </c>
      <c r="L18" s="83">
        <f>'2.1meta'!M34</f>
        <v>0</v>
      </c>
      <c r="M18" s="83">
        <f>'2.1meta'!N34</f>
        <v>0</v>
      </c>
      <c r="N18" s="83">
        <f>'2.1meta'!O34</f>
        <v>0</v>
      </c>
      <c r="O18" s="83">
        <f>'2.1meta'!P34</f>
        <v>0</v>
      </c>
      <c r="P18" s="83">
        <f>'2.1meta'!Q34</f>
        <v>0</v>
      </c>
      <c r="Q18" s="83">
        <f>'2.1meta'!R34</f>
        <v>0</v>
      </c>
      <c r="R18" s="83">
        <f>'2.1meta'!S34</f>
        <v>0</v>
      </c>
      <c r="S18" s="83">
        <f>'2.1meta'!T34</f>
        <v>0</v>
      </c>
      <c r="T18" s="83">
        <f>'2.1meta'!U34</f>
        <v>0</v>
      </c>
      <c r="U18" s="83">
        <f>'2.1meta'!V34</f>
        <v>0</v>
      </c>
      <c r="V18" s="83">
        <f>'2.1meta'!W34</f>
        <v>0</v>
      </c>
      <c r="W18" s="83">
        <f>'2.1meta'!X34</f>
        <v>0</v>
      </c>
      <c r="X18" s="85">
        <f t="shared" si="10"/>
        <v>0</v>
      </c>
      <c r="Y18" s="89">
        <f t="shared" si="13"/>
        <v>0</v>
      </c>
      <c r="Z18" s="90">
        <f>C18-Y18</f>
        <v>0</v>
      </c>
    </row>
    <row r="19" spans="1:26">
      <c r="A19" s="88" t="s">
        <v>49</v>
      </c>
      <c r="B19" s="109" t="s">
        <v>50</v>
      </c>
      <c r="C19" s="83">
        <f>'2.1meta'!D18+'2.1meta'!D35+'2.1meta'!D46+'2.1meta'!D87+'2.1meta'!D101+'2.1meta'!D112+'2.1meta'!D153</f>
        <v>0</v>
      </c>
      <c r="D19" s="83">
        <f>'2.1meta'!E18+'2.1meta'!E35+'2.1meta'!E46+'2.1meta'!E87+'2.1meta'!E101+'2.1meta'!E112+'2.1meta'!E153</f>
        <v>0</v>
      </c>
      <c r="E19" s="83">
        <f>'2.1meta'!F18+'2.1meta'!F35+'2.1meta'!F46+'2.1meta'!F87+'2.1meta'!F101+'2.1meta'!F112+'2.1meta'!F153</f>
        <v>0</v>
      </c>
      <c r="F19" s="84">
        <v>0</v>
      </c>
      <c r="G19" s="106">
        <f>C19-F19</f>
        <v>0</v>
      </c>
      <c r="H19" s="83">
        <f>'2.1meta'!I18+'2.1meta'!I35+'2.1meta'!I46+'2.1meta'!I87+'2.1meta'!I101+'2.1meta'!I112+'2.1meta'!I153</f>
        <v>0</v>
      </c>
      <c r="I19" s="83">
        <f>'2.1meta'!J18+'2.1meta'!J35+'2.1meta'!J46+'2.1meta'!J87+'2.1meta'!J101+'2.1meta'!J112+'2.1meta'!J153</f>
        <v>0</v>
      </c>
      <c r="J19" s="83">
        <f>'2.1meta'!K18+'2.1meta'!K35+'2.1meta'!K46+'2.1meta'!K87+'2.1meta'!K101+'2.1meta'!K112+'2.1meta'!K153</f>
        <v>0</v>
      </c>
      <c r="K19" s="83">
        <f>'2.1meta'!L18+'2.1meta'!L35+'2.1meta'!L46+'2.1meta'!L87+'2.1meta'!L101+'2.1meta'!L112+'2.1meta'!L153</f>
        <v>0</v>
      </c>
      <c r="L19" s="83">
        <f>'2.1meta'!M18+'2.1meta'!M35+'2.1meta'!M46+'2.1meta'!M87+'2.1meta'!M101+'2.1meta'!M112+'2.1meta'!M153</f>
        <v>0</v>
      </c>
      <c r="M19" s="83">
        <f>'2.1meta'!N18+'2.1meta'!N35+'2.1meta'!N46+'2.1meta'!N87+'2.1meta'!N101+'2.1meta'!N112+'2.1meta'!N153</f>
        <v>0</v>
      </c>
      <c r="N19" s="83">
        <f>'2.1meta'!O18+'2.1meta'!O35+'2.1meta'!O46+'2.1meta'!O87+'2.1meta'!O101+'2.1meta'!O112+'2.1meta'!O153</f>
        <v>0</v>
      </c>
      <c r="O19" s="83">
        <f>'2.1meta'!P18+'2.1meta'!P35+'2.1meta'!P46+'2.1meta'!P87+'2.1meta'!P101+'2.1meta'!P112+'2.1meta'!P153</f>
        <v>0</v>
      </c>
      <c r="P19" s="83">
        <f>'2.1meta'!Q18+'2.1meta'!Q35+'2.1meta'!Q46+'2.1meta'!Q87+'2.1meta'!Q101+'2.1meta'!Q112+'2.1meta'!Q153</f>
        <v>0</v>
      </c>
      <c r="Q19" s="83">
        <f>'2.1meta'!R18+'2.1meta'!R35+'2.1meta'!R46+'2.1meta'!R87+'2.1meta'!R101+'2.1meta'!R112+'2.1meta'!R153</f>
        <v>0</v>
      </c>
      <c r="R19" s="83">
        <f>'2.1meta'!S18+'2.1meta'!S35+'2.1meta'!S46+'2.1meta'!S87+'2.1meta'!S101+'2.1meta'!S112+'2.1meta'!S153</f>
        <v>0</v>
      </c>
      <c r="S19" s="83">
        <f>'2.1meta'!T18+'2.1meta'!T35+'2.1meta'!T46+'2.1meta'!T87+'2.1meta'!T101+'2.1meta'!T112+'2.1meta'!T153</f>
        <v>0</v>
      </c>
      <c r="T19" s="83">
        <f>'2.1meta'!U18+'2.1meta'!U35+'2.1meta'!U46+'2.1meta'!U87+'2.1meta'!U101+'2.1meta'!U112+'2.1meta'!U153</f>
        <v>0</v>
      </c>
      <c r="U19" s="83">
        <f>'2.1meta'!V18+'2.1meta'!V35+'2.1meta'!V46+'2.1meta'!V87+'2.1meta'!V101+'2.1meta'!V112+'2.1meta'!V153</f>
        <v>0</v>
      </c>
      <c r="V19" s="83">
        <f>'2.1meta'!W18+'2.1meta'!W35+'2.1meta'!W46+'2.1meta'!W87+'2.1meta'!W101+'2.1meta'!W112+'2.1meta'!W153</f>
        <v>0</v>
      </c>
      <c r="W19" s="83">
        <f>'2.1meta'!X18+'2.1meta'!X35+'2.1meta'!X46+'2.1meta'!X87+'2.1meta'!X101+'2.1meta'!X112+'2.1meta'!X153</f>
        <v>0</v>
      </c>
      <c r="X19" s="85">
        <f t="shared" si="10"/>
        <v>0</v>
      </c>
      <c r="Y19" s="89">
        <f t="shared" si="13"/>
        <v>0</v>
      </c>
      <c r="Z19" s="90">
        <f>C19-Y19</f>
        <v>0</v>
      </c>
    </row>
    <row r="20" spans="1:26">
      <c r="A20" s="88" t="s">
        <v>51</v>
      </c>
      <c r="B20" s="109" t="s">
        <v>52</v>
      </c>
      <c r="C20" s="83">
        <f>'2.1meta'!D19+'2.1meta'!D36+'2.1meta'!D47+'2.1meta'!D88+'2.1meta'!D127+'2.1meta'!D154</f>
        <v>0</v>
      </c>
      <c r="D20" s="83">
        <f>'2.1meta'!E19+'2.1meta'!E36+'2.1meta'!E47+'2.1meta'!E88+'2.1meta'!E127+'2.1meta'!E154</f>
        <v>0</v>
      </c>
      <c r="E20" s="83">
        <f>'2.1meta'!F19+'2.1meta'!F36+'2.1meta'!F47+'2.1meta'!F88+'2.1meta'!F127+'2.1meta'!F154</f>
        <v>0</v>
      </c>
      <c r="F20" s="84">
        <v>0</v>
      </c>
      <c r="G20" s="106">
        <f>C20-F20</f>
        <v>0</v>
      </c>
      <c r="H20" s="83">
        <f>'2.1meta'!I19+'2.1meta'!I36+'2.1meta'!I47+'2.1meta'!I88+'2.1meta'!I127+'2.1meta'!I154</f>
        <v>0</v>
      </c>
      <c r="I20" s="83">
        <f>'2.1meta'!J19+'2.1meta'!J36+'2.1meta'!J47+'2.1meta'!J88+'2.1meta'!J127+'2.1meta'!J154</f>
        <v>0</v>
      </c>
      <c r="J20" s="83">
        <f>'2.1meta'!K19+'2.1meta'!K36+'2.1meta'!K47+'2.1meta'!K88+'2.1meta'!K127+'2.1meta'!K154</f>
        <v>0</v>
      </c>
      <c r="K20" s="83">
        <f>'2.1meta'!L19+'2.1meta'!L36+'2.1meta'!L47+'2.1meta'!L88+'2.1meta'!L127+'2.1meta'!L154</f>
        <v>0</v>
      </c>
      <c r="L20" s="83">
        <f>'2.1meta'!M19+'2.1meta'!M36+'2.1meta'!M47+'2.1meta'!M88+'2.1meta'!M127+'2.1meta'!M154</f>
        <v>0</v>
      </c>
      <c r="M20" s="83">
        <f>'2.1meta'!N19+'2.1meta'!N36+'2.1meta'!N47+'2.1meta'!N88+'2.1meta'!N127+'2.1meta'!N154</f>
        <v>0</v>
      </c>
      <c r="N20" s="83">
        <f>'2.1meta'!O19+'2.1meta'!O36+'2.1meta'!O47+'2.1meta'!O88+'2.1meta'!O127+'2.1meta'!O154</f>
        <v>0</v>
      </c>
      <c r="O20" s="83">
        <f>'2.1meta'!P19+'2.1meta'!P36+'2.1meta'!P47+'2.1meta'!P88+'2.1meta'!P127+'2.1meta'!P154</f>
        <v>0</v>
      </c>
      <c r="P20" s="83">
        <f>'2.1meta'!Q19+'2.1meta'!Q36+'2.1meta'!Q47+'2.1meta'!Q88+'2.1meta'!Q127+'2.1meta'!Q154</f>
        <v>0</v>
      </c>
      <c r="Q20" s="83">
        <f>'2.1meta'!R19+'2.1meta'!R36+'2.1meta'!R47+'2.1meta'!R88+'2.1meta'!R127+'2.1meta'!R154</f>
        <v>0</v>
      </c>
      <c r="R20" s="83">
        <f>'2.1meta'!S19+'2.1meta'!S36+'2.1meta'!S47+'2.1meta'!S88+'2.1meta'!S127+'2.1meta'!S154</f>
        <v>0</v>
      </c>
      <c r="S20" s="83">
        <f>'2.1meta'!T19+'2.1meta'!T36+'2.1meta'!T47+'2.1meta'!T88+'2.1meta'!T127+'2.1meta'!T154</f>
        <v>0</v>
      </c>
      <c r="T20" s="83">
        <f>'2.1meta'!U19+'2.1meta'!U36+'2.1meta'!U47+'2.1meta'!U88+'2.1meta'!U127+'2.1meta'!U154</f>
        <v>0</v>
      </c>
      <c r="U20" s="83">
        <f>'2.1meta'!V19+'2.1meta'!V36+'2.1meta'!V47+'2.1meta'!V88+'2.1meta'!V127+'2.1meta'!V154</f>
        <v>0</v>
      </c>
      <c r="V20" s="83">
        <f>'2.1meta'!W19+'2.1meta'!W36+'2.1meta'!W47+'2.1meta'!W88+'2.1meta'!W127+'2.1meta'!W154</f>
        <v>0</v>
      </c>
      <c r="W20" s="83">
        <f>'2.1meta'!X19+'2.1meta'!X36+'2.1meta'!X47+'2.1meta'!X88+'2.1meta'!X127+'2.1meta'!X154</f>
        <v>0</v>
      </c>
      <c r="X20" s="85">
        <f t="shared" si="10"/>
        <v>0</v>
      </c>
      <c r="Y20" s="89">
        <f t="shared" si="13"/>
        <v>0</v>
      </c>
      <c r="Z20" s="90">
        <f>C20-Y20</f>
        <v>0</v>
      </c>
    </row>
    <row r="21" spans="1:26">
      <c r="A21" s="88" t="s">
        <v>53</v>
      </c>
      <c r="B21" s="109" t="s">
        <v>54</v>
      </c>
      <c r="C21" s="83">
        <f>'2.1meta'!D20+'2.1meta'!D37+'2.1meta'!D89</f>
        <v>0</v>
      </c>
      <c r="D21" s="83">
        <f>'2.1meta'!E20+'2.1meta'!E37+'2.1meta'!E89</f>
        <v>0</v>
      </c>
      <c r="E21" s="83">
        <f>'2.1meta'!F20+'2.1meta'!F37+'2.1meta'!F89</f>
        <v>0</v>
      </c>
      <c r="F21" s="84">
        <v>0</v>
      </c>
      <c r="G21" s="106">
        <f>C21-F21</f>
        <v>0</v>
      </c>
      <c r="H21" s="83">
        <f>'2.1meta'!I20+'2.1meta'!I37+'2.1meta'!I89</f>
        <v>0</v>
      </c>
      <c r="I21" s="83">
        <f>'2.1meta'!J20+'2.1meta'!J37+'2.1meta'!J89</f>
        <v>0</v>
      </c>
      <c r="J21" s="83">
        <f>'2.1meta'!K20+'2.1meta'!K37+'2.1meta'!K89</f>
        <v>0</v>
      </c>
      <c r="K21" s="83">
        <f>'2.1meta'!L20+'2.1meta'!L37+'2.1meta'!L89</f>
        <v>0</v>
      </c>
      <c r="L21" s="83">
        <f>'2.1meta'!M20+'2.1meta'!M37+'2.1meta'!M89</f>
        <v>0</v>
      </c>
      <c r="M21" s="83">
        <f>'2.1meta'!N20+'2.1meta'!N37+'2.1meta'!N89</f>
        <v>0</v>
      </c>
      <c r="N21" s="83">
        <f>'2.1meta'!O20+'2.1meta'!O37+'2.1meta'!O89</f>
        <v>0</v>
      </c>
      <c r="O21" s="83">
        <f>'2.1meta'!P20+'2.1meta'!P37+'2.1meta'!P89</f>
        <v>0</v>
      </c>
      <c r="P21" s="83">
        <f>'2.1meta'!Q20+'2.1meta'!Q37+'2.1meta'!Q89</f>
        <v>0</v>
      </c>
      <c r="Q21" s="83">
        <f>'2.1meta'!R20+'2.1meta'!R37+'2.1meta'!R89</f>
        <v>0</v>
      </c>
      <c r="R21" s="83">
        <f>'2.1meta'!S20+'2.1meta'!S37+'2.1meta'!S89</f>
        <v>0</v>
      </c>
      <c r="S21" s="83">
        <f>'2.1meta'!T20+'2.1meta'!T37+'2.1meta'!T89</f>
        <v>0</v>
      </c>
      <c r="T21" s="83">
        <f>'2.1meta'!U20+'2.1meta'!U37+'2.1meta'!U89</f>
        <v>0</v>
      </c>
      <c r="U21" s="83">
        <f>'2.1meta'!V20+'2.1meta'!V37+'2.1meta'!V89</f>
        <v>0</v>
      </c>
      <c r="V21" s="83">
        <f>'2.1meta'!W20+'2.1meta'!W37+'2.1meta'!W89</f>
        <v>0</v>
      </c>
      <c r="W21" s="83">
        <f>'2.1meta'!X20+'2.1meta'!X37+'2.1meta'!X89</f>
        <v>0</v>
      </c>
      <c r="X21" s="85">
        <f t="shared" si="10"/>
        <v>0</v>
      </c>
      <c r="Y21" s="89">
        <f t="shared" si="13"/>
        <v>0</v>
      </c>
      <c r="Z21" s="90">
        <f>C21-Y21</f>
        <v>0</v>
      </c>
    </row>
    <row r="22" spans="1:26">
      <c r="A22" s="91" t="s">
        <v>55</v>
      </c>
      <c r="B22" s="111" t="s">
        <v>56</v>
      </c>
      <c r="C22" s="83">
        <f>'2.1meta'!D21+'2.1meta'!D38+'2.1meta'!D48+'2.1meta'!D90+'2.1meta'!D102+'2.1meta'!D113+'2.1meta'!D120+'2.1meta'!D128+'2.1meta'!D155</f>
        <v>0</v>
      </c>
      <c r="D22" s="83">
        <f>'2.1meta'!E21+'2.1meta'!E38+'2.1meta'!E48+'2.1meta'!E90+'2.1meta'!E102+'2.1meta'!E113+'2.1meta'!E120+'2.1meta'!E128+'2.1meta'!E155</f>
        <v>0</v>
      </c>
      <c r="E22" s="83">
        <f>'2.1meta'!F21+'2.1meta'!F38+'2.1meta'!F48+'2.1meta'!F90+'2.1meta'!F102+'2.1meta'!F113+'2.1meta'!F120+'2.1meta'!F128+'2.1meta'!F155</f>
        <v>0</v>
      </c>
      <c r="F22" s="84">
        <v>0</v>
      </c>
      <c r="G22" s="106">
        <f>C22-F22</f>
        <v>0</v>
      </c>
      <c r="H22" s="83">
        <f>'2.1meta'!I21+'2.1meta'!I38+'2.1meta'!I48+'2.1meta'!I90+'2.1meta'!I102+'2.1meta'!I113+'2.1meta'!I120+'2.1meta'!I128+'2.1meta'!I155</f>
        <v>0</v>
      </c>
      <c r="I22" s="83">
        <f>'2.1meta'!J21+'2.1meta'!J38+'2.1meta'!J48+'2.1meta'!J90+'2.1meta'!J102+'2.1meta'!J113+'2.1meta'!J120+'2.1meta'!J128+'2.1meta'!J155</f>
        <v>0</v>
      </c>
      <c r="J22" s="83">
        <f>'2.1meta'!K21+'2.1meta'!K38+'2.1meta'!K48+'2.1meta'!K90+'2.1meta'!K102+'2.1meta'!K113+'2.1meta'!K120+'2.1meta'!K128+'2.1meta'!K155</f>
        <v>0</v>
      </c>
      <c r="K22" s="83">
        <f>'2.1meta'!L21+'2.1meta'!L38+'2.1meta'!L48+'2.1meta'!L90+'2.1meta'!L102+'2.1meta'!L113+'2.1meta'!L120+'2.1meta'!L128+'2.1meta'!L155</f>
        <v>0</v>
      </c>
      <c r="L22" s="83">
        <f>'2.1meta'!M21+'2.1meta'!M38+'2.1meta'!M48+'2.1meta'!M90+'2.1meta'!M102+'2.1meta'!M113+'2.1meta'!M120+'2.1meta'!M128+'2.1meta'!M155</f>
        <v>0</v>
      </c>
      <c r="M22" s="83">
        <f>'2.1meta'!N21+'2.1meta'!N38+'2.1meta'!N48+'2.1meta'!N90+'2.1meta'!N102+'2.1meta'!N113+'2.1meta'!N120+'2.1meta'!N128+'2.1meta'!N155</f>
        <v>0</v>
      </c>
      <c r="N22" s="83">
        <f>'2.1meta'!O21+'2.1meta'!O38+'2.1meta'!O48+'2.1meta'!O90+'2.1meta'!O102+'2.1meta'!O113+'2.1meta'!O120+'2.1meta'!O128+'2.1meta'!O155</f>
        <v>0</v>
      </c>
      <c r="O22" s="83">
        <f>'2.1meta'!P21+'2.1meta'!P38+'2.1meta'!P48+'2.1meta'!P90+'2.1meta'!P102+'2.1meta'!P113+'2.1meta'!P120+'2.1meta'!P128+'2.1meta'!P155</f>
        <v>0</v>
      </c>
      <c r="P22" s="83">
        <f>'2.1meta'!Q21+'2.1meta'!Q38+'2.1meta'!Q48+'2.1meta'!Q90+'2.1meta'!Q102+'2.1meta'!Q113+'2.1meta'!Q120+'2.1meta'!Q128+'2.1meta'!Q155</f>
        <v>0</v>
      </c>
      <c r="Q22" s="83">
        <f>'2.1meta'!R21+'2.1meta'!R38+'2.1meta'!R48+'2.1meta'!R90+'2.1meta'!R102+'2.1meta'!R113+'2.1meta'!R120+'2.1meta'!R128+'2.1meta'!R155</f>
        <v>0</v>
      </c>
      <c r="R22" s="83">
        <f>'2.1meta'!S21+'2.1meta'!S38+'2.1meta'!S48+'2.1meta'!S90+'2.1meta'!S102+'2.1meta'!S113+'2.1meta'!S120+'2.1meta'!S128+'2.1meta'!S155</f>
        <v>0</v>
      </c>
      <c r="S22" s="83">
        <f>'2.1meta'!T21+'2.1meta'!T38+'2.1meta'!T48+'2.1meta'!T90+'2.1meta'!T102+'2.1meta'!T113+'2.1meta'!T120+'2.1meta'!T128+'2.1meta'!T155</f>
        <v>0</v>
      </c>
      <c r="T22" s="83">
        <f>'2.1meta'!U21+'2.1meta'!U38+'2.1meta'!U48+'2.1meta'!U90+'2.1meta'!U102+'2.1meta'!U113+'2.1meta'!U120+'2.1meta'!U128+'2.1meta'!U155</f>
        <v>0</v>
      </c>
      <c r="U22" s="83">
        <f>'2.1meta'!V21+'2.1meta'!V38+'2.1meta'!V48+'2.1meta'!V90+'2.1meta'!V102+'2.1meta'!V113+'2.1meta'!V120+'2.1meta'!V128+'2.1meta'!V155</f>
        <v>0</v>
      </c>
      <c r="V22" s="83">
        <f>'2.1meta'!W21+'2.1meta'!W38+'2.1meta'!W48+'2.1meta'!W90+'2.1meta'!W102+'2.1meta'!W113+'2.1meta'!W120+'2.1meta'!W128+'2.1meta'!W155</f>
        <v>0</v>
      </c>
      <c r="W22" s="83">
        <f>'2.1meta'!X21+'2.1meta'!X38+'2.1meta'!X48+'2.1meta'!X90+'2.1meta'!X102+'2.1meta'!X113+'2.1meta'!X120+'2.1meta'!X128+'2.1meta'!X155</f>
        <v>0</v>
      </c>
      <c r="X22" s="85">
        <f t="shared" si="10"/>
        <v>0</v>
      </c>
      <c r="Y22" s="89">
        <f t="shared" si="13"/>
        <v>0</v>
      </c>
      <c r="Z22" s="90">
        <f>C22-Y22</f>
        <v>0</v>
      </c>
    </row>
    <row r="23" spans="1:26" s="95" customFormat="1" ht="15">
      <c r="A23" s="92" t="s">
        <v>76</v>
      </c>
      <c r="B23" s="93"/>
      <c r="C23" s="80">
        <f>SUBTOTAL(9,C24:C37)</f>
        <v>0</v>
      </c>
      <c r="D23" s="80"/>
      <c r="E23" s="80"/>
      <c r="F23" s="80">
        <f t="shared" ref="F23:Z23" si="14">SUBTOTAL(9,F24:F37)</f>
        <v>0</v>
      </c>
      <c r="G23" s="64">
        <f>C23-F23</f>
        <v>0</v>
      </c>
      <c r="H23" s="80">
        <f t="shared" si="14"/>
        <v>0</v>
      </c>
      <c r="I23" s="80">
        <f t="shared" ref="I23:O23" si="15">SUBTOTAL(9,I24:I37)</f>
        <v>0</v>
      </c>
      <c r="J23" s="80">
        <f t="shared" si="15"/>
        <v>0</v>
      </c>
      <c r="K23" s="80">
        <f t="shared" si="15"/>
        <v>0</v>
      </c>
      <c r="L23" s="80">
        <f t="shared" si="15"/>
        <v>0</v>
      </c>
      <c r="M23" s="80">
        <f t="shared" si="15"/>
        <v>0</v>
      </c>
      <c r="N23" s="80">
        <f t="shared" si="15"/>
        <v>0</v>
      </c>
      <c r="O23" s="80">
        <f t="shared" si="15"/>
        <v>0</v>
      </c>
      <c r="P23" s="80">
        <f t="shared" ref="P23:Q23" si="16">SUBTOTAL(9,P24:P37)</f>
        <v>0</v>
      </c>
      <c r="Q23" s="80">
        <f t="shared" si="16"/>
        <v>0</v>
      </c>
      <c r="R23" s="80">
        <f t="shared" si="14"/>
        <v>0</v>
      </c>
      <c r="S23" s="80">
        <f t="shared" si="14"/>
        <v>0</v>
      </c>
      <c r="T23" s="80">
        <f t="shared" si="14"/>
        <v>0</v>
      </c>
      <c r="U23" s="80">
        <f t="shared" si="14"/>
        <v>0</v>
      </c>
      <c r="V23" s="80">
        <f t="shared" si="14"/>
        <v>0</v>
      </c>
      <c r="W23" s="80">
        <f t="shared" si="14"/>
        <v>0</v>
      </c>
      <c r="X23" s="80">
        <f t="shared" si="14"/>
        <v>0</v>
      </c>
      <c r="Y23" s="80">
        <f t="shared" si="14"/>
        <v>0</v>
      </c>
      <c r="Z23" s="94">
        <f t="shared" si="14"/>
        <v>0</v>
      </c>
    </row>
    <row r="24" spans="1:26">
      <c r="A24" s="88" t="s">
        <v>27</v>
      </c>
      <c r="B24" s="109" t="s">
        <v>28</v>
      </c>
      <c r="C24" s="83">
        <f>'2.1meta'!D130</f>
        <v>0</v>
      </c>
      <c r="D24" s="83">
        <f>'2.1meta'!E130</f>
        <v>0</v>
      </c>
      <c r="E24" s="83">
        <f>'2.1meta'!F130</f>
        <v>0</v>
      </c>
      <c r="F24" s="84">
        <v>0</v>
      </c>
      <c r="G24" s="106">
        <f>C24-F24</f>
        <v>0</v>
      </c>
      <c r="H24" s="83">
        <f>'2.1meta'!I130</f>
        <v>0</v>
      </c>
      <c r="I24" s="83">
        <f>'2.1meta'!J130</f>
        <v>0</v>
      </c>
      <c r="J24" s="83">
        <f>'2.1meta'!K130</f>
        <v>0</v>
      </c>
      <c r="K24" s="83">
        <f>'2.1meta'!L130</f>
        <v>0</v>
      </c>
      <c r="L24" s="83">
        <f>'2.1meta'!M130</f>
        <v>0</v>
      </c>
      <c r="M24" s="83">
        <f>'2.1meta'!N130</f>
        <v>0</v>
      </c>
      <c r="N24" s="83">
        <f>'2.1meta'!O130</f>
        <v>0</v>
      </c>
      <c r="O24" s="83">
        <f>'2.1meta'!P130</f>
        <v>0</v>
      </c>
      <c r="P24" s="83">
        <f>'2.1meta'!Q130</f>
        <v>0</v>
      </c>
      <c r="Q24" s="83">
        <f>'2.1meta'!R130</f>
        <v>0</v>
      </c>
      <c r="R24" s="83">
        <f>'2.1meta'!S130</f>
        <v>0</v>
      </c>
      <c r="S24" s="83">
        <f>'2.1meta'!T130</f>
        <v>0</v>
      </c>
      <c r="T24" s="83">
        <f>'2.1meta'!U130</f>
        <v>0</v>
      </c>
      <c r="U24" s="83">
        <f>'2.1meta'!V130</f>
        <v>0</v>
      </c>
      <c r="V24" s="83">
        <f>'2.1meta'!W130</f>
        <v>0</v>
      </c>
      <c r="W24" s="83">
        <f>'2.1meta'!X130</f>
        <v>0</v>
      </c>
      <c r="X24" s="85">
        <f t="shared" si="10"/>
        <v>0</v>
      </c>
      <c r="Y24" s="89">
        <f t="shared" ref="Y24:Y37" si="17">F24+X24</f>
        <v>0</v>
      </c>
      <c r="Z24" s="90">
        <f>C24-Y24</f>
        <v>0</v>
      </c>
    </row>
    <row r="25" spans="1:26">
      <c r="A25" s="88" t="s">
        <v>29</v>
      </c>
      <c r="B25" s="109" t="s">
        <v>30</v>
      </c>
      <c r="C25" s="83">
        <f>'2.1meta'!D131</f>
        <v>0</v>
      </c>
      <c r="D25" s="83">
        <f>'2.1meta'!E131</f>
        <v>0</v>
      </c>
      <c r="E25" s="83">
        <f>'2.1meta'!F131</f>
        <v>0</v>
      </c>
      <c r="F25" s="84">
        <v>0</v>
      </c>
      <c r="G25" s="106">
        <f>C25-F25</f>
        <v>0</v>
      </c>
      <c r="H25" s="83">
        <f>'2.1meta'!I131</f>
        <v>0</v>
      </c>
      <c r="I25" s="83">
        <f>'2.1meta'!J131</f>
        <v>0</v>
      </c>
      <c r="J25" s="83">
        <f>'2.1meta'!K131</f>
        <v>0</v>
      </c>
      <c r="K25" s="83">
        <f>'2.1meta'!L131</f>
        <v>0</v>
      </c>
      <c r="L25" s="83">
        <f>'2.1meta'!M131</f>
        <v>0</v>
      </c>
      <c r="M25" s="83">
        <f>'2.1meta'!N131</f>
        <v>0</v>
      </c>
      <c r="N25" s="83">
        <f>'2.1meta'!O131</f>
        <v>0</v>
      </c>
      <c r="O25" s="83">
        <f>'2.1meta'!P131</f>
        <v>0</v>
      </c>
      <c r="P25" s="83">
        <f>'2.1meta'!Q131</f>
        <v>0</v>
      </c>
      <c r="Q25" s="83">
        <f>'2.1meta'!R131</f>
        <v>0</v>
      </c>
      <c r="R25" s="83">
        <f>'2.1meta'!S131</f>
        <v>0</v>
      </c>
      <c r="S25" s="83">
        <f>'2.1meta'!T131</f>
        <v>0</v>
      </c>
      <c r="T25" s="83">
        <f>'2.1meta'!U131</f>
        <v>0</v>
      </c>
      <c r="U25" s="83">
        <f>'2.1meta'!V131</f>
        <v>0</v>
      </c>
      <c r="V25" s="83">
        <f>'2.1meta'!W131</f>
        <v>0</v>
      </c>
      <c r="W25" s="83">
        <f>'2.1meta'!X131</f>
        <v>0</v>
      </c>
      <c r="X25" s="85">
        <f t="shared" si="10"/>
        <v>0</v>
      </c>
      <c r="Y25" s="89">
        <f t="shared" si="17"/>
        <v>0</v>
      </c>
      <c r="Z25" s="90">
        <f>C25-Y25</f>
        <v>0</v>
      </c>
    </row>
    <row r="26" spans="1:26">
      <c r="A26" s="88" t="s">
        <v>31</v>
      </c>
      <c r="B26" s="109" t="s">
        <v>32</v>
      </c>
      <c r="C26" s="83">
        <f>'2.1meta'!D132</f>
        <v>0</v>
      </c>
      <c r="D26" s="83">
        <f>'2.1meta'!E132</f>
        <v>0</v>
      </c>
      <c r="E26" s="83">
        <f>'2.1meta'!F132</f>
        <v>0</v>
      </c>
      <c r="F26" s="84">
        <v>0</v>
      </c>
      <c r="G26" s="106">
        <f>C26-F26</f>
        <v>0</v>
      </c>
      <c r="H26" s="83">
        <f>'2.1meta'!I132</f>
        <v>0</v>
      </c>
      <c r="I26" s="83">
        <f>'2.1meta'!J132</f>
        <v>0</v>
      </c>
      <c r="J26" s="83">
        <f>'2.1meta'!K132</f>
        <v>0</v>
      </c>
      <c r="K26" s="83">
        <f>'2.1meta'!L132</f>
        <v>0</v>
      </c>
      <c r="L26" s="83">
        <f>'2.1meta'!M132</f>
        <v>0</v>
      </c>
      <c r="M26" s="83">
        <f>'2.1meta'!N132</f>
        <v>0</v>
      </c>
      <c r="N26" s="83">
        <f>'2.1meta'!O132</f>
        <v>0</v>
      </c>
      <c r="O26" s="83">
        <f>'2.1meta'!P132</f>
        <v>0</v>
      </c>
      <c r="P26" s="83">
        <f>'2.1meta'!Q132</f>
        <v>0</v>
      </c>
      <c r="Q26" s="83">
        <f>'2.1meta'!R132</f>
        <v>0</v>
      </c>
      <c r="R26" s="83">
        <f>'2.1meta'!S132</f>
        <v>0</v>
      </c>
      <c r="S26" s="83">
        <f>'2.1meta'!T132</f>
        <v>0</v>
      </c>
      <c r="T26" s="83">
        <f>'2.1meta'!U132</f>
        <v>0</v>
      </c>
      <c r="U26" s="83">
        <f>'2.1meta'!V132</f>
        <v>0</v>
      </c>
      <c r="V26" s="83">
        <f>'2.1meta'!W132</f>
        <v>0</v>
      </c>
      <c r="W26" s="83">
        <f>'2.1meta'!X132</f>
        <v>0</v>
      </c>
      <c r="X26" s="85">
        <f t="shared" si="10"/>
        <v>0</v>
      </c>
      <c r="Y26" s="89">
        <f t="shared" si="17"/>
        <v>0</v>
      </c>
      <c r="Z26" s="90">
        <f>C26-Y26</f>
        <v>0</v>
      </c>
    </row>
    <row r="27" spans="1:26">
      <c r="A27" s="88" t="s">
        <v>33</v>
      </c>
      <c r="B27" s="109" t="s">
        <v>34</v>
      </c>
      <c r="C27" s="83">
        <f>'2.1meta'!D133</f>
        <v>0</v>
      </c>
      <c r="D27" s="83">
        <f>'2.1meta'!E133</f>
        <v>0</v>
      </c>
      <c r="E27" s="83">
        <f>'2.1meta'!F133</f>
        <v>0</v>
      </c>
      <c r="F27" s="84">
        <v>0</v>
      </c>
      <c r="G27" s="106">
        <f>C27-F27</f>
        <v>0</v>
      </c>
      <c r="H27" s="83">
        <f>'2.1meta'!I133</f>
        <v>0</v>
      </c>
      <c r="I27" s="83">
        <f>'2.1meta'!J133</f>
        <v>0</v>
      </c>
      <c r="J27" s="83">
        <f>'2.1meta'!K133</f>
        <v>0</v>
      </c>
      <c r="K27" s="83">
        <f>'2.1meta'!L133</f>
        <v>0</v>
      </c>
      <c r="L27" s="83">
        <f>'2.1meta'!M133</f>
        <v>0</v>
      </c>
      <c r="M27" s="83">
        <f>'2.1meta'!N133</f>
        <v>0</v>
      </c>
      <c r="N27" s="83">
        <f>'2.1meta'!O133</f>
        <v>0</v>
      </c>
      <c r="O27" s="83">
        <f>'2.1meta'!P133</f>
        <v>0</v>
      </c>
      <c r="P27" s="83">
        <f>'2.1meta'!Q133</f>
        <v>0</v>
      </c>
      <c r="Q27" s="83">
        <f>'2.1meta'!R133</f>
        <v>0</v>
      </c>
      <c r="R27" s="83">
        <f>'2.1meta'!S133</f>
        <v>0</v>
      </c>
      <c r="S27" s="83">
        <f>'2.1meta'!T133</f>
        <v>0</v>
      </c>
      <c r="T27" s="83">
        <f>'2.1meta'!U133</f>
        <v>0</v>
      </c>
      <c r="U27" s="83">
        <f>'2.1meta'!V133</f>
        <v>0</v>
      </c>
      <c r="V27" s="83">
        <f>'2.1meta'!W133</f>
        <v>0</v>
      </c>
      <c r="W27" s="83">
        <f>'2.1meta'!X133</f>
        <v>0</v>
      </c>
      <c r="X27" s="85">
        <f t="shared" si="10"/>
        <v>0</v>
      </c>
      <c r="Y27" s="89">
        <f t="shared" si="17"/>
        <v>0</v>
      </c>
      <c r="Z27" s="90">
        <f>C27-Y27</f>
        <v>0</v>
      </c>
    </row>
    <row r="28" spans="1:26">
      <c r="A28" s="88" t="s">
        <v>35</v>
      </c>
      <c r="B28" s="109" t="s">
        <v>36</v>
      </c>
      <c r="C28" s="83">
        <f>'2.1meta'!D134</f>
        <v>0</v>
      </c>
      <c r="D28" s="83">
        <f>'2.1meta'!E134</f>
        <v>0</v>
      </c>
      <c r="E28" s="83">
        <f>'2.1meta'!F134</f>
        <v>0</v>
      </c>
      <c r="F28" s="84">
        <v>0</v>
      </c>
      <c r="G28" s="106">
        <f>C28-F28</f>
        <v>0</v>
      </c>
      <c r="H28" s="83">
        <f>'2.1meta'!I134</f>
        <v>0</v>
      </c>
      <c r="I28" s="83">
        <f>'2.1meta'!J134</f>
        <v>0</v>
      </c>
      <c r="J28" s="83">
        <f>'2.1meta'!K134</f>
        <v>0</v>
      </c>
      <c r="K28" s="83">
        <f>'2.1meta'!L134</f>
        <v>0</v>
      </c>
      <c r="L28" s="83">
        <f>'2.1meta'!M134</f>
        <v>0</v>
      </c>
      <c r="M28" s="83">
        <f>'2.1meta'!N134</f>
        <v>0</v>
      </c>
      <c r="N28" s="83">
        <f>'2.1meta'!O134</f>
        <v>0</v>
      </c>
      <c r="O28" s="83">
        <f>'2.1meta'!P134</f>
        <v>0</v>
      </c>
      <c r="P28" s="83">
        <f>'2.1meta'!Q134</f>
        <v>0</v>
      </c>
      <c r="Q28" s="83">
        <f>'2.1meta'!R134</f>
        <v>0</v>
      </c>
      <c r="R28" s="83">
        <f>'2.1meta'!S134</f>
        <v>0</v>
      </c>
      <c r="S28" s="83">
        <f>'2.1meta'!T134</f>
        <v>0</v>
      </c>
      <c r="T28" s="83">
        <f>'2.1meta'!U134</f>
        <v>0</v>
      </c>
      <c r="U28" s="83">
        <f>'2.1meta'!V134</f>
        <v>0</v>
      </c>
      <c r="V28" s="83">
        <f>'2.1meta'!W134</f>
        <v>0</v>
      </c>
      <c r="W28" s="83">
        <f>'2.1meta'!X134</f>
        <v>0</v>
      </c>
      <c r="X28" s="85">
        <f t="shared" si="10"/>
        <v>0</v>
      </c>
      <c r="Y28" s="89">
        <f t="shared" si="17"/>
        <v>0</v>
      </c>
      <c r="Z28" s="90">
        <f>C28-Y28</f>
        <v>0</v>
      </c>
    </row>
    <row r="29" spans="1:26">
      <c r="A29" s="88" t="s">
        <v>37</v>
      </c>
      <c r="B29" s="109" t="s">
        <v>38</v>
      </c>
      <c r="C29" s="83">
        <f>'2.1meta'!D135</f>
        <v>0</v>
      </c>
      <c r="D29" s="83">
        <f>'2.1meta'!E135</f>
        <v>0</v>
      </c>
      <c r="E29" s="83">
        <f>'2.1meta'!F135</f>
        <v>0</v>
      </c>
      <c r="F29" s="84">
        <v>0</v>
      </c>
      <c r="G29" s="106">
        <f>C29-F29</f>
        <v>0</v>
      </c>
      <c r="H29" s="83">
        <f>'2.1meta'!I135</f>
        <v>0</v>
      </c>
      <c r="I29" s="83">
        <f>'2.1meta'!J135</f>
        <v>0</v>
      </c>
      <c r="J29" s="83">
        <f>'2.1meta'!K135</f>
        <v>0</v>
      </c>
      <c r="K29" s="83">
        <f>'2.1meta'!L135</f>
        <v>0</v>
      </c>
      <c r="L29" s="83">
        <f>'2.1meta'!M135</f>
        <v>0</v>
      </c>
      <c r="M29" s="83">
        <f>'2.1meta'!N135</f>
        <v>0</v>
      </c>
      <c r="N29" s="83">
        <f>'2.1meta'!O135</f>
        <v>0</v>
      </c>
      <c r="O29" s="83">
        <f>'2.1meta'!P135</f>
        <v>0</v>
      </c>
      <c r="P29" s="83">
        <f>'2.1meta'!Q135</f>
        <v>0</v>
      </c>
      <c r="Q29" s="83">
        <f>'2.1meta'!R135</f>
        <v>0</v>
      </c>
      <c r="R29" s="83">
        <f>'2.1meta'!S135</f>
        <v>0</v>
      </c>
      <c r="S29" s="83">
        <f>'2.1meta'!T135</f>
        <v>0</v>
      </c>
      <c r="T29" s="83">
        <f>'2.1meta'!U135</f>
        <v>0</v>
      </c>
      <c r="U29" s="83">
        <f>'2.1meta'!V135</f>
        <v>0</v>
      </c>
      <c r="V29" s="83">
        <f>'2.1meta'!W135</f>
        <v>0</v>
      </c>
      <c r="W29" s="83">
        <f>'2.1meta'!X135</f>
        <v>0</v>
      </c>
      <c r="X29" s="85">
        <f t="shared" si="10"/>
        <v>0</v>
      </c>
      <c r="Y29" s="89">
        <f t="shared" si="17"/>
        <v>0</v>
      </c>
      <c r="Z29" s="90">
        <f>C29-Y29</f>
        <v>0</v>
      </c>
    </row>
    <row r="30" spans="1:26">
      <c r="A30" s="88" t="s">
        <v>39</v>
      </c>
      <c r="B30" s="109" t="s">
        <v>40</v>
      </c>
      <c r="C30" s="83">
        <f>'2.1meta'!D136</f>
        <v>0</v>
      </c>
      <c r="D30" s="83">
        <f>'2.1meta'!E136</f>
        <v>0</v>
      </c>
      <c r="E30" s="83">
        <f>'2.1meta'!F136</f>
        <v>0</v>
      </c>
      <c r="F30" s="84">
        <v>0</v>
      </c>
      <c r="G30" s="106">
        <f>C30-F30</f>
        <v>0</v>
      </c>
      <c r="H30" s="83">
        <f>'2.1meta'!I136</f>
        <v>0</v>
      </c>
      <c r="I30" s="83">
        <f>'2.1meta'!J136</f>
        <v>0</v>
      </c>
      <c r="J30" s="83">
        <f>'2.1meta'!K136</f>
        <v>0</v>
      </c>
      <c r="K30" s="83">
        <f>'2.1meta'!L136</f>
        <v>0</v>
      </c>
      <c r="L30" s="83">
        <f>'2.1meta'!M136</f>
        <v>0</v>
      </c>
      <c r="M30" s="83">
        <f>'2.1meta'!N136</f>
        <v>0</v>
      </c>
      <c r="N30" s="83">
        <f>'2.1meta'!O136</f>
        <v>0</v>
      </c>
      <c r="O30" s="83">
        <f>'2.1meta'!P136</f>
        <v>0</v>
      </c>
      <c r="P30" s="83">
        <f>'2.1meta'!Q136</f>
        <v>0</v>
      </c>
      <c r="Q30" s="83">
        <f>'2.1meta'!R136</f>
        <v>0</v>
      </c>
      <c r="R30" s="83">
        <f>'2.1meta'!S136</f>
        <v>0</v>
      </c>
      <c r="S30" s="83">
        <f>'2.1meta'!T136</f>
        <v>0</v>
      </c>
      <c r="T30" s="83">
        <f>'2.1meta'!U136</f>
        <v>0</v>
      </c>
      <c r="U30" s="83">
        <f>'2.1meta'!V136</f>
        <v>0</v>
      </c>
      <c r="V30" s="83">
        <f>'2.1meta'!W136</f>
        <v>0</v>
      </c>
      <c r="W30" s="83">
        <f>'2.1meta'!X136</f>
        <v>0</v>
      </c>
      <c r="X30" s="85">
        <f t="shared" si="10"/>
        <v>0</v>
      </c>
      <c r="Y30" s="89">
        <f t="shared" si="17"/>
        <v>0</v>
      </c>
      <c r="Z30" s="90">
        <f>C30-Y30</f>
        <v>0</v>
      </c>
    </row>
    <row r="31" spans="1:26">
      <c r="A31" s="88" t="s">
        <v>41</v>
      </c>
      <c r="B31" s="109" t="s">
        <v>42</v>
      </c>
      <c r="C31" s="83">
        <f>'2.1meta'!D137</f>
        <v>0</v>
      </c>
      <c r="D31" s="83">
        <f>'2.1meta'!E137</f>
        <v>0</v>
      </c>
      <c r="E31" s="83">
        <f>'2.1meta'!F137</f>
        <v>0</v>
      </c>
      <c r="F31" s="84">
        <v>0</v>
      </c>
      <c r="G31" s="106">
        <f>C31-F31</f>
        <v>0</v>
      </c>
      <c r="H31" s="83">
        <f>'2.1meta'!I137</f>
        <v>0</v>
      </c>
      <c r="I31" s="83">
        <f>'2.1meta'!J137</f>
        <v>0</v>
      </c>
      <c r="J31" s="83">
        <f>'2.1meta'!K137</f>
        <v>0</v>
      </c>
      <c r="K31" s="83">
        <f>'2.1meta'!L137</f>
        <v>0</v>
      </c>
      <c r="L31" s="83">
        <f>'2.1meta'!M137</f>
        <v>0</v>
      </c>
      <c r="M31" s="83">
        <f>'2.1meta'!N137</f>
        <v>0</v>
      </c>
      <c r="N31" s="83">
        <f>'2.1meta'!O137</f>
        <v>0</v>
      </c>
      <c r="O31" s="83">
        <f>'2.1meta'!P137</f>
        <v>0</v>
      </c>
      <c r="P31" s="83">
        <f>'2.1meta'!Q137</f>
        <v>0</v>
      </c>
      <c r="Q31" s="83">
        <f>'2.1meta'!R137</f>
        <v>0</v>
      </c>
      <c r="R31" s="83">
        <f>'2.1meta'!S137</f>
        <v>0</v>
      </c>
      <c r="S31" s="83">
        <f>'2.1meta'!T137</f>
        <v>0</v>
      </c>
      <c r="T31" s="83">
        <f>'2.1meta'!U137</f>
        <v>0</v>
      </c>
      <c r="U31" s="83">
        <f>'2.1meta'!V137</f>
        <v>0</v>
      </c>
      <c r="V31" s="83">
        <f>'2.1meta'!W137</f>
        <v>0</v>
      </c>
      <c r="W31" s="83">
        <f>'2.1meta'!X137</f>
        <v>0</v>
      </c>
      <c r="X31" s="85">
        <f t="shared" si="10"/>
        <v>0</v>
      </c>
      <c r="Y31" s="89">
        <f t="shared" si="17"/>
        <v>0</v>
      </c>
      <c r="Z31" s="90">
        <f>C31-Y31</f>
        <v>0</v>
      </c>
    </row>
    <row r="32" spans="1:26">
      <c r="A32" s="88" t="s">
        <v>43</v>
      </c>
      <c r="B32" s="109" t="s">
        <v>44</v>
      </c>
      <c r="C32" s="83">
        <f>'2.1meta'!D138</f>
        <v>0</v>
      </c>
      <c r="D32" s="83">
        <f>'2.1meta'!E138</f>
        <v>0</v>
      </c>
      <c r="E32" s="83">
        <f>'2.1meta'!F138</f>
        <v>0</v>
      </c>
      <c r="F32" s="84">
        <v>0</v>
      </c>
      <c r="G32" s="106">
        <f>C32-F32</f>
        <v>0</v>
      </c>
      <c r="H32" s="83">
        <f>'2.1meta'!I138</f>
        <v>0</v>
      </c>
      <c r="I32" s="83">
        <f>'2.1meta'!J138</f>
        <v>0</v>
      </c>
      <c r="J32" s="83">
        <f>'2.1meta'!K138</f>
        <v>0</v>
      </c>
      <c r="K32" s="83">
        <f>'2.1meta'!L138</f>
        <v>0</v>
      </c>
      <c r="L32" s="83">
        <f>'2.1meta'!M138</f>
        <v>0</v>
      </c>
      <c r="M32" s="83">
        <f>'2.1meta'!N138</f>
        <v>0</v>
      </c>
      <c r="N32" s="83">
        <f>'2.1meta'!O138</f>
        <v>0</v>
      </c>
      <c r="O32" s="83">
        <f>'2.1meta'!P138</f>
        <v>0</v>
      </c>
      <c r="P32" s="83">
        <f>'2.1meta'!Q138</f>
        <v>0</v>
      </c>
      <c r="Q32" s="83">
        <f>'2.1meta'!R138</f>
        <v>0</v>
      </c>
      <c r="R32" s="83">
        <f>'2.1meta'!S138</f>
        <v>0</v>
      </c>
      <c r="S32" s="83">
        <f>'2.1meta'!T138</f>
        <v>0</v>
      </c>
      <c r="T32" s="83">
        <f>'2.1meta'!U138</f>
        <v>0</v>
      </c>
      <c r="U32" s="83">
        <f>'2.1meta'!V138</f>
        <v>0</v>
      </c>
      <c r="V32" s="83">
        <f>'2.1meta'!W138</f>
        <v>0</v>
      </c>
      <c r="W32" s="83">
        <f>'2.1meta'!X138</f>
        <v>0</v>
      </c>
      <c r="X32" s="85">
        <f t="shared" si="10"/>
        <v>0</v>
      </c>
      <c r="Y32" s="89">
        <f t="shared" si="17"/>
        <v>0</v>
      </c>
      <c r="Z32" s="90">
        <f>C32-Y32</f>
        <v>0</v>
      </c>
    </row>
    <row r="33" spans="1:26">
      <c r="A33" s="88" t="s">
        <v>45</v>
      </c>
      <c r="B33" s="109" t="s">
        <v>46</v>
      </c>
      <c r="C33" s="83">
        <f>'2.1meta'!D139</f>
        <v>0</v>
      </c>
      <c r="D33" s="83">
        <f>'2.1meta'!E139</f>
        <v>0</v>
      </c>
      <c r="E33" s="83">
        <f>'2.1meta'!F139</f>
        <v>0</v>
      </c>
      <c r="F33" s="84">
        <v>0</v>
      </c>
      <c r="G33" s="106">
        <f>C33-F33</f>
        <v>0</v>
      </c>
      <c r="H33" s="83">
        <f>'2.1meta'!I139</f>
        <v>0</v>
      </c>
      <c r="I33" s="83">
        <f>'2.1meta'!J139</f>
        <v>0</v>
      </c>
      <c r="J33" s="83">
        <f>'2.1meta'!K139</f>
        <v>0</v>
      </c>
      <c r="K33" s="83">
        <f>'2.1meta'!L139</f>
        <v>0</v>
      </c>
      <c r="L33" s="83">
        <f>'2.1meta'!M139</f>
        <v>0</v>
      </c>
      <c r="M33" s="83">
        <f>'2.1meta'!N139</f>
        <v>0</v>
      </c>
      <c r="N33" s="83">
        <f>'2.1meta'!O139</f>
        <v>0</v>
      </c>
      <c r="O33" s="83">
        <f>'2.1meta'!P139</f>
        <v>0</v>
      </c>
      <c r="P33" s="83">
        <f>'2.1meta'!Q139</f>
        <v>0</v>
      </c>
      <c r="Q33" s="83">
        <f>'2.1meta'!R139</f>
        <v>0</v>
      </c>
      <c r="R33" s="83">
        <f>'2.1meta'!S139</f>
        <v>0</v>
      </c>
      <c r="S33" s="83">
        <f>'2.1meta'!T139</f>
        <v>0</v>
      </c>
      <c r="T33" s="83">
        <f>'2.1meta'!U139</f>
        <v>0</v>
      </c>
      <c r="U33" s="83">
        <f>'2.1meta'!V139</f>
        <v>0</v>
      </c>
      <c r="V33" s="83">
        <f>'2.1meta'!W139</f>
        <v>0</v>
      </c>
      <c r="W33" s="83">
        <f>'2.1meta'!X139</f>
        <v>0</v>
      </c>
      <c r="X33" s="85">
        <f t="shared" si="10"/>
        <v>0</v>
      </c>
      <c r="Y33" s="89">
        <f t="shared" si="17"/>
        <v>0</v>
      </c>
      <c r="Z33" s="90">
        <f>C33-Y33</f>
        <v>0</v>
      </c>
    </row>
    <row r="34" spans="1:26">
      <c r="A34" s="88" t="s">
        <v>47</v>
      </c>
      <c r="B34" s="109" t="s">
        <v>48</v>
      </c>
      <c r="C34" s="83">
        <f>'2.1meta'!D140</f>
        <v>0</v>
      </c>
      <c r="D34" s="83">
        <f>'2.1meta'!E140</f>
        <v>0</v>
      </c>
      <c r="E34" s="83">
        <f>'2.1meta'!F140</f>
        <v>0</v>
      </c>
      <c r="F34" s="84">
        <v>0</v>
      </c>
      <c r="G34" s="106">
        <f>C34-F34</f>
        <v>0</v>
      </c>
      <c r="H34" s="83">
        <f>'2.1meta'!I140</f>
        <v>0</v>
      </c>
      <c r="I34" s="83">
        <f>'2.1meta'!J140</f>
        <v>0</v>
      </c>
      <c r="J34" s="83">
        <f>'2.1meta'!K140</f>
        <v>0</v>
      </c>
      <c r="K34" s="83">
        <f>'2.1meta'!L140</f>
        <v>0</v>
      </c>
      <c r="L34" s="83">
        <f>'2.1meta'!M140</f>
        <v>0</v>
      </c>
      <c r="M34" s="83">
        <f>'2.1meta'!N140</f>
        <v>0</v>
      </c>
      <c r="N34" s="83">
        <f>'2.1meta'!O140</f>
        <v>0</v>
      </c>
      <c r="O34" s="83">
        <f>'2.1meta'!P140</f>
        <v>0</v>
      </c>
      <c r="P34" s="83">
        <f>'2.1meta'!Q140</f>
        <v>0</v>
      </c>
      <c r="Q34" s="83">
        <f>'2.1meta'!R140</f>
        <v>0</v>
      </c>
      <c r="R34" s="83">
        <f>'2.1meta'!S140</f>
        <v>0</v>
      </c>
      <c r="S34" s="83">
        <f>'2.1meta'!T140</f>
        <v>0</v>
      </c>
      <c r="T34" s="83">
        <f>'2.1meta'!U140</f>
        <v>0</v>
      </c>
      <c r="U34" s="83">
        <f>'2.1meta'!V140</f>
        <v>0</v>
      </c>
      <c r="V34" s="83">
        <f>'2.1meta'!W140</f>
        <v>0</v>
      </c>
      <c r="W34" s="83">
        <f>'2.1meta'!X140</f>
        <v>0</v>
      </c>
      <c r="X34" s="85">
        <f t="shared" si="10"/>
        <v>0</v>
      </c>
      <c r="Y34" s="89">
        <f t="shared" si="17"/>
        <v>0</v>
      </c>
      <c r="Z34" s="90">
        <f>C34-Y34</f>
        <v>0</v>
      </c>
    </row>
    <row r="35" spans="1:26">
      <c r="A35" s="88" t="s">
        <v>49</v>
      </c>
      <c r="B35" s="109" t="s">
        <v>50</v>
      </c>
      <c r="C35" s="83">
        <f>'2.1meta'!D141</f>
        <v>0</v>
      </c>
      <c r="D35" s="83">
        <f>'2.1meta'!E141</f>
        <v>0</v>
      </c>
      <c r="E35" s="83">
        <f>'2.1meta'!F141</f>
        <v>0</v>
      </c>
      <c r="F35" s="84">
        <v>0</v>
      </c>
      <c r="G35" s="106">
        <f>C35-F35</f>
        <v>0</v>
      </c>
      <c r="H35" s="83">
        <f>'2.1meta'!I141</f>
        <v>0</v>
      </c>
      <c r="I35" s="83">
        <f>'2.1meta'!J141</f>
        <v>0</v>
      </c>
      <c r="J35" s="83">
        <f>'2.1meta'!K141</f>
        <v>0</v>
      </c>
      <c r="K35" s="83">
        <f>'2.1meta'!L141</f>
        <v>0</v>
      </c>
      <c r="L35" s="83">
        <f>'2.1meta'!M141</f>
        <v>0</v>
      </c>
      <c r="M35" s="83">
        <f>'2.1meta'!N141</f>
        <v>0</v>
      </c>
      <c r="N35" s="83">
        <f>'2.1meta'!O141</f>
        <v>0</v>
      </c>
      <c r="O35" s="83">
        <f>'2.1meta'!P141</f>
        <v>0</v>
      </c>
      <c r="P35" s="83">
        <f>'2.1meta'!Q141</f>
        <v>0</v>
      </c>
      <c r="Q35" s="83">
        <f>'2.1meta'!R141</f>
        <v>0</v>
      </c>
      <c r="R35" s="83">
        <f>'2.1meta'!S141</f>
        <v>0</v>
      </c>
      <c r="S35" s="83">
        <f>'2.1meta'!T141</f>
        <v>0</v>
      </c>
      <c r="T35" s="83">
        <f>'2.1meta'!U141</f>
        <v>0</v>
      </c>
      <c r="U35" s="83">
        <f>'2.1meta'!V141</f>
        <v>0</v>
      </c>
      <c r="V35" s="83">
        <f>'2.1meta'!W141</f>
        <v>0</v>
      </c>
      <c r="W35" s="83">
        <f>'2.1meta'!X141</f>
        <v>0</v>
      </c>
      <c r="X35" s="85">
        <f t="shared" si="10"/>
        <v>0</v>
      </c>
      <c r="Y35" s="89">
        <f t="shared" si="17"/>
        <v>0</v>
      </c>
      <c r="Z35" s="90">
        <f>C35-Y35</f>
        <v>0</v>
      </c>
    </row>
    <row r="36" spans="1:26">
      <c r="A36" s="88" t="s">
        <v>51</v>
      </c>
      <c r="B36" s="109" t="s">
        <v>52</v>
      </c>
      <c r="C36" s="83">
        <f>'2.1meta'!D142</f>
        <v>0</v>
      </c>
      <c r="D36" s="83">
        <f>'2.1meta'!E142</f>
        <v>0</v>
      </c>
      <c r="E36" s="83">
        <f>'2.1meta'!F142</f>
        <v>0</v>
      </c>
      <c r="F36" s="84">
        <v>0</v>
      </c>
      <c r="G36" s="106">
        <f>C36-F36</f>
        <v>0</v>
      </c>
      <c r="H36" s="83">
        <f>'2.1meta'!I142</f>
        <v>0</v>
      </c>
      <c r="I36" s="83">
        <f>'2.1meta'!J142</f>
        <v>0</v>
      </c>
      <c r="J36" s="83">
        <f>'2.1meta'!K142</f>
        <v>0</v>
      </c>
      <c r="K36" s="83">
        <f>'2.1meta'!L142</f>
        <v>0</v>
      </c>
      <c r="L36" s="83">
        <f>'2.1meta'!M142</f>
        <v>0</v>
      </c>
      <c r="M36" s="83">
        <f>'2.1meta'!N142</f>
        <v>0</v>
      </c>
      <c r="N36" s="83">
        <f>'2.1meta'!O142</f>
        <v>0</v>
      </c>
      <c r="O36" s="83">
        <f>'2.1meta'!P142</f>
        <v>0</v>
      </c>
      <c r="P36" s="83">
        <f>'2.1meta'!Q142</f>
        <v>0</v>
      </c>
      <c r="Q36" s="83">
        <f>'2.1meta'!R142</f>
        <v>0</v>
      </c>
      <c r="R36" s="83">
        <f>'2.1meta'!S142</f>
        <v>0</v>
      </c>
      <c r="S36" s="83">
        <f>'2.1meta'!T142</f>
        <v>0</v>
      </c>
      <c r="T36" s="83">
        <f>'2.1meta'!U142</f>
        <v>0</v>
      </c>
      <c r="U36" s="83">
        <f>'2.1meta'!V142</f>
        <v>0</v>
      </c>
      <c r="V36" s="83">
        <f>'2.1meta'!W142</f>
        <v>0</v>
      </c>
      <c r="W36" s="83">
        <f>'2.1meta'!X142</f>
        <v>0</v>
      </c>
      <c r="X36" s="85">
        <f t="shared" si="10"/>
        <v>0</v>
      </c>
      <c r="Y36" s="89">
        <f t="shared" si="17"/>
        <v>0</v>
      </c>
      <c r="Z36" s="90">
        <f>C36-Y36</f>
        <v>0</v>
      </c>
    </row>
    <row r="37" spans="1:26">
      <c r="A37" s="91" t="s">
        <v>55</v>
      </c>
      <c r="B37" s="111" t="s">
        <v>56</v>
      </c>
      <c r="C37" s="83">
        <f>'2.1meta'!D143</f>
        <v>0</v>
      </c>
      <c r="D37" s="83">
        <f>'2.1meta'!E143</f>
        <v>0</v>
      </c>
      <c r="E37" s="83">
        <f>'2.1meta'!F143</f>
        <v>0</v>
      </c>
      <c r="F37" s="84">
        <v>0</v>
      </c>
      <c r="G37" s="106">
        <f>C37-F37</f>
        <v>0</v>
      </c>
      <c r="H37" s="83">
        <f>'2.1meta'!I143</f>
        <v>0</v>
      </c>
      <c r="I37" s="83">
        <f>'2.1meta'!J143</f>
        <v>0</v>
      </c>
      <c r="J37" s="83">
        <f>'2.1meta'!K143</f>
        <v>0</v>
      </c>
      <c r="K37" s="83">
        <f>'2.1meta'!L143</f>
        <v>0</v>
      </c>
      <c r="L37" s="83">
        <f>'2.1meta'!M143</f>
        <v>0</v>
      </c>
      <c r="M37" s="83">
        <f>'2.1meta'!N143</f>
        <v>0</v>
      </c>
      <c r="N37" s="83">
        <f>'2.1meta'!O143</f>
        <v>0</v>
      </c>
      <c r="O37" s="83">
        <f>'2.1meta'!P143</f>
        <v>0</v>
      </c>
      <c r="P37" s="83">
        <f>'2.1meta'!Q143</f>
        <v>0</v>
      </c>
      <c r="Q37" s="83">
        <f>'2.1meta'!R143</f>
        <v>0</v>
      </c>
      <c r="R37" s="83">
        <f>'2.1meta'!S143</f>
        <v>0</v>
      </c>
      <c r="S37" s="83">
        <f>'2.1meta'!T143</f>
        <v>0</v>
      </c>
      <c r="T37" s="83">
        <f>'2.1meta'!U143</f>
        <v>0</v>
      </c>
      <c r="U37" s="83">
        <f>'2.1meta'!V143</f>
        <v>0</v>
      </c>
      <c r="V37" s="83">
        <f>'2.1meta'!W143</f>
        <v>0</v>
      </c>
      <c r="W37" s="83">
        <f>'2.1meta'!X143</f>
        <v>0</v>
      </c>
      <c r="X37" s="85">
        <f t="shared" si="10"/>
        <v>0</v>
      </c>
      <c r="Y37" s="89">
        <f t="shared" si="17"/>
        <v>0</v>
      </c>
      <c r="Z37" s="90">
        <f>C37-Y37</f>
        <v>0</v>
      </c>
    </row>
    <row r="38" spans="1:26" s="81" customFormat="1" ht="15">
      <c r="A38" s="79" t="s">
        <v>77</v>
      </c>
      <c r="B38" s="79"/>
      <c r="C38" s="80">
        <f>SUBTOTAL(9,C39:C50)</f>
        <v>0</v>
      </c>
      <c r="D38" s="80"/>
      <c r="E38" s="80"/>
      <c r="F38" s="80">
        <f t="shared" ref="F38:Z38" si="18">SUBTOTAL(9,F39:F50)</f>
        <v>0</v>
      </c>
      <c r="G38" s="64">
        <f>C38-F38</f>
        <v>0</v>
      </c>
      <c r="H38" s="80">
        <f t="shared" si="18"/>
        <v>0</v>
      </c>
      <c r="I38" s="80">
        <f t="shared" ref="I38:O38" si="19">SUBTOTAL(9,I39:I50)</f>
        <v>0</v>
      </c>
      <c r="J38" s="80">
        <f t="shared" si="19"/>
        <v>0</v>
      </c>
      <c r="K38" s="80">
        <f t="shared" si="19"/>
        <v>0</v>
      </c>
      <c r="L38" s="80">
        <f t="shared" si="19"/>
        <v>0</v>
      </c>
      <c r="M38" s="80">
        <f t="shared" si="19"/>
        <v>0</v>
      </c>
      <c r="N38" s="80">
        <f t="shared" si="19"/>
        <v>0</v>
      </c>
      <c r="O38" s="80">
        <f t="shared" si="19"/>
        <v>0</v>
      </c>
      <c r="P38" s="80">
        <f t="shared" ref="P38:Q38" si="20">SUBTOTAL(9,P39:P50)</f>
        <v>0</v>
      </c>
      <c r="Q38" s="80">
        <f t="shared" si="20"/>
        <v>0</v>
      </c>
      <c r="R38" s="80">
        <f t="shared" si="18"/>
        <v>0</v>
      </c>
      <c r="S38" s="80">
        <f t="shared" si="18"/>
        <v>0</v>
      </c>
      <c r="T38" s="80"/>
      <c r="U38" s="80"/>
      <c r="V38" s="80"/>
      <c r="W38" s="80"/>
      <c r="X38" s="80">
        <f t="shared" si="18"/>
        <v>0</v>
      </c>
      <c r="Y38" s="80">
        <f t="shared" si="18"/>
        <v>0</v>
      </c>
      <c r="Z38" s="94">
        <f t="shared" si="18"/>
        <v>0</v>
      </c>
    </row>
    <row r="39" spans="1:26">
      <c r="A39" s="88" t="s">
        <v>27</v>
      </c>
      <c r="B39" s="109" t="s">
        <v>28</v>
      </c>
      <c r="C39" s="83">
        <f>'2.1meta'!D50</f>
        <v>0</v>
      </c>
      <c r="D39" s="83">
        <f>'2.1meta'!E50</f>
        <v>0</v>
      </c>
      <c r="E39" s="83">
        <f>'2.1meta'!F50</f>
        <v>0</v>
      </c>
      <c r="F39" s="84">
        <v>0</v>
      </c>
      <c r="G39" s="106">
        <f>C39-F39</f>
        <v>0</v>
      </c>
      <c r="H39" s="83">
        <f>'2.1meta'!I50</f>
        <v>0</v>
      </c>
      <c r="I39" s="83">
        <f>'2.1meta'!J50</f>
        <v>0</v>
      </c>
      <c r="J39" s="83">
        <f>'2.1meta'!K50</f>
        <v>0</v>
      </c>
      <c r="K39" s="83">
        <f>'2.1meta'!L50</f>
        <v>0</v>
      </c>
      <c r="L39" s="83">
        <f>'2.1meta'!M50</f>
        <v>0</v>
      </c>
      <c r="M39" s="83">
        <f>'2.1meta'!N50</f>
        <v>0</v>
      </c>
      <c r="N39" s="83">
        <f>'2.1meta'!O50</f>
        <v>0</v>
      </c>
      <c r="O39" s="83">
        <f>'2.1meta'!P50</f>
        <v>0</v>
      </c>
      <c r="P39" s="83">
        <f>'2.1meta'!Q50</f>
        <v>0</v>
      </c>
      <c r="Q39" s="83">
        <f>'2.1meta'!R50</f>
        <v>0</v>
      </c>
      <c r="R39" s="83">
        <f>'2.1meta'!S50</f>
        <v>0</v>
      </c>
      <c r="S39" s="83">
        <f>'2.1meta'!T50</f>
        <v>0</v>
      </c>
      <c r="T39" s="83">
        <f>'2.1meta'!U50</f>
        <v>0</v>
      </c>
      <c r="U39" s="83">
        <f>'2.1meta'!V50</f>
        <v>0</v>
      </c>
      <c r="V39" s="83">
        <f>'2.1meta'!W50</f>
        <v>0</v>
      </c>
      <c r="W39" s="83">
        <f>'2.1meta'!X50</f>
        <v>0</v>
      </c>
      <c r="X39" s="85">
        <f>SUM(H39:W39)</f>
        <v>0</v>
      </c>
      <c r="Y39" s="89">
        <f t="shared" ref="Y39:Y50" si="21">F39+X39</f>
        <v>0</v>
      </c>
      <c r="Z39" s="90">
        <f>C39-Y39</f>
        <v>0</v>
      </c>
    </row>
    <row r="40" spans="1:26">
      <c r="A40" s="88" t="s">
        <v>29</v>
      </c>
      <c r="B40" s="109" t="s">
        <v>30</v>
      </c>
      <c r="C40" s="83">
        <f>'2.1meta'!D51</f>
        <v>0</v>
      </c>
      <c r="D40" s="83">
        <f>'2.1meta'!E51</f>
        <v>0</v>
      </c>
      <c r="E40" s="83">
        <f>'2.1meta'!F51</f>
        <v>0</v>
      </c>
      <c r="F40" s="84">
        <v>0</v>
      </c>
      <c r="G40" s="106">
        <f>C40-F40</f>
        <v>0</v>
      </c>
      <c r="H40" s="83">
        <f>'2.1meta'!I51</f>
        <v>0</v>
      </c>
      <c r="I40" s="83">
        <f>'2.1meta'!J51</f>
        <v>0</v>
      </c>
      <c r="J40" s="83">
        <f>'2.1meta'!K51</f>
        <v>0</v>
      </c>
      <c r="K40" s="83">
        <f>'2.1meta'!L51</f>
        <v>0</v>
      </c>
      <c r="L40" s="83">
        <f>'2.1meta'!M51</f>
        <v>0</v>
      </c>
      <c r="M40" s="83">
        <f>'2.1meta'!N51</f>
        <v>0</v>
      </c>
      <c r="N40" s="83">
        <f>'2.1meta'!O51</f>
        <v>0</v>
      </c>
      <c r="O40" s="83">
        <f>'2.1meta'!P51</f>
        <v>0</v>
      </c>
      <c r="P40" s="83">
        <f>'2.1meta'!Q51</f>
        <v>0</v>
      </c>
      <c r="Q40" s="83">
        <f>'2.1meta'!R51</f>
        <v>0</v>
      </c>
      <c r="R40" s="83">
        <f>'2.1meta'!S51</f>
        <v>0</v>
      </c>
      <c r="S40" s="83">
        <f>'2.1meta'!T51</f>
        <v>0</v>
      </c>
      <c r="T40" s="83">
        <f>'2.1meta'!U51</f>
        <v>0</v>
      </c>
      <c r="U40" s="83">
        <f>'2.1meta'!V51</f>
        <v>0</v>
      </c>
      <c r="V40" s="83">
        <f>'2.1meta'!W51</f>
        <v>0</v>
      </c>
      <c r="W40" s="83">
        <f>'2.1meta'!X51</f>
        <v>0</v>
      </c>
      <c r="X40" s="85">
        <f t="shared" ref="X40:X66" si="22">SUM(H40:W40)</f>
        <v>0</v>
      </c>
      <c r="Y40" s="89">
        <f t="shared" si="21"/>
        <v>0</v>
      </c>
      <c r="Z40" s="90">
        <f>C40-Y40</f>
        <v>0</v>
      </c>
    </row>
    <row r="41" spans="1:26">
      <c r="A41" s="88" t="s">
        <v>31</v>
      </c>
      <c r="B41" s="109" t="s">
        <v>32</v>
      </c>
      <c r="C41" s="83">
        <f>'2.1meta'!D52</f>
        <v>0</v>
      </c>
      <c r="D41" s="83">
        <f>'2.1meta'!E52</f>
        <v>0</v>
      </c>
      <c r="E41" s="83">
        <f>'2.1meta'!F52</f>
        <v>0</v>
      </c>
      <c r="F41" s="84">
        <v>0</v>
      </c>
      <c r="G41" s="106">
        <f>C41-F41</f>
        <v>0</v>
      </c>
      <c r="H41" s="83">
        <f>'2.1meta'!I52</f>
        <v>0</v>
      </c>
      <c r="I41" s="83">
        <f>'2.1meta'!J52</f>
        <v>0</v>
      </c>
      <c r="J41" s="83">
        <f>'2.1meta'!K52</f>
        <v>0</v>
      </c>
      <c r="K41" s="83">
        <f>'2.1meta'!L52</f>
        <v>0</v>
      </c>
      <c r="L41" s="83">
        <f>'2.1meta'!M52</f>
        <v>0</v>
      </c>
      <c r="M41" s="83">
        <f>'2.1meta'!N52</f>
        <v>0</v>
      </c>
      <c r="N41" s="83">
        <f>'2.1meta'!O52</f>
        <v>0</v>
      </c>
      <c r="O41" s="83">
        <f>'2.1meta'!P52</f>
        <v>0</v>
      </c>
      <c r="P41" s="83">
        <f>'2.1meta'!Q52</f>
        <v>0</v>
      </c>
      <c r="Q41" s="83">
        <f>'2.1meta'!R52</f>
        <v>0</v>
      </c>
      <c r="R41" s="83">
        <f>'2.1meta'!S52</f>
        <v>0</v>
      </c>
      <c r="S41" s="83">
        <f>'2.1meta'!T52</f>
        <v>0</v>
      </c>
      <c r="T41" s="83">
        <f>'2.1meta'!U52</f>
        <v>0</v>
      </c>
      <c r="U41" s="83">
        <f>'2.1meta'!V52</f>
        <v>0</v>
      </c>
      <c r="V41" s="83">
        <f>'2.1meta'!W52</f>
        <v>0</v>
      </c>
      <c r="W41" s="83">
        <f>'2.1meta'!X52</f>
        <v>0</v>
      </c>
      <c r="X41" s="85">
        <f t="shared" si="22"/>
        <v>0</v>
      </c>
      <c r="Y41" s="89">
        <f t="shared" si="21"/>
        <v>0</v>
      </c>
      <c r="Z41" s="90">
        <f>C41-Y41</f>
        <v>0</v>
      </c>
    </row>
    <row r="42" spans="1:26">
      <c r="A42" s="88" t="s">
        <v>33</v>
      </c>
      <c r="B42" s="109" t="s">
        <v>34</v>
      </c>
      <c r="C42" s="83">
        <f>'2.1meta'!D53</f>
        <v>0</v>
      </c>
      <c r="D42" s="83">
        <f>'2.1meta'!E53</f>
        <v>0</v>
      </c>
      <c r="E42" s="83">
        <f>'2.1meta'!F53</f>
        <v>0</v>
      </c>
      <c r="F42" s="84">
        <v>0</v>
      </c>
      <c r="G42" s="106">
        <f>C42-F42</f>
        <v>0</v>
      </c>
      <c r="H42" s="83">
        <f>'2.1meta'!I53</f>
        <v>0</v>
      </c>
      <c r="I42" s="83">
        <f>'2.1meta'!J53</f>
        <v>0</v>
      </c>
      <c r="J42" s="83">
        <f>'2.1meta'!K53</f>
        <v>0</v>
      </c>
      <c r="K42" s="83">
        <f>'2.1meta'!L53</f>
        <v>0</v>
      </c>
      <c r="L42" s="83">
        <f>'2.1meta'!M53</f>
        <v>0</v>
      </c>
      <c r="M42" s="83">
        <f>'2.1meta'!N53</f>
        <v>0</v>
      </c>
      <c r="N42" s="83">
        <f>'2.1meta'!O53</f>
        <v>0</v>
      </c>
      <c r="O42" s="83">
        <f>'2.1meta'!P53</f>
        <v>0</v>
      </c>
      <c r="P42" s="83">
        <f>'2.1meta'!Q53</f>
        <v>0</v>
      </c>
      <c r="Q42" s="83">
        <f>'2.1meta'!R53</f>
        <v>0</v>
      </c>
      <c r="R42" s="83">
        <f>'2.1meta'!S53</f>
        <v>0</v>
      </c>
      <c r="S42" s="83">
        <f>'2.1meta'!T53</f>
        <v>0</v>
      </c>
      <c r="T42" s="83">
        <f>'2.1meta'!U53</f>
        <v>0</v>
      </c>
      <c r="U42" s="83">
        <f>'2.1meta'!V53</f>
        <v>0</v>
      </c>
      <c r="V42" s="83">
        <f>'2.1meta'!W53</f>
        <v>0</v>
      </c>
      <c r="W42" s="83">
        <f>'2.1meta'!X53</f>
        <v>0</v>
      </c>
      <c r="X42" s="85">
        <f t="shared" si="22"/>
        <v>0</v>
      </c>
      <c r="Y42" s="89">
        <f t="shared" si="21"/>
        <v>0</v>
      </c>
      <c r="Z42" s="90">
        <f>C42-Y42</f>
        <v>0</v>
      </c>
    </row>
    <row r="43" spans="1:26">
      <c r="A43" s="88" t="s">
        <v>41</v>
      </c>
      <c r="B43" s="109" t="s">
        <v>42</v>
      </c>
      <c r="C43" s="83">
        <f>'2.1meta'!D54</f>
        <v>0</v>
      </c>
      <c r="D43" s="83">
        <f>'2.1meta'!E54</f>
        <v>0</v>
      </c>
      <c r="E43" s="83">
        <f>'2.1meta'!F54</f>
        <v>0</v>
      </c>
      <c r="F43" s="84">
        <v>0</v>
      </c>
      <c r="G43" s="106">
        <f>C43-F43</f>
        <v>0</v>
      </c>
      <c r="H43" s="83">
        <f>'2.1meta'!I54</f>
        <v>0</v>
      </c>
      <c r="I43" s="83">
        <f>'2.1meta'!J54</f>
        <v>0</v>
      </c>
      <c r="J43" s="83">
        <f>'2.1meta'!K54</f>
        <v>0</v>
      </c>
      <c r="K43" s="83">
        <f>'2.1meta'!L54</f>
        <v>0</v>
      </c>
      <c r="L43" s="83">
        <f>'2.1meta'!M54</f>
        <v>0</v>
      </c>
      <c r="M43" s="83">
        <f>'2.1meta'!N54</f>
        <v>0</v>
      </c>
      <c r="N43" s="83">
        <f>'2.1meta'!O54</f>
        <v>0</v>
      </c>
      <c r="O43" s="83">
        <f>'2.1meta'!P54</f>
        <v>0</v>
      </c>
      <c r="P43" s="83">
        <f>'2.1meta'!Q54</f>
        <v>0</v>
      </c>
      <c r="Q43" s="83">
        <f>'2.1meta'!R54</f>
        <v>0</v>
      </c>
      <c r="R43" s="83">
        <f>'2.1meta'!S54</f>
        <v>0</v>
      </c>
      <c r="S43" s="83">
        <f>'2.1meta'!T54</f>
        <v>0</v>
      </c>
      <c r="T43" s="83">
        <f>'2.1meta'!U54</f>
        <v>0</v>
      </c>
      <c r="U43" s="83">
        <f>'2.1meta'!V54</f>
        <v>0</v>
      </c>
      <c r="V43" s="83">
        <f>'2.1meta'!W54</f>
        <v>0</v>
      </c>
      <c r="W43" s="83">
        <f>'2.1meta'!X54</f>
        <v>0</v>
      </c>
      <c r="X43" s="85">
        <f t="shared" si="22"/>
        <v>0</v>
      </c>
      <c r="Y43" s="89">
        <f t="shared" si="21"/>
        <v>0</v>
      </c>
      <c r="Z43" s="90">
        <f>C43-Y43</f>
        <v>0</v>
      </c>
    </row>
    <row r="44" spans="1:26">
      <c r="A44" s="88" t="s">
        <v>43</v>
      </c>
      <c r="B44" s="109" t="s">
        <v>44</v>
      </c>
      <c r="C44" s="83">
        <f>'2.1meta'!D55</f>
        <v>0</v>
      </c>
      <c r="D44" s="83">
        <f>'2.1meta'!E55</f>
        <v>0</v>
      </c>
      <c r="E44" s="83">
        <f>'2.1meta'!F55</f>
        <v>0</v>
      </c>
      <c r="F44" s="84">
        <v>0</v>
      </c>
      <c r="G44" s="106">
        <f>C44-F44</f>
        <v>0</v>
      </c>
      <c r="H44" s="83">
        <f>'2.1meta'!I55</f>
        <v>0</v>
      </c>
      <c r="I44" s="83">
        <f>'2.1meta'!J55</f>
        <v>0</v>
      </c>
      <c r="J44" s="83">
        <f>'2.1meta'!K55</f>
        <v>0</v>
      </c>
      <c r="K44" s="83">
        <f>'2.1meta'!L55</f>
        <v>0</v>
      </c>
      <c r="L44" s="83">
        <f>'2.1meta'!M55</f>
        <v>0</v>
      </c>
      <c r="M44" s="83">
        <f>'2.1meta'!N55</f>
        <v>0</v>
      </c>
      <c r="N44" s="83">
        <f>'2.1meta'!O55</f>
        <v>0</v>
      </c>
      <c r="O44" s="83">
        <f>'2.1meta'!P55</f>
        <v>0</v>
      </c>
      <c r="P44" s="83">
        <f>'2.1meta'!Q55</f>
        <v>0</v>
      </c>
      <c r="Q44" s="83">
        <f>'2.1meta'!R55</f>
        <v>0</v>
      </c>
      <c r="R44" s="83">
        <f>'2.1meta'!S55</f>
        <v>0</v>
      </c>
      <c r="S44" s="83">
        <f>'2.1meta'!T55</f>
        <v>0</v>
      </c>
      <c r="T44" s="83">
        <f>'2.1meta'!U55</f>
        <v>0</v>
      </c>
      <c r="U44" s="83">
        <f>'2.1meta'!V55</f>
        <v>0</v>
      </c>
      <c r="V44" s="83">
        <f>'2.1meta'!W55</f>
        <v>0</v>
      </c>
      <c r="W44" s="83">
        <f>'2.1meta'!X55</f>
        <v>0</v>
      </c>
      <c r="X44" s="85">
        <f t="shared" si="22"/>
        <v>0</v>
      </c>
      <c r="Y44" s="89">
        <f t="shared" si="21"/>
        <v>0</v>
      </c>
      <c r="Z44" s="90">
        <f>C44-Y44</f>
        <v>0</v>
      </c>
    </row>
    <row r="45" spans="1:26">
      <c r="A45" s="88" t="s">
        <v>45</v>
      </c>
      <c r="B45" s="109" t="s">
        <v>46</v>
      </c>
      <c r="C45" s="83">
        <f>'2.1meta'!D56</f>
        <v>0</v>
      </c>
      <c r="D45" s="83">
        <f>'2.1meta'!E56</f>
        <v>0</v>
      </c>
      <c r="E45" s="83">
        <f>'2.1meta'!F56</f>
        <v>0</v>
      </c>
      <c r="F45" s="84">
        <v>0</v>
      </c>
      <c r="G45" s="106">
        <f>C45-F45</f>
        <v>0</v>
      </c>
      <c r="H45" s="83">
        <f>'2.1meta'!I56</f>
        <v>0</v>
      </c>
      <c r="I45" s="83">
        <f>'2.1meta'!J56</f>
        <v>0</v>
      </c>
      <c r="J45" s="83">
        <f>'2.1meta'!K56</f>
        <v>0</v>
      </c>
      <c r="K45" s="83">
        <f>'2.1meta'!L56</f>
        <v>0</v>
      </c>
      <c r="L45" s="83">
        <f>'2.1meta'!M56</f>
        <v>0</v>
      </c>
      <c r="M45" s="83">
        <f>'2.1meta'!N56</f>
        <v>0</v>
      </c>
      <c r="N45" s="83">
        <f>'2.1meta'!O56</f>
        <v>0</v>
      </c>
      <c r="O45" s="83">
        <f>'2.1meta'!P56</f>
        <v>0</v>
      </c>
      <c r="P45" s="83">
        <f>'2.1meta'!Q56</f>
        <v>0</v>
      </c>
      <c r="Q45" s="83">
        <f>'2.1meta'!R56</f>
        <v>0</v>
      </c>
      <c r="R45" s="83">
        <f>'2.1meta'!S56</f>
        <v>0</v>
      </c>
      <c r="S45" s="83">
        <f>'2.1meta'!T56</f>
        <v>0</v>
      </c>
      <c r="T45" s="83">
        <f>'2.1meta'!U56</f>
        <v>0</v>
      </c>
      <c r="U45" s="83">
        <f>'2.1meta'!V56</f>
        <v>0</v>
      </c>
      <c r="V45" s="83">
        <f>'2.1meta'!W56</f>
        <v>0</v>
      </c>
      <c r="W45" s="83">
        <f>'2.1meta'!X56</f>
        <v>0</v>
      </c>
      <c r="X45" s="85">
        <f t="shared" si="22"/>
        <v>0</v>
      </c>
      <c r="Y45" s="89">
        <f t="shared" si="21"/>
        <v>0</v>
      </c>
      <c r="Z45" s="90">
        <f>C45-Y45</f>
        <v>0</v>
      </c>
    </row>
    <row r="46" spans="1:26">
      <c r="A46" s="88" t="s">
        <v>47</v>
      </c>
      <c r="B46" s="109" t="s">
        <v>48</v>
      </c>
      <c r="C46" s="83">
        <f>'2.1meta'!D57</f>
        <v>0</v>
      </c>
      <c r="D46" s="83">
        <f>'2.1meta'!E57</f>
        <v>0</v>
      </c>
      <c r="E46" s="83">
        <f>'2.1meta'!F57</f>
        <v>0</v>
      </c>
      <c r="F46" s="84">
        <v>0</v>
      </c>
      <c r="G46" s="106">
        <f>C46-F46</f>
        <v>0</v>
      </c>
      <c r="H46" s="83">
        <f>'2.1meta'!I57</f>
        <v>0</v>
      </c>
      <c r="I46" s="83">
        <f>'2.1meta'!J57</f>
        <v>0</v>
      </c>
      <c r="J46" s="83">
        <f>'2.1meta'!K57</f>
        <v>0</v>
      </c>
      <c r="K46" s="83">
        <f>'2.1meta'!L57</f>
        <v>0</v>
      </c>
      <c r="L46" s="83">
        <f>'2.1meta'!M57</f>
        <v>0</v>
      </c>
      <c r="M46" s="83">
        <f>'2.1meta'!N57</f>
        <v>0</v>
      </c>
      <c r="N46" s="83">
        <f>'2.1meta'!O57</f>
        <v>0</v>
      </c>
      <c r="O46" s="83">
        <f>'2.1meta'!P57</f>
        <v>0</v>
      </c>
      <c r="P46" s="83">
        <f>'2.1meta'!Q57</f>
        <v>0</v>
      </c>
      <c r="Q46" s="83">
        <f>'2.1meta'!R57</f>
        <v>0</v>
      </c>
      <c r="R46" s="83">
        <f>'2.1meta'!S57</f>
        <v>0</v>
      </c>
      <c r="S46" s="83">
        <f>'2.1meta'!T57</f>
        <v>0</v>
      </c>
      <c r="T46" s="83">
        <f>'2.1meta'!U57</f>
        <v>0</v>
      </c>
      <c r="U46" s="83">
        <f>'2.1meta'!V57</f>
        <v>0</v>
      </c>
      <c r="V46" s="83">
        <f>'2.1meta'!W57</f>
        <v>0</v>
      </c>
      <c r="W46" s="83">
        <f>'2.1meta'!X57</f>
        <v>0</v>
      </c>
      <c r="X46" s="85">
        <f t="shared" si="22"/>
        <v>0</v>
      </c>
      <c r="Y46" s="89">
        <f t="shared" si="21"/>
        <v>0</v>
      </c>
      <c r="Z46" s="90">
        <f>C46-Y46</f>
        <v>0</v>
      </c>
    </row>
    <row r="47" spans="1:26">
      <c r="A47" s="88" t="s">
        <v>58</v>
      </c>
      <c r="B47" s="109" t="s">
        <v>59</v>
      </c>
      <c r="C47" s="83">
        <f>'2.1meta'!D58</f>
        <v>0</v>
      </c>
      <c r="D47" s="83">
        <f>'2.1meta'!E58</f>
        <v>0</v>
      </c>
      <c r="E47" s="83">
        <f>'2.1meta'!F58</f>
        <v>0</v>
      </c>
      <c r="F47" s="84">
        <v>0</v>
      </c>
      <c r="G47" s="106">
        <f>C47-F47</f>
        <v>0</v>
      </c>
      <c r="H47" s="83">
        <f>'2.1meta'!I58</f>
        <v>0</v>
      </c>
      <c r="I47" s="83">
        <f>'2.1meta'!J58</f>
        <v>0</v>
      </c>
      <c r="J47" s="83">
        <f>'2.1meta'!K58</f>
        <v>0</v>
      </c>
      <c r="K47" s="83">
        <f>'2.1meta'!L58</f>
        <v>0</v>
      </c>
      <c r="L47" s="83">
        <f>'2.1meta'!M58</f>
        <v>0</v>
      </c>
      <c r="M47" s="83">
        <f>'2.1meta'!N58</f>
        <v>0</v>
      </c>
      <c r="N47" s="83">
        <f>'2.1meta'!O58</f>
        <v>0</v>
      </c>
      <c r="O47" s="83">
        <f>'2.1meta'!P58</f>
        <v>0</v>
      </c>
      <c r="P47" s="83">
        <f>'2.1meta'!Q58</f>
        <v>0</v>
      </c>
      <c r="Q47" s="83">
        <f>'2.1meta'!R58</f>
        <v>0</v>
      </c>
      <c r="R47" s="83">
        <f>'2.1meta'!S58</f>
        <v>0</v>
      </c>
      <c r="S47" s="83">
        <f>'2.1meta'!T58</f>
        <v>0</v>
      </c>
      <c r="T47" s="83">
        <f>'2.1meta'!U58</f>
        <v>0</v>
      </c>
      <c r="U47" s="83">
        <f>'2.1meta'!V58</f>
        <v>0</v>
      </c>
      <c r="V47" s="83">
        <f>'2.1meta'!W58</f>
        <v>0</v>
      </c>
      <c r="W47" s="83">
        <f>'2.1meta'!X58</f>
        <v>0</v>
      </c>
      <c r="X47" s="85">
        <f t="shared" si="22"/>
        <v>0</v>
      </c>
      <c r="Y47" s="89">
        <f t="shared" si="21"/>
        <v>0</v>
      </c>
      <c r="Z47" s="90">
        <f>C47-Y47</f>
        <v>0</v>
      </c>
    </row>
    <row r="48" spans="1:26">
      <c r="A48" s="88" t="s">
        <v>49</v>
      </c>
      <c r="B48" s="109" t="s">
        <v>50</v>
      </c>
      <c r="C48" s="83">
        <f>'2.1meta'!D59</f>
        <v>0</v>
      </c>
      <c r="D48" s="83">
        <f>'2.1meta'!E59</f>
        <v>0</v>
      </c>
      <c r="E48" s="83">
        <f>'2.1meta'!F59</f>
        <v>0</v>
      </c>
      <c r="F48" s="84">
        <v>0</v>
      </c>
      <c r="G48" s="106">
        <f>C48-F48</f>
        <v>0</v>
      </c>
      <c r="H48" s="83">
        <f>'2.1meta'!I59</f>
        <v>0</v>
      </c>
      <c r="I48" s="83">
        <f>'2.1meta'!J59</f>
        <v>0</v>
      </c>
      <c r="J48" s="83">
        <f>'2.1meta'!K59</f>
        <v>0</v>
      </c>
      <c r="K48" s="83">
        <f>'2.1meta'!L59</f>
        <v>0</v>
      </c>
      <c r="L48" s="83">
        <f>'2.1meta'!M59</f>
        <v>0</v>
      </c>
      <c r="M48" s="83">
        <f>'2.1meta'!N59</f>
        <v>0</v>
      </c>
      <c r="N48" s="83">
        <f>'2.1meta'!O59</f>
        <v>0</v>
      </c>
      <c r="O48" s="83">
        <f>'2.1meta'!P59</f>
        <v>0</v>
      </c>
      <c r="P48" s="83">
        <f>'2.1meta'!Q59</f>
        <v>0</v>
      </c>
      <c r="Q48" s="83">
        <f>'2.1meta'!R59</f>
        <v>0</v>
      </c>
      <c r="R48" s="83">
        <f>'2.1meta'!S59</f>
        <v>0</v>
      </c>
      <c r="S48" s="83">
        <f>'2.1meta'!T59</f>
        <v>0</v>
      </c>
      <c r="T48" s="83">
        <f>'2.1meta'!U59</f>
        <v>0</v>
      </c>
      <c r="U48" s="83">
        <f>'2.1meta'!V59</f>
        <v>0</v>
      </c>
      <c r="V48" s="83">
        <f>'2.1meta'!W59</f>
        <v>0</v>
      </c>
      <c r="W48" s="83">
        <f>'2.1meta'!X59</f>
        <v>0</v>
      </c>
      <c r="X48" s="85">
        <f t="shared" si="22"/>
        <v>0</v>
      </c>
      <c r="Y48" s="89">
        <f t="shared" si="21"/>
        <v>0</v>
      </c>
      <c r="Z48" s="90">
        <f>C48-Y48</f>
        <v>0</v>
      </c>
    </row>
    <row r="49" spans="1:26">
      <c r="A49" s="88" t="s">
        <v>51</v>
      </c>
      <c r="B49" s="109" t="s">
        <v>52</v>
      </c>
      <c r="C49" s="83">
        <f>'2.1meta'!D60</f>
        <v>0</v>
      </c>
      <c r="D49" s="83">
        <f>'2.1meta'!E60</f>
        <v>0</v>
      </c>
      <c r="E49" s="83">
        <f>'2.1meta'!F60</f>
        <v>0</v>
      </c>
      <c r="F49" s="84">
        <v>0</v>
      </c>
      <c r="G49" s="106">
        <f>C49-F49</f>
        <v>0</v>
      </c>
      <c r="H49" s="83">
        <f>'2.1meta'!I60</f>
        <v>0</v>
      </c>
      <c r="I49" s="83">
        <f>'2.1meta'!J60</f>
        <v>0</v>
      </c>
      <c r="J49" s="83">
        <f>'2.1meta'!K60</f>
        <v>0</v>
      </c>
      <c r="K49" s="83">
        <f>'2.1meta'!L60</f>
        <v>0</v>
      </c>
      <c r="L49" s="83">
        <f>'2.1meta'!M60</f>
        <v>0</v>
      </c>
      <c r="M49" s="83">
        <f>'2.1meta'!N60</f>
        <v>0</v>
      </c>
      <c r="N49" s="83">
        <f>'2.1meta'!O60</f>
        <v>0</v>
      </c>
      <c r="O49" s="83">
        <f>'2.1meta'!P60</f>
        <v>0</v>
      </c>
      <c r="P49" s="83">
        <f>'2.1meta'!Q60</f>
        <v>0</v>
      </c>
      <c r="Q49" s="83">
        <f>'2.1meta'!R60</f>
        <v>0</v>
      </c>
      <c r="R49" s="83">
        <f>'2.1meta'!S60</f>
        <v>0</v>
      </c>
      <c r="S49" s="83">
        <f>'2.1meta'!T60</f>
        <v>0</v>
      </c>
      <c r="T49" s="83">
        <f>'2.1meta'!U60</f>
        <v>0</v>
      </c>
      <c r="U49" s="83">
        <f>'2.1meta'!V60</f>
        <v>0</v>
      </c>
      <c r="V49" s="83">
        <f>'2.1meta'!W60</f>
        <v>0</v>
      </c>
      <c r="W49" s="83">
        <f>'2.1meta'!X60</f>
        <v>0</v>
      </c>
      <c r="X49" s="85">
        <f t="shared" si="22"/>
        <v>0</v>
      </c>
      <c r="Y49" s="89">
        <f t="shared" si="21"/>
        <v>0</v>
      </c>
      <c r="Z49" s="90">
        <f>C49-Y49</f>
        <v>0</v>
      </c>
    </row>
    <row r="50" spans="1:26">
      <c r="A50" s="91" t="s">
        <v>55</v>
      </c>
      <c r="B50" s="111" t="s">
        <v>56</v>
      </c>
      <c r="C50" s="83">
        <f>'2.1meta'!D61</f>
        <v>0</v>
      </c>
      <c r="D50" s="83">
        <f>'2.1meta'!E61</f>
        <v>0</v>
      </c>
      <c r="E50" s="83">
        <f>'2.1meta'!F61</f>
        <v>0</v>
      </c>
      <c r="F50" s="84">
        <v>0</v>
      </c>
      <c r="G50" s="106">
        <f>C50-F50</f>
        <v>0</v>
      </c>
      <c r="H50" s="83">
        <f>'2.1meta'!I61</f>
        <v>0</v>
      </c>
      <c r="I50" s="83">
        <f>'2.1meta'!J61</f>
        <v>0</v>
      </c>
      <c r="J50" s="83">
        <f>'2.1meta'!K61</f>
        <v>0</v>
      </c>
      <c r="K50" s="83">
        <f>'2.1meta'!L61</f>
        <v>0</v>
      </c>
      <c r="L50" s="83">
        <f>'2.1meta'!M61</f>
        <v>0</v>
      </c>
      <c r="M50" s="83">
        <f>'2.1meta'!N61</f>
        <v>0</v>
      </c>
      <c r="N50" s="83">
        <f>'2.1meta'!O61</f>
        <v>0</v>
      </c>
      <c r="O50" s="83">
        <f>'2.1meta'!P61</f>
        <v>0</v>
      </c>
      <c r="P50" s="83">
        <f>'2.1meta'!Q61</f>
        <v>0</v>
      </c>
      <c r="Q50" s="83">
        <f>'2.1meta'!R61</f>
        <v>0</v>
      </c>
      <c r="R50" s="83">
        <f>'2.1meta'!S61</f>
        <v>0</v>
      </c>
      <c r="S50" s="83">
        <f>'2.1meta'!T61</f>
        <v>0</v>
      </c>
      <c r="T50" s="83">
        <f>'2.1meta'!U61</f>
        <v>0</v>
      </c>
      <c r="U50" s="83">
        <f>'2.1meta'!V61</f>
        <v>0</v>
      </c>
      <c r="V50" s="83">
        <f>'2.1meta'!W61</f>
        <v>0</v>
      </c>
      <c r="W50" s="83">
        <f>'2.1meta'!X61</f>
        <v>0</v>
      </c>
      <c r="X50" s="85">
        <f t="shared" si="22"/>
        <v>0</v>
      </c>
      <c r="Y50" s="89">
        <f t="shared" si="21"/>
        <v>0</v>
      </c>
      <c r="Z50" s="90">
        <f>C50-Y50</f>
        <v>0</v>
      </c>
    </row>
    <row r="51" spans="1:26" s="81" customFormat="1" ht="15">
      <c r="A51" s="79" t="s">
        <v>78</v>
      </c>
      <c r="B51" s="79"/>
      <c r="C51" s="80">
        <f>SUBTOTAL(9,C52:C66)</f>
        <v>0</v>
      </c>
      <c r="D51" s="80"/>
      <c r="E51" s="80"/>
      <c r="F51" s="80">
        <f t="shared" ref="F51:Z51" si="23">SUBTOTAL(9,F52:F66)</f>
        <v>0</v>
      </c>
      <c r="G51" s="64">
        <f>C51-F51</f>
        <v>0</v>
      </c>
      <c r="H51" s="80">
        <f t="shared" si="23"/>
        <v>0</v>
      </c>
      <c r="I51" s="80">
        <f t="shared" ref="I51:O51" si="24">SUBTOTAL(9,I52:I66)</f>
        <v>0</v>
      </c>
      <c r="J51" s="80">
        <f t="shared" si="24"/>
        <v>0</v>
      </c>
      <c r="K51" s="80">
        <f t="shared" si="24"/>
        <v>0</v>
      </c>
      <c r="L51" s="80">
        <f t="shared" si="24"/>
        <v>0</v>
      </c>
      <c r="M51" s="80">
        <f t="shared" si="24"/>
        <v>0</v>
      </c>
      <c r="N51" s="80">
        <f t="shared" si="24"/>
        <v>0</v>
      </c>
      <c r="O51" s="80">
        <f t="shared" si="24"/>
        <v>0</v>
      </c>
      <c r="P51" s="80">
        <f t="shared" ref="P51:Q51" si="25">SUBTOTAL(9,P52:P66)</f>
        <v>0</v>
      </c>
      <c r="Q51" s="80">
        <f t="shared" si="25"/>
        <v>0</v>
      </c>
      <c r="R51" s="80">
        <f t="shared" si="23"/>
        <v>0</v>
      </c>
      <c r="S51" s="80">
        <f t="shared" si="23"/>
        <v>0</v>
      </c>
      <c r="T51" s="80">
        <f t="shared" si="23"/>
        <v>0</v>
      </c>
      <c r="U51" s="80">
        <f t="shared" si="23"/>
        <v>0</v>
      </c>
      <c r="V51" s="80">
        <f t="shared" si="23"/>
        <v>0</v>
      </c>
      <c r="W51" s="80">
        <f t="shared" si="23"/>
        <v>0</v>
      </c>
      <c r="X51" s="80">
        <f t="shared" si="23"/>
        <v>0</v>
      </c>
      <c r="Y51" s="80">
        <f t="shared" si="23"/>
        <v>0</v>
      </c>
      <c r="Z51" s="94">
        <f t="shared" si="23"/>
        <v>0</v>
      </c>
    </row>
    <row r="52" spans="1:26">
      <c r="A52" s="88" t="s">
        <v>27</v>
      </c>
      <c r="B52" s="109" t="s">
        <v>28</v>
      </c>
      <c r="C52" s="83">
        <f>'2.1meta'!D63</f>
        <v>0</v>
      </c>
      <c r="D52" s="83">
        <f>'2.1meta'!E63</f>
        <v>0</v>
      </c>
      <c r="E52" s="83">
        <f>'2.1meta'!F63</f>
        <v>0</v>
      </c>
      <c r="F52" s="84">
        <v>0</v>
      </c>
      <c r="G52" s="106">
        <f>C52-F52</f>
        <v>0</v>
      </c>
      <c r="H52" s="83">
        <f>'2.1meta'!I63</f>
        <v>0</v>
      </c>
      <c r="I52" s="83">
        <f>'2.1meta'!J63</f>
        <v>0</v>
      </c>
      <c r="J52" s="83">
        <f>'2.1meta'!K63</f>
        <v>0</v>
      </c>
      <c r="K52" s="83">
        <f>'2.1meta'!L63</f>
        <v>0</v>
      </c>
      <c r="L52" s="83">
        <f>'2.1meta'!M63</f>
        <v>0</v>
      </c>
      <c r="M52" s="83">
        <f>'2.1meta'!N63</f>
        <v>0</v>
      </c>
      <c r="N52" s="83">
        <f>'2.1meta'!O63</f>
        <v>0</v>
      </c>
      <c r="O52" s="83">
        <f>'2.1meta'!P63</f>
        <v>0</v>
      </c>
      <c r="P52" s="83">
        <f>'2.1meta'!Q63</f>
        <v>0</v>
      </c>
      <c r="Q52" s="83">
        <f>'2.1meta'!R63</f>
        <v>0</v>
      </c>
      <c r="R52" s="83">
        <f>'2.1meta'!S63</f>
        <v>0</v>
      </c>
      <c r="S52" s="83">
        <f>'2.1meta'!T63</f>
        <v>0</v>
      </c>
      <c r="T52" s="83">
        <f>'2.1meta'!U63</f>
        <v>0</v>
      </c>
      <c r="U52" s="83">
        <f>'2.1meta'!V63</f>
        <v>0</v>
      </c>
      <c r="V52" s="83">
        <f>'2.1meta'!W63</f>
        <v>0</v>
      </c>
      <c r="W52" s="83">
        <f>'2.1meta'!X63</f>
        <v>0</v>
      </c>
      <c r="X52" s="85">
        <f t="shared" si="22"/>
        <v>0</v>
      </c>
      <c r="Y52" s="89">
        <f t="shared" ref="Y52:Y66" si="26">F52+X52</f>
        <v>0</v>
      </c>
      <c r="Z52" s="90">
        <f>C52-Y52</f>
        <v>0</v>
      </c>
    </row>
    <row r="53" spans="1:26">
      <c r="A53" s="88" t="s">
        <v>29</v>
      </c>
      <c r="B53" s="109" t="s">
        <v>30</v>
      </c>
      <c r="C53" s="83">
        <f>'2.1meta'!D64</f>
        <v>0</v>
      </c>
      <c r="D53" s="83">
        <f>'2.1meta'!E64</f>
        <v>0</v>
      </c>
      <c r="E53" s="83">
        <f>'2.1meta'!F64</f>
        <v>0</v>
      </c>
      <c r="F53" s="84">
        <v>0</v>
      </c>
      <c r="G53" s="106">
        <f>C53-F53</f>
        <v>0</v>
      </c>
      <c r="H53" s="83">
        <f>'2.1meta'!I64</f>
        <v>0</v>
      </c>
      <c r="I53" s="83">
        <f>'2.1meta'!J64</f>
        <v>0</v>
      </c>
      <c r="J53" s="83">
        <f>'2.1meta'!K64</f>
        <v>0</v>
      </c>
      <c r="K53" s="83">
        <f>'2.1meta'!L64</f>
        <v>0</v>
      </c>
      <c r="L53" s="83">
        <f>'2.1meta'!M64</f>
        <v>0</v>
      </c>
      <c r="M53" s="83">
        <f>'2.1meta'!N64</f>
        <v>0</v>
      </c>
      <c r="N53" s="83">
        <f>'2.1meta'!O64</f>
        <v>0</v>
      </c>
      <c r="O53" s="83">
        <f>'2.1meta'!P64</f>
        <v>0</v>
      </c>
      <c r="P53" s="83">
        <f>'2.1meta'!Q64</f>
        <v>0</v>
      </c>
      <c r="Q53" s="83">
        <f>'2.1meta'!R64</f>
        <v>0</v>
      </c>
      <c r="R53" s="83">
        <f>'2.1meta'!S64</f>
        <v>0</v>
      </c>
      <c r="S53" s="83">
        <f>'2.1meta'!T64</f>
        <v>0</v>
      </c>
      <c r="T53" s="83">
        <f>'2.1meta'!U64</f>
        <v>0</v>
      </c>
      <c r="U53" s="83">
        <f>'2.1meta'!V64</f>
        <v>0</v>
      </c>
      <c r="V53" s="83">
        <f>'2.1meta'!W64</f>
        <v>0</v>
      </c>
      <c r="W53" s="83">
        <f>'2.1meta'!X64</f>
        <v>0</v>
      </c>
      <c r="X53" s="85">
        <f t="shared" si="22"/>
        <v>0</v>
      </c>
      <c r="Y53" s="89">
        <f t="shared" si="26"/>
        <v>0</v>
      </c>
      <c r="Z53" s="90">
        <f>C53-Y53</f>
        <v>0</v>
      </c>
    </row>
    <row r="54" spans="1:26">
      <c r="A54" s="88" t="s">
        <v>31</v>
      </c>
      <c r="B54" s="109" t="s">
        <v>32</v>
      </c>
      <c r="C54" s="83">
        <f>'2.1meta'!D65+'2.1meta'!D157</f>
        <v>0</v>
      </c>
      <c r="D54" s="83">
        <f>'2.1meta'!E65+'2.1meta'!E157</f>
        <v>0</v>
      </c>
      <c r="E54" s="83">
        <f>'2.1meta'!F65+'2.1meta'!F157</f>
        <v>0</v>
      </c>
      <c r="F54" s="84">
        <v>0</v>
      </c>
      <c r="G54" s="106">
        <f>C54-F54</f>
        <v>0</v>
      </c>
      <c r="H54" s="83">
        <f>'2.1meta'!I65+'2.1meta'!I157</f>
        <v>0</v>
      </c>
      <c r="I54" s="83">
        <f>'2.1meta'!J65+'2.1meta'!J157</f>
        <v>0</v>
      </c>
      <c r="J54" s="83">
        <f>'2.1meta'!K65+'2.1meta'!K157</f>
        <v>0</v>
      </c>
      <c r="K54" s="83">
        <f>'2.1meta'!L65+'2.1meta'!L157</f>
        <v>0</v>
      </c>
      <c r="L54" s="83">
        <f>'2.1meta'!M65+'2.1meta'!M157</f>
        <v>0</v>
      </c>
      <c r="M54" s="83">
        <f>'2.1meta'!N65+'2.1meta'!N157</f>
        <v>0</v>
      </c>
      <c r="N54" s="83">
        <f>'2.1meta'!O65+'2.1meta'!O157</f>
        <v>0</v>
      </c>
      <c r="O54" s="83">
        <f>'2.1meta'!P65+'2.1meta'!P157</f>
        <v>0</v>
      </c>
      <c r="P54" s="83">
        <f>'2.1meta'!Q65+'2.1meta'!Q157</f>
        <v>0</v>
      </c>
      <c r="Q54" s="83">
        <f>'2.1meta'!R65+'2.1meta'!R157</f>
        <v>0</v>
      </c>
      <c r="R54" s="83">
        <f>'2.1meta'!S65+'2.1meta'!S157</f>
        <v>0</v>
      </c>
      <c r="S54" s="83">
        <f>'2.1meta'!T65+'2.1meta'!T157</f>
        <v>0</v>
      </c>
      <c r="T54" s="83">
        <f>'2.1meta'!U65+'2.1meta'!U157</f>
        <v>0</v>
      </c>
      <c r="U54" s="83">
        <f>'2.1meta'!V65+'2.1meta'!V157</f>
        <v>0</v>
      </c>
      <c r="V54" s="83">
        <f>'2.1meta'!W65+'2.1meta'!W157</f>
        <v>0</v>
      </c>
      <c r="W54" s="83">
        <f>'2.1meta'!X65+'2.1meta'!X157</f>
        <v>0</v>
      </c>
      <c r="X54" s="85">
        <f t="shared" si="22"/>
        <v>0</v>
      </c>
      <c r="Y54" s="89">
        <f t="shared" si="26"/>
        <v>0</v>
      </c>
      <c r="Z54" s="90">
        <f>C54-Y54</f>
        <v>0</v>
      </c>
    </row>
    <row r="55" spans="1:26">
      <c r="A55" s="88" t="s">
        <v>33</v>
      </c>
      <c r="B55" s="109" t="s">
        <v>34</v>
      </c>
      <c r="C55" s="83">
        <f>'2.1meta'!D66</f>
        <v>0</v>
      </c>
      <c r="D55" s="83">
        <f>'2.1meta'!E66</f>
        <v>0</v>
      </c>
      <c r="E55" s="83">
        <f>'2.1meta'!F66</f>
        <v>0</v>
      </c>
      <c r="F55" s="84">
        <v>0</v>
      </c>
      <c r="G55" s="106">
        <f>C55-F55</f>
        <v>0</v>
      </c>
      <c r="H55" s="83">
        <f>'2.1meta'!I66</f>
        <v>0</v>
      </c>
      <c r="I55" s="83">
        <f>'2.1meta'!J66</f>
        <v>0</v>
      </c>
      <c r="J55" s="83">
        <f>'2.1meta'!K66</f>
        <v>0</v>
      </c>
      <c r="K55" s="83">
        <f>'2.1meta'!L66</f>
        <v>0</v>
      </c>
      <c r="L55" s="83">
        <f>'2.1meta'!M66</f>
        <v>0</v>
      </c>
      <c r="M55" s="83">
        <f>'2.1meta'!N66</f>
        <v>0</v>
      </c>
      <c r="N55" s="83">
        <f>'2.1meta'!O66</f>
        <v>0</v>
      </c>
      <c r="O55" s="83">
        <f>'2.1meta'!P66</f>
        <v>0</v>
      </c>
      <c r="P55" s="83">
        <f>'2.1meta'!Q66</f>
        <v>0</v>
      </c>
      <c r="Q55" s="83">
        <f>'2.1meta'!R66</f>
        <v>0</v>
      </c>
      <c r="R55" s="83">
        <f>'2.1meta'!S66</f>
        <v>0</v>
      </c>
      <c r="S55" s="83">
        <f>'2.1meta'!T66</f>
        <v>0</v>
      </c>
      <c r="T55" s="83">
        <f>'2.1meta'!U66</f>
        <v>0</v>
      </c>
      <c r="U55" s="83">
        <f>'2.1meta'!V66</f>
        <v>0</v>
      </c>
      <c r="V55" s="83">
        <f>'2.1meta'!W66</f>
        <v>0</v>
      </c>
      <c r="W55" s="83">
        <f>'2.1meta'!X66</f>
        <v>0</v>
      </c>
      <c r="X55" s="85">
        <f t="shared" si="22"/>
        <v>0</v>
      </c>
      <c r="Y55" s="89">
        <f t="shared" si="26"/>
        <v>0</v>
      </c>
      <c r="Z55" s="90">
        <f>C55-Y55</f>
        <v>0</v>
      </c>
    </row>
    <row r="56" spans="1:26">
      <c r="A56" s="88" t="s">
        <v>35</v>
      </c>
      <c r="B56" s="109" t="s">
        <v>36</v>
      </c>
      <c r="C56" s="83">
        <f>'2.1meta'!D67+'2.1meta'!D158</f>
        <v>0</v>
      </c>
      <c r="D56" s="83">
        <f>'2.1meta'!E67+'2.1meta'!E158</f>
        <v>0</v>
      </c>
      <c r="E56" s="83">
        <f>'2.1meta'!F67+'2.1meta'!F158</f>
        <v>0</v>
      </c>
      <c r="F56" s="84">
        <v>0</v>
      </c>
      <c r="G56" s="106">
        <f>C56-F56</f>
        <v>0</v>
      </c>
      <c r="H56" s="83">
        <f>'2.1meta'!I67+'2.1meta'!I158</f>
        <v>0</v>
      </c>
      <c r="I56" s="83">
        <f>'2.1meta'!J67+'2.1meta'!J158</f>
        <v>0</v>
      </c>
      <c r="J56" s="83">
        <f>'2.1meta'!K67+'2.1meta'!K158</f>
        <v>0</v>
      </c>
      <c r="K56" s="83">
        <f>'2.1meta'!L67+'2.1meta'!L158</f>
        <v>0</v>
      </c>
      <c r="L56" s="83">
        <f>'2.1meta'!M67+'2.1meta'!M158</f>
        <v>0</v>
      </c>
      <c r="M56" s="83">
        <f>'2.1meta'!N67+'2.1meta'!N158</f>
        <v>0</v>
      </c>
      <c r="N56" s="83">
        <f>'2.1meta'!O67+'2.1meta'!O158</f>
        <v>0</v>
      </c>
      <c r="O56" s="83">
        <f>'2.1meta'!P67+'2.1meta'!P158</f>
        <v>0</v>
      </c>
      <c r="P56" s="83">
        <f>'2.1meta'!Q67+'2.1meta'!Q158</f>
        <v>0</v>
      </c>
      <c r="Q56" s="83">
        <f>'2.1meta'!R67+'2.1meta'!R158</f>
        <v>0</v>
      </c>
      <c r="R56" s="83">
        <f>'2.1meta'!S67+'2.1meta'!S158</f>
        <v>0</v>
      </c>
      <c r="S56" s="83">
        <f>'2.1meta'!T67+'2.1meta'!T158</f>
        <v>0</v>
      </c>
      <c r="T56" s="83">
        <f>'2.1meta'!U67+'2.1meta'!U158</f>
        <v>0</v>
      </c>
      <c r="U56" s="83">
        <f>'2.1meta'!V67+'2.1meta'!V158</f>
        <v>0</v>
      </c>
      <c r="V56" s="83">
        <f>'2.1meta'!W67+'2.1meta'!W158</f>
        <v>0</v>
      </c>
      <c r="W56" s="83">
        <f>'2.1meta'!X67+'2.1meta'!X158</f>
        <v>0</v>
      </c>
      <c r="X56" s="85">
        <f t="shared" si="22"/>
        <v>0</v>
      </c>
      <c r="Y56" s="89">
        <f t="shared" si="26"/>
        <v>0</v>
      </c>
      <c r="Z56" s="90">
        <f>C56-Y56</f>
        <v>0</v>
      </c>
    </row>
    <row r="57" spans="1:26">
      <c r="A57" s="88" t="s">
        <v>37</v>
      </c>
      <c r="B57" s="109" t="s">
        <v>38</v>
      </c>
      <c r="C57" s="83">
        <f>'2.1meta'!D68+'2.1meta'!D159</f>
        <v>0</v>
      </c>
      <c r="D57" s="83">
        <f>'2.1meta'!E68+'2.1meta'!E159</f>
        <v>0</v>
      </c>
      <c r="E57" s="83">
        <f>'2.1meta'!F68+'2.1meta'!F159</f>
        <v>0</v>
      </c>
      <c r="F57" s="84">
        <v>0</v>
      </c>
      <c r="G57" s="106">
        <f>C57-F57</f>
        <v>0</v>
      </c>
      <c r="H57" s="83">
        <f>'2.1meta'!I68+'2.1meta'!I159</f>
        <v>0</v>
      </c>
      <c r="I57" s="83">
        <f>'2.1meta'!J68+'2.1meta'!J159</f>
        <v>0</v>
      </c>
      <c r="J57" s="83">
        <f>'2.1meta'!K68+'2.1meta'!K159</f>
        <v>0</v>
      </c>
      <c r="K57" s="83">
        <f>'2.1meta'!L68+'2.1meta'!L159</f>
        <v>0</v>
      </c>
      <c r="L57" s="83">
        <f>'2.1meta'!M68+'2.1meta'!M159</f>
        <v>0</v>
      </c>
      <c r="M57" s="83">
        <f>'2.1meta'!N68+'2.1meta'!N159</f>
        <v>0</v>
      </c>
      <c r="N57" s="83">
        <f>'2.1meta'!O68+'2.1meta'!O159</f>
        <v>0</v>
      </c>
      <c r="O57" s="83">
        <f>'2.1meta'!P68+'2.1meta'!P159</f>
        <v>0</v>
      </c>
      <c r="P57" s="83">
        <f>'2.1meta'!Q68+'2.1meta'!Q159</f>
        <v>0</v>
      </c>
      <c r="Q57" s="83">
        <f>'2.1meta'!R68+'2.1meta'!R159</f>
        <v>0</v>
      </c>
      <c r="R57" s="83">
        <f>'2.1meta'!S68+'2.1meta'!S159</f>
        <v>0</v>
      </c>
      <c r="S57" s="83">
        <f>'2.1meta'!T68+'2.1meta'!T159</f>
        <v>0</v>
      </c>
      <c r="T57" s="83">
        <f>'2.1meta'!U68+'2.1meta'!U159</f>
        <v>0</v>
      </c>
      <c r="U57" s="83">
        <f>'2.1meta'!V68+'2.1meta'!V159</f>
        <v>0</v>
      </c>
      <c r="V57" s="83">
        <f>'2.1meta'!W68+'2.1meta'!W159</f>
        <v>0</v>
      </c>
      <c r="W57" s="83">
        <f>'2.1meta'!X68+'2.1meta'!X159</f>
        <v>0</v>
      </c>
      <c r="X57" s="85">
        <f t="shared" si="22"/>
        <v>0</v>
      </c>
      <c r="Y57" s="89">
        <f t="shared" si="26"/>
        <v>0</v>
      </c>
      <c r="Z57" s="90">
        <f>C57-Y57</f>
        <v>0</v>
      </c>
    </row>
    <row r="58" spans="1:26">
      <c r="A58" s="88" t="s">
        <v>39</v>
      </c>
      <c r="B58" s="109" t="s">
        <v>40</v>
      </c>
      <c r="C58" s="83">
        <f>'2.1meta'!D69+'2.1meta'!D160</f>
        <v>0</v>
      </c>
      <c r="D58" s="83">
        <f>'2.1meta'!E69+'2.1meta'!E160</f>
        <v>0</v>
      </c>
      <c r="E58" s="83">
        <f>'2.1meta'!F69+'2.1meta'!F160</f>
        <v>0</v>
      </c>
      <c r="F58" s="84">
        <v>0</v>
      </c>
      <c r="G58" s="106">
        <f>C58-F58</f>
        <v>0</v>
      </c>
      <c r="H58" s="83">
        <f>'2.1meta'!I69+'2.1meta'!I160</f>
        <v>0</v>
      </c>
      <c r="I58" s="83">
        <f>'2.1meta'!J69+'2.1meta'!J160</f>
        <v>0</v>
      </c>
      <c r="J58" s="83">
        <f>'2.1meta'!K69+'2.1meta'!K160</f>
        <v>0</v>
      </c>
      <c r="K58" s="83">
        <f>'2.1meta'!L69+'2.1meta'!L160</f>
        <v>0</v>
      </c>
      <c r="L58" s="83">
        <f>'2.1meta'!M69+'2.1meta'!M160</f>
        <v>0</v>
      </c>
      <c r="M58" s="83">
        <f>'2.1meta'!N69+'2.1meta'!N160</f>
        <v>0</v>
      </c>
      <c r="N58" s="83">
        <f>'2.1meta'!O69+'2.1meta'!O160</f>
        <v>0</v>
      </c>
      <c r="O58" s="83">
        <f>'2.1meta'!P69+'2.1meta'!P160</f>
        <v>0</v>
      </c>
      <c r="P58" s="83">
        <f>'2.1meta'!Q69+'2.1meta'!Q160</f>
        <v>0</v>
      </c>
      <c r="Q58" s="83">
        <f>'2.1meta'!R69+'2.1meta'!R160</f>
        <v>0</v>
      </c>
      <c r="R58" s="83">
        <f>'2.1meta'!S69+'2.1meta'!S160</f>
        <v>0</v>
      </c>
      <c r="S58" s="83">
        <f>'2.1meta'!T69+'2.1meta'!T160</f>
        <v>0</v>
      </c>
      <c r="T58" s="83">
        <f>'2.1meta'!U69+'2.1meta'!U160</f>
        <v>0</v>
      </c>
      <c r="U58" s="83">
        <f>'2.1meta'!V69+'2.1meta'!V160</f>
        <v>0</v>
      </c>
      <c r="V58" s="83">
        <f>'2.1meta'!W69+'2.1meta'!W160</f>
        <v>0</v>
      </c>
      <c r="W58" s="83">
        <f>'2.1meta'!X69+'2.1meta'!X160</f>
        <v>0</v>
      </c>
      <c r="X58" s="85">
        <f t="shared" si="22"/>
        <v>0</v>
      </c>
      <c r="Y58" s="89">
        <f t="shared" si="26"/>
        <v>0</v>
      </c>
      <c r="Z58" s="90">
        <f>C58-Y58</f>
        <v>0</v>
      </c>
    </row>
    <row r="59" spans="1:26">
      <c r="A59" s="88" t="s">
        <v>41</v>
      </c>
      <c r="B59" s="109" t="s">
        <v>42</v>
      </c>
      <c r="C59" s="83">
        <f>'2.1meta'!D70+'2.1meta'!D161</f>
        <v>0</v>
      </c>
      <c r="D59" s="83">
        <f>'2.1meta'!E70+'2.1meta'!E161</f>
        <v>0</v>
      </c>
      <c r="E59" s="83">
        <f>'2.1meta'!F70+'2.1meta'!F161</f>
        <v>0</v>
      </c>
      <c r="F59" s="84">
        <v>0</v>
      </c>
      <c r="G59" s="106">
        <f>C59-F59</f>
        <v>0</v>
      </c>
      <c r="H59" s="83">
        <f>'2.1meta'!I70+'2.1meta'!I161</f>
        <v>0</v>
      </c>
      <c r="I59" s="83">
        <f>'2.1meta'!J70+'2.1meta'!J161</f>
        <v>0</v>
      </c>
      <c r="J59" s="83">
        <f>'2.1meta'!K70+'2.1meta'!K161</f>
        <v>0</v>
      </c>
      <c r="K59" s="83">
        <f>'2.1meta'!L70+'2.1meta'!L161</f>
        <v>0</v>
      </c>
      <c r="L59" s="83">
        <f>'2.1meta'!M70+'2.1meta'!M161</f>
        <v>0</v>
      </c>
      <c r="M59" s="83">
        <f>'2.1meta'!N70+'2.1meta'!N161</f>
        <v>0</v>
      </c>
      <c r="N59" s="83">
        <f>'2.1meta'!O70+'2.1meta'!O161</f>
        <v>0</v>
      </c>
      <c r="O59" s="83">
        <f>'2.1meta'!P70+'2.1meta'!P161</f>
        <v>0</v>
      </c>
      <c r="P59" s="83">
        <f>'2.1meta'!Q70+'2.1meta'!Q161</f>
        <v>0</v>
      </c>
      <c r="Q59" s="83">
        <f>'2.1meta'!R70+'2.1meta'!R161</f>
        <v>0</v>
      </c>
      <c r="R59" s="83">
        <f>'2.1meta'!S70+'2.1meta'!S161</f>
        <v>0</v>
      </c>
      <c r="S59" s="83">
        <f>'2.1meta'!T70+'2.1meta'!T161</f>
        <v>0</v>
      </c>
      <c r="T59" s="83">
        <f>'2.1meta'!U70+'2.1meta'!U161</f>
        <v>0</v>
      </c>
      <c r="U59" s="83">
        <f>'2.1meta'!V70+'2.1meta'!V161</f>
        <v>0</v>
      </c>
      <c r="V59" s="83">
        <f>'2.1meta'!W70+'2.1meta'!W161</f>
        <v>0</v>
      </c>
      <c r="W59" s="83">
        <f>'2.1meta'!X70+'2.1meta'!X161</f>
        <v>0</v>
      </c>
      <c r="X59" s="85">
        <f t="shared" si="22"/>
        <v>0</v>
      </c>
      <c r="Y59" s="89">
        <f t="shared" si="26"/>
        <v>0</v>
      </c>
      <c r="Z59" s="90">
        <f>C59-Y59</f>
        <v>0</v>
      </c>
    </row>
    <row r="60" spans="1:26">
      <c r="A60" s="88" t="s">
        <v>43</v>
      </c>
      <c r="B60" s="109" t="s">
        <v>44</v>
      </c>
      <c r="C60" s="83">
        <f>'2.1meta'!D71+'2.1meta'!D162</f>
        <v>0</v>
      </c>
      <c r="D60" s="83">
        <f>'2.1meta'!E71+'2.1meta'!E162</f>
        <v>0</v>
      </c>
      <c r="E60" s="83">
        <f>'2.1meta'!F71+'2.1meta'!F162</f>
        <v>0</v>
      </c>
      <c r="F60" s="84">
        <v>0</v>
      </c>
      <c r="G60" s="106">
        <f>C60-F60</f>
        <v>0</v>
      </c>
      <c r="H60" s="83">
        <f>'2.1meta'!I71+'2.1meta'!I162</f>
        <v>0</v>
      </c>
      <c r="I60" s="83">
        <f>'2.1meta'!J71+'2.1meta'!J162</f>
        <v>0</v>
      </c>
      <c r="J60" s="83">
        <f>'2.1meta'!K71+'2.1meta'!K162</f>
        <v>0</v>
      </c>
      <c r="K60" s="83">
        <f>'2.1meta'!L71+'2.1meta'!L162</f>
        <v>0</v>
      </c>
      <c r="L60" s="83">
        <f>'2.1meta'!M71+'2.1meta'!M162</f>
        <v>0</v>
      </c>
      <c r="M60" s="83">
        <f>'2.1meta'!N71+'2.1meta'!N162</f>
        <v>0</v>
      </c>
      <c r="N60" s="83">
        <f>'2.1meta'!O71+'2.1meta'!O162</f>
        <v>0</v>
      </c>
      <c r="O60" s="83">
        <f>'2.1meta'!P71+'2.1meta'!P162</f>
        <v>0</v>
      </c>
      <c r="P60" s="83">
        <f>'2.1meta'!Q71+'2.1meta'!Q162</f>
        <v>0</v>
      </c>
      <c r="Q60" s="83">
        <f>'2.1meta'!R71+'2.1meta'!R162</f>
        <v>0</v>
      </c>
      <c r="R60" s="83">
        <f>'2.1meta'!S71+'2.1meta'!S162</f>
        <v>0</v>
      </c>
      <c r="S60" s="83">
        <f>'2.1meta'!T71+'2.1meta'!T162</f>
        <v>0</v>
      </c>
      <c r="T60" s="83">
        <f>'2.1meta'!U71+'2.1meta'!U162</f>
        <v>0</v>
      </c>
      <c r="U60" s="83">
        <f>'2.1meta'!V71+'2.1meta'!V162</f>
        <v>0</v>
      </c>
      <c r="V60" s="83">
        <f>'2.1meta'!W71+'2.1meta'!W162</f>
        <v>0</v>
      </c>
      <c r="W60" s="83">
        <f>'2.1meta'!X71+'2.1meta'!X162</f>
        <v>0</v>
      </c>
      <c r="X60" s="85">
        <f t="shared" si="22"/>
        <v>0</v>
      </c>
      <c r="Y60" s="89">
        <f t="shared" si="26"/>
        <v>0</v>
      </c>
      <c r="Z60" s="90">
        <f>C60-Y60</f>
        <v>0</v>
      </c>
    </row>
    <row r="61" spans="1:26">
      <c r="A61" s="88" t="s">
        <v>45</v>
      </c>
      <c r="B61" s="109" t="s">
        <v>46</v>
      </c>
      <c r="C61" s="83">
        <f>'2.1meta'!D72+'2.1meta'!D163</f>
        <v>0</v>
      </c>
      <c r="D61" s="83">
        <f>'2.1meta'!E72+'2.1meta'!E163</f>
        <v>0</v>
      </c>
      <c r="E61" s="83">
        <f>'2.1meta'!F72+'2.1meta'!F163</f>
        <v>0</v>
      </c>
      <c r="F61" s="84">
        <v>0</v>
      </c>
      <c r="G61" s="106">
        <f>C61-F61</f>
        <v>0</v>
      </c>
      <c r="H61" s="83">
        <f>'2.1meta'!I72+'2.1meta'!I163</f>
        <v>0</v>
      </c>
      <c r="I61" s="83">
        <f>'2.1meta'!J72+'2.1meta'!J163</f>
        <v>0</v>
      </c>
      <c r="J61" s="83">
        <f>'2.1meta'!K72+'2.1meta'!K163</f>
        <v>0</v>
      </c>
      <c r="K61" s="83">
        <f>'2.1meta'!L72+'2.1meta'!L163</f>
        <v>0</v>
      </c>
      <c r="L61" s="83">
        <f>'2.1meta'!M72+'2.1meta'!M163</f>
        <v>0</v>
      </c>
      <c r="M61" s="83">
        <f>'2.1meta'!N72+'2.1meta'!N163</f>
        <v>0</v>
      </c>
      <c r="N61" s="83">
        <f>'2.1meta'!O72+'2.1meta'!O163</f>
        <v>0</v>
      </c>
      <c r="O61" s="83">
        <f>'2.1meta'!P72+'2.1meta'!P163</f>
        <v>0</v>
      </c>
      <c r="P61" s="83">
        <f>'2.1meta'!Q72+'2.1meta'!Q163</f>
        <v>0</v>
      </c>
      <c r="Q61" s="83">
        <f>'2.1meta'!R72+'2.1meta'!R163</f>
        <v>0</v>
      </c>
      <c r="R61" s="83">
        <f>'2.1meta'!S72+'2.1meta'!S163</f>
        <v>0</v>
      </c>
      <c r="S61" s="83">
        <f>'2.1meta'!T72+'2.1meta'!T163</f>
        <v>0</v>
      </c>
      <c r="T61" s="83">
        <f>'2.1meta'!U72+'2.1meta'!U163</f>
        <v>0</v>
      </c>
      <c r="U61" s="83">
        <f>'2.1meta'!V72+'2.1meta'!V163</f>
        <v>0</v>
      </c>
      <c r="V61" s="83">
        <f>'2.1meta'!W72+'2.1meta'!W163</f>
        <v>0</v>
      </c>
      <c r="W61" s="83">
        <f>'2.1meta'!X72+'2.1meta'!X163</f>
        <v>0</v>
      </c>
      <c r="X61" s="85">
        <f t="shared" si="22"/>
        <v>0</v>
      </c>
      <c r="Y61" s="89">
        <f t="shared" si="26"/>
        <v>0</v>
      </c>
      <c r="Z61" s="90">
        <f>C61-Y61</f>
        <v>0</v>
      </c>
    </row>
    <row r="62" spans="1:26">
      <c r="A62" s="88" t="s">
        <v>47</v>
      </c>
      <c r="B62" s="109" t="s">
        <v>48</v>
      </c>
      <c r="C62" s="83">
        <f>'2.1meta'!D73+'2.1meta'!D164</f>
        <v>0</v>
      </c>
      <c r="D62" s="83">
        <f>'2.1meta'!E73+'2.1meta'!E164</f>
        <v>0</v>
      </c>
      <c r="E62" s="83">
        <f>'2.1meta'!F73+'2.1meta'!F164</f>
        <v>0</v>
      </c>
      <c r="F62" s="84">
        <v>0</v>
      </c>
      <c r="G62" s="106">
        <f>C62-F62</f>
        <v>0</v>
      </c>
      <c r="H62" s="83">
        <f>'2.1meta'!I73+'2.1meta'!I164</f>
        <v>0</v>
      </c>
      <c r="I62" s="83">
        <f>'2.1meta'!J73+'2.1meta'!J164</f>
        <v>0</v>
      </c>
      <c r="J62" s="83">
        <f>'2.1meta'!K73+'2.1meta'!K164</f>
        <v>0</v>
      </c>
      <c r="K62" s="83">
        <f>'2.1meta'!L73+'2.1meta'!L164</f>
        <v>0</v>
      </c>
      <c r="L62" s="83">
        <f>'2.1meta'!M73+'2.1meta'!M164</f>
        <v>0</v>
      </c>
      <c r="M62" s="83">
        <f>'2.1meta'!N73+'2.1meta'!N164</f>
        <v>0</v>
      </c>
      <c r="N62" s="83">
        <f>'2.1meta'!O73+'2.1meta'!O164</f>
        <v>0</v>
      </c>
      <c r="O62" s="83">
        <f>'2.1meta'!P73+'2.1meta'!P164</f>
        <v>0</v>
      </c>
      <c r="P62" s="83">
        <f>'2.1meta'!Q73+'2.1meta'!Q164</f>
        <v>0</v>
      </c>
      <c r="Q62" s="83">
        <f>'2.1meta'!R73+'2.1meta'!R164</f>
        <v>0</v>
      </c>
      <c r="R62" s="83">
        <f>'2.1meta'!S73+'2.1meta'!S164</f>
        <v>0</v>
      </c>
      <c r="S62" s="83">
        <f>'2.1meta'!T73+'2.1meta'!T164</f>
        <v>0</v>
      </c>
      <c r="T62" s="83">
        <f>'2.1meta'!U73+'2.1meta'!U164</f>
        <v>0</v>
      </c>
      <c r="U62" s="83">
        <f>'2.1meta'!V73+'2.1meta'!V164</f>
        <v>0</v>
      </c>
      <c r="V62" s="83">
        <f>'2.1meta'!W73+'2.1meta'!W164</f>
        <v>0</v>
      </c>
      <c r="W62" s="83">
        <f>'2.1meta'!X73+'2.1meta'!X164</f>
        <v>0</v>
      </c>
      <c r="X62" s="85">
        <f t="shared" si="22"/>
        <v>0</v>
      </c>
      <c r="Y62" s="89">
        <f t="shared" si="26"/>
        <v>0</v>
      </c>
      <c r="Z62" s="90">
        <f>C62-Y62</f>
        <v>0</v>
      </c>
    </row>
    <row r="63" spans="1:26">
      <c r="A63" s="88" t="s">
        <v>49</v>
      </c>
      <c r="B63" s="109" t="s">
        <v>50</v>
      </c>
      <c r="C63" s="83">
        <f>'2.1meta'!D74+'2.1meta'!D165</f>
        <v>0</v>
      </c>
      <c r="D63" s="83">
        <f>'2.1meta'!E74+'2.1meta'!E165</f>
        <v>0</v>
      </c>
      <c r="E63" s="83">
        <f>'2.1meta'!F74+'2.1meta'!F165</f>
        <v>0</v>
      </c>
      <c r="F63" s="84">
        <v>0</v>
      </c>
      <c r="G63" s="106">
        <f>C63-F63</f>
        <v>0</v>
      </c>
      <c r="H63" s="83">
        <f>'2.1meta'!I74+'2.1meta'!I165</f>
        <v>0</v>
      </c>
      <c r="I63" s="83">
        <f>'2.1meta'!J74+'2.1meta'!J165</f>
        <v>0</v>
      </c>
      <c r="J63" s="83">
        <f>'2.1meta'!K74+'2.1meta'!K165</f>
        <v>0</v>
      </c>
      <c r="K63" s="83">
        <f>'2.1meta'!L74+'2.1meta'!L165</f>
        <v>0</v>
      </c>
      <c r="L63" s="83">
        <f>'2.1meta'!M74+'2.1meta'!M165</f>
        <v>0</v>
      </c>
      <c r="M63" s="83">
        <f>'2.1meta'!N74+'2.1meta'!N165</f>
        <v>0</v>
      </c>
      <c r="N63" s="83">
        <f>'2.1meta'!O74+'2.1meta'!O165</f>
        <v>0</v>
      </c>
      <c r="O63" s="83">
        <f>'2.1meta'!P74+'2.1meta'!P165</f>
        <v>0</v>
      </c>
      <c r="P63" s="83">
        <f>'2.1meta'!Q74+'2.1meta'!Q165</f>
        <v>0</v>
      </c>
      <c r="Q63" s="83">
        <f>'2.1meta'!R74+'2.1meta'!R165</f>
        <v>0</v>
      </c>
      <c r="R63" s="83">
        <f>'2.1meta'!S74+'2.1meta'!S165</f>
        <v>0</v>
      </c>
      <c r="S63" s="83">
        <f>'2.1meta'!T74+'2.1meta'!T165</f>
        <v>0</v>
      </c>
      <c r="T63" s="83">
        <f>'2.1meta'!U74+'2.1meta'!U165</f>
        <v>0</v>
      </c>
      <c r="U63" s="83">
        <f>'2.1meta'!V74+'2.1meta'!V165</f>
        <v>0</v>
      </c>
      <c r="V63" s="83">
        <f>'2.1meta'!W74+'2.1meta'!W165</f>
        <v>0</v>
      </c>
      <c r="W63" s="83">
        <f>'2.1meta'!X74+'2.1meta'!X165</f>
        <v>0</v>
      </c>
      <c r="X63" s="85">
        <f t="shared" si="22"/>
        <v>0</v>
      </c>
      <c r="Y63" s="89">
        <f t="shared" si="26"/>
        <v>0</v>
      </c>
      <c r="Z63" s="90">
        <f>C63-Y63</f>
        <v>0</v>
      </c>
    </row>
    <row r="64" spans="1:26">
      <c r="A64" s="88" t="s">
        <v>51</v>
      </c>
      <c r="B64" s="109" t="s">
        <v>52</v>
      </c>
      <c r="C64" s="83">
        <f>'2.1meta'!D75+'2.1meta'!D166</f>
        <v>0</v>
      </c>
      <c r="D64" s="83">
        <f>'2.1meta'!E75+'2.1meta'!E166</f>
        <v>0</v>
      </c>
      <c r="E64" s="83">
        <f>'2.1meta'!F75+'2.1meta'!F166</f>
        <v>0</v>
      </c>
      <c r="F64" s="84">
        <v>0</v>
      </c>
      <c r="G64" s="106">
        <f>C64-F64</f>
        <v>0</v>
      </c>
      <c r="H64" s="83">
        <f>'2.1meta'!I75+'2.1meta'!I166</f>
        <v>0</v>
      </c>
      <c r="I64" s="83">
        <f>'2.1meta'!J75+'2.1meta'!J166</f>
        <v>0</v>
      </c>
      <c r="J64" s="83">
        <f>'2.1meta'!K75+'2.1meta'!K166</f>
        <v>0</v>
      </c>
      <c r="K64" s="83">
        <f>'2.1meta'!L75+'2.1meta'!L166</f>
        <v>0</v>
      </c>
      <c r="L64" s="83">
        <f>'2.1meta'!M75+'2.1meta'!M166</f>
        <v>0</v>
      </c>
      <c r="M64" s="83">
        <f>'2.1meta'!N75+'2.1meta'!N166</f>
        <v>0</v>
      </c>
      <c r="N64" s="83">
        <f>'2.1meta'!O75+'2.1meta'!O166</f>
        <v>0</v>
      </c>
      <c r="O64" s="83">
        <f>'2.1meta'!P75+'2.1meta'!P166</f>
        <v>0</v>
      </c>
      <c r="P64" s="83">
        <f>'2.1meta'!Q75+'2.1meta'!Q166</f>
        <v>0</v>
      </c>
      <c r="Q64" s="83">
        <f>'2.1meta'!R75+'2.1meta'!R166</f>
        <v>0</v>
      </c>
      <c r="R64" s="83">
        <f>'2.1meta'!S75+'2.1meta'!S166</f>
        <v>0</v>
      </c>
      <c r="S64" s="83">
        <f>'2.1meta'!T75+'2.1meta'!T166</f>
        <v>0</v>
      </c>
      <c r="T64" s="83">
        <f>'2.1meta'!U75+'2.1meta'!U166</f>
        <v>0</v>
      </c>
      <c r="U64" s="83">
        <f>'2.1meta'!V75+'2.1meta'!V166</f>
        <v>0</v>
      </c>
      <c r="V64" s="83">
        <f>'2.1meta'!W75+'2.1meta'!W166</f>
        <v>0</v>
      </c>
      <c r="W64" s="83">
        <f>'2.1meta'!X75+'2.1meta'!X166</f>
        <v>0</v>
      </c>
      <c r="X64" s="85">
        <f t="shared" si="22"/>
        <v>0</v>
      </c>
      <c r="Y64" s="89">
        <f t="shared" si="26"/>
        <v>0</v>
      </c>
      <c r="Z64" s="90">
        <f>C64-Y64</f>
        <v>0</v>
      </c>
    </row>
    <row r="65" spans="1:26">
      <c r="A65" s="88" t="s">
        <v>53</v>
      </c>
      <c r="B65" s="109" t="s">
        <v>54</v>
      </c>
      <c r="C65" s="83">
        <f>'2.1meta'!D76</f>
        <v>0</v>
      </c>
      <c r="D65" s="83">
        <f>'2.1meta'!E76</f>
        <v>0</v>
      </c>
      <c r="E65" s="83">
        <f>'2.1meta'!F76</f>
        <v>0</v>
      </c>
      <c r="F65" s="84">
        <v>0</v>
      </c>
      <c r="G65" s="106">
        <f>C65-F65</f>
        <v>0</v>
      </c>
      <c r="H65" s="83">
        <f>'2.1meta'!I76</f>
        <v>0</v>
      </c>
      <c r="I65" s="83">
        <f>'2.1meta'!J76</f>
        <v>0</v>
      </c>
      <c r="J65" s="83">
        <f>'2.1meta'!K76</f>
        <v>0</v>
      </c>
      <c r="K65" s="83">
        <f>'2.1meta'!L76</f>
        <v>0</v>
      </c>
      <c r="L65" s="83">
        <f>'2.1meta'!M76</f>
        <v>0</v>
      </c>
      <c r="M65" s="83">
        <f>'2.1meta'!N76</f>
        <v>0</v>
      </c>
      <c r="N65" s="83">
        <f>'2.1meta'!O76</f>
        <v>0</v>
      </c>
      <c r="O65" s="83">
        <f>'2.1meta'!P76</f>
        <v>0</v>
      </c>
      <c r="P65" s="83">
        <f>'2.1meta'!Q76</f>
        <v>0</v>
      </c>
      <c r="Q65" s="83">
        <f>'2.1meta'!R76</f>
        <v>0</v>
      </c>
      <c r="R65" s="83">
        <f>'2.1meta'!S76</f>
        <v>0</v>
      </c>
      <c r="S65" s="83">
        <f>'2.1meta'!T76</f>
        <v>0</v>
      </c>
      <c r="T65" s="83">
        <f>'2.1meta'!U76</f>
        <v>0</v>
      </c>
      <c r="U65" s="83">
        <f>'2.1meta'!V76</f>
        <v>0</v>
      </c>
      <c r="V65" s="83">
        <f>'2.1meta'!W76</f>
        <v>0</v>
      </c>
      <c r="W65" s="83">
        <f>'2.1meta'!X76</f>
        <v>0</v>
      </c>
      <c r="X65" s="85">
        <f t="shared" si="22"/>
        <v>0</v>
      </c>
      <c r="Y65" s="89">
        <f t="shared" si="26"/>
        <v>0</v>
      </c>
      <c r="Z65" s="90">
        <f>C65-Y65</f>
        <v>0</v>
      </c>
    </row>
    <row r="66" spans="1:26">
      <c r="A66" s="88" t="s">
        <v>55</v>
      </c>
      <c r="B66" s="109" t="s">
        <v>56</v>
      </c>
      <c r="C66" s="83">
        <f>'2.1meta'!D77+'2.1meta'!D167</f>
        <v>0</v>
      </c>
      <c r="D66" s="83">
        <f>'2.1meta'!E77+'2.1meta'!E167</f>
        <v>0</v>
      </c>
      <c r="E66" s="83">
        <f>'2.1meta'!F77+'2.1meta'!F167</f>
        <v>0</v>
      </c>
      <c r="F66" s="84">
        <v>0</v>
      </c>
      <c r="G66" s="106">
        <f>C66-F66</f>
        <v>0</v>
      </c>
      <c r="H66" s="83">
        <f>'2.1meta'!I77+'2.1meta'!I167</f>
        <v>0</v>
      </c>
      <c r="I66" s="83">
        <f>'2.1meta'!J77+'2.1meta'!J167</f>
        <v>0</v>
      </c>
      <c r="J66" s="83">
        <f>'2.1meta'!K77+'2.1meta'!K167</f>
        <v>0</v>
      </c>
      <c r="K66" s="83">
        <f>'2.1meta'!L77+'2.1meta'!L167</f>
        <v>0</v>
      </c>
      <c r="L66" s="83">
        <f>'2.1meta'!M77+'2.1meta'!M167</f>
        <v>0</v>
      </c>
      <c r="M66" s="83">
        <f>'2.1meta'!N77+'2.1meta'!N167</f>
        <v>0</v>
      </c>
      <c r="N66" s="83">
        <f>'2.1meta'!O77+'2.1meta'!O167</f>
        <v>0</v>
      </c>
      <c r="O66" s="83">
        <f>'2.1meta'!P77+'2.1meta'!P167</f>
        <v>0</v>
      </c>
      <c r="P66" s="83">
        <f>'2.1meta'!Q77+'2.1meta'!Q167</f>
        <v>0</v>
      </c>
      <c r="Q66" s="83">
        <f>'2.1meta'!R77+'2.1meta'!R167</f>
        <v>0</v>
      </c>
      <c r="R66" s="83">
        <f>'2.1meta'!S77+'2.1meta'!S167</f>
        <v>0</v>
      </c>
      <c r="S66" s="83">
        <f>'2.1meta'!T77+'2.1meta'!T167</f>
        <v>0</v>
      </c>
      <c r="T66" s="83">
        <f>'2.1meta'!U77+'2.1meta'!U167</f>
        <v>0</v>
      </c>
      <c r="U66" s="83">
        <f>'2.1meta'!V77+'2.1meta'!V167</f>
        <v>0</v>
      </c>
      <c r="V66" s="83">
        <f>'2.1meta'!W77+'2.1meta'!W167</f>
        <v>0</v>
      </c>
      <c r="W66" s="83">
        <f>'2.1meta'!X77+'2.1meta'!X167</f>
        <v>0</v>
      </c>
      <c r="X66" s="85">
        <f t="shared" si="22"/>
        <v>0</v>
      </c>
      <c r="Y66" s="89">
        <f t="shared" si="26"/>
        <v>0</v>
      </c>
      <c r="Z66" s="90">
        <f>C66-Y66</f>
        <v>0</v>
      </c>
    </row>
    <row r="67" spans="1:26" s="47" customFormat="1">
      <c r="A67" s="96" t="s">
        <v>126</v>
      </c>
      <c r="B67" s="97"/>
      <c r="C67" s="98">
        <f>SUBTOTAL(9,C5:C66)</f>
        <v>0</v>
      </c>
      <c r="D67" s="98"/>
      <c r="E67" s="98"/>
      <c r="F67" s="98">
        <f t="shared" ref="F67" si="27">SUBTOTAL(9,F5:F66)</f>
        <v>0</v>
      </c>
      <c r="G67" s="64">
        <f>C67-F67</f>
        <v>0</v>
      </c>
      <c r="H67" s="98">
        <f>SUBTOTAL(9,H5:H66)</f>
        <v>0</v>
      </c>
      <c r="I67" s="98">
        <f t="shared" ref="I67:O67" si="28">SUBTOTAL(9,I5:I66)</f>
        <v>0</v>
      </c>
      <c r="J67" s="98">
        <f t="shared" si="28"/>
        <v>0</v>
      </c>
      <c r="K67" s="98">
        <f t="shared" si="28"/>
        <v>0</v>
      </c>
      <c r="L67" s="98">
        <f t="shared" si="28"/>
        <v>0</v>
      </c>
      <c r="M67" s="98">
        <f t="shared" si="28"/>
        <v>0</v>
      </c>
      <c r="N67" s="98">
        <f t="shared" si="28"/>
        <v>0</v>
      </c>
      <c r="O67" s="98">
        <f t="shared" si="28"/>
        <v>0</v>
      </c>
      <c r="P67" s="98">
        <f>SUBTOTAL(9,P5:P66)</f>
        <v>0</v>
      </c>
      <c r="Q67" s="98">
        <f>SUBTOTAL(9,Q5:Q66)</f>
        <v>0</v>
      </c>
      <c r="R67" s="98">
        <f>SUBTOTAL(9,R5:R66)</f>
        <v>0</v>
      </c>
      <c r="S67" s="98">
        <f>SUBTOTAL(9,S5:S66)</f>
        <v>0</v>
      </c>
      <c r="T67" s="98">
        <f t="shared" ref="T67:W67" si="29">SUBTOTAL(9,T5:T66)</f>
        <v>0</v>
      </c>
      <c r="U67" s="98">
        <f t="shared" si="29"/>
        <v>0</v>
      </c>
      <c r="V67" s="98">
        <f t="shared" si="29"/>
        <v>0</v>
      </c>
      <c r="W67" s="98">
        <f t="shared" si="29"/>
        <v>0</v>
      </c>
      <c r="X67" s="98">
        <f>SUBTOTAL(9,X5:X66)</f>
        <v>0</v>
      </c>
      <c r="Y67" s="99">
        <f>SUBTOTAL(9,Y5:Y66)</f>
        <v>0</v>
      </c>
      <c r="Z67" s="100">
        <f>SUBTOTAL(9,Z5:Z66)</f>
        <v>0</v>
      </c>
    </row>
    <row r="69" spans="1:26">
      <c r="C69" s="101"/>
      <c r="D69" s="101"/>
      <c r="E69" s="101"/>
      <c r="F69" s="32"/>
      <c r="G69" s="32"/>
    </row>
    <row r="70" spans="1:26">
      <c r="C70" s="34"/>
      <c r="D70" s="34"/>
      <c r="E70" s="34"/>
    </row>
    <row r="71" spans="1:26">
      <c r="C71" s="34"/>
      <c r="D71" s="34"/>
      <c r="E71" s="34"/>
    </row>
    <row r="72" spans="1:26">
      <c r="C72" s="34"/>
      <c r="D72" s="34"/>
      <c r="E72" s="34"/>
    </row>
    <row r="73" spans="1:26">
      <c r="C73" s="34"/>
      <c r="D73" s="34"/>
      <c r="E73" s="34"/>
    </row>
    <row r="74" spans="1:26">
      <c r="C74" s="34"/>
      <c r="D74" s="34"/>
      <c r="E74" s="34"/>
    </row>
    <row r="75" spans="1:26">
      <c r="C75" s="34"/>
      <c r="D75" s="34"/>
      <c r="E75" s="34"/>
    </row>
    <row r="76" spans="1:26">
      <c r="C76" s="34"/>
      <c r="D76" s="34"/>
      <c r="E76" s="34"/>
    </row>
    <row r="77" spans="1:26">
      <c r="C77" s="34"/>
      <c r="D77" s="34"/>
      <c r="E77" s="34"/>
    </row>
  </sheetData>
  <mergeCells count="13">
    <mergeCell ref="A3:B4"/>
    <mergeCell ref="C3:C4"/>
    <mergeCell ref="F3:F4"/>
    <mergeCell ref="X3:X4"/>
    <mergeCell ref="Y3:Y4"/>
    <mergeCell ref="Z3:Z4"/>
    <mergeCell ref="D3:D4"/>
    <mergeCell ref="E3:E4"/>
    <mergeCell ref="H3:S3"/>
    <mergeCell ref="T3:U3"/>
    <mergeCell ref="V3:V4"/>
    <mergeCell ref="W3:W4"/>
    <mergeCell ref="G3:G4"/>
  </mergeCells>
  <pageMargins left="0.31496062992125984" right="0.31496062992125984" top="0.74803149606299213" bottom="0.35433070866141736" header="0.31496062992125984" footer="0.31496062992125984"/>
  <pageSetup paperSize="9" scale="5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Z32"/>
  <sheetViews>
    <sheetView workbookViewId="0">
      <selection activeCell="I5" sqref="I5"/>
    </sheetView>
  </sheetViews>
  <sheetFormatPr baseColWidth="10" defaultRowHeight="12.75"/>
  <cols>
    <col min="1" max="1" width="9.140625" customWidth="1"/>
    <col min="2" max="2" width="30.42578125" customWidth="1"/>
    <col min="3" max="3" width="10.5703125" customWidth="1"/>
    <col min="4" max="5" width="10.5703125" hidden="1" customWidth="1"/>
    <col min="7" max="7" width="0" hidden="1" customWidth="1"/>
    <col min="8" max="17" width="11" customWidth="1"/>
    <col min="18" max="18" width="11.5703125" customWidth="1"/>
    <col min="19" max="19" width="11.140625" customWidth="1"/>
    <col min="20" max="20" width="9" customWidth="1"/>
    <col min="21" max="21" width="9.140625" customWidth="1"/>
    <col min="22" max="22" width="9.5703125" customWidth="1"/>
    <col min="23" max="23" width="11.7109375" customWidth="1"/>
    <col min="24" max="24" width="12.28515625" customWidth="1"/>
    <col min="25" max="25" width="12.42578125" customWidth="1"/>
    <col min="26" max="26" width="10.85546875" customWidth="1"/>
  </cols>
  <sheetData>
    <row r="1" spans="1:26" ht="15.75">
      <c r="A1" s="78" t="s">
        <v>103</v>
      </c>
      <c r="F1" s="1"/>
      <c r="G1" s="1"/>
      <c r="Z1" s="1"/>
    </row>
    <row r="2" spans="1:26">
      <c r="F2" s="1"/>
      <c r="G2" s="1"/>
      <c r="Z2" s="1"/>
    </row>
    <row r="3" spans="1:26" ht="27.75" customHeight="1">
      <c r="A3" s="222" t="s">
        <v>74</v>
      </c>
      <c r="B3" s="223"/>
      <c r="C3" s="215" t="s">
        <v>104</v>
      </c>
      <c r="D3" s="207" t="s">
        <v>4</v>
      </c>
      <c r="E3" s="207" t="s">
        <v>5</v>
      </c>
      <c r="F3" s="215" t="s">
        <v>73</v>
      </c>
      <c r="G3" s="197" t="s">
        <v>97</v>
      </c>
      <c r="H3" s="217" t="s">
        <v>123</v>
      </c>
      <c r="I3" s="218"/>
      <c r="J3" s="218"/>
      <c r="K3" s="218"/>
      <c r="L3" s="218"/>
      <c r="M3" s="218"/>
      <c r="N3" s="218"/>
      <c r="O3" s="218"/>
      <c r="P3" s="218"/>
      <c r="Q3" s="218"/>
      <c r="R3" s="218"/>
      <c r="S3" s="219"/>
      <c r="T3" s="209" t="s">
        <v>102</v>
      </c>
      <c r="U3" s="211"/>
      <c r="V3" s="213" t="s">
        <v>119</v>
      </c>
      <c r="W3" s="212" t="s">
        <v>118</v>
      </c>
      <c r="X3" s="215" t="s">
        <v>105</v>
      </c>
      <c r="Y3" s="215" t="s">
        <v>106</v>
      </c>
      <c r="Z3" s="215" t="s">
        <v>107</v>
      </c>
    </row>
    <row r="4" spans="1:26" ht="33" customHeight="1">
      <c r="A4" s="224"/>
      <c r="B4" s="225"/>
      <c r="C4" s="226"/>
      <c r="D4" s="208"/>
      <c r="E4" s="208"/>
      <c r="F4" s="216"/>
      <c r="G4" s="198"/>
      <c r="H4" s="107" t="s">
        <v>108</v>
      </c>
      <c r="I4" s="107" t="s">
        <v>109</v>
      </c>
      <c r="J4" s="107" t="s">
        <v>110</v>
      </c>
      <c r="K4" s="107" t="s">
        <v>111</v>
      </c>
      <c r="L4" s="107" t="s">
        <v>112</v>
      </c>
      <c r="M4" s="107" t="s">
        <v>113</v>
      </c>
      <c r="N4" s="107" t="s">
        <v>114</v>
      </c>
      <c r="O4" s="107" t="s">
        <v>115</v>
      </c>
      <c r="P4" s="107" t="s">
        <v>116</v>
      </c>
      <c r="Q4" s="107" t="s">
        <v>117</v>
      </c>
      <c r="R4" s="107" t="s">
        <v>121</v>
      </c>
      <c r="S4" s="107" t="s">
        <v>122</v>
      </c>
      <c r="T4" s="77">
        <v>276</v>
      </c>
      <c r="U4" s="77">
        <v>728</v>
      </c>
      <c r="V4" s="214"/>
      <c r="W4" s="212"/>
      <c r="X4" s="216"/>
      <c r="Y4" s="216"/>
      <c r="Z4" s="216"/>
    </row>
    <row r="5" spans="1:26" ht="15.75" customHeight="1">
      <c r="A5" s="82" t="s">
        <v>27</v>
      </c>
      <c r="B5" s="108" t="s">
        <v>28</v>
      </c>
      <c r="C5" s="83">
        <f>'2.1meta'!D7+'2.1meta'!D23+'2.1meta'!D50+'2.1meta'!D63+'2.1meta'!D130</f>
        <v>0</v>
      </c>
      <c r="D5" s="83">
        <f>'2.1meta'!E7+'2.1meta'!E23+'2.1meta'!E50+'2.1meta'!E63+'2.1meta'!E130</f>
        <v>0</v>
      </c>
      <c r="E5" s="83">
        <f>'2.1meta'!F7+'2.1meta'!F23+'2.1meta'!F50+'2.1meta'!F63+'2.1meta'!F130</f>
        <v>0</v>
      </c>
      <c r="F5" s="84">
        <v>0</v>
      </c>
      <c r="G5" s="106">
        <f>C5-F5</f>
        <v>0</v>
      </c>
      <c r="H5" s="83">
        <f>'2.1meta'!I7+'2.1meta'!I23+'2.1meta'!I50+'2.1meta'!I63+'2.1meta'!I130</f>
        <v>0</v>
      </c>
      <c r="I5" s="83">
        <f>'2.1meta'!J7+'2.1meta'!J23+'2.1meta'!J50+'2.1meta'!J63+'2.1meta'!J130</f>
        <v>0</v>
      </c>
      <c r="J5" s="83">
        <f>'2.1meta'!K7+'2.1meta'!K23+'2.1meta'!K50+'2.1meta'!K63+'2.1meta'!K130</f>
        <v>0</v>
      </c>
      <c r="K5" s="83">
        <f>'2.1meta'!L7+'2.1meta'!L23+'2.1meta'!L50+'2.1meta'!L63+'2.1meta'!L130</f>
        <v>0</v>
      </c>
      <c r="L5" s="83">
        <f>'2.1meta'!M7+'2.1meta'!M23+'2.1meta'!M50+'2.1meta'!M63+'2.1meta'!M130</f>
        <v>0</v>
      </c>
      <c r="M5" s="83">
        <f>'2.1meta'!N7+'2.1meta'!N23+'2.1meta'!N50+'2.1meta'!N63+'2.1meta'!N130</f>
        <v>0</v>
      </c>
      <c r="N5" s="83">
        <f>'2.1meta'!O7+'2.1meta'!O23+'2.1meta'!O50+'2.1meta'!O63+'2.1meta'!O130</f>
        <v>0</v>
      </c>
      <c r="O5" s="83">
        <f>'2.1meta'!P7+'2.1meta'!P23+'2.1meta'!P50+'2.1meta'!P63+'2.1meta'!P130</f>
        <v>0</v>
      </c>
      <c r="P5" s="83">
        <f>'2.1meta'!Q7+'2.1meta'!Q23+'2.1meta'!Q50+'2.1meta'!Q63+'2.1meta'!Q130</f>
        <v>0</v>
      </c>
      <c r="Q5" s="83">
        <f>'2.1meta'!R7+'2.1meta'!R23+'2.1meta'!R50+'2.1meta'!R63+'2.1meta'!R130</f>
        <v>0</v>
      </c>
      <c r="R5" s="83">
        <f>'2.1meta'!S7+'2.1meta'!S23+'2.1meta'!S50+'2.1meta'!S63+'2.1meta'!S130</f>
        <v>0</v>
      </c>
      <c r="S5" s="83">
        <f>'2.1meta'!T7+'2.1meta'!T23+'2.1meta'!T50+'2.1meta'!T63+'2.1meta'!T130</f>
        <v>0</v>
      </c>
      <c r="T5" s="83">
        <f>'2.1meta'!U7+'2.1meta'!U23+'2.1meta'!U50+'2.1meta'!U63+'2.1meta'!U130</f>
        <v>0</v>
      </c>
      <c r="U5" s="83">
        <f>'2.1meta'!V7+'2.1meta'!V23+'2.1meta'!V50+'2.1meta'!V63+'2.1meta'!V130</f>
        <v>0</v>
      </c>
      <c r="V5" s="83">
        <f>'2.1meta'!W7+'2.1meta'!W23+'2.1meta'!W50+'2.1meta'!W63+'2.1meta'!W130</f>
        <v>0</v>
      </c>
      <c r="W5" s="83">
        <f>'2.1meta'!X7+'2.1meta'!X23+'2.1meta'!X50+'2.1meta'!X63+'2.1meta'!X130</f>
        <v>0</v>
      </c>
      <c r="X5" s="85">
        <f>SUM(H5:W5)</f>
        <v>0</v>
      </c>
      <c r="Y5" s="86">
        <f>F5+X5</f>
        <v>0</v>
      </c>
      <c r="Z5" s="87">
        <f>C5-Y5</f>
        <v>0</v>
      </c>
    </row>
    <row r="6" spans="1:26" ht="15.75" customHeight="1">
      <c r="A6" s="88" t="s">
        <v>29</v>
      </c>
      <c r="B6" s="109" t="s">
        <v>30</v>
      </c>
      <c r="C6" s="83">
        <f>'2.1meta'!D8+'2.1meta'!D24+'2.1meta'!D40+'2.1meta'!D51+'2.1meta'!D64+'2.1meta'!D79+'2.1meta'!D92+'2.1meta'!D104+'2.1meta'!D131+'2.1meta'!D145</f>
        <v>0</v>
      </c>
      <c r="D6" s="83">
        <f>'2.1meta'!E8+'2.1meta'!E24+'2.1meta'!E40+'2.1meta'!E51+'2.1meta'!E64+'2.1meta'!E79+'2.1meta'!E92+'2.1meta'!E104+'2.1meta'!E131+'2.1meta'!E145</f>
        <v>0</v>
      </c>
      <c r="E6" s="83">
        <f>'2.1meta'!F8+'2.1meta'!F24+'2.1meta'!F40+'2.1meta'!F51+'2.1meta'!F64+'2.1meta'!F79+'2.1meta'!F92+'2.1meta'!F104+'2.1meta'!F131+'2.1meta'!F145</f>
        <v>0</v>
      </c>
      <c r="F6" s="84">
        <v>0</v>
      </c>
      <c r="G6" s="106">
        <f>C6-F6</f>
        <v>0</v>
      </c>
      <c r="H6" s="83">
        <f>'2.1meta'!I8+'2.1meta'!I24+'2.1meta'!I40+'2.1meta'!I51+'2.1meta'!I64+'2.1meta'!I79+'2.1meta'!I92+'2.1meta'!I104+'2.1meta'!I131+'2.1meta'!I145</f>
        <v>0</v>
      </c>
      <c r="I6" s="83">
        <f>'2.1meta'!J8+'2.1meta'!J24+'2.1meta'!J40+'2.1meta'!J51+'2.1meta'!J64+'2.1meta'!J79+'2.1meta'!J92+'2.1meta'!J104+'2.1meta'!J131+'2.1meta'!J145</f>
        <v>0</v>
      </c>
      <c r="J6" s="83">
        <f>'2.1meta'!K8+'2.1meta'!K24+'2.1meta'!K40+'2.1meta'!K51+'2.1meta'!K64+'2.1meta'!K79+'2.1meta'!K92+'2.1meta'!K104+'2.1meta'!K131+'2.1meta'!K145</f>
        <v>0</v>
      </c>
      <c r="K6" s="83">
        <f>'2.1meta'!L8+'2.1meta'!L24+'2.1meta'!L40+'2.1meta'!L51+'2.1meta'!L64+'2.1meta'!L79+'2.1meta'!L92+'2.1meta'!L104+'2.1meta'!L131+'2.1meta'!L145</f>
        <v>0</v>
      </c>
      <c r="L6" s="83">
        <f>'2.1meta'!M8+'2.1meta'!M24+'2.1meta'!M40+'2.1meta'!M51+'2.1meta'!M64+'2.1meta'!M79+'2.1meta'!M92+'2.1meta'!M104+'2.1meta'!M131+'2.1meta'!M145</f>
        <v>0</v>
      </c>
      <c r="M6" s="83">
        <f>'2.1meta'!N8+'2.1meta'!N24+'2.1meta'!N40+'2.1meta'!N51+'2.1meta'!N64+'2.1meta'!N79+'2.1meta'!N92+'2.1meta'!N104+'2.1meta'!N131+'2.1meta'!N145</f>
        <v>0</v>
      </c>
      <c r="N6" s="83">
        <f>'2.1meta'!O8+'2.1meta'!O24+'2.1meta'!O40+'2.1meta'!O51+'2.1meta'!O64+'2.1meta'!O79+'2.1meta'!O92+'2.1meta'!O104+'2.1meta'!O131+'2.1meta'!O145</f>
        <v>0</v>
      </c>
      <c r="O6" s="83">
        <f>'2.1meta'!P8+'2.1meta'!P24+'2.1meta'!P40+'2.1meta'!P51+'2.1meta'!P64+'2.1meta'!P79+'2.1meta'!P92+'2.1meta'!P104+'2.1meta'!P131+'2.1meta'!P145</f>
        <v>0</v>
      </c>
      <c r="P6" s="83">
        <f>'2.1meta'!Q8+'2.1meta'!Q24+'2.1meta'!Q40+'2.1meta'!Q51+'2.1meta'!Q64+'2.1meta'!Q79+'2.1meta'!Q92+'2.1meta'!Q104+'2.1meta'!Q131+'2.1meta'!Q145</f>
        <v>0</v>
      </c>
      <c r="Q6" s="83">
        <f>'2.1meta'!R8+'2.1meta'!R24+'2.1meta'!R40+'2.1meta'!R51+'2.1meta'!R64+'2.1meta'!R79+'2.1meta'!R92+'2.1meta'!R104+'2.1meta'!R131+'2.1meta'!R145</f>
        <v>0</v>
      </c>
      <c r="R6" s="83">
        <f>'2.1meta'!S8+'2.1meta'!S24+'2.1meta'!S40+'2.1meta'!S51+'2.1meta'!S64+'2.1meta'!S79+'2.1meta'!S92+'2.1meta'!S104+'2.1meta'!S131+'2.1meta'!S145</f>
        <v>0</v>
      </c>
      <c r="S6" s="83">
        <f>'2.1meta'!T8+'2.1meta'!T24+'2.1meta'!T40+'2.1meta'!T51+'2.1meta'!T64+'2.1meta'!T79+'2.1meta'!T92+'2.1meta'!T104+'2.1meta'!T131+'2.1meta'!T145</f>
        <v>0</v>
      </c>
      <c r="T6" s="83">
        <f>'2.1meta'!U8+'2.1meta'!U24+'2.1meta'!U40+'2.1meta'!U51+'2.1meta'!U64+'2.1meta'!U79+'2.1meta'!U92+'2.1meta'!U104+'2.1meta'!U131+'2.1meta'!U145</f>
        <v>0</v>
      </c>
      <c r="U6" s="83">
        <f>'2.1meta'!V8+'2.1meta'!V24+'2.1meta'!V40+'2.1meta'!V51+'2.1meta'!V64+'2.1meta'!V79+'2.1meta'!V92+'2.1meta'!V104+'2.1meta'!V131+'2.1meta'!V145</f>
        <v>0</v>
      </c>
      <c r="V6" s="83">
        <f>'2.1meta'!W8+'2.1meta'!W24+'2.1meta'!W40+'2.1meta'!W51+'2.1meta'!W64+'2.1meta'!W79+'2.1meta'!W92+'2.1meta'!W104+'2.1meta'!W131+'2.1meta'!W145</f>
        <v>0</v>
      </c>
      <c r="W6" s="83">
        <f>'2.1meta'!X8+'2.1meta'!X24+'2.1meta'!X40+'2.1meta'!X51+'2.1meta'!X64+'2.1meta'!X79+'2.1meta'!X92+'2.1meta'!X104+'2.1meta'!X131+'2.1meta'!X145</f>
        <v>0</v>
      </c>
      <c r="X6" s="85">
        <f t="shared" ref="X6:X21" si="0">SUM(H6:W6)</f>
        <v>0</v>
      </c>
      <c r="Y6" s="86">
        <f t="shared" ref="Y6:Y21" si="1">F6+X6</f>
        <v>0</v>
      </c>
      <c r="Z6" s="87">
        <f>C6-Y6</f>
        <v>0</v>
      </c>
    </row>
    <row r="7" spans="1:26" ht="15.75" customHeight="1">
      <c r="A7" s="88" t="s">
        <v>31</v>
      </c>
      <c r="B7" s="109" t="s">
        <v>32</v>
      </c>
      <c r="C7" s="83">
        <f>'2.1meta'!D9+'2.1meta'!D25+'2.1meta'!D41+'2.1meta'!D52+'2.1meta'!D65+'2.1meta'!D93+'2.1meta'!D132+'2.1meta'!D157</f>
        <v>0</v>
      </c>
      <c r="D7" s="83">
        <f>'2.1meta'!E9+'2.1meta'!E25+'2.1meta'!E41+'2.1meta'!E52+'2.1meta'!E65+'2.1meta'!E93+'2.1meta'!E132+'2.1meta'!E157</f>
        <v>0</v>
      </c>
      <c r="E7" s="83">
        <f>'2.1meta'!F9+'2.1meta'!F25+'2.1meta'!F41+'2.1meta'!F52+'2.1meta'!F65+'2.1meta'!F93+'2.1meta'!F132+'2.1meta'!F157</f>
        <v>0</v>
      </c>
      <c r="F7" s="84">
        <v>0</v>
      </c>
      <c r="G7" s="106">
        <f>C7-F7</f>
        <v>0</v>
      </c>
      <c r="H7" s="83">
        <f>'2.1meta'!I9+'2.1meta'!I25+'2.1meta'!I41+'2.1meta'!I52+'2.1meta'!I65+'2.1meta'!I93+'2.1meta'!I132+'2.1meta'!I157</f>
        <v>0</v>
      </c>
      <c r="I7" s="83">
        <f>'2.1meta'!J9+'2.1meta'!J25+'2.1meta'!J41+'2.1meta'!J52+'2.1meta'!J65+'2.1meta'!J93+'2.1meta'!J132+'2.1meta'!J157</f>
        <v>0</v>
      </c>
      <c r="J7" s="83">
        <f>'2.1meta'!K9+'2.1meta'!K25+'2.1meta'!K41+'2.1meta'!K52+'2.1meta'!K65+'2.1meta'!K93+'2.1meta'!K132+'2.1meta'!K157</f>
        <v>0</v>
      </c>
      <c r="K7" s="83">
        <f>'2.1meta'!L9+'2.1meta'!L25+'2.1meta'!L41+'2.1meta'!L52+'2.1meta'!L65+'2.1meta'!L93+'2.1meta'!L132+'2.1meta'!L157</f>
        <v>0</v>
      </c>
      <c r="L7" s="83">
        <f>'2.1meta'!M9+'2.1meta'!M25+'2.1meta'!M41+'2.1meta'!M52+'2.1meta'!M65+'2.1meta'!M93+'2.1meta'!M132+'2.1meta'!M157</f>
        <v>0</v>
      </c>
      <c r="M7" s="83">
        <f>'2.1meta'!N9+'2.1meta'!N25+'2.1meta'!N41+'2.1meta'!N52+'2.1meta'!N65+'2.1meta'!N93+'2.1meta'!N132+'2.1meta'!N157</f>
        <v>0</v>
      </c>
      <c r="N7" s="83">
        <f>'2.1meta'!O9+'2.1meta'!O25+'2.1meta'!O41+'2.1meta'!O52+'2.1meta'!O65+'2.1meta'!O93+'2.1meta'!O132+'2.1meta'!O157</f>
        <v>0</v>
      </c>
      <c r="O7" s="83">
        <f>'2.1meta'!P9+'2.1meta'!P25+'2.1meta'!P41+'2.1meta'!P52+'2.1meta'!P65+'2.1meta'!P93+'2.1meta'!P132+'2.1meta'!P157</f>
        <v>0</v>
      </c>
      <c r="P7" s="83">
        <f>'2.1meta'!Q9+'2.1meta'!Q25+'2.1meta'!Q41+'2.1meta'!Q52+'2.1meta'!Q65+'2.1meta'!Q93+'2.1meta'!Q132+'2.1meta'!Q157</f>
        <v>0</v>
      </c>
      <c r="Q7" s="83">
        <f>'2.1meta'!R9+'2.1meta'!R25+'2.1meta'!R41+'2.1meta'!R52+'2.1meta'!R65+'2.1meta'!R93+'2.1meta'!R132+'2.1meta'!R157</f>
        <v>0</v>
      </c>
      <c r="R7" s="83">
        <f>'2.1meta'!S9+'2.1meta'!S25+'2.1meta'!S41+'2.1meta'!S52+'2.1meta'!S65+'2.1meta'!S93+'2.1meta'!S132+'2.1meta'!S157</f>
        <v>0</v>
      </c>
      <c r="S7" s="83">
        <f>'2.1meta'!T9+'2.1meta'!T25+'2.1meta'!T41+'2.1meta'!T52+'2.1meta'!T65+'2.1meta'!T93+'2.1meta'!T132+'2.1meta'!T157</f>
        <v>0</v>
      </c>
      <c r="T7" s="83">
        <f>'2.1meta'!U9+'2.1meta'!U25+'2.1meta'!U41+'2.1meta'!U52+'2.1meta'!U65+'2.1meta'!U93+'2.1meta'!U132+'2.1meta'!U157</f>
        <v>0</v>
      </c>
      <c r="U7" s="83">
        <f>'2.1meta'!V9+'2.1meta'!V25+'2.1meta'!V41+'2.1meta'!V52+'2.1meta'!V65+'2.1meta'!V93+'2.1meta'!V132+'2.1meta'!V157</f>
        <v>0</v>
      </c>
      <c r="V7" s="83">
        <f>'2.1meta'!W9+'2.1meta'!W25+'2.1meta'!W41+'2.1meta'!W52+'2.1meta'!W65+'2.1meta'!W93+'2.1meta'!W132+'2.1meta'!W157</f>
        <v>0</v>
      </c>
      <c r="W7" s="83">
        <f>'2.1meta'!X9+'2.1meta'!X25+'2.1meta'!X41+'2.1meta'!X52+'2.1meta'!X65+'2.1meta'!X93+'2.1meta'!X132+'2.1meta'!X157</f>
        <v>0</v>
      </c>
      <c r="X7" s="85">
        <f t="shared" si="0"/>
        <v>0</v>
      </c>
      <c r="Y7" s="86">
        <f t="shared" si="1"/>
        <v>0</v>
      </c>
      <c r="Z7" s="87">
        <f>C7-Y7</f>
        <v>0</v>
      </c>
    </row>
    <row r="8" spans="1:26" ht="15.75" customHeight="1">
      <c r="A8" s="88" t="s">
        <v>33</v>
      </c>
      <c r="B8" s="109" t="s">
        <v>34</v>
      </c>
      <c r="C8" s="83">
        <f>'2.1meta'!D10+'2.1meta'!D26+'2.1meta'!D53+'2.1meta'!D66+'2.1meta'!D133</f>
        <v>0</v>
      </c>
      <c r="D8" s="83">
        <f>'2.1meta'!E10+'2.1meta'!E26+'2.1meta'!E53+'2.1meta'!E66+'2.1meta'!E133</f>
        <v>0</v>
      </c>
      <c r="E8" s="83">
        <f>'2.1meta'!F10+'2.1meta'!F26+'2.1meta'!F53+'2.1meta'!F66+'2.1meta'!F133</f>
        <v>0</v>
      </c>
      <c r="F8" s="84">
        <v>0</v>
      </c>
      <c r="G8" s="106">
        <f>C8-F8</f>
        <v>0</v>
      </c>
      <c r="H8" s="83">
        <f>'2.1meta'!I10+'2.1meta'!I26+'2.1meta'!I53+'2.1meta'!I66+'2.1meta'!I133</f>
        <v>0</v>
      </c>
      <c r="I8" s="83">
        <f>'2.1meta'!J10+'2.1meta'!J26+'2.1meta'!J53+'2.1meta'!J66+'2.1meta'!J133</f>
        <v>0</v>
      </c>
      <c r="J8" s="83">
        <f>'2.1meta'!K10+'2.1meta'!K26+'2.1meta'!K53+'2.1meta'!K66+'2.1meta'!K133</f>
        <v>0</v>
      </c>
      <c r="K8" s="83">
        <f>'2.1meta'!L10+'2.1meta'!L26+'2.1meta'!L53+'2.1meta'!L66+'2.1meta'!L133</f>
        <v>0</v>
      </c>
      <c r="L8" s="83">
        <f>'2.1meta'!M10+'2.1meta'!M26+'2.1meta'!M53+'2.1meta'!M66+'2.1meta'!M133</f>
        <v>0</v>
      </c>
      <c r="M8" s="83">
        <f>'2.1meta'!N10+'2.1meta'!N26+'2.1meta'!N53+'2.1meta'!N66+'2.1meta'!N133</f>
        <v>0</v>
      </c>
      <c r="N8" s="83">
        <f>'2.1meta'!O10+'2.1meta'!O26+'2.1meta'!O53+'2.1meta'!O66+'2.1meta'!O133</f>
        <v>0</v>
      </c>
      <c r="O8" s="83">
        <f>'2.1meta'!P10+'2.1meta'!P26+'2.1meta'!P53+'2.1meta'!P66+'2.1meta'!P133</f>
        <v>0</v>
      </c>
      <c r="P8" s="83">
        <f>'2.1meta'!Q10+'2.1meta'!Q26+'2.1meta'!Q53+'2.1meta'!Q66+'2.1meta'!Q133</f>
        <v>0</v>
      </c>
      <c r="Q8" s="83">
        <f>'2.1meta'!R10+'2.1meta'!R26+'2.1meta'!R53+'2.1meta'!R66+'2.1meta'!R133</f>
        <v>0</v>
      </c>
      <c r="R8" s="83">
        <f>'2.1meta'!S10+'2.1meta'!S26+'2.1meta'!S53+'2.1meta'!S66+'2.1meta'!S133</f>
        <v>0</v>
      </c>
      <c r="S8" s="83">
        <f>'2.1meta'!T10+'2.1meta'!T26+'2.1meta'!T53+'2.1meta'!T66+'2.1meta'!T133</f>
        <v>0</v>
      </c>
      <c r="T8" s="83">
        <f>'2.1meta'!U10+'2.1meta'!U26+'2.1meta'!U53+'2.1meta'!U66+'2.1meta'!U133</f>
        <v>0</v>
      </c>
      <c r="U8" s="83">
        <f>'2.1meta'!V10+'2.1meta'!V26+'2.1meta'!V53+'2.1meta'!V66+'2.1meta'!V133</f>
        <v>0</v>
      </c>
      <c r="V8" s="83">
        <f>'2.1meta'!W10+'2.1meta'!W26+'2.1meta'!W53+'2.1meta'!W66+'2.1meta'!W133</f>
        <v>0</v>
      </c>
      <c r="W8" s="83">
        <f>'2.1meta'!X10+'2.1meta'!X26+'2.1meta'!X53+'2.1meta'!X66+'2.1meta'!X133</f>
        <v>0</v>
      </c>
      <c r="X8" s="85">
        <f t="shared" si="0"/>
        <v>0</v>
      </c>
      <c r="Y8" s="86">
        <f t="shared" si="1"/>
        <v>0</v>
      </c>
      <c r="Z8" s="87">
        <f>C8-Y8</f>
        <v>0</v>
      </c>
    </row>
    <row r="9" spans="1:26" ht="15.75" customHeight="1">
      <c r="A9" s="88" t="s">
        <v>124</v>
      </c>
      <c r="B9" s="110" t="s">
        <v>62</v>
      </c>
      <c r="C9" s="83">
        <f>'2.1meta'!D42</f>
        <v>0</v>
      </c>
      <c r="D9" s="83">
        <f>'2.1meta'!E42</f>
        <v>0</v>
      </c>
      <c r="E9" s="83">
        <f>'2.1meta'!F42</f>
        <v>0</v>
      </c>
      <c r="F9" s="84">
        <v>0</v>
      </c>
      <c r="G9" s="106">
        <f>C9-F9</f>
        <v>0</v>
      </c>
      <c r="H9" s="83">
        <f>'2.1meta'!I42</f>
        <v>0</v>
      </c>
      <c r="I9" s="83">
        <f>'2.1meta'!J42</f>
        <v>0</v>
      </c>
      <c r="J9" s="83">
        <f>'2.1meta'!K42</f>
        <v>0</v>
      </c>
      <c r="K9" s="83">
        <f>'2.1meta'!L42</f>
        <v>0</v>
      </c>
      <c r="L9" s="83">
        <f>'2.1meta'!M42</f>
        <v>0</v>
      </c>
      <c r="M9" s="83">
        <f>'2.1meta'!N42</f>
        <v>0</v>
      </c>
      <c r="N9" s="83">
        <f>'2.1meta'!O42</f>
        <v>0</v>
      </c>
      <c r="O9" s="83">
        <f>'2.1meta'!P42</f>
        <v>0</v>
      </c>
      <c r="P9" s="83">
        <f>'2.1meta'!Q42</f>
        <v>0</v>
      </c>
      <c r="Q9" s="83">
        <f>'2.1meta'!R42</f>
        <v>0</v>
      </c>
      <c r="R9" s="83">
        <f>'2.1meta'!S42</f>
        <v>0</v>
      </c>
      <c r="S9" s="83">
        <f>'2.1meta'!T42</f>
        <v>0</v>
      </c>
      <c r="T9" s="83">
        <f>'2.1meta'!U42</f>
        <v>0</v>
      </c>
      <c r="U9" s="83">
        <f>'2.1meta'!V42</f>
        <v>0</v>
      </c>
      <c r="V9" s="83">
        <f>'2.1meta'!W42</f>
        <v>0</v>
      </c>
      <c r="W9" s="83">
        <f>'2.1meta'!X42</f>
        <v>0</v>
      </c>
      <c r="X9" s="85">
        <f t="shared" si="0"/>
        <v>0</v>
      </c>
      <c r="Y9" s="86">
        <f t="shared" si="1"/>
        <v>0</v>
      </c>
      <c r="Z9" s="87">
        <f>C9-Y9</f>
        <v>0</v>
      </c>
    </row>
    <row r="10" spans="1:26" ht="15.75" customHeight="1">
      <c r="A10" s="88" t="s">
        <v>35</v>
      </c>
      <c r="B10" s="109" t="s">
        <v>36</v>
      </c>
      <c r="C10" s="83">
        <f>'2.1meta'!D11+'2.1meta'!D27+'2.1meta'!D67+'2.1meta'!D80+'2.1meta'!D94+'2.1meta'!D105+'2.1meta'!D115+'2.1meta'!D122+'2.1meta'!D134+'2.1meta'!D146+'2.1meta'!D158</f>
        <v>0</v>
      </c>
      <c r="D10" s="83">
        <f>'2.1meta'!E11+'2.1meta'!E27+'2.1meta'!E67+'2.1meta'!E80+'2.1meta'!E94+'2.1meta'!E105+'2.1meta'!E115+'2.1meta'!E122+'2.1meta'!E134+'2.1meta'!E146+'2.1meta'!E158</f>
        <v>0</v>
      </c>
      <c r="E10" s="83">
        <f>'2.1meta'!F11+'2.1meta'!F27+'2.1meta'!F67+'2.1meta'!F80+'2.1meta'!F94+'2.1meta'!F105+'2.1meta'!F115+'2.1meta'!F122+'2.1meta'!F134+'2.1meta'!F146+'2.1meta'!F158</f>
        <v>0</v>
      </c>
      <c r="F10" s="84">
        <v>0</v>
      </c>
      <c r="G10" s="106">
        <f>C10-F10</f>
        <v>0</v>
      </c>
      <c r="H10" s="83">
        <f>'2.1meta'!I11+'2.1meta'!I27+'2.1meta'!I67+'2.1meta'!I80+'2.1meta'!I94+'2.1meta'!I105+'2.1meta'!I115+'2.1meta'!I122+'2.1meta'!I134+'2.1meta'!I146+'2.1meta'!I158</f>
        <v>0</v>
      </c>
      <c r="I10" s="83">
        <f>'2.1meta'!J11+'2.1meta'!J27+'2.1meta'!J67+'2.1meta'!J80+'2.1meta'!J94+'2.1meta'!J105+'2.1meta'!J115+'2.1meta'!J122+'2.1meta'!J134+'2.1meta'!J146+'2.1meta'!J158</f>
        <v>0</v>
      </c>
      <c r="J10" s="83">
        <f>'2.1meta'!K11+'2.1meta'!K27+'2.1meta'!K67+'2.1meta'!K80+'2.1meta'!K94+'2.1meta'!K105+'2.1meta'!K115+'2.1meta'!K122+'2.1meta'!K134+'2.1meta'!K146+'2.1meta'!K158</f>
        <v>0</v>
      </c>
      <c r="K10" s="83">
        <f>'2.1meta'!L11+'2.1meta'!L27+'2.1meta'!L67+'2.1meta'!L80+'2.1meta'!L94+'2.1meta'!L105+'2.1meta'!L115+'2.1meta'!L122+'2.1meta'!L134+'2.1meta'!L146+'2.1meta'!L158</f>
        <v>0</v>
      </c>
      <c r="L10" s="83">
        <f>'2.1meta'!M11+'2.1meta'!M27+'2.1meta'!M67+'2.1meta'!M80+'2.1meta'!M94+'2.1meta'!M105+'2.1meta'!M115+'2.1meta'!M122+'2.1meta'!M134+'2.1meta'!M146+'2.1meta'!M158</f>
        <v>0</v>
      </c>
      <c r="M10" s="83">
        <f>'2.1meta'!N11+'2.1meta'!N27+'2.1meta'!N67+'2.1meta'!N80+'2.1meta'!N94+'2.1meta'!N105+'2.1meta'!N115+'2.1meta'!N122+'2.1meta'!N134+'2.1meta'!N146+'2.1meta'!N158</f>
        <v>0</v>
      </c>
      <c r="N10" s="83">
        <f>'2.1meta'!O11+'2.1meta'!O27+'2.1meta'!O67+'2.1meta'!O80+'2.1meta'!O94+'2.1meta'!O105+'2.1meta'!O115+'2.1meta'!O122+'2.1meta'!O134+'2.1meta'!O146+'2.1meta'!O158</f>
        <v>0</v>
      </c>
      <c r="O10" s="83">
        <f>'2.1meta'!P11+'2.1meta'!P27+'2.1meta'!P67+'2.1meta'!P80+'2.1meta'!P94+'2.1meta'!P105+'2.1meta'!P115+'2.1meta'!P122+'2.1meta'!P134+'2.1meta'!P146+'2.1meta'!P158</f>
        <v>0</v>
      </c>
      <c r="P10" s="83">
        <f>'2.1meta'!Q11+'2.1meta'!Q27+'2.1meta'!Q67+'2.1meta'!Q80+'2.1meta'!Q94+'2.1meta'!Q105+'2.1meta'!Q115+'2.1meta'!Q122+'2.1meta'!Q134+'2.1meta'!Q146+'2.1meta'!Q158</f>
        <v>0</v>
      </c>
      <c r="Q10" s="83">
        <f>'2.1meta'!R11+'2.1meta'!R27+'2.1meta'!R67+'2.1meta'!R80+'2.1meta'!R94+'2.1meta'!R105+'2.1meta'!R115+'2.1meta'!R122+'2.1meta'!R134+'2.1meta'!R146+'2.1meta'!R158</f>
        <v>0</v>
      </c>
      <c r="R10" s="83">
        <f>'2.1meta'!S11+'2.1meta'!S27+'2.1meta'!S67+'2.1meta'!S80+'2.1meta'!S94+'2.1meta'!S105+'2.1meta'!S115+'2.1meta'!S122+'2.1meta'!S134+'2.1meta'!S146+'2.1meta'!S158</f>
        <v>0</v>
      </c>
      <c r="S10" s="83">
        <f>'2.1meta'!T11+'2.1meta'!T27+'2.1meta'!T67+'2.1meta'!T80+'2.1meta'!T94+'2.1meta'!T105+'2.1meta'!T115+'2.1meta'!T122+'2.1meta'!T134+'2.1meta'!T146+'2.1meta'!T158</f>
        <v>0</v>
      </c>
      <c r="T10" s="83">
        <f>'2.1meta'!U11+'2.1meta'!U27+'2.1meta'!U67+'2.1meta'!U80+'2.1meta'!U94+'2.1meta'!U105+'2.1meta'!U115+'2.1meta'!U122+'2.1meta'!U134+'2.1meta'!U146+'2.1meta'!U158</f>
        <v>0</v>
      </c>
      <c r="U10" s="83">
        <f>'2.1meta'!V11+'2.1meta'!V27+'2.1meta'!V67+'2.1meta'!V80+'2.1meta'!V94+'2.1meta'!V105+'2.1meta'!V115+'2.1meta'!V122+'2.1meta'!V134+'2.1meta'!V146+'2.1meta'!V158</f>
        <v>0</v>
      </c>
      <c r="V10" s="83">
        <f>'2.1meta'!W11+'2.1meta'!W27+'2.1meta'!W67+'2.1meta'!W80+'2.1meta'!W94+'2.1meta'!W105+'2.1meta'!W115+'2.1meta'!W122+'2.1meta'!W134+'2.1meta'!W146+'2.1meta'!W158</f>
        <v>0</v>
      </c>
      <c r="W10" s="83">
        <f>'2.1meta'!X11+'2.1meta'!X27+'2.1meta'!X67+'2.1meta'!X80+'2.1meta'!X94+'2.1meta'!X105+'2.1meta'!X115+'2.1meta'!X122+'2.1meta'!X134+'2.1meta'!X146+'2.1meta'!X158</f>
        <v>0</v>
      </c>
      <c r="X10" s="85">
        <f t="shared" si="0"/>
        <v>0</v>
      </c>
      <c r="Y10" s="86">
        <f t="shared" si="1"/>
        <v>0</v>
      </c>
      <c r="Z10" s="87">
        <f>C10-Y10</f>
        <v>0</v>
      </c>
    </row>
    <row r="11" spans="1:26" ht="15.75" customHeight="1">
      <c r="A11" s="88" t="s">
        <v>37</v>
      </c>
      <c r="B11" s="109" t="s">
        <v>38</v>
      </c>
      <c r="C11" s="83">
        <f>'2.1meta'!D12+'2.1meta'!D28+'2.1meta'!D68+'2.1meta'!D81+'2.1meta'!D95+'2.1meta'!D106+'2.1meta'!D116+'2.1meta'!D123+'2.1meta'!D135+'2.1meta'!D147+'2.1meta'!D159</f>
        <v>0</v>
      </c>
      <c r="D11" s="83">
        <f>'2.1meta'!E12+'2.1meta'!E28+'2.1meta'!E68+'2.1meta'!E81+'2.1meta'!E95+'2.1meta'!E106+'2.1meta'!E116+'2.1meta'!E123+'2.1meta'!E135+'2.1meta'!E147+'2.1meta'!E159</f>
        <v>0</v>
      </c>
      <c r="E11" s="83">
        <f>'2.1meta'!F12+'2.1meta'!F28+'2.1meta'!F68+'2.1meta'!F81+'2.1meta'!F95+'2.1meta'!F106+'2.1meta'!F116+'2.1meta'!F123+'2.1meta'!F135+'2.1meta'!F147+'2.1meta'!F159</f>
        <v>0</v>
      </c>
      <c r="F11" s="84">
        <v>0</v>
      </c>
      <c r="G11" s="106">
        <f>C11-F11</f>
        <v>0</v>
      </c>
      <c r="H11" s="83">
        <f>'2.1meta'!I12+'2.1meta'!I28+'2.1meta'!I68+'2.1meta'!I81+'2.1meta'!I95+'2.1meta'!I106+'2.1meta'!I116+'2.1meta'!I123+'2.1meta'!I135+'2.1meta'!I147+'2.1meta'!I159</f>
        <v>0</v>
      </c>
      <c r="I11" s="83">
        <f>'2.1meta'!J12+'2.1meta'!J28+'2.1meta'!J68+'2.1meta'!J81+'2.1meta'!J95+'2.1meta'!J106+'2.1meta'!J116+'2.1meta'!J123+'2.1meta'!J135+'2.1meta'!J147+'2.1meta'!J159</f>
        <v>0</v>
      </c>
      <c r="J11" s="83">
        <f>'2.1meta'!K12+'2.1meta'!K28+'2.1meta'!K68+'2.1meta'!K81+'2.1meta'!K95+'2.1meta'!K106+'2.1meta'!K116+'2.1meta'!K123+'2.1meta'!K135+'2.1meta'!K147+'2.1meta'!K159</f>
        <v>0</v>
      </c>
      <c r="K11" s="83">
        <f>'2.1meta'!L12+'2.1meta'!L28+'2.1meta'!L68+'2.1meta'!L81+'2.1meta'!L95+'2.1meta'!L106+'2.1meta'!L116+'2.1meta'!L123+'2.1meta'!L135+'2.1meta'!L147+'2.1meta'!L159</f>
        <v>0</v>
      </c>
      <c r="L11" s="83">
        <f>'2.1meta'!M12+'2.1meta'!M28+'2.1meta'!M68+'2.1meta'!M81+'2.1meta'!M95+'2.1meta'!M106+'2.1meta'!M116+'2.1meta'!M123+'2.1meta'!M135+'2.1meta'!M147+'2.1meta'!M159</f>
        <v>0</v>
      </c>
      <c r="M11" s="83">
        <f>'2.1meta'!N12+'2.1meta'!N28+'2.1meta'!N68+'2.1meta'!N81+'2.1meta'!N95+'2.1meta'!N106+'2.1meta'!N116+'2.1meta'!N123+'2.1meta'!N135+'2.1meta'!N147+'2.1meta'!N159</f>
        <v>0</v>
      </c>
      <c r="N11" s="83">
        <f>'2.1meta'!O12+'2.1meta'!O28+'2.1meta'!O68+'2.1meta'!O81+'2.1meta'!O95+'2.1meta'!O106+'2.1meta'!O116+'2.1meta'!O123+'2.1meta'!O135+'2.1meta'!O147+'2.1meta'!O159</f>
        <v>0</v>
      </c>
      <c r="O11" s="83">
        <f>'2.1meta'!P12+'2.1meta'!P28+'2.1meta'!P68+'2.1meta'!P81+'2.1meta'!P95+'2.1meta'!P106+'2.1meta'!P116+'2.1meta'!P123+'2.1meta'!P135+'2.1meta'!P147+'2.1meta'!P159</f>
        <v>0</v>
      </c>
      <c r="P11" s="83">
        <f>'2.1meta'!Q12+'2.1meta'!Q28+'2.1meta'!Q68+'2.1meta'!Q81+'2.1meta'!Q95+'2.1meta'!Q106+'2.1meta'!Q116+'2.1meta'!Q123+'2.1meta'!Q135+'2.1meta'!Q147+'2.1meta'!Q159</f>
        <v>0</v>
      </c>
      <c r="Q11" s="83">
        <f>'2.1meta'!R12+'2.1meta'!R28+'2.1meta'!R68+'2.1meta'!R81+'2.1meta'!R95+'2.1meta'!R106+'2.1meta'!R116+'2.1meta'!R123+'2.1meta'!R135+'2.1meta'!R147+'2.1meta'!R159</f>
        <v>0</v>
      </c>
      <c r="R11" s="83">
        <f>'2.1meta'!S12+'2.1meta'!S28+'2.1meta'!S68+'2.1meta'!S81+'2.1meta'!S95+'2.1meta'!S106+'2.1meta'!S116+'2.1meta'!S123+'2.1meta'!S135+'2.1meta'!S147+'2.1meta'!S159</f>
        <v>0</v>
      </c>
      <c r="S11" s="83">
        <f>'2.1meta'!T12+'2.1meta'!T28+'2.1meta'!T68+'2.1meta'!T81+'2.1meta'!T95+'2.1meta'!T106+'2.1meta'!T116+'2.1meta'!T123+'2.1meta'!T135+'2.1meta'!T147+'2.1meta'!T159</f>
        <v>0</v>
      </c>
      <c r="T11" s="83">
        <f>'2.1meta'!U12+'2.1meta'!U28+'2.1meta'!U68+'2.1meta'!U81+'2.1meta'!U95+'2.1meta'!U106+'2.1meta'!U116+'2.1meta'!U123+'2.1meta'!U135+'2.1meta'!U147+'2.1meta'!U159</f>
        <v>0</v>
      </c>
      <c r="U11" s="83">
        <f>'2.1meta'!V12+'2.1meta'!V28+'2.1meta'!V68+'2.1meta'!V81+'2.1meta'!V95+'2.1meta'!V106+'2.1meta'!V116+'2.1meta'!V123+'2.1meta'!V135+'2.1meta'!V147+'2.1meta'!V159</f>
        <v>0</v>
      </c>
      <c r="V11" s="83">
        <f>'2.1meta'!W12+'2.1meta'!W28+'2.1meta'!W68+'2.1meta'!W81+'2.1meta'!W95+'2.1meta'!W106+'2.1meta'!W116+'2.1meta'!W123+'2.1meta'!W135+'2.1meta'!W147+'2.1meta'!W159</f>
        <v>0</v>
      </c>
      <c r="W11" s="83">
        <f>'2.1meta'!X12+'2.1meta'!X28+'2.1meta'!X68+'2.1meta'!X81+'2.1meta'!X95+'2.1meta'!X106+'2.1meta'!X116+'2.1meta'!X123+'2.1meta'!X135+'2.1meta'!X147+'2.1meta'!X159</f>
        <v>0</v>
      </c>
      <c r="X11" s="85">
        <f t="shared" si="0"/>
        <v>0</v>
      </c>
      <c r="Y11" s="86">
        <f t="shared" si="1"/>
        <v>0</v>
      </c>
      <c r="Z11" s="87">
        <f>C11-Y11</f>
        <v>0</v>
      </c>
    </row>
    <row r="12" spans="1:26" ht="15.75" customHeight="1">
      <c r="A12" s="88" t="s">
        <v>39</v>
      </c>
      <c r="B12" s="109" t="s">
        <v>40</v>
      </c>
      <c r="C12" s="83">
        <f>'2.1meta'!D13+'2.1meta'!D29+'2.1meta'!D69+'2.1meta'!D82+'2.1meta'!D96+'2.1meta'!D107+'2.1meta'!D117+'2.1meta'!D124+'2.1meta'!D136+'2.1meta'!D148+'2.1meta'!D160</f>
        <v>0</v>
      </c>
      <c r="D12" s="83">
        <f>'2.1meta'!E13+'2.1meta'!E29+'2.1meta'!E69+'2.1meta'!E82+'2.1meta'!E96+'2.1meta'!E107+'2.1meta'!E117+'2.1meta'!E124+'2.1meta'!E136+'2.1meta'!E148+'2.1meta'!E160</f>
        <v>0</v>
      </c>
      <c r="E12" s="83">
        <f>'2.1meta'!F13+'2.1meta'!F29+'2.1meta'!F69+'2.1meta'!F82+'2.1meta'!F96+'2.1meta'!F107+'2.1meta'!F117+'2.1meta'!F124+'2.1meta'!F136+'2.1meta'!F148+'2.1meta'!F160</f>
        <v>0</v>
      </c>
      <c r="F12" s="84">
        <v>0</v>
      </c>
      <c r="G12" s="106">
        <f>C12-F12</f>
        <v>0</v>
      </c>
      <c r="H12" s="83">
        <f>'2.1meta'!I13+'2.1meta'!I29+'2.1meta'!I69+'2.1meta'!I82+'2.1meta'!I96+'2.1meta'!I107+'2.1meta'!I117+'2.1meta'!I124+'2.1meta'!I136+'2.1meta'!I148+'2.1meta'!I160</f>
        <v>0</v>
      </c>
      <c r="I12" s="83">
        <f>'2.1meta'!J13+'2.1meta'!J29+'2.1meta'!J69+'2.1meta'!J82+'2.1meta'!J96+'2.1meta'!J107+'2.1meta'!J117+'2.1meta'!J124+'2.1meta'!J136+'2.1meta'!J148+'2.1meta'!J160</f>
        <v>0</v>
      </c>
      <c r="J12" s="83">
        <f>'2.1meta'!K13+'2.1meta'!K29+'2.1meta'!K69+'2.1meta'!K82+'2.1meta'!K96+'2.1meta'!K107+'2.1meta'!K117+'2.1meta'!K124+'2.1meta'!K136+'2.1meta'!K148+'2.1meta'!K160</f>
        <v>0</v>
      </c>
      <c r="K12" s="83">
        <f>'2.1meta'!L13+'2.1meta'!L29+'2.1meta'!L69+'2.1meta'!L82+'2.1meta'!L96+'2.1meta'!L107+'2.1meta'!L117+'2.1meta'!L124+'2.1meta'!L136+'2.1meta'!L148+'2.1meta'!L160</f>
        <v>0</v>
      </c>
      <c r="L12" s="83">
        <f>'2.1meta'!M13+'2.1meta'!M29+'2.1meta'!M69+'2.1meta'!M82+'2.1meta'!M96+'2.1meta'!M107+'2.1meta'!M117+'2.1meta'!M124+'2.1meta'!M136+'2.1meta'!M148+'2.1meta'!M160</f>
        <v>0</v>
      </c>
      <c r="M12" s="83">
        <f>'2.1meta'!N13+'2.1meta'!N29+'2.1meta'!N69+'2.1meta'!N82+'2.1meta'!N96+'2.1meta'!N107+'2.1meta'!N117+'2.1meta'!N124+'2.1meta'!N136+'2.1meta'!N148+'2.1meta'!N160</f>
        <v>0</v>
      </c>
      <c r="N12" s="83">
        <f>'2.1meta'!O13+'2.1meta'!O29+'2.1meta'!O69+'2.1meta'!O82+'2.1meta'!O96+'2.1meta'!O107+'2.1meta'!O117+'2.1meta'!O124+'2.1meta'!O136+'2.1meta'!O148+'2.1meta'!O160</f>
        <v>0</v>
      </c>
      <c r="O12" s="83">
        <f>'2.1meta'!P13+'2.1meta'!P29+'2.1meta'!P69+'2.1meta'!P82+'2.1meta'!P96+'2.1meta'!P107+'2.1meta'!P117+'2.1meta'!P124+'2.1meta'!P136+'2.1meta'!P148+'2.1meta'!P160</f>
        <v>0</v>
      </c>
      <c r="P12" s="83">
        <f>'2.1meta'!Q13+'2.1meta'!Q29+'2.1meta'!Q69+'2.1meta'!Q82+'2.1meta'!Q96+'2.1meta'!Q107+'2.1meta'!Q117+'2.1meta'!Q124+'2.1meta'!Q136+'2.1meta'!Q148+'2.1meta'!Q160</f>
        <v>0</v>
      </c>
      <c r="Q12" s="83">
        <f>'2.1meta'!R13+'2.1meta'!R29+'2.1meta'!R69+'2.1meta'!R82+'2.1meta'!R96+'2.1meta'!R107+'2.1meta'!R117+'2.1meta'!R124+'2.1meta'!R136+'2.1meta'!R148+'2.1meta'!R160</f>
        <v>0</v>
      </c>
      <c r="R12" s="83">
        <f>'2.1meta'!S13+'2.1meta'!S29+'2.1meta'!S69+'2.1meta'!S82+'2.1meta'!S96+'2.1meta'!S107+'2.1meta'!S117+'2.1meta'!S124+'2.1meta'!S136+'2.1meta'!S148+'2.1meta'!S160</f>
        <v>0</v>
      </c>
      <c r="S12" s="83">
        <f>'2.1meta'!T13+'2.1meta'!T29+'2.1meta'!T69+'2.1meta'!T82+'2.1meta'!T96+'2.1meta'!T107+'2.1meta'!T117+'2.1meta'!T124+'2.1meta'!T136+'2.1meta'!T148+'2.1meta'!T160</f>
        <v>0</v>
      </c>
      <c r="T12" s="83">
        <f>'2.1meta'!U13+'2.1meta'!U29+'2.1meta'!U69+'2.1meta'!U82+'2.1meta'!U96+'2.1meta'!U107+'2.1meta'!U117+'2.1meta'!U124+'2.1meta'!U136+'2.1meta'!U148+'2.1meta'!U160</f>
        <v>0</v>
      </c>
      <c r="U12" s="83">
        <f>'2.1meta'!V13+'2.1meta'!V29+'2.1meta'!V69+'2.1meta'!V82+'2.1meta'!V96+'2.1meta'!V107+'2.1meta'!V117+'2.1meta'!V124+'2.1meta'!V136+'2.1meta'!V148+'2.1meta'!V160</f>
        <v>0</v>
      </c>
      <c r="V12" s="83">
        <f>'2.1meta'!W13+'2.1meta'!W29+'2.1meta'!W69+'2.1meta'!W82+'2.1meta'!W96+'2.1meta'!W107+'2.1meta'!W117+'2.1meta'!W124+'2.1meta'!W136+'2.1meta'!W148+'2.1meta'!W160</f>
        <v>0</v>
      </c>
      <c r="W12" s="83">
        <f>'2.1meta'!X13+'2.1meta'!X29+'2.1meta'!X69+'2.1meta'!X82+'2.1meta'!X96+'2.1meta'!X107+'2.1meta'!X117+'2.1meta'!X124+'2.1meta'!X136+'2.1meta'!X148+'2.1meta'!X160</f>
        <v>0</v>
      </c>
      <c r="X12" s="85">
        <f t="shared" si="0"/>
        <v>0</v>
      </c>
      <c r="Y12" s="86">
        <f t="shared" si="1"/>
        <v>0</v>
      </c>
      <c r="Z12" s="87">
        <f>C12-Y12</f>
        <v>0</v>
      </c>
    </row>
    <row r="13" spans="1:26" ht="15.75" customHeight="1">
      <c r="A13" s="88" t="s">
        <v>41</v>
      </c>
      <c r="B13" s="109" t="s">
        <v>42</v>
      </c>
      <c r="C13" s="83">
        <f>'2.1meta'!D14+'2.1meta'!D30+'2.1meta'!D43+'2.1meta'!D54+'2.1meta'!D70+'2.1meta'!D83+'2.1meta'!D97+'2.1meta'!D108+'2.1meta'!D137+'2.1meta'!D149+'2.1meta'!D161</f>
        <v>0</v>
      </c>
      <c r="D13" s="83">
        <f>'2.1meta'!E14+'2.1meta'!E30+'2.1meta'!E43+'2.1meta'!E54+'2.1meta'!E70+'2.1meta'!E83+'2.1meta'!E97+'2.1meta'!E108+'2.1meta'!E137+'2.1meta'!E149+'2.1meta'!E161</f>
        <v>0</v>
      </c>
      <c r="E13" s="83">
        <f>'2.1meta'!F14+'2.1meta'!F30+'2.1meta'!F43+'2.1meta'!F54+'2.1meta'!F70+'2.1meta'!F83+'2.1meta'!F97+'2.1meta'!F108+'2.1meta'!F137+'2.1meta'!F149+'2.1meta'!F161</f>
        <v>0</v>
      </c>
      <c r="F13" s="84">
        <v>0</v>
      </c>
      <c r="G13" s="106">
        <f>C13-F13</f>
        <v>0</v>
      </c>
      <c r="H13" s="83">
        <f>'2.1meta'!I14+'2.1meta'!I30+'2.1meta'!I43+'2.1meta'!I54+'2.1meta'!I70+'2.1meta'!I83+'2.1meta'!I97+'2.1meta'!I108+'2.1meta'!I137+'2.1meta'!I149+'2.1meta'!I161</f>
        <v>0</v>
      </c>
      <c r="I13" s="83">
        <f>'2.1meta'!J14+'2.1meta'!J30+'2.1meta'!J43+'2.1meta'!J54+'2.1meta'!J70+'2.1meta'!J83+'2.1meta'!J97+'2.1meta'!J108+'2.1meta'!J137+'2.1meta'!J149+'2.1meta'!J161</f>
        <v>0</v>
      </c>
      <c r="J13" s="83">
        <f>'2.1meta'!K14+'2.1meta'!K30+'2.1meta'!K43+'2.1meta'!K54+'2.1meta'!K70+'2.1meta'!K83+'2.1meta'!K97+'2.1meta'!K108+'2.1meta'!K137+'2.1meta'!K149+'2.1meta'!K161</f>
        <v>0</v>
      </c>
      <c r="K13" s="83">
        <f>'2.1meta'!L14+'2.1meta'!L30+'2.1meta'!L43+'2.1meta'!L54+'2.1meta'!L70+'2.1meta'!L83+'2.1meta'!L97+'2.1meta'!L108+'2.1meta'!L137+'2.1meta'!L149+'2.1meta'!L161</f>
        <v>0</v>
      </c>
      <c r="L13" s="83">
        <f>'2.1meta'!M14+'2.1meta'!M30+'2.1meta'!M43+'2.1meta'!M54+'2.1meta'!M70+'2.1meta'!M83+'2.1meta'!M97+'2.1meta'!M108+'2.1meta'!M137+'2.1meta'!M149+'2.1meta'!M161</f>
        <v>0</v>
      </c>
      <c r="M13" s="83">
        <f>'2.1meta'!N14+'2.1meta'!N30+'2.1meta'!N43+'2.1meta'!N54+'2.1meta'!N70+'2.1meta'!N83+'2.1meta'!N97+'2.1meta'!N108+'2.1meta'!N137+'2.1meta'!N149+'2.1meta'!N161</f>
        <v>0</v>
      </c>
      <c r="N13" s="83">
        <f>'2.1meta'!O14+'2.1meta'!O30+'2.1meta'!O43+'2.1meta'!O54+'2.1meta'!O70+'2.1meta'!O83+'2.1meta'!O97+'2.1meta'!O108+'2.1meta'!O137+'2.1meta'!O149+'2.1meta'!O161</f>
        <v>0</v>
      </c>
      <c r="O13" s="83">
        <f>'2.1meta'!P14+'2.1meta'!P30+'2.1meta'!P43+'2.1meta'!P54+'2.1meta'!P70+'2.1meta'!P83+'2.1meta'!P97+'2.1meta'!P108+'2.1meta'!P137+'2.1meta'!P149+'2.1meta'!P161</f>
        <v>0</v>
      </c>
      <c r="P13" s="83">
        <f>'2.1meta'!Q14+'2.1meta'!Q30+'2.1meta'!Q43+'2.1meta'!Q54+'2.1meta'!Q70+'2.1meta'!Q83+'2.1meta'!Q97+'2.1meta'!Q108+'2.1meta'!Q137+'2.1meta'!Q149+'2.1meta'!Q161</f>
        <v>0</v>
      </c>
      <c r="Q13" s="83">
        <f>'2.1meta'!R14+'2.1meta'!R30+'2.1meta'!R43+'2.1meta'!R54+'2.1meta'!R70+'2.1meta'!R83+'2.1meta'!R97+'2.1meta'!R108+'2.1meta'!R137+'2.1meta'!R149+'2.1meta'!R161</f>
        <v>0</v>
      </c>
      <c r="R13" s="83">
        <f>'2.1meta'!S14+'2.1meta'!S30+'2.1meta'!S43+'2.1meta'!S54+'2.1meta'!S70+'2.1meta'!S83+'2.1meta'!S97+'2.1meta'!S108+'2.1meta'!S137+'2.1meta'!S149+'2.1meta'!S161</f>
        <v>0</v>
      </c>
      <c r="S13" s="83">
        <f>'2.1meta'!T14+'2.1meta'!T30+'2.1meta'!T43+'2.1meta'!T54+'2.1meta'!T70+'2.1meta'!T83+'2.1meta'!T97+'2.1meta'!T108+'2.1meta'!T137+'2.1meta'!T149+'2.1meta'!T161</f>
        <v>0</v>
      </c>
      <c r="T13" s="83">
        <f>'2.1meta'!U14+'2.1meta'!U30+'2.1meta'!U43+'2.1meta'!U54+'2.1meta'!U70+'2.1meta'!U83+'2.1meta'!U97+'2.1meta'!U108+'2.1meta'!U137+'2.1meta'!U149+'2.1meta'!U161</f>
        <v>0</v>
      </c>
      <c r="U13" s="83">
        <f>'2.1meta'!V14+'2.1meta'!V30+'2.1meta'!V43+'2.1meta'!V54+'2.1meta'!V70+'2.1meta'!V83+'2.1meta'!V97+'2.1meta'!V108+'2.1meta'!V137+'2.1meta'!V149+'2.1meta'!V161</f>
        <v>0</v>
      </c>
      <c r="V13" s="83">
        <f>'2.1meta'!W14+'2.1meta'!W30+'2.1meta'!W43+'2.1meta'!W54+'2.1meta'!W70+'2.1meta'!W83+'2.1meta'!W97+'2.1meta'!W108+'2.1meta'!W137+'2.1meta'!W149+'2.1meta'!W161</f>
        <v>0</v>
      </c>
      <c r="W13" s="83">
        <f>'2.1meta'!X14+'2.1meta'!X30+'2.1meta'!X43+'2.1meta'!X54+'2.1meta'!X70+'2.1meta'!X83+'2.1meta'!X97+'2.1meta'!X108+'2.1meta'!X137+'2.1meta'!X149+'2.1meta'!X161</f>
        <v>0</v>
      </c>
      <c r="X13" s="85">
        <f t="shared" si="0"/>
        <v>0</v>
      </c>
      <c r="Y13" s="86">
        <f t="shared" si="1"/>
        <v>0</v>
      </c>
      <c r="Z13" s="87">
        <f>C13-Y13</f>
        <v>0</v>
      </c>
    </row>
    <row r="14" spans="1:26" ht="15.75" customHeight="1">
      <c r="A14" s="88" t="s">
        <v>43</v>
      </c>
      <c r="B14" s="109" t="s">
        <v>44</v>
      </c>
      <c r="C14" s="83">
        <f>'2.1meta'!D15+'2.1meta'!D31+'2.1meta'!D55+'2.1meta'!D71+'2.1meta'!D84+'2.1meta'!D98+'2.1meta'!D109+'2.1meta'!D118+'2.1meta'!D125+'2.1meta'!D138+'2.1meta'!D150+'2.1meta'!D162</f>
        <v>0</v>
      </c>
      <c r="D14" s="83">
        <f>'2.1meta'!E15+'2.1meta'!E31+'2.1meta'!E55+'2.1meta'!E71+'2.1meta'!E84+'2.1meta'!E98+'2.1meta'!E109+'2.1meta'!E118+'2.1meta'!E125+'2.1meta'!E138+'2.1meta'!E150+'2.1meta'!E162</f>
        <v>0</v>
      </c>
      <c r="E14" s="83">
        <f>'2.1meta'!F15+'2.1meta'!F31+'2.1meta'!F55+'2.1meta'!F71+'2.1meta'!F84+'2.1meta'!F98+'2.1meta'!F109+'2.1meta'!F118+'2.1meta'!F125+'2.1meta'!F138+'2.1meta'!F150+'2.1meta'!F162</f>
        <v>0</v>
      </c>
      <c r="F14" s="84">
        <v>0</v>
      </c>
      <c r="G14" s="106">
        <f>C14-F14</f>
        <v>0</v>
      </c>
      <c r="H14" s="83">
        <f>'2.1meta'!I15+'2.1meta'!I31+'2.1meta'!I55+'2.1meta'!I71+'2.1meta'!I84+'2.1meta'!I98+'2.1meta'!I109+'2.1meta'!I118+'2.1meta'!I125+'2.1meta'!I138+'2.1meta'!I150+'2.1meta'!I162</f>
        <v>0</v>
      </c>
      <c r="I14" s="83">
        <f>'2.1meta'!J15+'2.1meta'!J31+'2.1meta'!J55+'2.1meta'!J71+'2.1meta'!J84+'2.1meta'!J98+'2.1meta'!J109+'2.1meta'!J118+'2.1meta'!J125+'2.1meta'!J138+'2.1meta'!J150+'2.1meta'!J162</f>
        <v>0</v>
      </c>
      <c r="J14" s="83">
        <f>'2.1meta'!K15+'2.1meta'!K31+'2.1meta'!K55+'2.1meta'!K71+'2.1meta'!K84+'2.1meta'!K98+'2.1meta'!K109+'2.1meta'!K118+'2.1meta'!K125+'2.1meta'!K138+'2.1meta'!K150+'2.1meta'!K162</f>
        <v>0</v>
      </c>
      <c r="K14" s="83">
        <f>'2.1meta'!L15+'2.1meta'!L31+'2.1meta'!L55+'2.1meta'!L71+'2.1meta'!L84+'2.1meta'!L98+'2.1meta'!L109+'2.1meta'!L118+'2.1meta'!L125+'2.1meta'!L138+'2.1meta'!L150+'2.1meta'!L162</f>
        <v>0</v>
      </c>
      <c r="L14" s="83">
        <f>'2.1meta'!M15+'2.1meta'!M31+'2.1meta'!M55+'2.1meta'!M71+'2.1meta'!M84+'2.1meta'!M98+'2.1meta'!M109+'2.1meta'!M118+'2.1meta'!M125+'2.1meta'!M138+'2.1meta'!M150+'2.1meta'!M162</f>
        <v>0</v>
      </c>
      <c r="M14" s="83">
        <f>'2.1meta'!N15+'2.1meta'!N31+'2.1meta'!N55+'2.1meta'!N71+'2.1meta'!N84+'2.1meta'!N98+'2.1meta'!N109+'2.1meta'!N118+'2.1meta'!N125+'2.1meta'!N138+'2.1meta'!N150+'2.1meta'!N162</f>
        <v>0</v>
      </c>
      <c r="N14" s="83">
        <f>'2.1meta'!O15+'2.1meta'!O31+'2.1meta'!O55+'2.1meta'!O71+'2.1meta'!O84+'2.1meta'!O98+'2.1meta'!O109+'2.1meta'!O118+'2.1meta'!O125+'2.1meta'!O138+'2.1meta'!O150+'2.1meta'!O162</f>
        <v>0</v>
      </c>
      <c r="O14" s="83">
        <f>'2.1meta'!P15+'2.1meta'!P31+'2.1meta'!P55+'2.1meta'!P71+'2.1meta'!P84+'2.1meta'!P98+'2.1meta'!P109+'2.1meta'!P118+'2.1meta'!P125+'2.1meta'!P138+'2.1meta'!P150+'2.1meta'!P162</f>
        <v>0</v>
      </c>
      <c r="P14" s="83">
        <f>'2.1meta'!Q15+'2.1meta'!Q31+'2.1meta'!Q55+'2.1meta'!Q71+'2.1meta'!Q84+'2.1meta'!Q98+'2.1meta'!Q109+'2.1meta'!Q118+'2.1meta'!Q125+'2.1meta'!Q138+'2.1meta'!Q150+'2.1meta'!Q162</f>
        <v>0</v>
      </c>
      <c r="Q14" s="83">
        <f>'2.1meta'!R15+'2.1meta'!R31+'2.1meta'!R55+'2.1meta'!R71+'2.1meta'!R84+'2.1meta'!R98+'2.1meta'!R109+'2.1meta'!R118+'2.1meta'!R125+'2.1meta'!R138+'2.1meta'!R150+'2.1meta'!R162</f>
        <v>0</v>
      </c>
      <c r="R14" s="83">
        <f>'2.1meta'!S15+'2.1meta'!S31+'2.1meta'!S55+'2.1meta'!S71+'2.1meta'!S84+'2.1meta'!S98+'2.1meta'!S109+'2.1meta'!S118+'2.1meta'!S125+'2.1meta'!S138+'2.1meta'!S150+'2.1meta'!S162</f>
        <v>0</v>
      </c>
      <c r="S14" s="83">
        <f>'2.1meta'!T15+'2.1meta'!T31+'2.1meta'!T55+'2.1meta'!T71+'2.1meta'!T84+'2.1meta'!T98+'2.1meta'!T109+'2.1meta'!T118+'2.1meta'!T125+'2.1meta'!T138+'2.1meta'!T150+'2.1meta'!T162</f>
        <v>0</v>
      </c>
      <c r="T14" s="83">
        <f>'2.1meta'!U15+'2.1meta'!U31+'2.1meta'!U55+'2.1meta'!U71+'2.1meta'!U84+'2.1meta'!U98+'2.1meta'!U109+'2.1meta'!U118+'2.1meta'!U125+'2.1meta'!U138+'2.1meta'!U150+'2.1meta'!U162</f>
        <v>0</v>
      </c>
      <c r="U14" s="83">
        <f>'2.1meta'!V15+'2.1meta'!V31+'2.1meta'!V55+'2.1meta'!V71+'2.1meta'!V84+'2.1meta'!V98+'2.1meta'!V109+'2.1meta'!V118+'2.1meta'!V125+'2.1meta'!V138+'2.1meta'!V150+'2.1meta'!V162</f>
        <v>0</v>
      </c>
      <c r="V14" s="83">
        <f>'2.1meta'!W15+'2.1meta'!W31+'2.1meta'!W55+'2.1meta'!W71+'2.1meta'!W84+'2.1meta'!W98+'2.1meta'!W109+'2.1meta'!W118+'2.1meta'!W125+'2.1meta'!W138+'2.1meta'!W150+'2.1meta'!W162</f>
        <v>0</v>
      </c>
      <c r="W14" s="83">
        <f>'2.1meta'!X15+'2.1meta'!X31+'2.1meta'!X55+'2.1meta'!X71+'2.1meta'!X84+'2.1meta'!X98+'2.1meta'!X109+'2.1meta'!X118+'2.1meta'!X125+'2.1meta'!X138+'2.1meta'!X150+'2.1meta'!X162</f>
        <v>0</v>
      </c>
      <c r="X14" s="85">
        <f t="shared" si="0"/>
        <v>0</v>
      </c>
      <c r="Y14" s="86">
        <f t="shared" si="1"/>
        <v>0</v>
      </c>
      <c r="Z14" s="87">
        <f>C14-Y14</f>
        <v>0</v>
      </c>
    </row>
    <row r="15" spans="1:26" ht="15.75" customHeight="1">
      <c r="A15" s="88" t="s">
        <v>45</v>
      </c>
      <c r="B15" s="109" t="s">
        <v>46</v>
      </c>
      <c r="C15" s="83">
        <f>'2.1meta'!D16+'2.1meta'!D32+'2.1meta'!D44+'2.1meta'!D56+'2.1meta'!D72+'2.1meta'!D85+'2.1meta'!D99+'2.1meta'!D110+'2.1meta'!D119+'2.1meta'!D126+'2.1meta'!D139+'2.1meta'!D151+'2.1meta'!D163</f>
        <v>0</v>
      </c>
      <c r="D15" s="83">
        <f>'2.1meta'!E16+'2.1meta'!E32+'2.1meta'!E44+'2.1meta'!E56+'2.1meta'!E72+'2.1meta'!E85+'2.1meta'!E99+'2.1meta'!E110+'2.1meta'!E119+'2.1meta'!E126+'2.1meta'!E139+'2.1meta'!E151+'2.1meta'!E163</f>
        <v>0</v>
      </c>
      <c r="E15" s="83">
        <f>'2.1meta'!F16+'2.1meta'!F32+'2.1meta'!F44+'2.1meta'!F56+'2.1meta'!F72+'2.1meta'!F85+'2.1meta'!F99+'2.1meta'!F110+'2.1meta'!F119+'2.1meta'!F126+'2.1meta'!F139+'2.1meta'!F151+'2.1meta'!F163</f>
        <v>0</v>
      </c>
      <c r="F15" s="84">
        <v>0</v>
      </c>
      <c r="G15" s="106">
        <f>C15-F15</f>
        <v>0</v>
      </c>
      <c r="H15" s="83">
        <f>'2.1meta'!I16+'2.1meta'!I32+'2.1meta'!I44+'2.1meta'!I56+'2.1meta'!I72+'2.1meta'!I85+'2.1meta'!I99+'2.1meta'!I110+'2.1meta'!I119+'2.1meta'!I126+'2.1meta'!I139+'2.1meta'!I151+'2.1meta'!I163</f>
        <v>0</v>
      </c>
      <c r="I15" s="83">
        <f>'2.1meta'!J16+'2.1meta'!J32+'2.1meta'!J44+'2.1meta'!J56+'2.1meta'!J72+'2.1meta'!J85+'2.1meta'!J99+'2.1meta'!J110+'2.1meta'!J119+'2.1meta'!J126+'2.1meta'!J139+'2.1meta'!J151+'2.1meta'!J163</f>
        <v>0</v>
      </c>
      <c r="J15" s="83">
        <f>'2.1meta'!K16+'2.1meta'!K32+'2.1meta'!K44+'2.1meta'!K56+'2.1meta'!K72+'2.1meta'!K85+'2.1meta'!K99+'2.1meta'!K110+'2.1meta'!K119+'2.1meta'!K126+'2.1meta'!K139+'2.1meta'!K151+'2.1meta'!K163</f>
        <v>0</v>
      </c>
      <c r="K15" s="83">
        <f>'2.1meta'!L16+'2.1meta'!L32+'2.1meta'!L44+'2.1meta'!L56+'2.1meta'!L72+'2.1meta'!L85+'2.1meta'!L99+'2.1meta'!L110+'2.1meta'!L119+'2.1meta'!L126+'2.1meta'!L139+'2.1meta'!L151+'2.1meta'!L163</f>
        <v>0</v>
      </c>
      <c r="L15" s="83">
        <f>'2.1meta'!M16+'2.1meta'!M32+'2.1meta'!M44+'2.1meta'!M56+'2.1meta'!M72+'2.1meta'!M85+'2.1meta'!M99+'2.1meta'!M110+'2.1meta'!M119+'2.1meta'!M126+'2.1meta'!M139+'2.1meta'!M151+'2.1meta'!M163</f>
        <v>0</v>
      </c>
      <c r="M15" s="83">
        <f>'2.1meta'!N16+'2.1meta'!N32+'2.1meta'!N44+'2.1meta'!N56+'2.1meta'!N72+'2.1meta'!N85+'2.1meta'!N99+'2.1meta'!N110+'2.1meta'!N119+'2.1meta'!N126+'2.1meta'!N139+'2.1meta'!N151+'2.1meta'!N163</f>
        <v>0</v>
      </c>
      <c r="N15" s="83">
        <f>'2.1meta'!O16+'2.1meta'!O32+'2.1meta'!O44+'2.1meta'!O56+'2.1meta'!O72+'2.1meta'!O85+'2.1meta'!O99+'2.1meta'!O110+'2.1meta'!O119+'2.1meta'!O126+'2.1meta'!O139+'2.1meta'!O151+'2.1meta'!O163</f>
        <v>0</v>
      </c>
      <c r="O15" s="83">
        <f>'2.1meta'!P16+'2.1meta'!P32+'2.1meta'!P44+'2.1meta'!P56+'2.1meta'!P72+'2.1meta'!P85+'2.1meta'!P99+'2.1meta'!P110+'2.1meta'!P119+'2.1meta'!P126+'2.1meta'!P139+'2.1meta'!P151+'2.1meta'!P163</f>
        <v>0</v>
      </c>
      <c r="P15" s="83">
        <f>'2.1meta'!Q16+'2.1meta'!Q32+'2.1meta'!Q44+'2.1meta'!Q56+'2.1meta'!Q72+'2.1meta'!Q85+'2.1meta'!Q99+'2.1meta'!Q110+'2.1meta'!Q119+'2.1meta'!Q126+'2.1meta'!Q139+'2.1meta'!Q151+'2.1meta'!Q163</f>
        <v>0</v>
      </c>
      <c r="Q15" s="83">
        <f>'2.1meta'!R16+'2.1meta'!R32+'2.1meta'!R44+'2.1meta'!R56+'2.1meta'!R72+'2.1meta'!R85+'2.1meta'!R99+'2.1meta'!R110+'2.1meta'!R119+'2.1meta'!R126+'2.1meta'!R139+'2.1meta'!R151+'2.1meta'!R163</f>
        <v>0</v>
      </c>
      <c r="R15" s="83">
        <f>'2.1meta'!S16+'2.1meta'!S32+'2.1meta'!S44+'2.1meta'!S56+'2.1meta'!S72+'2.1meta'!S85+'2.1meta'!S99+'2.1meta'!S110+'2.1meta'!S119+'2.1meta'!S126+'2.1meta'!S139+'2.1meta'!S151+'2.1meta'!S163</f>
        <v>0</v>
      </c>
      <c r="S15" s="83">
        <f>'2.1meta'!T16+'2.1meta'!T32+'2.1meta'!T44+'2.1meta'!T56+'2.1meta'!T72+'2.1meta'!T85+'2.1meta'!T99+'2.1meta'!T110+'2.1meta'!T119+'2.1meta'!T126+'2.1meta'!T139+'2.1meta'!T151+'2.1meta'!T163</f>
        <v>0</v>
      </c>
      <c r="T15" s="83">
        <f>'2.1meta'!U16+'2.1meta'!U32+'2.1meta'!U44+'2.1meta'!U56+'2.1meta'!U72+'2.1meta'!U85+'2.1meta'!U99+'2.1meta'!U110+'2.1meta'!U119+'2.1meta'!U126+'2.1meta'!U139+'2.1meta'!U151+'2.1meta'!U163</f>
        <v>0</v>
      </c>
      <c r="U15" s="83">
        <f>'2.1meta'!V16+'2.1meta'!V32+'2.1meta'!V44+'2.1meta'!V56+'2.1meta'!V72+'2.1meta'!V85+'2.1meta'!V99+'2.1meta'!V110+'2.1meta'!V119+'2.1meta'!V126+'2.1meta'!V139+'2.1meta'!V151+'2.1meta'!V163</f>
        <v>0</v>
      </c>
      <c r="V15" s="83">
        <f>'2.1meta'!W16+'2.1meta'!W32+'2.1meta'!W44+'2.1meta'!W56+'2.1meta'!W72+'2.1meta'!W85+'2.1meta'!W99+'2.1meta'!W110+'2.1meta'!W119+'2.1meta'!W126+'2.1meta'!W139+'2.1meta'!W151+'2.1meta'!W163</f>
        <v>0</v>
      </c>
      <c r="W15" s="83">
        <f>'2.1meta'!X16+'2.1meta'!X32+'2.1meta'!X44+'2.1meta'!X56+'2.1meta'!X72+'2.1meta'!X85+'2.1meta'!X99+'2.1meta'!X110+'2.1meta'!X119+'2.1meta'!X126+'2.1meta'!X139+'2.1meta'!X151+'2.1meta'!X163</f>
        <v>0</v>
      </c>
      <c r="X15" s="85">
        <f t="shared" si="0"/>
        <v>0</v>
      </c>
      <c r="Y15" s="86">
        <f t="shared" si="1"/>
        <v>0</v>
      </c>
      <c r="Z15" s="87">
        <f>C15-Y15</f>
        <v>0</v>
      </c>
    </row>
    <row r="16" spans="1:26" ht="15.75" customHeight="1">
      <c r="A16" s="88" t="s">
        <v>47</v>
      </c>
      <c r="B16" s="109" t="s">
        <v>48</v>
      </c>
      <c r="C16" s="83">
        <f>'2.1meta'!D17+'2.1meta'!D33+'2.1meta'!D45+'2.1meta'!D57+'2.1meta'!D73+'2.1meta'!D86+'2.1meta'!D100+'2.1meta'!D111+'2.1meta'!D140+'2.1meta'!D152+'2.1meta'!D164</f>
        <v>0</v>
      </c>
      <c r="D16" s="83">
        <f>'2.1meta'!E17+'2.1meta'!E33+'2.1meta'!E45+'2.1meta'!E57+'2.1meta'!E73+'2.1meta'!E86+'2.1meta'!E100+'2.1meta'!E111+'2.1meta'!E140+'2.1meta'!E152+'2.1meta'!E164</f>
        <v>0</v>
      </c>
      <c r="E16" s="83">
        <f>'2.1meta'!F17+'2.1meta'!F33+'2.1meta'!F45+'2.1meta'!F57+'2.1meta'!F73+'2.1meta'!F86+'2.1meta'!F100+'2.1meta'!F111+'2.1meta'!F140+'2.1meta'!F152+'2.1meta'!F164</f>
        <v>0</v>
      </c>
      <c r="F16" s="84">
        <v>0</v>
      </c>
      <c r="G16" s="106">
        <f>C16-F16</f>
        <v>0</v>
      </c>
      <c r="H16" s="83">
        <f>'2.1meta'!I17+'2.1meta'!I33+'2.1meta'!I45+'2.1meta'!I57+'2.1meta'!I73+'2.1meta'!I86+'2.1meta'!I100+'2.1meta'!I111+'2.1meta'!I140+'2.1meta'!I152+'2.1meta'!I164</f>
        <v>0</v>
      </c>
      <c r="I16" s="83">
        <f>'2.1meta'!J17+'2.1meta'!J33+'2.1meta'!J45+'2.1meta'!J57+'2.1meta'!J73+'2.1meta'!J86+'2.1meta'!J100+'2.1meta'!J111+'2.1meta'!J140+'2.1meta'!J152+'2.1meta'!J164</f>
        <v>0</v>
      </c>
      <c r="J16" s="83">
        <f>'2.1meta'!K17+'2.1meta'!K33+'2.1meta'!K45+'2.1meta'!K57+'2.1meta'!K73+'2.1meta'!K86+'2.1meta'!K100+'2.1meta'!K111+'2.1meta'!K140+'2.1meta'!K152+'2.1meta'!K164</f>
        <v>0</v>
      </c>
      <c r="K16" s="83">
        <f>'2.1meta'!L17+'2.1meta'!L33+'2.1meta'!L45+'2.1meta'!L57+'2.1meta'!L73+'2.1meta'!L86+'2.1meta'!L100+'2.1meta'!L111+'2.1meta'!L140+'2.1meta'!L152+'2.1meta'!L164</f>
        <v>0</v>
      </c>
      <c r="L16" s="83">
        <f>'2.1meta'!M17+'2.1meta'!M33+'2.1meta'!M45+'2.1meta'!M57+'2.1meta'!M73+'2.1meta'!M86+'2.1meta'!M100+'2.1meta'!M111+'2.1meta'!M140+'2.1meta'!M152+'2.1meta'!M164</f>
        <v>0</v>
      </c>
      <c r="M16" s="83">
        <f>'2.1meta'!N17+'2.1meta'!N33+'2.1meta'!N45+'2.1meta'!N57+'2.1meta'!N73+'2.1meta'!N86+'2.1meta'!N100+'2.1meta'!N111+'2.1meta'!N140+'2.1meta'!N152+'2.1meta'!N164</f>
        <v>0</v>
      </c>
      <c r="N16" s="83">
        <f>'2.1meta'!O17+'2.1meta'!O33+'2.1meta'!O45+'2.1meta'!O57+'2.1meta'!O73+'2.1meta'!O86+'2.1meta'!O100+'2.1meta'!O111+'2.1meta'!O140+'2.1meta'!O152+'2.1meta'!O164</f>
        <v>0</v>
      </c>
      <c r="O16" s="83">
        <f>'2.1meta'!P17+'2.1meta'!P33+'2.1meta'!P45+'2.1meta'!P57+'2.1meta'!P73+'2.1meta'!P86+'2.1meta'!P100+'2.1meta'!P111+'2.1meta'!P140+'2.1meta'!P152+'2.1meta'!P164</f>
        <v>0</v>
      </c>
      <c r="P16" s="83">
        <f>'2.1meta'!Q17+'2.1meta'!Q33+'2.1meta'!Q45+'2.1meta'!Q57+'2.1meta'!Q73+'2.1meta'!Q86+'2.1meta'!Q100+'2.1meta'!Q111+'2.1meta'!Q140+'2.1meta'!Q152+'2.1meta'!Q164</f>
        <v>0</v>
      </c>
      <c r="Q16" s="83">
        <f>'2.1meta'!R17+'2.1meta'!R33+'2.1meta'!R45+'2.1meta'!R57+'2.1meta'!R73+'2.1meta'!R86+'2.1meta'!R100+'2.1meta'!R111+'2.1meta'!R140+'2.1meta'!R152+'2.1meta'!R164</f>
        <v>0</v>
      </c>
      <c r="R16" s="83">
        <f>'2.1meta'!S17+'2.1meta'!S33+'2.1meta'!S45+'2.1meta'!S57+'2.1meta'!S73+'2.1meta'!S86+'2.1meta'!S100+'2.1meta'!S111+'2.1meta'!S140+'2.1meta'!S152+'2.1meta'!S164</f>
        <v>0</v>
      </c>
      <c r="S16" s="83">
        <f>'2.1meta'!T17+'2.1meta'!T33+'2.1meta'!T45+'2.1meta'!T57+'2.1meta'!T73+'2.1meta'!T86+'2.1meta'!T100+'2.1meta'!T111+'2.1meta'!T140+'2.1meta'!T152+'2.1meta'!T164</f>
        <v>0</v>
      </c>
      <c r="T16" s="83">
        <f>'2.1meta'!U17+'2.1meta'!U33+'2.1meta'!U45+'2.1meta'!U57+'2.1meta'!U73+'2.1meta'!U86+'2.1meta'!U100+'2.1meta'!U111+'2.1meta'!U140+'2.1meta'!U152+'2.1meta'!U164</f>
        <v>0</v>
      </c>
      <c r="U16" s="83">
        <f>'2.1meta'!V17+'2.1meta'!V33+'2.1meta'!V45+'2.1meta'!V57+'2.1meta'!V73+'2.1meta'!V86+'2.1meta'!V100+'2.1meta'!V111+'2.1meta'!V140+'2.1meta'!V152+'2.1meta'!V164</f>
        <v>0</v>
      </c>
      <c r="V16" s="83">
        <f>'2.1meta'!W17+'2.1meta'!W33+'2.1meta'!W45+'2.1meta'!W57+'2.1meta'!W73+'2.1meta'!W86+'2.1meta'!W100+'2.1meta'!W111+'2.1meta'!W140+'2.1meta'!W152+'2.1meta'!W164</f>
        <v>0</v>
      </c>
      <c r="W16" s="83">
        <f>'2.1meta'!X17+'2.1meta'!X33+'2.1meta'!X45+'2.1meta'!X57+'2.1meta'!X73+'2.1meta'!X86+'2.1meta'!X100+'2.1meta'!X111+'2.1meta'!X140+'2.1meta'!X152+'2.1meta'!X164</f>
        <v>0</v>
      </c>
      <c r="X16" s="85">
        <f t="shared" si="0"/>
        <v>0</v>
      </c>
      <c r="Y16" s="86">
        <f t="shared" si="1"/>
        <v>0</v>
      </c>
      <c r="Z16" s="87">
        <f>C16-Y16</f>
        <v>0</v>
      </c>
    </row>
    <row r="17" spans="1:26" ht="15.75" customHeight="1">
      <c r="A17" s="88" t="s">
        <v>58</v>
      </c>
      <c r="B17" s="109" t="s">
        <v>59</v>
      </c>
      <c r="C17" s="83">
        <f>'2.1meta'!D34+'2.1meta'!D58</f>
        <v>0</v>
      </c>
      <c r="D17" s="83">
        <f>'2.1meta'!E34+'2.1meta'!E58</f>
        <v>0</v>
      </c>
      <c r="E17" s="83">
        <f>'2.1meta'!F34+'2.1meta'!F58</f>
        <v>0</v>
      </c>
      <c r="F17" s="84">
        <v>0</v>
      </c>
      <c r="G17" s="106">
        <f>C17-F17</f>
        <v>0</v>
      </c>
      <c r="H17" s="83">
        <f>'2.1meta'!I34+'2.1meta'!I58</f>
        <v>0</v>
      </c>
      <c r="I17" s="83">
        <f>'2.1meta'!J34+'2.1meta'!J58</f>
        <v>0</v>
      </c>
      <c r="J17" s="83">
        <f>'2.1meta'!K34+'2.1meta'!K58</f>
        <v>0</v>
      </c>
      <c r="K17" s="83">
        <f>'2.1meta'!L34+'2.1meta'!L58</f>
        <v>0</v>
      </c>
      <c r="L17" s="83">
        <f>'2.1meta'!M34+'2.1meta'!M58</f>
        <v>0</v>
      </c>
      <c r="M17" s="83">
        <f>'2.1meta'!N34+'2.1meta'!N58</f>
        <v>0</v>
      </c>
      <c r="N17" s="83">
        <f>'2.1meta'!O34+'2.1meta'!O58</f>
        <v>0</v>
      </c>
      <c r="O17" s="83">
        <f>'2.1meta'!P34+'2.1meta'!P58</f>
        <v>0</v>
      </c>
      <c r="P17" s="83">
        <f>'2.1meta'!Q34+'2.1meta'!Q58</f>
        <v>0</v>
      </c>
      <c r="Q17" s="83">
        <f>'2.1meta'!R34+'2.1meta'!R58</f>
        <v>0</v>
      </c>
      <c r="R17" s="83">
        <f>'2.1meta'!S34+'2.1meta'!S58</f>
        <v>0</v>
      </c>
      <c r="S17" s="83">
        <f>'2.1meta'!T34+'2.1meta'!T58</f>
        <v>0</v>
      </c>
      <c r="T17" s="83">
        <f>'2.1meta'!U34+'2.1meta'!U58</f>
        <v>0</v>
      </c>
      <c r="U17" s="83">
        <f>'2.1meta'!V34+'2.1meta'!V58</f>
        <v>0</v>
      </c>
      <c r="V17" s="83">
        <f>'2.1meta'!W34+'2.1meta'!W58</f>
        <v>0</v>
      </c>
      <c r="W17" s="83">
        <f>'2.1meta'!X34+'2.1meta'!X58</f>
        <v>0</v>
      </c>
      <c r="X17" s="85">
        <f t="shared" si="0"/>
        <v>0</v>
      </c>
      <c r="Y17" s="86">
        <f t="shared" si="1"/>
        <v>0</v>
      </c>
      <c r="Z17" s="87">
        <f>C17-Y17</f>
        <v>0</v>
      </c>
    </row>
    <row r="18" spans="1:26" ht="15.75" customHeight="1">
      <c r="A18" s="88" t="s">
        <v>49</v>
      </c>
      <c r="B18" s="109" t="s">
        <v>50</v>
      </c>
      <c r="C18" s="83">
        <f>'2.1meta'!D18+'2.1meta'!D35+'2.1meta'!D46+'2.1meta'!D59+'2.1meta'!D74+'2.1meta'!D87+'2.1meta'!D101+'2.1meta'!D112+'2.1meta'!D141+'2.1meta'!D153+'2.1meta'!D165</f>
        <v>0</v>
      </c>
      <c r="D18" s="83">
        <f>'2.1meta'!E18+'2.1meta'!E35+'2.1meta'!E46+'2.1meta'!E59+'2.1meta'!E74+'2.1meta'!E87+'2.1meta'!E101+'2.1meta'!E112+'2.1meta'!E141+'2.1meta'!E153+'2.1meta'!E165</f>
        <v>0</v>
      </c>
      <c r="E18" s="83">
        <f>'2.1meta'!F18+'2.1meta'!F35+'2.1meta'!F46+'2.1meta'!F59+'2.1meta'!F74+'2.1meta'!F87+'2.1meta'!F101+'2.1meta'!F112+'2.1meta'!F141+'2.1meta'!F153+'2.1meta'!F165</f>
        <v>0</v>
      </c>
      <c r="F18" s="84">
        <v>0</v>
      </c>
      <c r="G18" s="106">
        <f>C18-F18</f>
        <v>0</v>
      </c>
      <c r="H18" s="83">
        <f>'2.1meta'!I18+'2.1meta'!I35+'2.1meta'!I46+'2.1meta'!I59+'2.1meta'!I74+'2.1meta'!I87+'2.1meta'!I101+'2.1meta'!I112+'2.1meta'!I141+'2.1meta'!I153+'2.1meta'!I165</f>
        <v>0</v>
      </c>
      <c r="I18" s="83">
        <f>'2.1meta'!J18+'2.1meta'!J35+'2.1meta'!J46+'2.1meta'!J59+'2.1meta'!J74+'2.1meta'!J87+'2.1meta'!J101+'2.1meta'!J112+'2.1meta'!J141+'2.1meta'!J153+'2.1meta'!J165</f>
        <v>0</v>
      </c>
      <c r="J18" s="83">
        <f>'2.1meta'!K18+'2.1meta'!K35+'2.1meta'!K46+'2.1meta'!K59+'2.1meta'!K74+'2.1meta'!K87+'2.1meta'!K101+'2.1meta'!K112+'2.1meta'!K141+'2.1meta'!K153+'2.1meta'!K165</f>
        <v>0</v>
      </c>
      <c r="K18" s="83">
        <f>'2.1meta'!L18+'2.1meta'!L35+'2.1meta'!L46+'2.1meta'!L59+'2.1meta'!L74+'2.1meta'!L87+'2.1meta'!L101+'2.1meta'!L112+'2.1meta'!L141+'2.1meta'!L153+'2.1meta'!L165</f>
        <v>0</v>
      </c>
      <c r="L18" s="83">
        <f>'2.1meta'!M18+'2.1meta'!M35+'2.1meta'!M46+'2.1meta'!M59+'2.1meta'!M74+'2.1meta'!M87+'2.1meta'!M101+'2.1meta'!M112+'2.1meta'!M141+'2.1meta'!M153+'2.1meta'!M165</f>
        <v>0</v>
      </c>
      <c r="M18" s="83">
        <f>'2.1meta'!N18+'2.1meta'!N35+'2.1meta'!N46+'2.1meta'!N59+'2.1meta'!N74+'2.1meta'!N87+'2.1meta'!N101+'2.1meta'!N112+'2.1meta'!N141+'2.1meta'!N153+'2.1meta'!N165</f>
        <v>0</v>
      </c>
      <c r="N18" s="83">
        <f>'2.1meta'!O18+'2.1meta'!O35+'2.1meta'!O46+'2.1meta'!O59+'2.1meta'!O74+'2.1meta'!O87+'2.1meta'!O101+'2.1meta'!O112+'2.1meta'!O141+'2.1meta'!O153+'2.1meta'!O165</f>
        <v>0</v>
      </c>
      <c r="O18" s="83">
        <f>'2.1meta'!P18+'2.1meta'!P35+'2.1meta'!P46+'2.1meta'!P59+'2.1meta'!P74+'2.1meta'!P87+'2.1meta'!P101+'2.1meta'!P112+'2.1meta'!P141+'2.1meta'!P153+'2.1meta'!P165</f>
        <v>0</v>
      </c>
      <c r="P18" s="83">
        <f>'2.1meta'!Q18+'2.1meta'!Q35+'2.1meta'!Q46+'2.1meta'!Q59+'2.1meta'!Q74+'2.1meta'!Q87+'2.1meta'!Q101+'2.1meta'!Q112+'2.1meta'!Q141+'2.1meta'!Q153+'2.1meta'!Q165</f>
        <v>0</v>
      </c>
      <c r="Q18" s="83">
        <f>'2.1meta'!R18+'2.1meta'!R35+'2.1meta'!R46+'2.1meta'!R59+'2.1meta'!R74+'2.1meta'!R87+'2.1meta'!R101+'2.1meta'!R112+'2.1meta'!R141+'2.1meta'!R153+'2.1meta'!R165</f>
        <v>0</v>
      </c>
      <c r="R18" s="83">
        <f>'2.1meta'!S18+'2.1meta'!S35+'2.1meta'!S46+'2.1meta'!S59+'2.1meta'!S74+'2.1meta'!S87+'2.1meta'!S101+'2.1meta'!S112+'2.1meta'!S141+'2.1meta'!S153+'2.1meta'!S165</f>
        <v>0</v>
      </c>
      <c r="S18" s="83">
        <f>'2.1meta'!T18+'2.1meta'!T35+'2.1meta'!T46+'2.1meta'!T59+'2.1meta'!T74+'2.1meta'!T87+'2.1meta'!T101+'2.1meta'!T112+'2.1meta'!T141+'2.1meta'!T153+'2.1meta'!T165</f>
        <v>0</v>
      </c>
      <c r="T18" s="83">
        <f>'2.1meta'!U18+'2.1meta'!U35+'2.1meta'!U46+'2.1meta'!U59+'2.1meta'!U74+'2.1meta'!U87+'2.1meta'!U101+'2.1meta'!U112+'2.1meta'!U141+'2.1meta'!U153+'2.1meta'!U165</f>
        <v>0</v>
      </c>
      <c r="U18" s="83">
        <f>'2.1meta'!V18+'2.1meta'!V35+'2.1meta'!V46+'2.1meta'!V59+'2.1meta'!V74+'2.1meta'!V87+'2.1meta'!V101+'2.1meta'!V112+'2.1meta'!V141+'2.1meta'!V153+'2.1meta'!V165</f>
        <v>0</v>
      </c>
      <c r="V18" s="83">
        <f>'2.1meta'!W18+'2.1meta'!W35+'2.1meta'!W46+'2.1meta'!W59+'2.1meta'!W74+'2.1meta'!W87+'2.1meta'!W101+'2.1meta'!W112+'2.1meta'!W141+'2.1meta'!W153+'2.1meta'!W165</f>
        <v>0</v>
      </c>
      <c r="W18" s="83">
        <f>'2.1meta'!X18+'2.1meta'!X35+'2.1meta'!X46+'2.1meta'!X59+'2.1meta'!X74+'2.1meta'!X87+'2.1meta'!X101+'2.1meta'!X112+'2.1meta'!X141+'2.1meta'!X153+'2.1meta'!X165</f>
        <v>0</v>
      </c>
      <c r="X18" s="85">
        <f t="shared" si="0"/>
        <v>0</v>
      </c>
      <c r="Y18" s="86">
        <f t="shared" si="1"/>
        <v>0</v>
      </c>
      <c r="Z18" s="87">
        <f>C18-Y18</f>
        <v>0</v>
      </c>
    </row>
    <row r="19" spans="1:26" ht="15.75" customHeight="1">
      <c r="A19" s="88" t="s">
        <v>51</v>
      </c>
      <c r="B19" s="109" t="s">
        <v>52</v>
      </c>
      <c r="C19" s="83">
        <f>'2.1meta'!D19+'2.1meta'!D36+'2.1meta'!D47+'2.1meta'!D60+'2.1meta'!D75+'2.1meta'!D88+'2.1meta'!D127+'2.1meta'!D142+'2.1meta'!D154+'2.1meta'!D166</f>
        <v>0</v>
      </c>
      <c r="D19" s="83">
        <f>'2.1meta'!E19+'2.1meta'!E36+'2.1meta'!E47+'2.1meta'!E60+'2.1meta'!E75+'2.1meta'!E88+'2.1meta'!E127+'2.1meta'!E142+'2.1meta'!E154+'2.1meta'!E166</f>
        <v>0</v>
      </c>
      <c r="E19" s="83">
        <f>'2.1meta'!F19+'2.1meta'!F36+'2.1meta'!F47+'2.1meta'!F60+'2.1meta'!F75+'2.1meta'!F88+'2.1meta'!F127+'2.1meta'!F142+'2.1meta'!F154+'2.1meta'!F166</f>
        <v>0</v>
      </c>
      <c r="F19" s="84">
        <v>0</v>
      </c>
      <c r="G19" s="106">
        <f>C19-F19</f>
        <v>0</v>
      </c>
      <c r="H19" s="83">
        <f>'2.1meta'!I19+'2.1meta'!I36+'2.1meta'!I47+'2.1meta'!I60+'2.1meta'!I75+'2.1meta'!I88+'2.1meta'!I127+'2.1meta'!I142+'2.1meta'!I154+'2.1meta'!I166</f>
        <v>0</v>
      </c>
      <c r="I19" s="83">
        <f>'2.1meta'!J19+'2.1meta'!J36+'2.1meta'!J47+'2.1meta'!J60+'2.1meta'!J75+'2.1meta'!J88+'2.1meta'!J127+'2.1meta'!J142+'2.1meta'!J154+'2.1meta'!J166</f>
        <v>0</v>
      </c>
      <c r="J19" s="83">
        <f>'2.1meta'!K19+'2.1meta'!K36+'2.1meta'!K47+'2.1meta'!K60+'2.1meta'!K75+'2.1meta'!K88+'2.1meta'!K127+'2.1meta'!K142+'2.1meta'!K154+'2.1meta'!K166</f>
        <v>0</v>
      </c>
      <c r="K19" s="83">
        <f>'2.1meta'!L19+'2.1meta'!L36+'2.1meta'!L47+'2.1meta'!L60+'2.1meta'!L75+'2.1meta'!L88+'2.1meta'!L127+'2.1meta'!L142+'2.1meta'!L154+'2.1meta'!L166</f>
        <v>0</v>
      </c>
      <c r="L19" s="83">
        <f>'2.1meta'!M19+'2.1meta'!M36+'2.1meta'!M47+'2.1meta'!M60+'2.1meta'!M75+'2.1meta'!M88+'2.1meta'!M127+'2.1meta'!M142+'2.1meta'!M154+'2.1meta'!M166</f>
        <v>0</v>
      </c>
      <c r="M19" s="83">
        <f>'2.1meta'!N19+'2.1meta'!N36+'2.1meta'!N47+'2.1meta'!N60+'2.1meta'!N75+'2.1meta'!N88+'2.1meta'!N127+'2.1meta'!N142+'2.1meta'!N154+'2.1meta'!N166</f>
        <v>0</v>
      </c>
      <c r="N19" s="83">
        <f>'2.1meta'!O19+'2.1meta'!O36+'2.1meta'!O47+'2.1meta'!O60+'2.1meta'!O75+'2.1meta'!O88+'2.1meta'!O127+'2.1meta'!O142+'2.1meta'!O154+'2.1meta'!O166</f>
        <v>0</v>
      </c>
      <c r="O19" s="83">
        <f>'2.1meta'!P19+'2.1meta'!P36+'2.1meta'!P47+'2.1meta'!P60+'2.1meta'!P75+'2.1meta'!P88+'2.1meta'!P127+'2.1meta'!P142+'2.1meta'!P154+'2.1meta'!P166</f>
        <v>0</v>
      </c>
      <c r="P19" s="83">
        <f>'2.1meta'!Q19+'2.1meta'!Q36+'2.1meta'!Q47+'2.1meta'!Q60+'2.1meta'!Q75+'2.1meta'!Q88+'2.1meta'!Q127+'2.1meta'!Q142+'2.1meta'!Q154+'2.1meta'!Q166</f>
        <v>0</v>
      </c>
      <c r="Q19" s="83">
        <f>'2.1meta'!R19+'2.1meta'!R36+'2.1meta'!R47+'2.1meta'!R60+'2.1meta'!R75+'2.1meta'!R88+'2.1meta'!R127+'2.1meta'!R142+'2.1meta'!R154+'2.1meta'!R166</f>
        <v>0</v>
      </c>
      <c r="R19" s="83">
        <f>'2.1meta'!S19+'2.1meta'!S36+'2.1meta'!S47+'2.1meta'!S60+'2.1meta'!S75+'2.1meta'!S88+'2.1meta'!S127+'2.1meta'!S142+'2.1meta'!S154+'2.1meta'!S166</f>
        <v>0</v>
      </c>
      <c r="S19" s="83">
        <f>'2.1meta'!T19+'2.1meta'!T36+'2.1meta'!T47+'2.1meta'!T60+'2.1meta'!T75+'2.1meta'!T88+'2.1meta'!T127+'2.1meta'!T142+'2.1meta'!T154+'2.1meta'!T166</f>
        <v>0</v>
      </c>
      <c r="T19" s="83">
        <f>'2.1meta'!U19+'2.1meta'!U36+'2.1meta'!U47+'2.1meta'!U60+'2.1meta'!U75+'2.1meta'!U88+'2.1meta'!U127+'2.1meta'!U142+'2.1meta'!U154+'2.1meta'!U166</f>
        <v>0</v>
      </c>
      <c r="U19" s="83">
        <f>'2.1meta'!V19+'2.1meta'!V36+'2.1meta'!V47+'2.1meta'!V60+'2.1meta'!V75+'2.1meta'!V88+'2.1meta'!V127+'2.1meta'!V142+'2.1meta'!V154+'2.1meta'!V166</f>
        <v>0</v>
      </c>
      <c r="V19" s="83">
        <f>'2.1meta'!W19+'2.1meta'!W36+'2.1meta'!W47+'2.1meta'!W60+'2.1meta'!W75+'2.1meta'!W88+'2.1meta'!W127+'2.1meta'!W142+'2.1meta'!W154+'2.1meta'!W166</f>
        <v>0</v>
      </c>
      <c r="W19" s="83">
        <f>'2.1meta'!X19+'2.1meta'!X36+'2.1meta'!X47+'2.1meta'!X60+'2.1meta'!X75+'2.1meta'!X88+'2.1meta'!X127+'2.1meta'!X142+'2.1meta'!X154+'2.1meta'!X166</f>
        <v>0</v>
      </c>
      <c r="X19" s="85">
        <f t="shared" si="0"/>
        <v>0</v>
      </c>
      <c r="Y19" s="86">
        <f t="shared" si="1"/>
        <v>0</v>
      </c>
      <c r="Z19" s="87">
        <f>C19-Y19</f>
        <v>0</v>
      </c>
    </row>
    <row r="20" spans="1:26" ht="15.75" customHeight="1">
      <c r="A20" s="88" t="s">
        <v>53</v>
      </c>
      <c r="B20" s="109" t="s">
        <v>54</v>
      </c>
      <c r="C20" s="83">
        <f>'2.1meta'!D20+'2.1meta'!D37+'2.1meta'!D76+'2.1meta'!D89</f>
        <v>0</v>
      </c>
      <c r="D20" s="83">
        <f>'2.1meta'!E20+'2.1meta'!E37+'2.1meta'!E76+'2.1meta'!E89</f>
        <v>0</v>
      </c>
      <c r="E20" s="83">
        <f>'2.1meta'!F20+'2.1meta'!F37+'2.1meta'!F76+'2.1meta'!F89</f>
        <v>0</v>
      </c>
      <c r="F20" s="84">
        <v>0</v>
      </c>
      <c r="G20" s="106">
        <f>C20-F20</f>
        <v>0</v>
      </c>
      <c r="H20" s="83">
        <f>'2.1meta'!I20+'2.1meta'!I37+'2.1meta'!I76+'2.1meta'!I89</f>
        <v>0</v>
      </c>
      <c r="I20" s="83">
        <f>'2.1meta'!J20+'2.1meta'!J37+'2.1meta'!J76+'2.1meta'!J89</f>
        <v>0</v>
      </c>
      <c r="J20" s="83">
        <f>'2.1meta'!K20+'2.1meta'!K37+'2.1meta'!K76+'2.1meta'!K89</f>
        <v>0</v>
      </c>
      <c r="K20" s="83">
        <f>'2.1meta'!L20+'2.1meta'!L37+'2.1meta'!L76+'2.1meta'!L89</f>
        <v>0</v>
      </c>
      <c r="L20" s="83">
        <f>'2.1meta'!M20+'2.1meta'!M37+'2.1meta'!M76+'2.1meta'!M89</f>
        <v>0</v>
      </c>
      <c r="M20" s="83">
        <f>'2.1meta'!N20+'2.1meta'!N37+'2.1meta'!N76+'2.1meta'!N89</f>
        <v>0</v>
      </c>
      <c r="N20" s="83">
        <f>'2.1meta'!O20+'2.1meta'!O37+'2.1meta'!O76+'2.1meta'!O89</f>
        <v>0</v>
      </c>
      <c r="O20" s="83">
        <f>'2.1meta'!P20+'2.1meta'!P37+'2.1meta'!P76+'2.1meta'!P89</f>
        <v>0</v>
      </c>
      <c r="P20" s="83">
        <f>'2.1meta'!Q20+'2.1meta'!Q37+'2.1meta'!Q76+'2.1meta'!Q89</f>
        <v>0</v>
      </c>
      <c r="Q20" s="83">
        <f>'2.1meta'!R20+'2.1meta'!R37+'2.1meta'!R76+'2.1meta'!R89</f>
        <v>0</v>
      </c>
      <c r="R20" s="83">
        <f>'2.1meta'!S20+'2.1meta'!S37+'2.1meta'!S76+'2.1meta'!S89</f>
        <v>0</v>
      </c>
      <c r="S20" s="83">
        <f>'2.1meta'!T20+'2.1meta'!T37+'2.1meta'!T76+'2.1meta'!T89</f>
        <v>0</v>
      </c>
      <c r="T20" s="83">
        <f>'2.1meta'!U20+'2.1meta'!U37+'2.1meta'!U76+'2.1meta'!U89</f>
        <v>0</v>
      </c>
      <c r="U20" s="83">
        <f>'2.1meta'!V20+'2.1meta'!V37+'2.1meta'!V76+'2.1meta'!V89</f>
        <v>0</v>
      </c>
      <c r="V20" s="83">
        <f>'2.1meta'!W20+'2.1meta'!W37+'2.1meta'!W76+'2.1meta'!W89</f>
        <v>0</v>
      </c>
      <c r="W20" s="83">
        <f>'2.1meta'!X20+'2.1meta'!X37+'2.1meta'!X76+'2.1meta'!X89</f>
        <v>0</v>
      </c>
      <c r="X20" s="85">
        <f t="shared" si="0"/>
        <v>0</v>
      </c>
      <c r="Y20" s="86">
        <f t="shared" si="1"/>
        <v>0</v>
      </c>
      <c r="Z20" s="87">
        <f>C20-Y20</f>
        <v>0</v>
      </c>
    </row>
    <row r="21" spans="1:26" ht="15.75" customHeight="1">
      <c r="A21" s="91" t="s">
        <v>55</v>
      </c>
      <c r="B21" s="111" t="s">
        <v>56</v>
      </c>
      <c r="C21" s="83">
        <f>'2.1meta'!D21+'2.1meta'!D38+'2.1meta'!D48+'2.1meta'!D61+'2.1meta'!D77+'2.1meta'!D90+'2.1meta'!D102+'2.1meta'!D113+'2.1meta'!D120+'2.1meta'!D128+'2.1meta'!D143+'2.1meta'!D155+'2.1meta'!D167</f>
        <v>0</v>
      </c>
      <c r="D21" s="83">
        <f>'2.1meta'!E21+'2.1meta'!E38+'2.1meta'!E48+'2.1meta'!E61+'2.1meta'!E77+'2.1meta'!E90+'2.1meta'!E102+'2.1meta'!E113+'2.1meta'!E120+'2.1meta'!E128+'2.1meta'!E143+'2.1meta'!E155+'2.1meta'!E167</f>
        <v>0</v>
      </c>
      <c r="E21" s="83">
        <f>'2.1meta'!F21+'2.1meta'!F38+'2.1meta'!F48+'2.1meta'!F61+'2.1meta'!F77+'2.1meta'!F90+'2.1meta'!F102+'2.1meta'!F113+'2.1meta'!F120+'2.1meta'!F128+'2.1meta'!F143+'2.1meta'!F155+'2.1meta'!F167</f>
        <v>0</v>
      </c>
      <c r="F21" s="84">
        <v>0</v>
      </c>
      <c r="G21" s="106">
        <f>C21-F21</f>
        <v>0</v>
      </c>
      <c r="H21" s="83">
        <f>'2.1meta'!I21+'2.1meta'!I38+'2.1meta'!I48+'2.1meta'!I61+'2.1meta'!I77+'2.1meta'!I90+'2.1meta'!I102+'2.1meta'!I113+'2.1meta'!I120+'2.1meta'!I128+'2.1meta'!I143+'2.1meta'!I155+'2.1meta'!I167</f>
        <v>0</v>
      </c>
      <c r="I21" s="83">
        <f>'2.1meta'!J21+'2.1meta'!J38+'2.1meta'!J48+'2.1meta'!J61+'2.1meta'!J77+'2.1meta'!J90+'2.1meta'!J102+'2.1meta'!J113+'2.1meta'!J120+'2.1meta'!J128+'2.1meta'!J143+'2.1meta'!J155+'2.1meta'!J167</f>
        <v>0</v>
      </c>
      <c r="J21" s="83">
        <f>'2.1meta'!K21+'2.1meta'!K38+'2.1meta'!K48+'2.1meta'!K61+'2.1meta'!K77+'2.1meta'!K90+'2.1meta'!K102+'2.1meta'!K113+'2.1meta'!K120+'2.1meta'!K128+'2.1meta'!K143+'2.1meta'!K155+'2.1meta'!K167</f>
        <v>0</v>
      </c>
      <c r="K21" s="83">
        <f>'2.1meta'!L21+'2.1meta'!L38+'2.1meta'!L48+'2.1meta'!L61+'2.1meta'!L77+'2.1meta'!L90+'2.1meta'!L102+'2.1meta'!L113+'2.1meta'!L120+'2.1meta'!L128+'2.1meta'!L143+'2.1meta'!L155+'2.1meta'!L167</f>
        <v>0</v>
      </c>
      <c r="L21" s="83">
        <f>'2.1meta'!M21+'2.1meta'!M38+'2.1meta'!M48+'2.1meta'!M61+'2.1meta'!M77+'2.1meta'!M90+'2.1meta'!M102+'2.1meta'!M113+'2.1meta'!M120+'2.1meta'!M128+'2.1meta'!M143+'2.1meta'!M155+'2.1meta'!M167</f>
        <v>0</v>
      </c>
      <c r="M21" s="83">
        <f>'2.1meta'!N21+'2.1meta'!N38+'2.1meta'!N48+'2.1meta'!N61+'2.1meta'!N77+'2.1meta'!N90+'2.1meta'!N102+'2.1meta'!N113+'2.1meta'!N120+'2.1meta'!N128+'2.1meta'!N143+'2.1meta'!N155+'2.1meta'!N167</f>
        <v>0</v>
      </c>
      <c r="N21" s="83">
        <f>'2.1meta'!O21+'2.1meta'!O38+'2.1meta'!O48+'2.1meta'!O61+'2.1meta'!O77+'2.1meta'!O90+'2.1meta'!O102+'2.1meta'!O113+'2.1meta'!O120+'2.1meta'!O128+'2.1meta'!O143+'2.1meta'!O155+'2.1meta'!O167</f>
        <v>0</v>
      </c>
      <c r="O21" s="83">
        <f>'2.1meta'!P21+'2.1meta'!P38+'2.1meta'!P48+'2.1meta'!P61+'2.1meta'!P77+'2.1meta'!P90+'2.1meta'!P102+'2.1meta'!P113+'2.1meta'!P120+'2.1meta'!P128+'2.1meta'!P143+'2.1meta'!P155+'2.1meta'!P167</f>
        <v>0</v>
      </c>
      <c r="P21" s="83">
        <f>'2.1meta'!Q21+'2.1meta'!Q38+'2.1meta'!Q48+'2.1meta'!Q61+'2.1meta'!Q77+'2.1meta'!Q90+'2.1meta'!Q102+'2.1meta'!Q113+'2.1meta'!Q120+'2.1meta'!Q128+'2.1meta'!Q143+'2.1meta'!Q155+'2.1meta'!Q167</f>
        <v>0</v>
      </c>
      <c r="Q21" s="83">
        <f>'2.1meta'!R21+'2.1meta'!R38+'2.1meta'!R48+'2.1meta'!R61+'2.1meta'!R77+'2.1meta'!R90+'2.1meta'!R102+'2.1meta'!R113+'2.1meta'!R120+'2.1meta'!R128+'2.1meta'!R143+'2.1meta'!R155+'2.1meta'!R167</f>
        <v>0</v>
      </c>
      <c r="R21" s="83">
        <f>'2.1meta'!S21+'2.1meta'!S38+'2.1meta'!S48+'2.1meta'!S61+'2.1meta'!S77+'2.1meta'!S90+'2.1meta'!S102+'2.1meta'!S113+'2.1meta'!S120+'2.1meta'!S128+'2.1meta'!S143+'2.1meta'!S155+'2.1meta'!S167</f>
        <v>0</v>
      </c>
      <c r="S21" s="83">
        <f>'2.1meta'!T21+'2.1meta'!T38+'2.1meta'!T48+'2.1meta'!T61+'2.1meta'!T77+'2.1meta'!T90+'2.1meta'!T102+'2.1meta'!T113+'2.1meta'!T120+'2.1meta'!T128+'2.1meta'!T143+'2.1meta'!T155+'2.1meta'!T167</f>
        <v>0</v>
      </c>
      <c r="T21" s="83">
        <f>'2.1meta'!U21+'2.1meta'!U38+'2.1meta'!U48+'2.1meta'!U61+'2.1meta'!U77+'2.1meta'!U90+'2.1meta'!U102+'2.1meta'!U113+'2.1meta'!U120+'2.1meta'!U128+'2.1meta'!U143+'2.1meta'!U155+'2.1meta'!U167</f>
        <v>0</v>
      </c>
      <c r="U21" s="83">
        <f>'2.1meta'!V21+'2.1meta'!V38+'2.1meta'!V48+'2.1meta'!V61+'2.1meta'!V77+'2.1meta'!V90+'2.1meta'!V102+'2.1meta'!V113+'2.1meta'!V120+'2.1meta'!V128+'2.1meta'!V143+'2.1meta'!V155+'2.1meta'!V167</f>
        <v>0</v>
      </c>
      <c r="V21" s="83">
        <f>'2.1meta'!W21+'2.1meta'!W38+'2.1meta'!W48+'2.1meta'!W61+'2.1meta'!W77+'2.1meta'!W90+'2.1meta'!W102+'2.1meta'!W113+'2.1meta'!W120+'2.1meta'!W128+'2.1meta'!W143+'2.1meta'!W155+'2.1meta'!W167</f>
        <v>0</v>
      </c>
      <c r="W21" s="83">
        <f>'2.1meta'!X21+'2.1meta'!X38+'2.1meta'!X48+'2.1meta'!X61+'2.1meta'!X77+'2.1meta'!X90+'2.1meta'!X102+'2.1meta'!X113+'2.1meta'!X120+'2.1meta'!X128+'2.1meta'!X143+'2.1meta'!X155+'2.1meta'!X167</f>
        <v>0</v>
      </c>
      <c r="X21" s="85">
        <f t="shared" si="0"/>
        <v>0</v>
      </c>
      <c r="Y21" s="86">
        <f t="shared" si="1"/>
        <v>0</v>
      </c>
      <c r="Z21" s="87">
        <f>C21-Y21</f>
        <v>0</v>
      </c>
    </row>
    <row r="22" spans="1:26" s="47" customFormat="1" ht="15.75" customHeight="1">
      <c r="A22" s="96" t="s">
        <v>125</v>
      </c>
      <c r="B22" s="97"/>
      <c r="C22" s="98">
        <f>SUBTOTAL(9,C5:C21)</f>
        <v>0</v>
      </c>
      <c r="D22" s="98">
        <f t="shared" ref="D22:E22" si="2">SUBTOTAL(9,D5:D21)</f>
        <v>0</v>
      </c>
      <c r="E22" s="98">
        <f t="shared" si="2"/>
        <v>0</v>
      </c>
      <c r="F22" s="98">
        <f>SUBTOTAL(9,F5:F21)</f>
        <v>0</v>
      </c>
      <c r="G22" s="64">
        <f>C22-F22</f>
        <v>0</v>
      </c>
      <c r="H22" s="98">
        <f t="shared" ref="H22:Z22" si="3">SUBTOTAL(9,H5:H21)</f>
        <v>0</v>
      </c>
      <c r="I22" s="98">
        <f t="shared" ref="I22:O22" si="4">SUBTOTAL(9,I5:I21)</f>
        <v>0</v>
      </c>
      <c r="J22" s="98">
        <f t="shared" si="4"/>
        <v>0</v>
      </c>
      <c r="K22" s="98">
        <f t="shared" si="4"/>
        <v>0</v>
      </c>
      <c r="L22" s="98">
        <f t="shared" si="4"/>
        <v>0</v>
      </c>
      <c r="M22" s="98">
        <f t="shared" si="4"/>
        <v>0</v>
      </c>
      <c r="N22" s="98">
        <f t="shared" si="4"/>
        <v>0</v>
      </c>
      <c r="O22" s="98">
        <f t="shared" si="4"/>
        <v>0</v>
      </c>
      <c r="P22" s="98">
        <f t="shared" ref="P22:Q22" si="5">SUBTOTAL(9,P5:P21)</f>
        <v>0</v>
      </c>
      <c r="Q22" s="98">
        <f t="shared" si="5"/>
        <v>0</v>
      </c>
      <c r="R22" s="98">
        <f t="shared" si="3"/>
        <v>0</v>
      </c>
      <c r="S22" s="98">
        <f t="shared" si="3"/>
        <v>0</v>
      </c>
      <c r="T22" s="98">
        <f t="shared" si="3"/>
        <v>0</v>
      </c>
      <c r="U22" s="98">
        <f t="shared" si="3"/>
        <v>0</v>
      </c>
      <c r="V22" s="98">
        <f t="shared" si="3"/>
        <v>0</v>
      </c>
      <c r="W22" s="98">
        <f t="shared" si="3"/>
        <v>0</v>
      </c>
      <c r="X22" s="98">
        <f t="shared" si="3"/>
        <v>0</v>
      </c>
      <c r="Y22" s="99">
        <f t="shared" si="3"/>
        <v>0</v>
      </c>
      <c r="Z22" s="100">
        <f t="shared" si="3"/>
        <v>0</v>
      </c>
    </row>
    <row r="24" spans="1:26">
      <c r="C24" s="101"/>
      <c r="D24" s="101"/>
      <c r="E24" s="101"/>
      <c r="F24" s="32"/>
      <c r="G24" s="32"/>
    </row>
    <row r="25" spans="1:26">
      <c r="C25" s="34"/>
      <c r="D25" s="34"/>
      <c r="E25" s="34"/>
    </row>
    <row r="26" spans="1:26">
      <c r="C26" s="34"/>
      <c r="D26" s="34"/>
      <c r="E26" s="34"/>
    </row>
    <row r="27" spans="1:26">
      <c r="C27" s="34"/>
      <c r="D27" s="34"/>
      <c r="E27" s="34"/>
    </row>
    <row r="28" spans="1:26">
      <c r="C28" s="34"/>
      <c r="D28" s="34"/>
      <c r="E28" s="34"/>
    </row>
    <row r="29" spans="1:26">
      <c r="C29" s="34"/>
      <c r="D29" s="34"/>
      <c r="E29" s="34"/>
    </row>
    <row r="30" spans="1:26">
      <c r="C30" s="34"/>
      <c r="D30" s="34"/>
      <c r="E30" s="34"/>
    </row>
    <row r="31" spans="1:26">
      <c r="C31" s="34"/>
      <c r="D31" s="34"/>
      <c r="E31" s="34"/>
    </row>
    <row r="32" spans="1:26">
      <c r="C32" s="34"/>
      <c r="D32" s="34"/>
      <c r="E32" s="34"/>
    </row>
  </sheetData>
  <mergeCells count="13">
    <mergeCell ref="F3:F4"/>
    <mergeCell ref="A3:B4"/>
    <mergeCell ref="C3:C4"/>
    <mergeCell ref="D3:D4"/>
    <mergeCell ref="E3:E4"/>
    <mergeCell ref="Y3:Y4"/>
    <mergeCell ref="Z3:Z4"/>
    <mergeCell ref="G3:G4"/>
    <mergeCell ref="H3:S3"/>
    <mergeCell ref="T3:U3"/>
    <mergeCell ref="V3:V4"/>
    <mergeCell ref="W3:W4"/>
    <mergeCell ref="X3:X4"/>
  </mergeCells>
  <pageMargins left="0.39370078740157483" right="0.31496062992125984" top="0.74803149606299213" bottom="0.74803149606299213" header="0.31496062992125984" footer="0.31496062992125984"/>
  <pageSetup paperSize="9" scale="5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00B0F0"/>
  </sheetPr>
  <dimension ref="A1:U55"/>
  <sheetViews>
    <sheetView workbookViewId="0">
      <pane xSplit="2" topLeftCell="H1" activePane="topRight" state="frozen"/>
      <selection pane="topRight" activeCell="N22" sqref="M22:N22"/>
    </sheetView>
  </sheetViews>
  <sheetFormatPr baseColWidth="10" defaultRowHeight="12.75"/>
  <cols>
    <col min="1" max="1" width="9.140625" customWidth="1"/>
    <col min="2" max="2" width="29.42578125" customWidth="1"/>
    <col min="3" max="3" width="10.5703125" customWidth="1"/>
    <col min="9" max="9" width="9.28515625" customWidth="1"/>
    <col min="10" max="10" width="11.42578125" customWidth="1"/>
    <col min="11" max="11" width="11.5703125" customWidth="1"/>
    <col min="12" max="12" width="11.42578125" customWidth="1"/>
    <col min="13" max="13" width="8.7109375" customWidth="1"/>
    <col min="14" max="14" width="9" customWidth="1"/>
    <col min="15" max="15" width="9.85546875" customWidth="1"/>
    <col min="16" max="16" width="9.5703125" customWidth="1"/>
    <col min="17" max="17" width="9.42578125" customWidth="1"/>
    <col min="18" max="18" width="8.85546875" customWidth="1"/>
    <col min="19" max="20" width="12.140625" customWidth="1"/>
    <col min="21" max="21" width="14.42578125" customWidth="1"/>
  </cols>
  <sheetData>
    <row r="1" spans="1:21">
      <c r="A1" s="51" t="s">
        <v>94</v>
      </c>
    </row>
    <row r="2" spans="1:21">
      <c r="J2" s="1"/>
      <c r="S2" s="1"/>
      <c r="T2" s="1"/>
      <c r="U2" s="1"/>
    </row>
    <row r="3" spans="1:21" ht="18" customHeight="1">
      <c r="A3" s="227" t="s">
        <v>74</v>
      </c>
      <c r="B3" s="228"/>
      <c r="C3" s="207" t="s">
        <v>3</v>
      </c>
      <c r="D3" s="2" t="s">
        <v>6</v>
      </c>
      <c r="E3" s="2"/>
      <c r="F3" s="2"/>
      <c r="G3" s="2"/>
      <c r="H3" s="2"/>
      <c r="I3" s="2"/>
      <c r="J3" s="2"/>
      <c r="K3" s="197" t="s">
        <v>7</v>
      </c>
      <c r="L3" s="3" t="s">
        <v>8</v>
      </c>
      <c r="M3" s="3"/>
      <c r="N3" s="3"/>
      <c r="O3" s="3"/>
      <c r="P3" s="3"/>
      <c r="Q3" s="3"/>
      <c r="R3" s="3"/>
      <c r="S3" s="3"/>
      <c r="T3" s="195" t="s">
        <v>9</v>
      </c>
      <c r="U3" s="199" t="s">
        <v>10</v>
      </c>
    </row>
    <row r="4" spans="1:21" ht="33" customHeight="1">
      <c r="A4" s="229"/>
      <c r="B4" s="230"/>
      <c r="C4" s="208"/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  <c r="I4" s="4" t="s">
        <v>16</v>
      </c>
      <c r="J4" s="4" t="s">
        <v>17</v>
      </c>
      <c r="K4" s="198"/>
      <c r="L4" s="5" t="s">
        <v>18</v>
      </c>
      <c r="M4" s="5" t="s">
        <v>19</v>
      </c>
      <c r="N4" s="5" t="s">
        <v>20</v>
      </c>
      <c r="O4" s="5" t="s">
        <v>21</v>
      </c>
      <c r="P4" s="5" t="s">
        <v>22</v>
      </c>
      <c r="Q4" s="5" t="s">
        <v>23</v>
      </c>
      <c r="R4" s="6" t="s">
        <v>24</v>
      </c>
      <c r="S4" s="5" t="s">
        <v>25</v>
      </c>
      <c r="T4" s="196"/>
      <c r="U4" s="200"/>
    </row>
    <row r="5" spans="1:21" ht="15.75" customHeight="1">
      <c r="A5" s="36" t="s">
        <v>75</v>
      </c>
      <c r="B5" s="37"/>
      <c r="C5" s="7">
        <f t="shared" ref="C5:I5" si="0">SUBTOTAL(9,C6:C8)</f>
        <v>3774042</v>
      </c>
      <c r="D5" s="7">
        <f t="shared" si="0"/>
        <v>285013.57</v>
      </c>
      <c r="E5" s="7">
        <f t="shared" si="0"/>
        <v>275120.57</v>
      </c>
      <c r="F5" s="7">
        <f t="shared" si="0"/>
        <v>276794.90000000002</v>
      </c>
      <c r="G5" s="7">
        <f t="shared" si="0"/>
        <v>272368.60000000003</v>
      </c>
      <c r="H5" s="7">
        <f t="shared" si="0"/>
        <v>286455.73000000004</v>
      </c>
      <c r="I5" s="7">
        <f t="shared" si="0"/>
        <v>0</v>
      </c>
      <c r="J5" s="9">
        <f>SUM(D5:I5)</f>
        <v>1395753.37</v>
      </c>
      <c r="K5" s="9">
        <f t="shared" ref="K5:K21" si="1">C5-J5</f>
        <v>2378288.63</v>
      </c>
      <c r="L5" s="8">
        <f t="shared" ref="L5:R5" si="2">SUBTOTAL(9,L6:L8)</f>
        <v>306988.2</v>
      </c>
      <c r="M5" s="8">
        <f t="shared" si="2"/>
        <v>337888.2</v>
      </c>
      <c r="N5" s="8">
        <f t="shared" si="2"/>
        <v>306988.2</v>
      </c>
      <c r="O5" s="8">
        <f t="shared" si="2"/>
        <v>306988.2</v>
      </c>
      <c r="P5" s="8">
        <f t="shared" si="2"/>
        <v>306988.2</v>
      </c>
      <c r="Q5" s="8">
        <f t="shared" si="2"/>
        <v>306988.2</v>
      </c>
      <c r="R5" s="8">
        <f t="shared" si="2"/>
        <v>337888.2</v>
      </c>
      <c r="S5" s="8">
        <f>SUM(L5:R5)</f>
        <v>2210717.4</v>
      </c>
      <c r="T5" s="10">
        <f>+J5+S5</f>
        <v>3606470.77</v>
      </c>
      <c r="U5" s="38">
        <f>+C5-T5</f>
        <v>167571.22999999998</v>
      </c>
    </row>
    <row r="6" spans="1:21">
      <c r="A6" s="42" t="s">
        <v>80</v>
      </c>
      <c r="B6" s="42" t="s">
        <v>81</v>
      </c>
      <c r="C6" s="40">
        <v>3461120</v>
      </c>
      <c r="D6" s="41">
        <v>266240</v>
      </c>
      <c r="E6" s="41">
        <v>256598.01</v>
      </c>
      <c r="F6" s="41">
        <v>258560</v>
      </c>
      <c r="G6" s="41">
        <v>254386.67</v>
      </c>
      <c r="H6" s="41">
        <v>267214.03000000003</v>
      </c>
      <c r="I6" s="41">
        <v>0</v>
      </c>
      <c r="J6" s="13">
        <f t="shared" ref="J6:J20" si="3">SUM(D6:I6)</f>
        <v>1302998.71</v>
      </c>
      <c r="K6" s="14">
        <f t="shared" si="1"/>
        <v>2158121.29</v>
      </c>
      <c r="L6" s="12">
        <v>286560</v>
      </c>
      <c r="M6" s="12">
        <v>286560</v>
      </c>
      <c r="N6" s="12">
        <v>286560</v>
      </c>
      <c r="O6" s="12">
        <v>286560</v>
      </c>
      <c r="P6" s="12">
        <v>286560</v>
      </c>
      <c r="Q6" s="12">
        <v>286560</v>
      </c>
      <c r="R6" s="12">
        <v>286560</v>
      </c>
      <c r="S6" s="15">
        <f>SUM(L6:R6)</f>
        <v>2005920</v>
      </c>
      <c r="T6" s="16">
        <f>+J6+S6</f>
        <v>3308918.71</v>
      </c>
      <c r="U6" s="17">
        <f>+C6-T6</f>
        <v>152201.29000000004</v>
      </c>
    </row>
    <row r="7" spans="1:21">
      <c r="A7" s="42" t="s">
        <v>82</v>
      </c>
      <c r="B7" s="42" t="s">
        <v>83</v>
      </c>
      <c r="C7" s="40">
        <v>246103</v>
      </c>
      <c r="D7" s="41">
        <v>18773.57</v>
      </c>
      <c r="E7" s="41">
        <v>18522.560000000001</v>
      </c>
      <c r="F7" s="41">
        <v>18234.900000000001</v>
      </c>
      <c r="G7" s="41">
        <v>17981.93</v>
      </c>
      <c r="H7" s="41">
        <v>19241.7</v>
      </c>
      <c r="I7" s="41">
        <v>0</v>
      </c>
      <c r="J7" s="19">
        <f t="shared" si="3"/>
        <v>92754.66</v>
      </c>
      <c r="K7" s="20">
        <f t="shared" si="1"/>
        <v>153348.34</v>
      </c>
      <c r="L7" s="18">
        <v>20428.2</v>
      </c>
      <c r="M7" s="18">
        <v>20428.2</v>
      </c>
      <c r="N7" s="18">
        <v>20428.2</v>
      </c>
      <c r="O7" s="18">
        <v>20428.2</v>
      </c>
      <c r="P7" s="18">
        <v>20428.2</v>
      </c>
      <c r="Q7" s="18">
        <v>20428.2</v>
      </c>
      <c r="R7" s="18">
        <v>20428.2</v>
      </c>
      <c r="S7" s="21">
        <f t="shared" ref="S7:S21" si="4">SUM(L7:R7)</f>
        <v>142997.4</v>
      </c>
      <c r="T7" s="16">
        <f t="shared" ref="T7:T8" si="5">+J7+S7</f>
        <v>235752.06</v>
      </c>
      <c r="U7" s="17">
        <f t="shared" ref="U7:U8" si="6">+C7-T7</f>
        <v>10350.940000000002</v>
      </c>
    </row>
    <row r="8" spans="1:21">
      <c r="A8" s="42" t="s">
        <v>84</v>
      </c>
      <c r="B8" s="42" t="s">
        <v>85</v>
      </c>
      <c r="C8" s="40">
        <v>66819</v>
      </c>
      <c r="D8" s="41">
        <v>0</v>
      </c>
      <c r="E8" s="41">
        <v>0</v>
      </c>
      <c r="F8" s="41">
        <v>0</v>
      </c>
      <c r="G8" s="41">
        <v>0</v>
      </c>
      <c r="H8" s="41">
        <v>0</v>
      </c>
      <c r="I8" s="41">
        <v>0</v>
      </c>
      <c r="J8" s="19">
        <f t="shared" si="3"/>
        <v>0</v>
      </c>
      <c r="K8" s="20">
        <f t="shared" si="1"/>
        <v>66819</v>
      </c>
      <c r="L8" s="18"/>
      <c r="M8" s="18">
        <v>30900</v>
      </c>
      <c r="N8" s="18"/>
      <c r="O8" s="18"/>
      <c r="P8" s="18"/>
      <c r="Q8" s="18"/>
      <c r="R8" s="18">
        <v>30900</v>
      </c>
      <c r="S8" s="21">
        <f t="shared" si="4"/>
        <v>61800</v>
      </c>
      <c r="T8" s="16">
        <f t="shared" si="5"/>
        <v>61800</v>
      </c>
      <c r="U8" s="17">
        <f t="shared" si="6"/>
        <v>5019</v>
      </c>
    </row>
    <row r="9" spans="1:21">
      <c r="A9" s="36" t="s">
        <v>76</v>
      </c>
      <c r="B9" s="44"/>
      <c r="C9" s="7">
        <f t="shared" ref="C9:I9" si="7">SUBTOTAL(9,C10:C12)</f>
        <v>135112</v>
      </c>
      <c r="D9" s="8">
        <f t="shared" si="7"/>
        <v>33778</v>
      </c>
      <c r="E9" s="8">
        <f t="shared" si="7"/>
        <v>33778</v>
      </c>
      <c r="F9" s="8">
        <f t="shared" si="7"/>
        <v>33778</v>
      </c>
      <c r="G9" s="8">
        <f t="shared" si="7"/>
        <v>31639.13</v>
      </c>
      <c r="H9" s="8">
        <f t="shared" si="7"/>
        <v>-44</v>
      </c>
      <c r="I9" s="8">
        <f t="shared" si="7"/>
        <v>0</v>
      </c>
      <c r="J9" s="9">
        <f t="shared" si="3"/>
        <v>132929.13</v>
      </c>
      <c r="K9" s="9">
        <f t="shared" si="1"/>
        <v>2182.8699999999953</v>
      </c>
      <c r="L9" s="8">
        <f t="shared" ref="L9:R9" si="8">SUBTOTAL(9,L10:L12)</f>
        <v>0</v>
      </c>
      <c r="M9" s="8">
        <f t="shared" si="8"/>
        <v>33060.199999999997</v>
      </c>
      <c r="N9" s="8">
        <f t="shared" si="8"/>
        <v>30360.2</v>
      </c>
      <c r="O9" s="8">
        <f t="shared" si="8"/>
        <v>30360.2</v>
      </c>
      <c r="P9" s="8">
        <f t="shared" si="8"/>
        <v>30360.2</v>
      </c>
      <c r="Q9" s="8">
        <f t="shared" si="8"/>
        <v>30360.2</v>
      </c>
      <c r="R9" s="8">
        <f t="shared" si="8"/>
        <v>33060.199999999997</v>
      </c>
      <c r="S9" s="8">
        <f>SUM(L9:R9)</f>
        <v>187561.2</v>
      </c>
      <c r="T9" s="10">
        <f>+J9+S9</f>
        <v>320490.33</v>
      </c>
      <c r="U9" s="38">
        <f t="shared" ref="U9:U21" si="9">+C9-T9</f>
        <v>-185378.33000000002</v>
      </c>
    </row>
    <row r="10" spans="1:21">
      <c r="A10" s="42" t="s">
        <v>80</v>
      </c>
      <c r="B10" s="42" t="s">
        <v>81</v>
      </c>
      <c r="C10" s="40">
        <v>126400</v>
      </c>
      <c r="D10" s="41">
        <v>31600</v>
      </c>
      <c r="E10" s="41">
        <v>31600</v>
      </c>
      <c r="F10" s="41">
        <v>31600</v>
      </c>
      <c r="G10" s="41">
        <v>29573.33</v>
      </c>
      <c r="H10" s="41">
        <v>-44</v>
      </c>
      <c r="I10" s="41">
        <v>0</v>
      </c>
      <c r="J10" s="13">
        <f t="shared" si="3"/>
        <v>124329.33</v>
      </c>
      <c r="K10" s="14">
        <f t="shared" si="1"/>
        <v>2070.6699999999983</v>
      </c>
      <c r="L10" s="12">
        <v>0</v>
      </c>
      <c r="M10" s="12">
        <v>28400</v>
      </c>
      <c r="N10" s="12">
        <v>28400</v>
      </c>
      <c r="O10" s="12">
        <v>28400</v>
      </c>
      <c r="P10" s="12">
        <v>28400</v>
      </c>
      <c r="Q10" s="12">
        <v>28400</v>
      </c>
      <c r="R10" s="12">
        <v>28400</v>
      </c>
      <c r="S10" s="15">
        <f t="shared" si="4"/>
        <v>170400</v>
      </c>
      <c r="T10" s="16">
        <f t="shared" ref="T10:T12" si="10">+J10+S10</f>
        <v>294729.33</v>
      </c>
      <c r="U10" s="17">
        <f t="shared" si="9"/>
        <v>-168329.33000000002</v>
      </c>
    </row>
    <row r="11" spans="1:21">
      <c r="A11" s="42" t="s">
        <v>82</v>
      </c>
      <c r="B11" s="42" t="s">
        <v>83</v>
      </c>
      <c r="C11" s="40">
        <v>8712</v>
      </c>
      <c r="D11" s="41">
        <v>2178</v>
      </c>
      <c r="E11" s="41">
        <v>2178</v>
      </c>
      <c r="F11" s="41">
        <v>2178</v>
      </c>
      <c r="G11" s="41">
        <v>2065.8000000000002</v>
      </c>
      <c r="H11" s="41"/>
      <c r="I11" s="41">
        <v>0</v>
      </c>
      <c r="J11" s="19">
        <f t="shared" si="3"/>
        <v>8599.7999999999993</v>
      </c>
      <c r="K11" s="20">
        <f t="shared" si="1"/>
        <v>112.20000000000073</v>
      </c>
      <c r="L11" s="18">
        <v>0</v>
      </c>
      <c r="M11" s="18">
        <v>1960.2</v>
      </c>
      <c r="N11" s="18">
        <v>1960.2</v>
      </c>
      <c r="O11" s="18">
        <v>1960.2</v>
      </c>
      <c r="P11" s="18">
        <v>1960.2</v>
      </c>
      <c r="Q11" s="18">
        <v>1960.2</v>
      </c>
      <c r="R11" s="18">
        <v>1960.2</v>
      </c>
      <c r="S11" s="21">
        <f t="shared" si="4"/>
        <v>11761.2</v>
      </c>
      <c r="T11" s="16">
        <f t="shared" si="10"/>
        <v>20361</v>
      </c>
      <c r="U11" s="17">
        <f t="shared" si="9"/>
        <v>-11649</v>
      </c>
    </row>
    <row r="12" spans="1:21">
      <c r="A12" s="42" t="s">
        <v>84</v>
      </c>
      <c r="B12" s="42" t="s">
        <v>85</v>
      </c>
      <c r="C12" s="40">
        <v>0</v>
      </c>
      <c r="D12" s="41">
        <v>0</v>
      </c>
      <c r="E12" s="41">
        <v>0</v>
      </c>
      <c r="F12" s="41">
        <v>0</v>
      </c>
      <c r="G12" s="41">
        <v>0</v>
      </c>
      <c r="H12" s="41">
        <v>0</v>
      </c>
      <c r="I12" s="41">
        <v>0</v>
      </c>
      <c r="J12" s="19">
        <f t="shared" si="3"/>
        <v>0</v>
      </c>
      <c r="K12" s="20">
        <f t="shared" si="1"/>
        <v>0</v>
      </c>
      <c r="L12" s="18"/>
      <c r="M12" s="18">
        <v>2700</v>
      </c>
      <c r="N12" s="18"/>
      <c r="O12" s="18"/>
      <c r="P12" s="18"/>
      <c r="Q12" s="18"/>
      <c r="R12" s="18">
        <v>2700</v>
      </c>
      <c r="S12" s="21">
        <f t="shared" si="4"/>
        <v>5400</v>
      </c>
      <c r="T12" s="16">
        <f t="shared" si="10"/>
        <v>5400</v>
      </c>
      <c r="U12" s="17">
        <f t="shared" si="9"/>
        <v>-5400</v>
      </c>
    </row>
    <row r="13" spans="1:21" s="47" customFormat="1">
      <c r="A13" s="36" t="s">
        <v>77</v>
      </c>
      <c r="B13" s="36"/>
      <c r="C13" s="8">
        <f t="shared" ref="C13:I13" si="11">SUBTOTAL(9,C14:C16)</f>
        <v>690499</v>
      </c>
      <c r="D13" s="8">
        <f t="shared" si="11"/>
        <v>66560.039999999994</v>
      </c>
      <c r="E13" s="8">
        <f t="shared" si="11"/>
        <v>66338.92</v>
      </c>
      <c r="F13" s="8">
        <f t="shared" si="11"/>
        <v>66560.2</v>
      </c>
      <c r="G13" s="8">
        <f t="shared" si="11"/>
        <v>66553.61</v>
      </c>
      <c r="H13" s="8">
        <f t="shared" si="11"/>
        <v>64877.07</v>
      </c>
      <c r="I13" s="8">
        <f t="shared" si="11"/>
        <v>0</v>
      </c>
      <c r="J13" s="9">
        <f t="shared" si="3"/>
        <v>330889.83999999997</v>
      </c>
      <c r="K13" s="9">
        <f t="shared" si="1"/>
        <v>359609.16000000003</v>
      </c>
      <c r="L13" s="8">
        <f t="shared" ref="L13:R13" si="12">SUBTOTAL(9,L14:L16)</f>
        <v>62842.400000000001</v>
      </c>
      <c r="M13" s="8">
        <f t="shared" si="12"/>
        <v>70342.399999999994</v>
      </c>
      <c r="N13" s="8">
        <f t="shared" si="12"/>
        <v>62842.400000000001</v>
      </c>
      <c r="O13" s="8">
        <f t="shared" si="12"/>
        <v>62842.400000000001</v>
      </c>
      <c r="P13" s="8">
        <f t="shared" si="12"/>
        <v>62842.400000000001</v>
      </c>
      <c r="Q13" s="8">
        <f t="shared" si="12"/>
        <v>62842.400000000001</v>
      </c>
      <c r="R13" s="8">
        <f t="shared" si="12"/>
        <v>70342.399999999994</v>
      </c>
      <c r="S13" s="8">
        <f>SUM(L13:R13)</f>
        <v>454896.80000000005</v>
      </c>
      <c r="T13" s="10">
        <f>+J13+S13</f>
        <v>785786.64</v>
      </c>
      <c r="U13" s="38">
        <f t="shared" si="9"/>
        <v>-95287.640000000014</v>
      </c>
    </row>
    <row r="14" spans="1:21">
      <c r="A14" s="42" t="s">
        <v>80</v>
      </c>
      <c r="B14" s="42" t="s">
        <v>81</v>
      </c>
      <c r="C14" s="40">
        <v>625841</v>
      </c>
      <c r="D14" s="41">
        <v>61720</v>
      </c>
      <c r="E14" s="41">
        <v>61506.67</v>
      </c>
      <c r="F14" s="41">
        <v>61720</v>
      </c>
      <c r="G14" s="41">
        <v>61720</v>
      </c>
      <c r="H14" s="41">
        <v>60086.67</v>
      </c>
      <c r="I14" s="41">
        <v>0</v>
      </c>
      <c r="J14" s="13">
        <f t="shared" si="3"/>
        <v>306753.33999999997</v>
      </c>
      <c r="K14" s="14">
        <f t="shared" si="1"/>
        <v>319087.66000000003</v>
      </c>
      <c r="L14" s="12">
        <v>58220</v>
      </c>
      <c r="M14" s="12">
        <v>58220</v>
      </c>
      <c r="N14" s="12">
        <v>58220</v>
      </c>
      <c r="O14" s="12">
        <v>58220</v>
      </c>
      <c r="P14" s="12">
        <v>58220</v>
      </c>
      <c r="Q14" s="12">
        <v>58220</v>
      </c>
      <c r="R14" s="12">
        <v>58220</v>
      </c>
      <c r="S14" s="15">
        <f t="shared" si="4"/>
        <v>407540</v>
      </c>
      <c r="T14" s="16">
        <f t="shared" ref="T14:T16" si="13">+J14+S14</f>
        <v>714293.34</v>
      </c>
      <c r="U14" s="17">
        <f t="shared" si="9"/>
        <v>-88452.339999999967</v>
      </c>
    </row>
    <row r="15" spans="1:21">
      <c r="A15" s="42" t="s">
        <v>82</v>
      </c>
      <c r="B15" s="42" t="s">
        <v>83</v>
      </c>
      <c r="C15" s="40">
        <v>50642</v>
      </c>
      <c r="D15" s="41">
        <v>4840.04</v>
      </c>
      <c r="E15" s="41">
        <v>4832.25</v>
      </c>
      <c r="F15" s="41">
        <v>4840.2</v>
      </c>
      <c r="G15" s="41">
        <v>4833.6099999999997</v>
      </c>
      <c r="H15" s="41">
        <v>4790.3999999999996</v>
      </c>
      <c r="I15" s="41">
        <v>0</v>
      </c>
      <c r="J15" s="19">
        <f t="shared" si="3"/>
        <v>24136.5</v>
      </c>
      <c r="K15" s="20">
        <f t="shared" si="1"/>
        <v>26505.5</v>
      </c>
      <c r="L15" s="18">
        <v>4622.3999999999996</v>
      </c>
      <c r="M15" s="18">
        <v>4622.3999999999996</v>
      </c>
      <c r="N15" s="18">
        <v>4622.3999999999996</v>
      </c>
      <c r="O15" s="18">
        <v>4622.3999999999996</v>
      </c>
      <c r="P15" s="18">
        <v>4622.3999999999996</v>
      </c>
      <c r="Q15" s="18">
        <v>4622.3999999999996</v>
      </c>
      <c r="R15" s="18">
        <v>4622.3999999999996</v>
      </c>
      <c r="S15" s="21">
        <f t="shared" si="4"/>
        <v>32356.800000000003</v>
      </c>
      <c r="T15" s="16">
        <f t="shared" si="13"/>
        <v>56493.3</v>
      </c>
      <c r="U15" s="17">
        <f t="shared" si="9"/>
        <v>-5851.3000000000029</v>
      </c>
    </row>
    <row r="16" spans="1:21">
      <c r="A16" s="42" t="s">
        <v>84</v>
      </c>
      <c r="B16" s="42" t="s">
        <v>85</v>
      </c>
      <c r="C16" s="40">
        <v>14016</v>
      </c>
      <c r="D16" s="41">
        <v>0</v>
      </c>
      <c r="E16" s="41">
        <v>0</v>
      </c>
      <c r="F16" s="41">
        <v>0</v>
      </c>
      <c r="G16" s="41">
        <v>0</v>
      </c>
      <c r="H16" s="41">
        <v>0</v>
      </c>
      <c r="I16" s="41">
        <v>0</v>
      </c>
      <c r="J16" s="19">
        <f t="shared" si="3"/>
        <v>0</v>
      </c>
      <c r="K16" s="20">
        <f t="shared" si="1"/>
        <v>14016</v>
      </c>
      <c r="L16" s="18">
        <v>0</v>
      </c>
      <c r="M16" s="18">
        <v>7500</v>
      </c>
      <c r="N16" s="18">
        <v>0</v>
      </c>
      <c r="O16" s="18">
        <v>0</v>
      </c>
      <c r="P16" s="18">
        <v>0</v>
      </c>
      <c r="Q16" s="18">
        <v>0</v>
      </c>
      <c r="R16" s="18">
        <v>7500</v>
      </c>
      <c r="S16" s="21">
        <f t="shared" si="4"/>
        <v>15000</v>
      </c>
      <c r="T16" s="16">
        <f t="shared" si="13"/>
        <v>15000</v>
      </c>
      <c r="U16" s="17">
        <f t="shared" si="9"/>
        <v>-984</v>
      </c>
    </row>
    <row r="17" spans="1:21" s="47" customFormat="1">
      <c r="A17" s="36" t="s">
        <v>78</v>
      </c>
      <c r="B17" s="36"/>
      <c r="C17" s="8">
        <f t="shared" ref="C17:I17" si="14">SUBTOTAL(9,C18:C20)</f>
        <v>195256</v>
      </c>
      <c r="D17" s="8">
        <f t="shared" si="14"/>
        <v>16071.2</v>
      </c>
      <c r="E17" s="8">
        <f t="shared" si="14"/>
        <v>16071.2</v>
      </c>
      <c r="F17" s="8">
        <f t="shared" si="14"/>
        <v>16071.2</v>
      </c>
      <c r="G17" s="8">
        <f t="shared" si="14"/>
        <v>14469.4</v>
      </c>
      <c r="H17" s="8">
        <f t="shared" si="14"/>
        <v>16071.2</v>
      </c>
      <c r="I17" s="8">
        <f t="shared" si="14"/>
        <v>0</v>
      </c>
      <c r="J17" s="9">
        <f t="shared" si="3"/>
        <v>78754.200000000012</v>
      </c>
      <c r="K17" s="9">
        <f t="shared" si="1"/>
        <v>116501.79999999999</v>
      </c>
      <c r="L17" s="8">
        <f t="shared" ref="L17:R17" si="15">SUBTOTAL(9,L18:L20)</f>
        <v>16071.2</v>
      </c>
      <c r="M17" s="8">
        <f t="shared" si="15"/>
        <v>17271.2</v>
      </c>
      <c r="N17" s="8">
        <f t="shared" si="15"/>
        <v>16071.2</v>
      </c>
      <c r="O17" s="8">
        <f t="shared" si="15"/>
        <v>16071.2</v>
      </c>
      <c r="P17" s="8">
        <f t="shared" si="15"/>
        <v>16071.2</v>
      </c>
      <c r="Q17" s="8">
        <f t="shared" si="15"/>
        <v>16071.2</v>
      </c>
      <c r="R17" s="8">
        <f t="shared" si="15"/>
        <v>17271.2</v>
      </c>
      <c r="S17" s="8">
        <f>SUM(L17:R17)</f>
        <v>114898.4</v>
      </c>
      <c r="T17" s="10">
        <f>+J17+S17</f>
        <v>193652.6</v>
      </c>
      <c r="U17" s="38">
        <f t="shared" si="9"/>
        <v>1603.3999999999942</v>
      </c>
    </row>
    <row r="18" spans="1:21">
      <c r="A18" s="42" t="s">
        <v>80</v>
      </c>
      <c r="B18" s="42" t="s">
        <v>81</v>
      </c>
      <c r="C18" s="40">
        <v>182400</v>
      </c>
      <c r="D18" s="41">
        <v>15200</v>
      </c>
      <c r="E18" s="41">
        <v>15200</v>
      </c>
      <c r="F18" s="41">
        <v>15200</v>
      </c>
      <c r="G18" s="41">
        <v>13600</v>
      </c>
      <c r="H18" s="41">
        <v>15200</v>
      </c>
      <c r="I18" s="41">
        <v>0</v>
      </c>
      <c r="J18" s="13">
        <f t="shared" si="3"/>
        <v>74400</v>
      </c>
      <c r="K18" s="14">
        <f t="shared" si="1"/>
        <v>108000</v>
      </c>
      <c r="L18" s="12">
        <v>15200</v>
      </c>
      <c r="M18" s="12">
        <v>15200</v>
      </c>
      <c r="N18" s="12">
        <v>15200</v>
      </c>
      <c r="O18" s="12">
        <v>15200</v>
      </c>
      <c r="P18" s="12">
        <v>15200</v>
      </c>
      <c r="Q18" s="12">
        <v>15200</v>
      </c>
      <c r="R18" s="12">
        <v>15200</v>
      </c>
      <c r="S18" s="15">
        <f t="shared" si="4"/>
        <v>106400</v>
      </c>
      <c r="T18" s="16">
        <f t="shared" ref="T18:T20" si="16">+J18+S18</f>
        <v>180800</v>
      </c>
      <c r="U18" s="17">
        <f t="shared" si="9"/>
        <v>1600</v>
      </c>
    </row>
    <row r="19" spans="1:21">
      <c r="A19" s="42" t="s">
        <v>82</v>
      </c>
      <c r="B19" s="42" t="s">
        <v>83</v>
      </c>
      <c r="C19" s="40">
        <v>10456</v>
      </c>
      <c r="D19" s="41">
        <v>871.2</v>
      </c>
      <c r="E19" s="41">
        <v>871.2</v>
      </c>
      <c r="F19" s="41">
        <v>871.2</v>
      </c>
      <c r="G19" s="41">
        <v>869.4</v>
      </c>
      <c r="H19" s="41">
        <v>871.2</v>
      </c>
      <c r="I19" s="41">
        <v>0</v>
      </c>
      <c r="J19" s="19">
        <f t="shared" si="3"/>
        <v>4354.2000000000007</v>
      </c>
      <c r="K19" s="20">
        <f t="shared" si="1"/>
        <v>6101.7999999999993</v>
      </c>
      <c r="L19" s="18">
        <v>871.2</v>
      </c>
      <c r="M19" s="18">
        <v>871.2</v>
      </c>
      <c r="N19" s="18">
        <v>871.2</v>
      </c>
      <c r="O19" s="18">
        <v>871.2</v>
      </c>
      <c r="P19" s="18">
        <v>871.2</v>
      </c>
      <c r="Q19" s="18">
        <v>871.2</v>
      </c>
      <c r="R19" s="18">
        <v>871.2</v>
      </c>
      <c r="S19" s="21">
        <f t="shared" si="4"/>
        <v>6098.4</v>
      </c>
      <c r="T19" s="16">
        <f t="shared" si="16"/>
        <v>10452.6</v>
      </c>
      <c r="U19" s="17">
        <f t="shared" si="9"/>
        <v>3.3999999999996362</v>
      </c>
    </row>
    <row r="20" spans="1:21">
      <c r="A20" s="42" t="s">
        <v>84</v>
      </c>
      <c r="B20" s="42" t="s">
        <v>85</v>
      </c>
      <c r="C20" s="40">
        <v>2400</v>
      </c>
      <c r="D20" s="41">
        <v>0</v>
      </c>
      <c r="E20" s="41">
        <v>0</v>
      </c>
      <c r="F20" s="41">
        <v>0</v>
      </c>
      <c r="G20" s="41">
        <v>0</v>
      </c>
      <c r="H20" s="41">
        <v>0</v>
      </c>
      <c r="I20" s="41">
        <v>0</v>
      </c>
      <c r="J20" s="19">
        <f t="shared" si="3"/>
        <v>0</v>
      </c>
      <c r="K20" s="20">
        <f t="shared" si="1"/>
        <v>2400</v>
      </c>
      <c r="L20" s="18">
        <v>0</v>
      </c>
      <c r="M20" s="18">
        <v>1200</v>
      </c>
      <c r="N20" s="18">
        <v>0</v>
      </c>
      <c r="O20" s="18">
        <v>0</v>
      </c>
      <c r="P20" s="18">
        <v>0</v>
      </c>
      <c r="Q20" s="18">
        <v>0</v>
      </c>
      <c r="R20" s="18">
        <v>1200</v>
      </c>
      <c r="S20" s="21">
        <f t="shared" si="4"/>
        <v>2400</v>
      </c>
      <c r="T20" s="16">
        <f t="shared" si="16"/>
        <v>2400</v>
      </c>
      <c r="U20" s="17">
        <f t="shared" si="9"/>
        <v>0</v>
      </c>
    </row>
    <row r="21" spans="1:21" s="58" customFormat="1" ht="18" customHeight="1">
      <c r="A21" s="52" t="s">
        <v>86</v>
      </c>
      <c r="B21" s="53"/>
      <c r="C21" s="54">
        <f t="shared" ref="C21:H21" si="17">SUBTOTAL(9,C5:C20)</f>
        <v>4794909</v>
      </c>
      <c r="D21" s="54">
        <f t="shared" si="17"/>
        <v>401422.81</v>
      </c>
      <c r="E21" s="54">
        <f t="shared" si="17"/>
        <v>391308.69</v>
      </c>
      <c r="F21" s="54">
        <f t="shared" si="17"/>
        <v>393204.30000000005</v>
      </c>
      <c r="G21" s="54">
        <f t="shared" si="17"/>
        <v>385030.74000000005</v>
      </c>
      <c r="H21" s="54">
        <f t="shared" si="17"/>
        <v>367360.00000000006</v>
      </c>
      <c r="I21" s="55">
        <f>SUM(I5:I20)/3</f>
        <v>0</v>
      </c>
      <c r="J21" s="55">
        <f>SUM(D21:I21)</f>
        <v>1938326.54</v>
      </c>
      <c r="K21" s="55">
        <f t="shared" si="1"/>
        <v>2856582.46</v>
      </c>
      <c r="L21" s="54">
        <f t="shared" ref="L21:R21" si="18">SUBTOTAL(9,L5:L20)</f>
        <v>385901.80000000005</v>
      </c>
      <c r="M21" s="54">
        <f t="shared" si="18"/>
        <v>458562.00000000006</v>
      </c>
      <c r="N21" s="54">
        <f t="shared" si="18"/>
        <v>416262.00000000006</v>
      </c>
      <c r="O21" s="54">
        <f t="shared" si="18"/>
        <v>416262.00000000006</v>
      </c>
      <c r="P21" s="54">
        <f t="shared" si="18"/>
        <v>416262.00000000006</v>
      </c>
      <c r="Q21" s="54">
        <f t="shared" si="18"/>
        <v>416262.00000000006</v>
      </c>
      <c r="R21" s="54">
        <f t="shared" si="18"/>
        <v>458562.00000000006</v>
      </c>
      <c r="S21" s="55">
        <f t="shared" si="4"/>
        <v>2968073.8000000003</v>
      </c>
      <c r="T21" s="56">
        <f>+J21+S21</f>
        <v>4906400.34</v>
      </c>
      <c r="U21" s="57">
        <f t="shared" si="9"/>
        <v>-111491.33999999985</v>
      </c>
    </row>
    <row r="24" spans="1:21">
      <c r="A24" s="51" t="s">
        <v>95</v>
      </c>
    </row>
    <row r="25" spans="1:21">
      <c r="A25" s="48"/>
    </row>
    <row r="26" spans="1:21" ht="18" customHeight="1">
      <c r="A26" s="227" t="s">
        <v>74</v>
      </c>
      <c r="B26" s="228"/>
      <c r="C26" s="207" t="s">
        <v>3</v>
      </c>
      <c r="D26" s="2" t="s">
        <v>6</v>
      </c>
      <c r="E26" s="2"/>
      <c r="F26" s="2"/>
      <c r="G26" s="2"/>
      <c r="H26" s="2"/>
      <c r="I26" s="2"/>
      <c r="J26" s="2"/>
      <c r="K26" s="197" t="s">
        <v>7</v>
      </c>
      <c r="L26" s="3" t="s">
        <v>8</v>
      </c>
      <c r="M26" s="3"/>
      <c r="N26" s="3"/>
      <c r="O26" s="3"/>
      <c r="P26" s="3"/>
      <c r="Q26" s="3"/>
      <c r="R26" s="3"/>
      <c r="S26" s="3"/>
      <c r="T26" s="195" t="s">
        <v>9</v>
      </c>
      <c r="U26" s="199" t="s">
        <v>10</v>
      </c>
    </row>
    <row r="27" spans="1:21" ht="33" customHeight="1">
      <c r="A27" s="229"/>
      <c r="B27" s="230"/>
      <c r="C27" s="208"/>
      <c r="D27" s="4" t="s">
        <v>11</v>
      </c>
      <c r="E27" s="4" t="s">
        <v>12</v>
      </c>
      <c r="F27" s="4" t="s">
        <v>13</v>
      </c>
      <c r="G27" s="4" t="s">
        <v>14</v>
      </c>
      <c r="H27" s="4" t="s">
        <v>15</v>
      </c>
      <c r="I27" s="4" t="s">
        <v>16</v>
      </c>
      <c r="J27" s="4" t="s">
        <v>17</v>
      </c>
      <c r="K27" s="198"/>
      <c r="L27" s="5" t="s">
        <v>18</v>
      </c>
      <c r="M27" s="5" t="s">
        <v>19</v>
      </c>
      <c r="N27" s="5" t="s">
        <v>20</v>
      </c>
      <c r="O27" s="5" t="s">
        <v>21</v>
      </c>
      <c r="P27" s="5" t="s">
        <v>22</v>
      </c>
      <c r="Q27" s="5" t="s">
        <v>23</v>
      </c>
      <c r="R27" s="6" t="s">
        <v>24</v>
      </c>
      <c r="S27" s="5" t="s">
        <v>25</v>
      </c>
      <c r="T27" s="196"/>
      <c r="U27" s="200"/>
    </row>
    <row r="28" spans="1:21" s="47" customFormat="1">
      <c r="A28" s="36" t="s">
        <v>76</v>
      </c>
      <c r="B28" s="36"/>
      <c r="C28" s="7">
        <f t="shared" ref="C28" si="19">SUBTOTAL(9,C29:C31)</f>
        <v>67139</v>
      </c>
      <c r="D28" s="8">
        <f t="shared" ref="D28" si="20">SUBTOTAL(9,D29:D31)</f>
        <v>0</v>
      </c>
      <c r="E28" s="8">
        <f t="shared" ref="E28" si="21">SUBTOTAL(9,E29:E31)</f>
        <v>0</v>
      </c>
      <c r="F28" s="8">
        <f t="shared" ref="F28" si="22">SUBTOTAL(9,F29:F31)</f>
        <v>0</v>
      </c>
      <c r="G28" s="8">
        <f t="shared" ref="G28" si="23">SUBTOTAL(9,G29:G31)</f>
        <v>0</v>
      </c>
      <c r="H28" s="8">
        <f t="shared" ref="H28" si="24">SUBTOTAL(9,H29:H31)</f>
        <v>27559.43</v>
      </c>
      <c r="I28" s="8">
        <f t="shared" ref="I28" si="25">SUBTOTAL(9,I29:I31)</f>
        <v>0</v>
      </c>
      <c r="J28" s="9">
        <f t="shared" ref="J28:J35" si="26">SUM(D28:I28)</f>
        <v>27559.43</v>
      </c>
      <c r="K28" s="9">
        <f t="shared" ref="K28:K36" si="27">C28-J28</f>
        <v>39579.57</v>
      </c>
      <c r="L28" s="8" t="e">
        <f t="shared" ref="L28" si="28">SUBTOTAL(9,L29:L31)</f>
        <v>#REF!</v>
      </c>
      <c r="M28" s="8">
        <f t="shared" ref="M28" si="29">SUBTOTAL(9,M29:M31)</f>
        <v>0</v>
      </c>
      <c r="N28" s="8">
        <f t="shared" ref="N28" si="30">SUBTOTAL(9,N29:N31)</f>
        <v>0</v>
      </c>
      <c r="O28" s="8">
        <f t="shared" ref="O28" si="31">SUBTOTAL(9,O29:O31)</f>
        <v>0</v>
      </c>
      <c r="P28" s="8">
        <f t="shared" ref="P28" si="32">SUBTOTAL(9,P29:P31)</f>
        <v>0</v>
      </c>
      <c r="Q28" s="8">
        <f t="shared" ref="Q28" si="33">SUBTOTAL(9,Q29:Q31)</f>
        <v>0</v>
      </c>
      <c r="R28" s="8">
        <f t="shared" ref="R28" si="34">SUBTOTAL(9,R29:R31)</f>
        <v>0</v>
      </c>
      <c r="S28" s="8" t="e">
        <f>SUM(L28:R28)</f>
        <v>#REF!</v>
      </c>
      <c r="T28" s="10" t="e">
        <f>+J28+S28</f>
        <v>#REF!</v>
      </c>
      <c r="U28" s="38" t="e">
        <f t="shared" ref="U28:U36" si="35">+C28-T28</f>
        <v>#REF!</v>
      </c>
    </row>
    <row r="29" spans="1:21">
      <c r="A29" s="42" t="s">
        <v>80</v>
      </c>
      <c r="B29" s="42" t="s">
        <v>81</v>
      </c>
      <c r="C29" s="40">
        <v>60000</v>
      </c>
      <c r="D29" s="41"/>
      <c r="E29" s="41"/>
      <c r="F29" s="41"/>
      <c r="G29" s="41"/>
      <c r="H29" s="41">
        <v>25733.33</v>
      </c>
      <c r="I29" s="41">
        <v>0</v>
      </c>
      <c r="J29" s="13">
        <f t="shared" si="26"/>
        <v>25733.33</v>
      </c>
      <c r="K29" s="14">
        <f t="shared" si="27"/>
        <v>34266.67</v>
      </c>
      <c r="L29" s="12" t="e">
        <f>#REF!</f>
        <v>#REF!</v>
      </c>
      <c r="M29" s="12"/>
      <c r="N29" s="12"/>
      <c r="O29" s="12"/>
      <c r="P29" s="12"/>
      <c r="Q29" s="12"/>
      <c r="R29" s="12"/>
      <c r="S29" s="15" t="e">
        <f t="shared" ref="S29:S31" si="36">SUM(L29:R29)</f>
        <v>#REF!</v>
      </c>
      <c r="T29" s="16" t="e">
        <f t="shared" ref="T29:T31" si="37">+J29+S29</f>
        <v>#REF!</v>
      </c>
      <c r="U29" s="17" t="e">
        <f t="shared" si="35"/>
        <v>#REF!</v>
      </c>
    </row>
    <row r="30" spans="1:21">
      <c r="A30" s="42" t="s">
        <v>82</v>
      </c>
      <c r="B30" s="42" t="s">
        <v>83</v>
      </c>
      <c r="C30" s="40">
        <v>4139</v>
      </c>
      <c r="D30" s="41"/>
      <c r="E30" s="41"/>
      <c r="F30" s="41"/>
      <c r="G30" s="41"/>
      <c r="H30" s="41">
        <v>1826.1</v>
      </c>
      <c r="I30" s="41">
        <v>0</v>
      </c>
      <c r="J30" s="19">
        <f t="shared" si="26"/>
        <v>1826.1</v>
      </c>
      <c r="K30" s="20">
        <f t="shared" si="27"/>
        <v>2312.9</v>
      </c>
      <c r="L30" s="18" t="e">
        <f>#REF!</f>
        <v>#REF!</v>
      </c>
      <c r="M30" s="18"/>
      <c r="N30" s="18"/>
      <c r="O30" s="18"/>
      <c r="P30" s="18"/>
      <c r="Q30" s="18"/>
      <c r="R30" s="18"/>
      <c r="S30" s="21" t="e">
        <f t="shared" si="36"/>
        <v>#REF!</v>
      </c>
      <c r="T30" s="16" t="e">
        <f t="shared" si="37"/>
        <v>#REF!</v>
      </c>
      <c r="U30" s="17" t="e">
        <f t="shared" si="35"/>
        <v>#REF!</v>
      </c>
    </row>
    <row r="31" spans="1:21">
      <c r="A31" s="42" t="s">
        <v>84</v>
      </c>
      <c r="B31" s="42" t="s">
        <v>85</v>
      </c>
      <c r="C31" s="40">
        <v>3000</v>
      </c>
      <c r="D31" s="41">
        <v>0</v>
      </c>
      <c r="E31" s="41">
        <v>0</v>
      </c>
      <c r="F31" s="41">
        <v>0</v>
      </c>
      <c r="G31" s="41">
        <v>0</v>
      </c>
      <c r="H31" s="41">
        <v>0</v>
      </c>
      <c r="I31" s="41">
        <v>0</v>
      </c>
      <c r="J31" s="19">
        <f t="shared" si="26"/>
        <v>0</v>
      </c>
      <c r="K31" s="20">
        <f t="shared" si="27"/>
        <v>3000</v>
      </c>
      <c r="L31" s="18"/>
      <c r="M31" s="18"/>
      <c r="N31" s="18"/>
      <c r="O31" s="18"/>
      <c r="P31" s="18"/>
      <c r="Q31" s="18"/>
      <c r="R31" s="18"/>
      <c r="S31" s="21">
        <f t="shared" si="36"/>
        <v>0</v>
      </c>
      <c r="T31" s="16">
        <f t="shared" si="37"/>
        <v>0</v>
      </c>
      <c r="U31" s="17">
        <f t="shared" si="35"/>
        <v>3000</v>
      </c>
    </row>
    <row r="32" spans="1:21" s="47" customFormat="1">
      <c r="A32" s="36" t="s">
        <v>77</v>
      </c>
      <c r="B32" s="36"/>
      <c r="C32" s="8">
        <f t="shared" ref="C32" si="38">SUBTOTAL(9,C33:C35)</f>
        <v>49144</v>
      </c>
      <c r="D32" s="8">
        <f t="shared" ref="D32" si="39">SUBTOTAL(9,D33:D35)</f>
        <v>0</v>
      </c>
      <c r="E32" s="8">
        <f t="shared" ref="E32" si="40">SUBTOTAL(9,E33:E35)</f>
        <v>0</v>
      </c>
      <c r="F32" s="8">
        <f t="shared" ref="F32" si="41">SUBTOTAL(9,F33:F35)</f>
        <v>0</v>
      </c>
      <c r="G32" s="8">
        <f t="shared" ref="G32" si="42">SUBTOTAL(9,G33:G35)</f>
        <v>0</v>
      </c>
      <c r="H32" s="8">
        <f t="shared" ref="H32" si="43">SUBTOTAL(9,H33:H35)</f>
        <v>0</v>
      </c>
      <c r="I32" s="8">
        <f t="shared" ref="I32" si="44">SUBTOTAL(9,I33:I35)</f>
        <v>0</v>
      </c>
      <c r="J32" s="9">
        <f t="shared" si="26"/>
        <v>0</v>
      </c>
      <c r="K32" s="9">
        <f t="shared" si="27"/>
        <v>49144</v>
      </c>
      <c r="L32" s="8">
        <f t="shared" ref="L32" si="45">SUBTOTAL(9,L33:L35)</f>
        <v>0</v>
      </c>
      <c r="M32" s="8">
        <f t="shared" ref="M32" si="46">SUBTOTAL(9,M33:M35)</f>
        <v>0</v>
      </c>
      <c r="N32" s="8">
        <f t="shared" ref="N32" si="47">SUBTOTAL(9,N33:N35)</f>
        <v>0</v>
      </c>
      <c r="O32" s="8">
        <f t="shared" ref="O32" si="48">SUBTOTAL(9,O33:O35)</f>
        <v>0</v>
      </c>
      <c r="P32" s="8">
        <f t="shared" ref="P32" si="49">SUBTOTAL(9,P33:P35)</f>
        <v>0</v>
      </c>
      <c r="Q32" s="8">
        <f t="shared" ref="Q32" si="50">SUBTOTAL(9,Q33:Q35)</f>
        <v>0</v>
      </c>
      <c r="R32" s="8">
        <f t="shared" ref="R32" si="51">SUBTOTAL(9,R33:R35)</f>
        <v>0</v>
      </c>
      <c r="S32" s="8">
        <f>SUM(L32:R32)</f>
        <v>0</v>
      </c>
      <c r="T32" s="10">
        <f>+J32+S32</f>
        <v>0</v>
      </c>
      <c r="U32" s="38">
        <f t="shared" si="35"/>
        <v>49144</v>
      </c>
    </row>
    <row r="33" spans="1:21">
      <c r="A33" s="42" t="s">
        <v>80</v>
      </c>
      <c r="B33" s="42" t="s">
        <v>81</v>
      </c>
      <c r="C33" s="40">
        <v>49144</v>
      </c>
      <c r="D33" s="41"/>
      <c r="E33" s="41"/>
      <c r="F33" s="41"/>
      <c r="G33" s="41"/>
      <c r="H33" s="41"/>
      <c r="I33" s="41">
        <v>0</v>
      </c>
      <c r="J33" s="13">
        <f t="shared" si="26"/>
        <v>0</v>
      </c>
      <c r="K33" s="14">
        <f t="shared" si="27"/>
        <v>49144</v>
      </c>
      <c r="L33" s="12"/>
      <c r="M33" s="12"/>
      <c r="N33" s="12"/>
      <c r="O33" s="12"/>
      <c r="P33" s="12"/>
      <c r="Q33" s="12"/>
      <c r="R33" s="12"/>
      <c r="S33" s="15">
        <f t="shared" ref="S33:S36" si="52">SUM(L33:R33)</f>
        <v>0</v>
      </c>
      <c r="T33" s="16">
        <f t="shared" ref="T33:T35" si="53">+J33+S33</f>
        <v>0</v>
      </c>
      <c r="U33" s="17">
        <f t="shared" si="35"/>
        <v>49144</v>
      </c>
    </row>
    <row r="34" spans="1:21">
      <c r="A34" s="42" t="s">
        <v>82</v>
      </c>
      <c r="B34" s="42" t="s">
        <v>83</v>
      </c>
      <c r="C34" s="40"/>
      <c r="D34" s="41"/>
      <c r="E34" s="41"/>
      <c r="F34" s="41"/>
      <c r="G34" s="41"/>
      <c r="H34" s="41"/>
      <c r="I34" s="41">
        <v>0</v>
      </c>
      <c r="J34" s="19">
        <f t="shared" si="26"/>
        <v>0</v>
      </c>
      <c r="K34" s="20">
        <f t="shared" si="27"/>
        <v>0</v>
      </c>
      <c r="L34" s="18"/>
      <c r="M34" s="18"/>
      <c r="N34" s="18"/>
      <c r="O34" s="18"/>
      <c r="P34" s="18"/>
      <c r="Q34" s="18"/>
      <c r="R34" s="18"/>
      <c r="S34" s="21">
        <f t="shared" si="52"/>
        <v>0</v>
      </c>
      <c r="T34" s="16">
        <f t="shared" si="53"/>
        <v>0</v>
      </c>
      <c r="U34" s="17">
        <f t="shared" si="35"/>
        <v>0</v>
      </c>
    </row>
    <row r="35" spans="1:21">
      <c r="A35" s="42" t="s">
        <v>84</v>
      </c>
      <c r="B35" s="42" t="s">
        <v>85</v>
      </c>
      <c r="C35" s="40"/>
      <c r="D35" s="41"/>
      <c r="E35" s="41"/>
      <c r="F35" s="41"/>
      <c r="G35" s="41"/>
      <c r="H35" s="41"/>
      <c r="I35" s="41">
        <v>0</v>
      </c>
      <c r="J35" s="19">
        <f t="shared" si="26"/>
        <v>0</v>
      </c>
      <c r="K35" s="20">
        <f t="shared" si="27"/>
        <v>0</v>
      </c>
      <c r="L35" s="18"/>
      <c r="M35" s="18"/>
      <c r="N35" s="18"/>
      <c r="O35" s="18"/>
      <c r="P35" s="18"/>
      <c r="Q35" s="18"/>
      <c r="R35" s="18"/>
      <c r="S35" s="21">
        <f t="shared" si="52"/>
        <v>0</v>
      </c>
      <c r="T35" s="16">
        <f t="shared" si="53"/>
        <v>0</v>
      </c>
      <c r="U35" s="17">
        <f t="shared" si="35"/>
        <v>0</v>
      </c>
    </row>
    <row r="36" spans="1:21" s="47" customFormat="1">
      <c r="A36" s="45" t="s">
        <v>86</v>
      </c>
      <c r="B36" s="24"/>
      <c r="C36" s="46">
        <f t="shared" ref="C36:H36" si="54">SUBTOTAL(9,C28:C35)</f>
        <v>116283</v>
      </c>
      <c r="D36" s="46">
        <f t="shared" si="54"/>
        <v>0</v>
      </c>
      <c r="E36" s="46">
        <f t="shared" si="54"/>
        <v>0</v>
      </c>
      <c r="F36" s="46">
        <f t="shared" si="54"/>
        <v>0</v>
      </c>
      <c r="G36" s="46">
        <f t="shared" si="54"/>
        <v>0</v>
      </c>
      <c r="H36" s="46">
        <f t="shared" si="54"/>
        <v>27559.43</v>
      </c>
      <c r="I36" s="27">
        <f>SUM(I18:I35)/3</f>
        <v>0</v>
      </c>
      <c r="J36" s="27">
        <f>SUM(D36:I36)</f>
        <v>27559.43</v>
      </c>
      <c r="K36" s="27">
        <f t="shared" si="27"/>
        <v>88723.57</v>
      </c>
      <c r="L36" s="46" t="e">
        <f t="shared" ref="L36:R36" si="55">SUBTOTAL(9,L28:L35)</f>
        <v>#REF!</v>
      </c>
      <c r="M36" s="46">
        <f t="shared" si="55"/>
        <v>0</v>
      </c>
      <c r="N36" s="46">
        <f t="shared" si="55"/>
        <v>0</v>
      </c>
      <c r="O36" s="46">
        <f t="shared" si="55"/>
        <v>0</v>
      </c>
      <c r="P36" s="46">
        <f t="shared" si="55"/>
        <v>0</v>
      </c>
      <c r="Q36" s="46">
        <f t="shared" si="55"/>
        <v>0</v>
      </c>
      <c r="R36" s="46">
        <f t="shared" si="55"/>
        <v>0</v>
      </c>
      <c r="S36" s="27" t="e">
        <f t="shared" si="52"/>
        <v>#REF!</v>
      </c>
      <c r="T36" s="10" t="e">
        <f>+J36+S36</f>
        <v>#REF!</v>
      </c>
      <c r="U36" s="28" t="e">
        <f t="shared" si="35"/>
        <v>#REF!</v>
      </c>
    </row>
    <row r="37" spans="1:21" ht="6.75" customHeight="1">
      <c r="C37" s="29"/>
      <c r="J37" s="32"/>
      <c r="K37" s="33"/>
      <c r="U37" s="32"/>
    </row>
    <row r="38" spans="1:21" ht="6.75" customHeight="1">
      <c r="C38" s="29"/>
      <c r="J38" s="32"/>
      <c r="K38" s="33"/>
      <c r="U38" s="32"/>
    </row>
    <row r="39" spans="1:21" ht="6.75" customHeight="1">
      <c r="C39" s="29"/>
      <c r="J39" s="32"/>
      <c r="K39" s="33"/>
      <c r="U39" s="32"/>
    </row>
    <row r="40" spans="1:21" s="47" customFormat="1" ht="21" customHeight="1">
      <c r="A40" s="49" t="s">
        <v>93</v>
      </c>
      <c r="B40" s="49"/>
      <c r="C40" s="50">
        <f>C21+C36</f>
        <v>4911192</v>
      </c>
      <c r="D40" s="50">
        <f t="shared" ref="D40:U40" si="56">D21+D36</f>
        <v>401422.81</v>
      </c>
      <c r="E40" s="50">
        <f t="shared" si="56"/>
        <v>391308.69</v>
      </c>
      <c r="F40" s="50">
        <f t="shared" si="56"/>
        <v>393204.30000000005</v>
      </c>
      <c r="G40" s="50">
        <f t="shared" si="56"/>
        <v>385030.74000000005</v>
      </c>
      <c r="H40" s="50">
        <f t="shared" si="56"/>
        <v>394919.43000000005</v>
      </c>
      <c r="I40" s="50">
        <f t="shared" si="56"/>
        <v>0</v>
      </c>
      <c r="J40" s="50">
        <f t="shared" si="56"/>
        <v>1965885.97</v>
      </c>
      <c r="K40" s="50">
        <f t="shared" si="56"/>
        <v>2945306.03</v>
      </c>
      <c r="L40" s="50" t="e">
        <f t="shared" si="56"/>
        <v>#REF!</v>
      </c>
      <c r="M40" s="50">
        <f t="shared" si="56"/>
        <v>458562.00000000006</v>
      </c>
      <c r="N40" s="50">
        <f t="shared" si="56"/>
        <v>416262.00000000006</v>
      </c>
      <c r="O40" s="50">
        <f t="shared" si="56"/>
        <v>416262.00000000006</v>
      </c>
      <c r="P40" s="50">
        <f t="shared" si="56"/>
        <v>416262.00000000006</v>
      </c>
      <c r="Q40" s="50">
        <f t="shared" si="56"/>
        <v>416262.00000000006</v>
      </c>
      <c r="R40" s="50">
        <f t="shared" si="56"/>
        <v>458562.00000000006</v>
      </c>
      <c r="S40" s="50" t="e">
        <f t="shared" si="56"/>
        <v>#REF!</v>
      </c>
      <c r="T40" s="50" t="e">
        <f t="shared" si="56"/>
        <v>#REF!</v>
      </c>
      <c r="U40" s="50" t="e">
        <f t="shared" si="56"/>
        <v>#REF!</v>
      </c>
    </row>
    <row r="41" spans="1:21" s="47" customFormat="1">
      <c r="A41" s="49"/>
      <c r="B41" s="49"/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</row>
    <row r="42" spans="1:21" s="59" customFormat="1">
      <c r="C42" s="60"/>
      <c r="D42" s="60"/>
      <c r="E42" s="60"/>
      <c r="F42" s="60"/>
      <c r="G42" s="60"/>
      <c r="H42" s="60"/>
      <c r="I42" s="60"/>
      <c r="J42" s="60"/>
      <c r="K42" s="60"/>
      <c r="L42" s="60"/>
      <c r="M42" s="60"/>
      <c r="N42" s="60"/>
      <c r="O42" s="60"/>
      <c r="P42" s="60"/>
      <c r="Q42" s="60"/>
      <c r="R42" s="60"/>
      <c r="S42" s="60"/>
      <c r="T42" s="60"/>
      <c r="U42" s="60"/>
    </row>
    <row r="43" spans="1:21">
      <c r="C43" s="34"/>
      <c r="K43" s="35"/>
    </row>
    <row r="44" spans="1:21" ht="20.25" customHeight="1">
      <c r="A44" s="227" t="s">
        <v>74</v>
      </c>
      <c r="B44" s="228"/>
      <c r="C44" s="207" t="s">
        <v>3</v>
      </c>
      <c r="D44" s="2" t="s">
        <v>6</v>
      </c>
      <c r="E44" s="2"/>
      <c r="F44" s="2"/>
      <c r="G44" s="2"/>
      <c r="H44" s="2"/>
      <c r="I44" s="2"/>
      <c r="J44" s="2"/>
      <c r="K44" s="197" t="s">
        <v>7</v>
      </c>
      <c r="L44" s="3" t="s">
        <v>8</v>
      </c>
      <c r="M44" s="3"/>
      <c r="N44" s="3"/>
      <c r="O44" s="3"/>
      <c r="P44" s="3"/>
      <c r="Q44" s="3"/>
      <c r="R44" s="3"/>
      <c r="S44" s="3"/>
      <c r="T44" s="195" t="s">
        <v>9</v>
      </c>
      <c r="U44" s="199" t="s">
        <v>10</v>
      </c>
    </row>
    <row r="45" spans="1:21" ht="25.5">
      <c r="A45" s="229"/>
      <c r="B45" s="230"/>
      <c r="C45" s="208"/>
      <c r="D45" s="4" t="s">
        <v>11</v>
      </c>
      <c r="E45" s="4" t="s">
        <v>12</v>
      </c>
      <c r="F45" s="4" t="s">
        <v>13</v>
      </c>
      <c r="G45" s="4" t="s">
        <v>14</v>
      </c>
      <c r="H45" s="4" t="s">
        <v>15</v>
      </c>
      <c r="I45" s="4" t="s">
        <v>16</v>
      </c>
      <c r="J45" s="4" t="s">
        <v>17</v>
      </c>
      <c r="K45" s="198"/>
      <c r="L45" s="5" t="s">
        <v>18</v>
      </c>
      <c r="M45" s="5" t="s">
        <v>19</v>
      </c>
      <c r="N45" s="5" t="s">
        <v>20</v>
      </c>
      <c r="O45" s="5" t="s">
        <v>21</v>
      </c>
      <c r="P45" s="5" t="s">
        <v>22</v>
      </c>
      <c r="Q45" s="5" t="s">
        <v>23</v>
      </c>
      <c r="R45" s="6" t="s">
        <v>24</v>
      </c>
      <c r="S45" s="5" t="s">
        <v>25</v>
      </c>
      <c r="T45" s="196"/>
      <c r="U45" s="200"/>
    </row>
    <row r="46" spans="1:21">
      <c r="A46" s="36" t="s">
        <v>77</v>
      </c>
      <c r="B46" s="36"/>
      <c r="C46" s="8">
        <f t="shared" ref="C46:I46" si="57">SUBTOTAL(9,C47:C47)</f>
        <v>15000</v>
      </c>
      <c r="D46" s="8">
        <f t="shared" si="57"/>
        <v>0</v>
      </c>
      <c r="E46" s="8">
        <f t="shared" si="57"/>
        <v>0</v>
      </c>
      <c r="F46" s="8">
        <f t="shared" si="57"/>
        <v>0</v>
      </c>
      <c r="G46" s="8">
        <f t="shared" si="57"/>
        <v>0</v>
      </c>
      <c r="H46" s="8">
        <f t="shared" si="57"/>
        <v>0</v>
      </c>
      <c r="I46" s="8">
        <f t="shared" si="57"/>
        <v>0</v>
      </c>
      <c r="J46" s="9">
        <f t="shared" ref="J46:J47" si="58">SUM(D46:I46)</f>
        <v>0</v>
      </c>
      <c r="K46" s="9">
        <f>C46-J46</f>
        <v>15000</v>
      </c>
      <c r="L46" s="8">
        <f t="shared" ref="L46:R46" si="59">SUBTOTAL(9,L47:L47)</f>
        <v>0</v>
      </c>
      <c r="M46" s="8">
        <f t="shared" si="59"/>
        <v>15000</v>
      </c>
      <c r="N46" s="8">
        <f t="shared" si="59"/>
        <v>0</v>
      </c>
      <c r="O46" s="8">
        <f t="shared" si="59"/>
        <v>0</v>
      </c>
      <c r="P46" s="8">
        <f t="shared" si="59"/>
        <v>0</v>
      </c>
      <c r="Q46" s="8">
        <f t="shared" si="59"/>
        <v>0</v>
      </c>
      <c r="R46" s="8">
        <f t="shared" si="59"/>
        <v>0</v>
      </c>
      <c r="S46" s="8">
        <f>SUM(L46:R46)</f>
        <v>15000</v>
      </c>
      <c r="T46" s="10">
        <f>+J46+S46</f>
        <v>15000</v>
      </c>
      <c r="U46" s="11">
        <f>+C46-T46</f>
        <v>0</v>
      </c>
    </row>
    <row r="47" spans="1:21">
      <c r="A47" s="42" t="s">
        <v>87</v>
      </c>
      <c r="B47" s="42" t="s">
        <v>88</v>
      </c>
      <c r="C47" s="40">
        <v>15000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0</v>
      </c>
      <c r="J47" s="13">
        <f t="shared" si="58"/>
        <v>0</v>
      </c>
      <c r="K47" s="14">
        <f>C47-J47</f>
        <v>15000</v>
      </c>
      <c r="L47" s="12"/>
      <c r="M47" s="12">
        <v>15000</v>
      </c>
      <c r="N47" s="12"/>
      <c r="O47" s="12"/>
      <c r="P47" s="12"/>
      <c r="Q47" s="12"/>
      <c r="R47" s="12"/>
      <c r="S47" s="15">
        <f t="shared" ref="S47:S48" si="60">SUM(L47:R47)</f>
        <v>15000</v>
      </c>
      <c r="T47" s="16">
        <f t="shared" ref="T47" si="61">+J47+S47</f>
        <v>15000</v>
      </c>
      <c r="U47" s="17">
        <f>+C47-T47</f>
        <v>0</v>
      </c>
    </row>
    <row r="48" spans="1:21">
      <c r="A48" s="45" t="s">
        <v>89</v>
      </c>
      <c r="B48" s="24"/>
      <c r="C48" s="46">
        <f t="shared" ref="C48:H48" si="62">SUBTOTAL(9,C46:C47)</f>
        <v>15000</v>
      </c>
      <c r="D48" s="25">
        <f t="shared" si="62"/>
        <v>0</v>
      </c>
      <c r="E48" s="25">
        <f t="shared" si="62"/>
        <v>0</v>
      </c>
      <c r="F48" s="25">
        <f t="shared" si="62"/>
        <v>0</v>
      </c>
      <c r="G48" s="25">
        <f t="shared" si="62"/>
        <v>0</v>
      </c>
      <c r="H48" s="25">
        <f t="shared" si="62"/>
        <v>0</v>
      </c>
      <c r="I48" s="26">
        <f>SUM(I46:I47)/3</f>
        <v>0</v>
      </c>
      <c r="J48" s="26">
        <f>SUM(D48:I48)</f>
        <v>0</v>
      </c>
      <c r="K48" s="27">
        <f>C48-J48</f>
        <v>15000</v>
      </c>
      <c r="L48" s="25">
        <f t="shared" ref="L48:R48" si="63">SUBTOTAL(9,L46:L47)</f>
        <v>0</v>
      </c>
      <c r="M48" s="25">
        <f t="shared" si="63"/>
        <v>15000</v>
      </c>
      <c r="N48" s="25">
        <f t="shared" si="63"/>
        <v>0</v>
      </c>
      <c r="O48" s="25">
        <f t="shared" si="63"/>
        <v>0</v>
      </c>
      <c r="P48" s="25">
        <f t="shared" si="63"/>
        <v>0</v>
      </c>
      <c r="Q48" s="25">
        <f t="shared" si="63"/>
        <v>0</v>
      </c>
      <c r="R48" s="25">
        <f t="shared" si="63"/>
        <v>0</v>
      </c>
      <c r="S48" s="27">
        <f t="shared" si="60"/>
        <v>15000</v>
      </c>
      <c r="T48" s="10">
        <f>+J48+S48</f>
        <v>15000</v>
      </c>
      <c r="U48" s="28">
        <f>+C48-T48</f>
        <v>0</v>
      </c>
    </row>
    <row r="51" spans="1:21">
      <c r="A51" s="227" t="s">
        <v>74</v>
      </c>
      <c r="B51" s="228"/>
      <c r="C51" s="207" t="s">
        <v>3</v>
      </c>
      <c r="D51" s="2" t="s">
        <v>6</v>
      </c>
      <c r="E51" s="2"/>
      <c r="F51" s="2"/>
      <c r="G51" s="2"/>
      <c r="H51" s="2"/>
      <c r="I51" s="2"/>
      <c r="J51" s="2"/>
      <c r="K51" s="197" t="s">
        <v>7</v>
      </c>
      <c r="L51" s="3" t="s">
        <v>8</v>
      </c>
      <c r="M51" s="3"/>
      <c r="N51" s="3"/>
      <c r="O51" s="3"/>
      <c r="P51" s="3"/>
      <c r="Q51" s="3"/>
      <c r="R51" s="3"/>
      <c r="S51" s="3"/>
      <c r="T51" s="195" t="s">
        <v>9</v>
      </c>
      <c r="U51" s="199" t="s">
        <v>10</v>
      </c>
    </row>
    <row r="52" spans="1:21" ht="25.5">
      <c r="A52" s="229"/>
      <c r="B52" s="230"/>
      <c r="C52" s="208"/>
      <c r="D52" s="4" t="s">
        <v>11</v>
      </c>
      <c r="E52" s="4" t="s">
        <v>12</v>
      </c>
      <c r="F52" s="4" t="s">
        <v>13</v>
      </c>
      <c r="G52" s="4" t="s">
        <v>14</v>
      </c>
      <c r="H52" s="4" t="s">
        <v>15</v>
      </c>
      <c r="I52" s="4" t="s">
        <v>16</v>
      </c>
      <c r="J52" s="4" t="s">
        <v>17</v>
      </c>
      <c r="K52" s="198"/>
      <c r="L52" s="5" t="s">
        <v>18</v>
      </c>
      <c r="M52" s="5" t="s">
        <v>19</v>
      </c>
      <c r="N52" s="5" t="s">
        <v>20</v>
      </c>
      <c r="O52" s="5" t="s">
        <v>21</v>
      </c>
      <c r="P52" s="5" t="s">
        <v>22</v>
      </c>
      <c r="Q52" s="5" t="s">
        <v>23</v>
      </c>
      <c r="R52" s="6" t="s">
        <v>24</v>
      </c>
      <c r="S52" s="5" t="s">
        <v>25</v>
      </c>
      <c r="T52" s="196"/>
      <c r="U52" s="200"/>
    </row>
    <row r="53" spans="1:21">
      <c r="A53" s="36" t="s">
        <v>75</v>
      </c>
      <c r="B53" s="37"/>
      <c r="C53" s="7">
        <f t="shared" ref="C53:I53" si="64">SUBTOTAL(9,C54:C54)</f>
        <v>409200</v>
      </c>
      <c r="D53" s="7">
        <f t="shared" si="64"/>
        <v>0</v>
      </c>
      <c r="E53" s="7">
        <f t="shared" si="64"/>
        <v>0</v>
      </c>
      <c r="F53" s="7">
        <f t="shared" si="64"/>
        <v>40920</v>
      </c>
      <c r="G53" s="7">
        <f t="shared" si="64"/>
        <v>40920</v>
      </c>
      <c r="H53" s="7">
        <f t="shared" si="64"/>
        <v>40920</v>
      </c>
      <c r="I53" s="7">
        <f t="shared" si="64"/>
        <v>0</v>
      </c>
      <c r="J53" s="9">
        <f>SUM(D53:I53)</f>
        <v>122760</v>
      </c>
      <c r="K53" s="9">
        <f>C53-J53</f>
        <v>286440</v>
      </c>
      <c r="L53" s="8">
        <f t="shared" ref="L53:R53" si="65">SUBTOTAL(9,L54:L54)</f>
        <v>40920</v>
      </c>
      <c r="M53" s="8">
        <f t="shared" si="65"/>
        <v>40920</v>
      </c>
      <c r="N53" s="8">
        <f t="shared" si="65"/>
        <v>40920</v>
      </c>
      <c r="O53" s="8">
        <f t="shared" si="65"/>
        <v>40920</v>
      </c>
      <c r="P53" s="8">
        <f t="shared" si="65"/>
        <v>40920</v>
      </c>
      <c r="Q53" s="8">
        <f t="shared" si="65"/>
        <v>40920</v>
      </c>
      <c r="R53" s="8">
        <f t="shared" si="65"/>
        <v>40920</v>
      </c>
      <c r="S53" s="8">
        <f>SUM(L53:R53)</f>
        <v>286440</v>
      </c>
      <c r="T53" s="10">
        <f>+J53+S53</f>
        <v>409200</v>
      </c>
      <c r="U53" s="38">
        <f>+C53-T53</f>
        <v>0</v>
      </c>
    </row>
    <row r="54" spans="1:21">
      <c r="A54" s="42" t="s">
        <v>90</v>
      </c>
      <c r="B54" s="42" t="s">
        <v>91</v>
      </c>
      <c r="C54" s="40">
        <v>409200</v>
      </c>
      <c r="D54" s="41">
        <v>0</v>
      </c>
      <c r="E54" s="41">
        <v>0</v>
      </c>
      <c r="F54" s="41">
        <v>40920</v>
      </c>
      <c r="G54" s="41">
        <v>40920</v>
      </c>
      <c r="H54" s="41">
        <v>40920</v>
      </c>
      <c r="I54" s="41">
        <v>0</v>
      </c>
      <c r="J54" s="13">
        <f t="shared" ref="J54" si="66">SUM(D54:I54)</f>
        <v>122760</v>
      </c>
      <c r="K54" s="14">
        <f>C54-J54</f>
        <v>286440</v>
      </c>
      <c r="L54" s="12">
        <v>40920</v>
      </c>
      <c r="M54" s="12">
        <v>40920</v>
      </c>
      <c r="N54" s="12">
        <v>40920</v>
      </c>
      <c r="O54" s="12">
        <v>40920</v>
      </c>
      <c r="P54" s="12">
        <v>40920</v>
      </c>
      <c r="Q54" s="12">
        <v>40920</v>
      </c>
      <c r="R54" s="12">
        <v>40920</v>
      </c>
      <c r="S54" s="15">
        <f>SUM(L54:R54)</f>
        <v>286440</v>
      </c>
      <c r="T54" s="16">
        <f>+J54+S54</f>
        <v>409200</v>
      </c>
      <c r="U54" s="17">
        <f>+C54-T54</f>
        <v>0</v>
      </c>
    </row>
    <row r="55" spans="1:21">
      <c r="A55" s="45" t="s">
        <v>92</v>
      </c>
      <c r="B55" s="24"/>
      <c r="C55" s="46">
        <f t="shared" ref="C55:H55" si="67">SUBTOTAL(9,C53:C54)</f>
        <v>409200</v>
      </c>
      <c r="D55" s="25">
        <f t="shared" si="67"/>
        <v>0</v>
      </c>
      <c r="E55" s="25">
        <f t="shared" si="67"/>
        <v>0</v>
      </c>
      <c r="F55" s="25">
        <f t="shared" si="67"/>
        <v>40920</v>
      </c>
      <c r="G55" s="25">
        <f t="shared" si="67"/>
        <v>40920</v>
      </c>
      <c r="H55" s="25">
        <f t="shared" si="67"/>
        <v>40920</v>
      </c>
      <c r="I55" s="26">
        <f>SUM(I53:I54)/3</f>
        <v>0</v>
      </c>
      <c r="J55" s="26">
        <f>SUM(D55:I55)</f>
        <v>122760</v>
      </c>
      <c r="K55" s="27">
        <f>C55-J55</f>
        <v>286440</v>
      </c>
      <c r="L55" s="25">
        <f t="shared" ref="L55:R55" si="68">SUBTOTAL(9,L53:L54)</f>
        <v>40920</v>
      </c>
      <c r="M55" s="25">
        <f t="shared" si="68"/>
        <v>40920</v>
      </c>
      <c r="N55" s="25">
        <f t="shared" si="68"/>
        <v>40920</v>
      </c>
      <c r="O55" s="25">
        <f t="shared" si="68"/>
        <v>40920</v>
      </c>
      <c r="P55" s="25">
        <f t="shared" si="68"/>
        <v>40920</v>
      </c>
      <c r="Q55" s="25">
        <f t="shared" si="68"/>
        <v>40920</v>
      </c>
      <c r="R55" s="25">
        <f t="shared" si="68"/>
        <v>40920</v>
      </c>
      <c r="S55" s="27">
        <f t="shared" ref="S55" si="69">SUM(L55:R55)</f>
        <v>286440</v>
      </c>
      <c r="T55" s="10">
        <f>+J55+S55</f>
        <v>409200</v>
      </c>
      <c r="U55" s="28">
        <f>+C55-T55</f>
        <v>0</v>
      </c>
    </row>
  </sheetData>
  <mergeCells count="20">
    <mergeCell ref="A26:B27"/>
    <mergeCell ref="C26:C27"/>
    <mergeCell ref="K26:K27"/>
    <mergeCell ref="T26:T27"/>
    <mergeCell ref="U26:U27"/>
    <mergeCell ref="A44:B45"/>
    <mergeCell ref="C44:C45"/>
    <mergeCell ref="K44:K45"/>
    <mergeCell ref="T44:T45"/>
    <mergeCell ref="U44:U45"/>
    <mergeCell ref="A3:B4"/>
    <mergeCell ref="C3:C4"/>
    <mergeCell ref="K3:K4"/>
    <mergeCell ref="T3:T4"/>
    <mergeCell ref="U3:U4"/>
    <mergeCell ref="A51:B52"/>
    <mergeCell ref="C51:C52"/>
    <mergeCell ref="K51:K52"/>
    <mergeCell ref="T51:T52"/>
    <mergeCell ref="U51:U5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>
  <sheetPr filterMode="1">
    <tabColor rgb="FFC00000"/>
  </sheetPr>
  <dimension ref="A1:U76"/>
  <sheetViews>
    <sheetView workbookViewId="0">
      <pane xSplit="2" topLeftCell="I1" activePane="topRight" state="frozen"/>
      <selection pane="topRight" activeCell="B10" sqref="B10"/>
    </sheetView>
  </sheetViews>
  <sheetFormatPr baseColWidth="10" defaultRowHeight="12.75"/>
  <cols>
    <col min="1" max="1" width="9.140625" customWidth="1"/>
    <col min="2" max="2" width="21.140625" customWidth="1"/>
    <col min="3" max="3" width="10.5703125" customWidth="1"/>
    <col min="9" max="9" width="9.28515625" customWidth="1"/>
    <col min="10" max="10" width="11.42578125" customWidth="1"/>
    <col min="11" max="11" width="11.5703125" customWidth="1"/>
    <col min="12" max="12" width="11.42578125" customWidth="1"/>
    <col min="13" max="18" width="11" customWidth="1"/>
    <col min="19" max="20" width="12.140625" customWidth="1"/>
    <col min="21" max="21" width="13.85546875" customWidth="1"/>
  </cols>
  <sheetData>
    <row r="1" spans="1:21">
      <c r="J1" s="1"/>
      <c r="S1" s="1"/>
      <c r="T1" s="1"/>
      <c r="U1" s="1"/>
    </row>
    <row r="2" spans="1:21" ht="18" customHeight="1">
      <c r="A2" s="227" t="s">
        <v>74</v>
      </c>
      <c r="B2" s="228"/>
      <c r="C2" s="207" t="s">
        <v>3</v>
      </c>
      <c r="D2" s="2" t="s">
        <v>6</v>
      </c>
      <c r="E2" s="2"/>
      <c r="F2" s="2"/>
      <c r="G2" s="2"/>
      <c r="H2" s="2"/>
      <c r="I2" s="2"/>
      <c r="J2" s="2"/>
      <c r="K2" s="197" t="s">
        <v>7</v>
      </c>
      <c r="L2" s="3" t="s">
        <v>8</v>
      </c>
      <c r="M2" s="3"/>
      <c r="N2" s="3"/>
      <c r="O2" s="3"/>
      <c r="P2" s="3"/>
      <c r="Q2" s="3"/>
      <c r="R2" s="3"/>
      <c r="S2" s="3"/>
      <c r="T2" s="195" t="s">
        <v>9</v>
      </c>
      <c r="U2" s="199" t="s">
        <v>10</v>
      </c>
    </row>
    <row r="3" spans="1:21" ht="33" customHeight="1">
      <c r="A3" s="229"/>
      <c r="B3" s="230"/>
      <c r="C3" s="208"/>
      <c r="D3" s="4" t="s">
        <v>11</v>
      </c>
      <c r="E3" s="4" t="s">
        <v>12</v>
      </c>
      <c r="F3" s="4" t="s">
        <v>13</v>
      </c>
      <c r="G3" s="4" t="s">
        <v>14</v>
      </c>
      <c r="H3" s="4" t="s">
        <v>15</v>
      </c>
      <c r="I3" s="4" t="s">
        <v>16</v>
      </c>
      <c r="J3" s="4" t="s">
        <v>17</v>
      </c>
      <c r="K3" s="198"/>
      <c r="L3" s="5" t="s">
        <v>18</v>
      </c>
      <c r="M3" s="5" t="s">
        <v>19</v>
      </c>
      <c r="N3" s="5" t="s">
        <v>20</v>
      </c>
      <c r="O3" s="5" t="s">
        <v>21</v>
      </c>
      <c r="P3" s="5" t="s">
        <v>22</v>
      </c>
      <c r="Q3" s="5" t="s">
        <v>23</v>
      </c>
      <c r="R3" s="6" t="s">
        <v>24</v>
      </c>
      <c r="S3" s="5" t="s">
        <v>25</v>
      </c>
      <c r="T3" s="196"/>
      <c r="U3" s="200"/>
    </row>
    <row r="4" spans="1:21" ht="15.75" customHeight="1">
      <c r="A4" s="36" t="s">
        <v>75</v>
      </c>
      <c r="B4" s="37"/>
      <c r="C4" s="7">
        <f>SUBTOTAL(9,C5:C21)</f>
        <v>35822019</v>
      </c>
      <c r="D4" s="7">
        <f t="shared" ref="D4:I4" si="0">SUBTOTAL(9,D5:D21)</f>
        <v>3022530.25</v>
      </c>
      <c r="E4" s="7">
        <f t="shared" si="0"/>
        <v>2910772.58</v>
      </c>
      <c r="F4" s="7">
        <f t="shared" si="0"/>
        <v>2869476.11</v>
      </c>
      <c r="G4" s="7">
        <f t="shared" si="0"/>
        <v>2886371.5</v>
      </c>
      <c r="H4" s="7">
        <f t="shared" si="0"/>
        <v>3279618.98</v>
      </c>
      <c r="I4" s="7">
        <f t="shared" si="0"/>
        <v>0</v>
      </c>
      <c r="J4" s="9">
        <f>SUM(D4:I4)</f>
        <v>14968769.42</v>
      </c>
      <c r="K4" s="9">
        <f t="shared" ref="K4:K19" si="1">C4-J4</f>
        <v>20853249.579999998</v>
      </c>
      <c r="L4" s="8">
        <f t="shared" ref="L4:R4" si="2">SUBTOTAL(9,L5:L19)</f>
        <v>2952930.1599999997</v>
      </c>
      <c r="M4" s="8">
        <f t="shared" si="2"/>
        <v>4011159.7499999995</v>
      </c>
      <c r="N4" s="8">
        <f t="shared" si="2"/>
        <v>2952930.1599999997</v>
      </c>
      <c r="O4" s="8">
        <f t="shared" si="2"/>
        <v>2952930.1599999997</v>
      </c>
      <c r="P4" s="8">
        <f t="shared" si="2"/>
        <v>2952930.1599999997</v>
      </c>
      <c r="Q4" s="8">
        <f t="shared" si="2"/>
        <v>3397239.9899999998</v>
      </c>
      <c r="R4" s="8">
        <f t="shared" si="2"/>
        <v>4011159.7499999995</v>
      </c>
      <c r="S4" s="8">
        <f>SUM(L4:R4)</f>
        <v>23231280.129999999</v>
      </c>
      <c r="T4" s="10">
        <f>+J4+S4</f>
        <v>38200049.549999997</v>
      </c>
      <c r="U4" s="38">
        <f>+C4-T4</f>
        <v>-2378030.549999997</v>
      </c>
    </row>
    <row r="5" spans="1:21">
      <c r="A5" s="39" t="s">
        <v>27</v>
      </c>
      <c r="B5" s="39" t="s">
        <v>28</v>
      </c>
      <c r="C5" s="40">
        <v>130530</v>
      </c>
      <c r="D5" s="41">
        <v>10877.51</v>
      </c>
      <c r="E5" s="41">
        <v>10877.51</v>
      </c>
      <c r="F5" s="41">
        <v>10877.51</v>
      </c>
      <c r="G5" s="41">
        <v>10877.51</v>
      </c>
      <c r="H5" s="41">
        <v>10877.51</v>
      </c>
      <c r="I5" s="41">
        <v>0</v>
      </c>
      <c r="J5" s="13">
        <f t="shared" ref="J5:J65" si="3">SUM(D5:I5)</f>
        <v>54387.55</v>
      </c>
      <c r="K5" s="14">
        <f t="shared" si="1"/>
        <v>76142.45</v>
      </c>
      <c r="L5" s="12">
        <v>10877.509999999998</v>
      </c>
      <c r="M5" s="12">
        <v>10877.509999999998</v>
      </c>
      <c r="N5" s="12">
        <v>10877.509999999998</v>
      </c>
      <c r="O5" s="12">
        <v>10877.509999999998</v>
      </c>
      <c r="P5" s="12">
        <v>10877.509999999998</v>
      </c>
      <c r="Q5" s="12">
        <v>10877.509999999998</v>
      </c>
      <c r="R5" s="12">
        <v>10877.509999999998</v>
      </c>
      <c r="S5" s="15">
        <f>SUM(L5:R5)</f>
        <v>76142.569999999978</v>
      </c>
      <c r="T5" s="16">
        <f>+J5+S5</f>
        <v>130530.11999999998</v>
      </c>
      <c r="U5" s="17">
        <f>+C5-T5</f>
        <v>-0.11999999998079147</v>
      </c>
    </row>
    <row r="6" spans="1:21">
      <c r="A6" s="42" t="s">
        <v>29</v>
      </c>
      <c r="B6" s="42" t="s">
        <v>30</v>
      </c>
      <c r="C6" s="40">
        <v>5989239</v>
      </c>
      <c r="D6" s="41">
        <v>501051.8</v>
      </c>
      <c r="E6" s="41">
        <v>505766</v>
      </c>
      <c r="F6" s="41">
        <v>460905.3</v>
      </c>
      <c r="G6" s="41">
        <v>483718.12</v>
      </c>
      <c r="H6" s="41">
        <v>496859.8</v>
      </c>
      <c r="I6" s="41">
        <v>0</v>
      </c>
      <c r="J6" s="19">
        <f t="shared" si="3"/>
        <v>2448301.02</v>
      </c>
      <c r="K6" s="20">
        <f t="shared" si="1"/>
        <v>3540937.98</v>
      </c>
      <c r="L6" s="18">
        <v>502059</v>
      </c>
      <c r="M6" s="18">
        <v>502059</v>
      </c>
      <c r="N6" s="18">
        <v>502059</v>
      </c>
      <c r="O6" s="18">
        <v>502059</v>
      </c>
      <c r="P6" s="18">
        <v>502059</v>
      </c>
      <c r="Q6" s="18">
        <v>502059</v>
      </c>
      <c r="R6" s="18">
        <v>502059</v>
      </c>
      <c r="S6" s="21">
        <f t="shared" ref="S6:S66" si="4">SUM(L6:R6)</f>
        <v>3514413</v>
      </c>
      <c r="T6" s="16">
        <f t="shared" ref="T6:T21" si="5">+J6+S6</f>
        <v>5962714.0199999996</v>
      </c>
      <c r="U6" s="17">
        <f t="shared" ref="U6:U21" si="6">+C6-T6</f>
        <v>26524.980000000447</v>
      </c>
    </row>
    <row r="7" spans="1:21">
      <c r="A7" s="42" t="s">
        <v>31</v>
      </c>
      <c r="B7" s="42" t="s">
        <v>32</v>
      </c>
      <c r="C7" s="40">
        <v>2093811</v>
      </c>
      <c r="D7" s="41">
        <v>159027.82</v>
      </c>
      <c r="E7" s="41">
        <v>182484.95</v>
      </c>
      <c r="F7" s="41">
        <v>186903.57</v>
      </c>
      <c r="G7" s="41">
        <v>176695</v>
      </c>
      <c r="H7" s="41">
        <v>172124</v>
      </c>
      <c r="I7" s="41">
        <v>0</v>
      </c>
      <c r="J7" s="19">
        <f t="shared" si="3"/>
        <v>877235.34000000008</v>
      </c>
      <c r="K7" s="20">
        <f t="shared" si="1"/>
        <v>1216575.6599999999</v>
      </c>
      <c r="L7" s="18">
        <v>203350</v>
      </c>
      <c r="M7" s="18">
        <v>203350</v>
      </c>
      <c r="N7" s="18">
        <v>203350</v>
      </c>
      <c r="O7" s="18">
        <v>203350</v>
      </c>
      <c r="P7" s="18">
        <v>203350</v>
      </c>
      <c r="Q7" s="18">
        <v>203350</v>
      </c>
      <c r="R7" s="18">
        <v>203350</v>
      </c>
      <c r="S7" s="21">
        <f t="shared" si="4"/>
        <v>1423450</v>
      </c>
      <c r="T7" s="16">
        <f t="shared" si="5"/>
        <v>2300685.34</v>
      </c>
      <c r="U7" s="17">
        <f t="shared" si="6"/>
        <v>-206874.33999999985</v>
      </c>
    </row>
    <row r="8" spans="1:21">
      <c r="A8" s="42" t="s">
        <v>33</v>
      </c>
      <c r="B8" s="42" t="s">
        <v>34</v>
      </c>
      <c r="C8" s="40">
        <v>57843</v>
      </c>
      <c r="D8" s="41">
        <v>4840</v>
      </c>
      <c r="E8" s="41">
        <v>4800</v>
      </c>
      <c r="F8" s="41">
        <v>4840</v>
      </c>
      <c r="G8" s="41">
        <v>7240</v>
      </c>
      <c r="H8" s="41">
        <v>5440</v>
      </c>
      <c r="I8" s="41">
        <v>0</v>
      </c>
      <c r="J8" s="19">
        <f t="shared" si="3"/>
        <v>27160</v>
      </c>
      <c r="K8" s="20">
        <f t="shared" si="1"/>
        <v>30683</v>
      </c>
      <c r="L8" s="18">
        <v>5440</v>
      </c>
      <c r="M8" s="18">
        <v>5440</v>
      </c>
      <c r="N8" s="18">
        <v>5440</v>
      </c>
      <c r="O8" s="18">
        <v>5440</v>
      </c>
      <c r="P8" s="18">
        <v>5440</v>
      </c>
      <c r="Q8" s="18">
        <v>5440</v>
      </c>
      <c r="R8" s="18">
        <v>5440</v>
      </c>
      <c r="S8" s="21">
        <f t="shared" si="4"/>
        <v>38080</v>
      </c>
      <c r="T8" s="16">
        <f t="shared" si="5"/>
        <v>65240</v>
      </c>
      <c r="U8" s="17">
        <f t="shared" si="6"/>
        <v>-7397</v>
      </c>
    </row>
    <row r="9" spans="1:21">
      <c r="A9" s="42" t="s">
        <v>61</v>
      </c>
      <c r="B9" s="42" t="s">
        <v>62</v>
      </c>
      <c r="C9" s="40">
        <v>678041</v>
      </c>
      <c r="D9" s="41">
        <v>51615</v>
      </c>
      <c r="E9" s="41">
        <v>51615</v>
      </c>
      <c r="F9" s="41">
        <v>44463.3</v>
      </c>
      <c r="G9" s="41">
        <v>51460</v>
      </c>
      <c r="H9" s="41">
        <v>51615</v>
      </c>
      <c r="I9" s="41">
        <v>0</v>
      </c>
      <c r="J9" s="19">
        <f t="shared" si="3"/>
        <v>250768.3</v>
      </c>
      <c r="K9" s="20">
        <f t="shared" si="1"/>
        <v>427272.7</v>
      </c>
      <c r="L9" s="18">
        <v>56265</v>
      </c>
      <c r="M9" s="18">
        <v>56265</v>
      </c>
      <c r="N9" s="18">
        <v>56265</v>
      </c>
      <c r="O9" s="18">
        <v>56265</v>
      </c>
      <c r="P9" s="18">
        <v>56265</v>
      </c>
      <c r="Q9" s="18">
        <v>56265</v>
      </c>
      <c r="R9" s="18">
        <v>56265</v>
      </c>
      <c r="S9" s="21">
        <f t="shared" si="4"/>
        <v>393855</v>
      </c>
      <c r="T9" s="16">
        <f t="shared" si="5"/>
        <v>644623.30000000005</v>
      </c>
      <c r="U9" s="17">
        <f t="shared" si="6"/>
        <v>33417.699999999953</v>
      </c>
    </row>
    <row r="10" spans="1:21">
      <c r="A10" s="42" t="s">
        <v>35</v>
      </c>
      <c r="B10" s="42" t="s">
        <v>36</v>
      </c>
      <c r="C10" s="40">
        <v>4266241</v>
      </c>
      <c r="D10" s="41">
        <v>352637.46</v>
      </c>
      <c r="E10" s="41">
        <v>356540.19</v>
      </c>
      <c r="F10" s="41">
        <v>356107.49</v>
      </c>
      <c r="G10" s="41">
        <v>356705.84</v>
      </c>
      <c r="H10" s="41">
        <v>351836.55</v>
      </c>
      <c r="I10" s="41">
        <v>0</v>
      </c>
      <c r="J10" s="19">
        <f t="shared" si="3"/>
        <v>1773827.5300000003</v>
      </c>
      <c r="K10" s="20">
        <f t="shared" si="1"/>
        <v>2492413.4699999997</v>
      </c>
      <c r="L10" s="18">
        <v>359211.05999999976</v>
      </c>
      <c r="M10" s="18">
        <v>359211.05999999976</v>
      </c>
      <c r="N10" s="18">
        <v>359211.05999999976</v>
      </c>
      <c r="O10" s="18">
        <v>359211.05999999976</v>
      </c>
      <c r="P10" s="18">
        <v>359211.05999999976</v>
      </c>
      <c r="Q10" s="18">
        <v>359211.05999999976</v>
      </c>
      <c r="R10" s="18">
        <v>359211.05999999976</v>
      </c>
      <c r="S10" s="21">
        <f t="shared" si="4"/>
        <v>2514477.4199999981</v>
      </c>
      <c r="T10" s="16">
        <f t="shared" si="5"/>
        <v>4288304.9499999983</v>
      </c>
      <c r="U10" s="17">
        <f t="shared" si="6"/>
        <v>-22063.949999998324</v>
      </c>
    </row>
    <row r="11" spans="1:21">
      <c r="A11" s="42" t="s">
        <v>37</v>
      </c>
      <c r="B11" s="42" t="s">
        <v>38</v>
      </c>
      <c r="C11" s="40">
        <v>5649388</v>
      </c>
      <c r="D11" s="41">
        <v>479940</v>
      </c>
      <c r="E11" s="41">
        <v>488450</v>
      </c>
      <c r="F11" s="41">
        <v>487400</v>
      </c>
      <c r="G11" s="41">
        <v>487243.33</v>
      </c>
      <c r="H11" s="41">
        <v>484486.67</v>
      </c>
      <c r="I11" s="41">
        <v>0</v>
      </c>
      <c r="J11" s="19">
        <f t="shared" si="3"/>
        <v>2427520</v>
      </c>
      <c r="K11" s="20">
        <f t="shared" si="1"/>
        <v>3221868</v>
      </c>
      <c r="L11" s="18">
        <v>489900</v>
      </c>
      <c r="M11" s="18">
        <v>489900</v>
      </c>
      <c r="N11" s="18">
        <v>489900</v>
      </c>
      <c r="O11" s="18">
        <v>489900</v>
      </c>
      <c r="P11" s="18">
        <v>489900</v>
      </c>
      <c r="Q11" s="18">
        <v>489900</v>
      </c>
      <c r="R11" s="18">
        <v>489900</v>
      </c>
      <c r="S11" s="21">
        <f t="shared" si="4"/>
        <v>3429300</v>
      </c>
      <c r="T11" s="16">
        <f t="shared" si="5"/>
        <v>5856820</v>
      </c>
      <c r="U11" s="17">
        <f t="shared" si="6"/>
        <v>-207432</v>
      </c>
    </row>
    <row r="12" spans="1:21">
      <c r="A12" s="42" t="s">
        <v>39</v>
      </c>
      <c r="B12" s="42" t="s">
        <v>40</v>
      </c>
      <c r="C12" s="40">
        <v>13643407</v>
      </c>
      <c r="D12" s="41">
        <v>1320749.76</v>
      </c>
      <c r="E12" s="41">
        <v>1310238.93</v>
      </c>
      <c r="F12" s="41">
        <v>1317978.94</v>
      </c>
      <c r="G12" s="41">
        <v>1312431.7</v>
      </c>
      <c r="H12" s="41">
        <v>1314865.76</v>
      </c>
      <c r="I12" s="41">
        <v>0</v>
      </c>
      <c r="J12" s="19">
        <f t="shared" si="3"/>
        <v>6576265.0899999999</v>
      </c>
      <c r="K12" s="20">
        <f t="shared" si="1"/>
        <v>7067141.9100000001</v>
      </c>
      <c r="L12" s="18">
        <v>1325827.5899999999</v>
      </c>
      <c r="M12" s="18">
        <v>1325827.5899999999</v>
      </c>
      <c r="N12" s="18">
        <v>1325827.5899999999</v>
      </c>
      <c r="O12" s="18">
        <v>1325827.5899999999</v>
      </c>
      <c r="P12" s="18">
        <v>1325827.5899999999</v>
      </c>
      <c r="Q12" s="18">
        <v>1325827.5899999999</v>
      </c>
      <c r="R12" s="18">
        <v>1325827.5899999999</v>
      </c>
      <c r="S12" s="21">
        <f t="shared" si="4"/>
        <v>9280793.129999999</v>
      </c>
      <c r="T12" s="16">
        <f t="shared" si="5"/>
        <v>15857058.219999999</v>
      </c>
      <c r="U12" s="17">
        <f t="shared" si="6"/>
        <v>-2213651.2199999988</v>
      </c>
    </row>
    <row r="13" spans="1:21">
      <c r="A13" s="42" t="s">
        <v>41</v>
      </c>
      <c r="B13" s="42" t="s">
        <v>42</v>
      </c>
      <c r="C13" s="40">
        <v>1616113</v>
      </c>
      <c r="D13" s="41">
        <v>0</v>
      </c>
      <c r="E13" s="41">
        <v>0</v>
      </c>
      <c r="F13" s="41">
        <v>0</v>
      </c>
      <c r="G13" s="41">
        <v>0</v>
      </c>
      <c r="H13" s="41">
        <v>0</v>
      </c>
      <c r="I13" s="41">
        <v>0</v>
      </c>
      <c r="J13" s="19">
        <f t="shared" si="3"/>
        <v>0</v>
      </c>
      <c r="K13" s="20">
        <f t="shared" si="1"/>
        <v>1616113</v>
      </c>
      <c r="L13" s="18"/>
      <c r="M13" s="18">
        <v>761674</v>
      </c>
      <c r="N13" s="18"/>
      <c r="O13" s="18"/>
      <c r="P13" s="18"/>
      <c r="Q13" s="18"/>
      <c r="R13" s="18">
        <v>761674</v>
      </c>
      <c r="S13" s="21">
        <f t="shared" ref="S13:S19" si="7">SUM(L13:R13)</f>
        <v>1523348</v>
      </c>
      <c r="T13" s="16">
        <f t="shared" ref="T13:T19" si="8">+J13+S13</f>
        <v>1523348</v>
      </c>
      <c r="U13" s="17">
        <f t="shared" ref="U13:U19" si="9">+C13-T13</f>
        <v>92765</v>
      </c>
    </row>
    <row r="14" spans="1:21">
      <c r="A14" s="42" t="s">
        <v>43</v>
      </c>
      <c r="B14" s="42" t="s">
        <v>44</v>
      </c>
      <c r="C14" s="40">
        <v>610330</v>
      </c>
      <c r="D14" s="41">
        <v>0</v>
      </c>
      <c r="E14" s="41">
        <v>0</v>
      </c>
      <c r="F14" s="41">
        <v>0</v>
      </c>
      <c r="G14" s="41">
        <v>0</v>
      </c>
      <c r="H14" s="41">
        <v>0</v>
      </c>
      <c r="I14" s="41">
        <v>0</v>
      </c>
      <c r="J14" s="19">
        <f t="shared" si="3"/>
        <v>0</v>
      </c>
      <c r="K14" s="20">
        <f t="shared" si="1"/>
        <v>610330</v>
      </c>
      <c r="L14" s="18"/>
      <c r="M14" s="18">
        <v>269438.58</v>
      </c>
      <c r="N14" s="18"/>
      <c r="O14" s="18"/>
      <c r="P14" s="18"/>
      <c r="Q14" s="18"/>
      <c r="R14" s="18">
        <v>269438.58</v>
      </c>
      <c r="S14" s="21">
        <f t="shared" si="7"/>
        <v>538877.16</v>
      </c>
      <c r="T14" s="16">
        <f t="shared" si="8"/>
        <v>538877.16</v>
      </c>
      <c r="U14" s="17">
        <f t="shared" si="9"/>
        <v>71452.839999999967</v>
      </c>
    </row>
    <row r="15" spans="1:21">
      <c r="A15" s="42" t="s">
        <v>45</v>
      </c>
      <c r="B15" s="42" t="s">
        <v>46</v>
      </c>
      <c r="C15" s="40">
        <v>172004</v>
      </c>
      <c r="D15" s="41">
        <v>141790.9</v>
      </c>
      <c r="E15" s="41">
        <v>0</v>
      </c>
      <c r="F15" s="41">
        <v>0</v>
      </c>
      <c r="G15" s="41">
        <v>0</v>
      </c>
      <c r="H15" s="41">
        <v>0</v>
      </c>
      <c r="I15" s="41">
        <v>0</v>
      </c>
      <c r="J15" s="19">
        <f t="shared" si="3"/>
        <v>141790.9</v>
      </c>
      <c r="K15" s="20">
        <f t="shared" si="1"/>
        <v>30213.100000000006</v>
      </c>
      <c r="L15" s="18"/>
      <c r="M15" s="18"/>
      <c r="N15" s="18"/>
      <c r="O15" s="18"/>
      <c r="P15" s="18"/>
      <c r="Q15" s="18"/>
      <c r="R15" s="18"/>
      <c r="S15" s="21">
        <f t="shared" si="7"/>
        <v>0</v>
      </c>
      <c r="T15" s="16">
        <f t="shared" si="8"/>
        <v>141790.9</v>
      </c>
      <c r="U15" s="17">
        <f t="shared" si="9"/>
        <v>30213.100000000006</v>
      </c>
    </row>
    <row r="16" spans="1:21">
      <c r="A16" s="42" t="s">
        <v>47</v>
      </c>
      <c r="B16" s="42" t="s">
        <v>48</v>
      </c>
      <c r="C16" s="40">
        <v>852798</v>
      </c>
      <c r="D16" s="41">
        <v>0</v>
      </c>
      <c r="E16" s="41">
        <v>0</v>
      </c>
      <c r="F16" s="41">
        <v>0</v>
      </c>
      <c r="G16" s="41">
        <v>0</v>
      </c>
      <c r="H16" s="41">
        <v>391513.69</v>
      </c>
      <c r="I16" s="41">
        <v>0</v>
      </c>
      <c r="J16" s="19">
        <f t="shared" si="3"/>
        <v>391513.69</v>
      </c>
      <c r="K16" s="20">
        <f t="shared" si="1"/>
        <v>461284.31</v>
      </c>
      <c r="L16" s="18"/>
      <c r="M16" s="18"/>
      <c r="N16" s="18"/>
      <c r="O16" s="18"/>
      <c r="P16" s="18"/>
      <c r="Q16" s="18">
        <v>444309.83</v>
      </c>
      <c r="R16" s="18"/>
      <c r="S16" s="21">
        <f t="shared" si="7"/>
        <v>444309.83</v>
      </c>
      <c r="T16" s="16">
        <f t="shared" si="8"/>
        <v>835823.52</v>
      </c>
      <c r="U16" s="17">
        <f t="shared" si="9"/>
        <v>16974.479999999981</v>
      </c>
    </row>
    <row r="17" spans="1:21">
      <c r="A17" s="42" t="s">
        <v>58</v>
      </c>
      <c r="B17" s="42" t="s">
        <v>59</v>
      </c>
      <c r="C17" s="40">
        <v>3386</v>
      </c>
      <c r="D17" s="41">
        <v>0</v>
      </c>
      <c r="E17" s="41">
        <v>0</v>
      </c>
      <c r="F17" s="41">
        <v>0</v>
      </c>
      <c r="G17" s="41">
        <v>0</v>
      </c>
      <c r="H17" s="41">
        <v>0</v>
      </c>
      <c r="I17" s="41">
        <v>0</v>
      </c>
      <c r="J17" s="19">
        <f t="shared" si="3"/>
        <v>0</v>
      </c>
      <c r="K17" s="20">
        <f t="shared" si="1"/>
        <v>3386</v>
      </c>
      <c r="L17" s="18"/>
      <c r="M17" s="18"/>
      <c r="N17" s="18"/>
      <c r="O17" s="18"/>
      <c r="P17" s="18"/>
      <c r="Q17" s="18"/>
      <c r="R17" s="18"/>
      <c r="S17" s="21">
        <f t="shared" si="7"/>
        <v>0</v>
      </c>
      <c r="T17" s="16">
        <f t="shared" si="8"/>
        <v>0</v>
      </c>
      <c r="U17" s="17">
        <f t="shared" si="9"/>
        <v>3386</v>
      </c>
    </row>
    <row r="18" spans="1:21">
      <c r="A18" s="42" t="s">
        <v>49</v>
      </c>
      <c r="B18" s="42" t="s">
        <v>50</v>
      </c>
      <c r="C18" s="40">
        <v>58888</v>
      </c>
      <c r="D18" s="41">
        <v>0</v>
      </c>
      <c r="E18" s="41">
        <v>0</v>
      </c>
      <c r="F18" s="41">
        <v>0</v>
      </c>
      <c r="G18" s="41">
        <v>0</v>
      </c>
      <c r="H18" s="41">
        <v>0</v>
      </c>
      <c r="I18" s="41">
        <v>0</v>
      </c>
      <c r="J18" s="19">
        <f t="shared" si="3"/>
        <v>0</v>
      </c>
      <c r="K18" s="20">
        <f t="shared" si="1"/>
        <v>58888</v>
      </c>
      <c r="L18" s="18"/>
      <c r="M18" s="18">
        <v>27117.010000000002</v>
      </c>
      <c r="N18" s="18"/>
      <c r="O18" s="18"/>
      <c r="P18" s="18"/>
      <c r="Q18" s="18"/>
      <c r="R18" s="18">
        <v>27117.010000000002</v>
      </c>
      <c r="S18" s="21">
        <f t="shared" si="7"/>
        <v>54234.020000000004</v>
      </c>
      <c r="T18" s="16">
        <f t="shared" si="8"/>
        <v>54234.020000000004</v>
      </c>
      <c r="U18" s="17">
        <f t="shared" si="9"/>
        <v>4653.9799999999959</v>
      </c>
    </row>
    <row r="19" spans="1:21" hidden="1">
      <c r="A19" s="42" t="s">
        <v>51</v>
      </c>
      <c r="B19" s="42" t="s">
        <v>52</v>
      </c>
      <c r="C19" s="40">
        <v>28946</v>
      </c>
      <c r="D19" s="41">
        <v>2247.88</v>
      </c>
      <c r="E19" s="41">
        <v>2249.75</v>
      </c>
      <c r="F19" s="41">
        <v>2215.46</v>
      </c>
      <c r="G19" s="41">
        <v>2217.25</v>
      </c>
      <c r="H19" s="41">
        <v>2193.41</v>
      </c>
      <c r="I19" s="41">
        <v>0</v>
      </c>
      <c r="J19" s="22">
        <f t="shared" si="3"/>
        <v>11123.75</v>
      </c>
      <c r="K19" s="23">
        <f t="shared" si="1"/>
        <v>17822.25</v>
      </c>
      <c r="L19" s="18">
        <v>2205.5400000000004</v>
      </c>
      <c r="M19" s="18">
        <v>2205.5400000000004</v>
      </c>
      <c r="N19" s="18">
        <v>2205.5400000000004</v>
      </c>
      <c r="O19" s="18">
        <v>2205.5400000000004</v>
      </c>
      <c r="P19" s="18">
        <v>2205.5400000000004</v>
      </c>
      <c r="Q19" s="18">
        <v>2205.5400000000004</v>
      </c>
      <c r="R19" s="18">
        <v>2205.5400000000004</v>
      </c>
      <c r="S19" s="21">
        <f t="shared" si="7"/>
        <v>15438.780000000004</v>
      </c>
      <c r="T19" s="16">
        <f t="shared" si="8"/>
        <v>26562.530000000006</v>
      </c>
      <c r="U19" s="17">
        <f t="shared" si="9"/>
        <v>2383.4699999999939</v>
      </c>
    </row>
    <row r="20" spans="1:21" hidden="1">
      <c r="A20" s="42" t="s">
        <v>53</v>
      </c>
      <c r="B20" s="42" t="s">
        <v>54</v>
      </c>
      <c r="C20" s="40">
        <v>12186</v>
      </c>
      <c r="D20" s="41">
        <v>924.3</v>
      </c>
      <c r="E20" s="41">
        <v>925.8</v>
      </c>
      <c r="F20" s="41">
        <v>925.8</v>
      </c>
      <c r="G20" s="41">
        <v>925.8</v>
      </c>
      <c r="H20" s="41">
        <v>925.8</v>
      </c>
      <c r="I20" s="41">
        <v>0</v>
      </c>
      <c r="J20" s="22">
        <f t="shared" si="3"/>
        <v>4627.5</v>
      </c>
      <c r="K20" s="23">
        <f t="shared" ref="K20:K21" si="10">C20-J20</f>
        <v>7558.5</v>
      </c>
      <c r="L20" s="18">
        <v>925.8</v>
      </c>
      <c r="M20" s="18">
        <v>925.8</v>
      </c>
      <c r="N20" s="18">
        <v>925.8</v>
      </c>
      <c r="O20" s="18">
        <v>925.8</v>
      </c>
      <c r="P20" s="18">
        <v>925.8</v>
      </c>
      <c r="Q20" s="18">
        <v>925.8</v>
      </c>
      <c r="R20" s="18">
        <v>925.8</v>
      </c>
      <c r="S20" s="21">
        <f t="shared" si="4"/>
        <v>6480.6</v>
      </c>
      <c r="T20" s="16">
        <f t="shared" si="5"/>
        <v>11108.1</v>
      </c>
      <c r="U20" s="17">
        <f t="shared" si="6"/>
        <v>1077.8999999999996</v>
      </c>
    </row>
    <row r="21" spans="1:21" hidden="1">
      <c r="A21" s="43" t="s">
        <v>55</v>
      </c>
      <c r="B21" s="43" t="s">
        <v>56</v>
      </c>
      <c r="C21" s="40">
        <v>695080</v>
      </c>
      <c r="D21" s="41">
        <v>53980</v>
      </c>
      <c r="E21" s="41">
        <v>55396.09</v>
      </c>
      <c r="F21" s="41">
        <v>56020.21</v>
      </c>
      <c r="G21" s="41">
        <v>54863.25</v>
      </c>
      <c r="H21" s="41">
        <v>54661</v>
      </c>
      <c r="I21" s="41">
        <v>0</v>
      </c>
      <c r="J21" s="22">
        <f t="shared" si="3"/>
        <v>274920.55</v>
      </c>
      <c r="K21" s="23">
        <f t="shared" si="10"/>
        <v>420159.45</v>
      </c>
      <c r="L21" s="18">
        <v>57174.55000000001</v>
      </c>
      <c r="M21" s="18">
        <v>57174.55000000001</v>
      </c>
      <c r="N21" s="18">
        <v>57174.55000000001</v>
      </c>
      <c r="O21" s="18">
        <v>57174.55000000001</v>
      </c>
      <c r="P21" s="18">
        <v>57174.55000000001</v>
      </c>
      <c r="Q21" s="18">
        <v>57174.55000000001</v>
      </c>
      <c r="R21" s="18">
        <v>57174.55000000001</v>
      </c>
      <c r="S21" s="21">
        <f t="shared" si="4"/>
        <v>400221.85000000003</v>
      </c>
      <c r="T21" s="16">
        <f t="shared" si="5"/>
        <v>675142.4</v>
      </c>
      <c r="U21" s="17">
        <f t="shared" si="6"/>
        <v>19937.599999999977</v>
      </c>
    </row>
    <row r="22" spans="1:21">
      <c r="A22" s="36" t="s">
        <v>76</v>
      </c>
      <c r="B22" s="44"/>
      <c r="C22" s="7">
        <f t="shared" ref="C22:I22" si="11">SUBTOTAL(9,C23:C36)</f>
        <v>1183400</v>
      </c>
      <c r="D22" s="8">
        <f t="shared" si="11"/>
        <v>201820.53999999998</v>
      </c>
      <c r="E22" s="8">
        <f t="shared" si="11"/>
        <v>191164.84999999998</v>
      </c>
      <c r="F22" s="8">
        <f t="shared" si="11"/>
        <v>188782.55</v>
      </c>
      <c r="G22" s="8">
        <f t="shared" si="11"/>
        <v>188156.81</v>
      </c>
      <c r="H22" s="8">
        <f t="shared" si="11"/>
        <v>213006.35</v>
      </c>
      <c r="I22" s="8">
        <f t="shared" si="11"/>
        <v>0</v>
      </c>
      <c r="J22" s="9">
        <f t="shared" si="3"/>
        <v>982931.1</v>
      </c>
      <c r="K22" s="9">
        <f t="shared" ref="K22:K66" si="12">C22-J22</f>
        <v>200468.90000000002</v>
      </c>
      <c r="L22" s="8">
        <f t="shared" ref="L22:R22" si="13">SUBTOTAL(9,L23:L36)</f>
        <v>191970.53999999998</v>
      </c>
      <c r="M22" s="8">
        <f t="shared" si="13"/>
        <v>249071.88999999998</v>
      </c>
      <c r="N22" s="8">
        <f t="shared" si="13"/>
        <v>191970.53999999998</v>
      </c>
      <c r="O22" s="8">
        <f t="shared" si="13"/>
        <v>191970.53999999998</v>
      </c>
      <c r="P22" s="8">
        <f t="shared" si="13"/>
        <v>191970.53999999998</v>
      </c>
      <c r="Q22" s="8">
        <f t="shared" si="13"/>
        <v>214456.87</v>
      </c>
      <c r="R22" s="8">
        <f t="shared" si="13"/>
        <v>249071.88999999998</v>
      </c>
      <c r="S22" s="8">
        <f>SUM(L22:R22)</f>
        <v>1480482.8099999998</v>
      </c>
      <c r="T22" s="10">
        <f>+J22+S22</f>
        <v>2463413.9099999997</v>
      </c>
      <c r="U22" s="38">
        <f t="shared" ref="U22:U66" si="14">+C22-T22</f>
        <v>-1280013.9099999997</v>
      </c>
    </row>
    <row r="23" spans="1:21">
      <c r="A23" s="42" t="s">
        <v>27</v>
      </c>
      <c r="B23" s="42" t="s">
        <v>28</v>
      </c>
      <c r="C23" s="40">
        <v>16315</v>
      </c>
      <c r="D23" s="41">
        <v>2719.14</v>
      </c>
      <c r="E23" s="41">
        <v>2719.14</v>
      </c>
      <c r="F23" s="41">
        <v>2719.14</v>
      </c>
      <c r="G23" s="41">
        <v>2719.14</v>
      </c>
      <c r="H23" s="41">
        <v>2719.14</v>
      </c>
      <c r="I23" s="41">
        <v>0</v>
      </c>
      <c r="J23" s="13">
        <f t="shared" si="3"/>
        <v>13595.699999999999</v>
      </c>
      <c r="K23" s="14">
        <f t="shared" si="12"/>
        <v>2719.3000000000011</v>
      </c>
      <c r="L23" s="12">
        <v>2719.14</v>
      </c>
      <c r="M23" s="12">
        <v>2719.14</v>
      </c>
      <c r="N23" s="12">
        <v>2719.14</v>
      </c>
      <c r="O23" s="12">
        <v>2719.14</v>
      </c>
      <c r="P23" s="12">
        <v>2719.14</v>
      </c>
      <c r="Q23" s="12">
        <v>2719.14</v>
      </c>
      <c r="R23" s="12">
        <v>2719.14</v>
      </c>
      <c r="S23" s="15">
        <f t="shared" si="4"/>
        <v>19033.98</v>
      </c>
      <c r="T23" s="16">
        <f t="shared" ref="T23:T36" si="15">+J23+S23</f>
        <v>32629.68</v>
      </c>
      <c r="U23" s="17">
        <f t="shared" si="14"/>
        <v>-16314.68</v>
      </c>
    </row>
    <row r="24" spans="1:21">
      <c r="A24" s="42" t="s">
        <v>29</v>
      </c>
      <c r="B24" s="42" t="s">
        <v>30</v>
      </c>
      <c r="C24" s="40">
        <v>176436</v>
      </c>
      <c r="D24" s="41">
        <v>29406</v>
      </c>
      <c r="E24" s="41">
        <v>29406</v>
      </c>
      <c r="F24" s="41">
        <v>26781</v>
      </c>
      <c r="G24" s="41">
        <v>26781</v>
      </c>
      <c r="H24" s="41">
        <v>29406</v>
      </c>
      <c r="I24" s="41">
        <v>0</v>
      </c>
      <c r="J24" s="19">
        <f t="shared" si="3"/>
        <v>141780</v>
      </c>
      <c r="K24" s="20">
        <f t="shared" si="12"/>
        <v>34656</v>
      </c>
      <c r="L24" s="18">
        <v>29406</v>
      </c>
      <c r="M24" s="18">
        <v>29406</v>
      </c>
      <c r="N24" s="18">
        <v>29406</v>
      </c>
      <c r="O24" s="18">
        <v>29406</v>
      </c>
      <c r="P24" s="18">
        <v>29406</v>
      </c>
      <c r="Q24" s="18">
        <v>29406</v>
      </c>
      <c r="R24" s="18">
        <v>29406</v>
      </c>
      <c r="S24" s="21">
        <f t="shared" si="4"/>
        <v>205842</v>
      </c>
      <c r="T24" s="16">
        <f t="shared" si="15"/>
        <v>347622</v>
      </c>
      <c r="U24" s="17">
        <f t="shared" si="14"/>
        <v>-171186</v>
      </c>
    </row>
    <row r="25" spans="1:21">
      <c r="A25" s="42" t="s">
        <v>31</v>
      </c>
      <c r="B25" s="42" t="s">
        <v>32</v>
      </c>
      <c r="C25" s="40">
        <v>54852</v>
      </c>
      <c r="D25" s="41">
        <v>9142</v>
      </c>
      <c r="E25" s="41">
        <v>9142</v>
      </c>
      <c r="F25" s="41">
        <v>9142</v>
      </c>
      <c r="G25" s="41">
        <v>9142</v>
      </c>
      <c r="H25" s="41">
        <v>9142</v>
      </c>
      <c r="I25" s="41">
        <v>0</v>
      </c>
      <c r="J25" s="19">
        <f t="shared" si="3"/>
        <v>45710</v>
      </c>
      <c r="K25" s="20">
        <f t="shared" si="12"/>
        <v>9142</v>
      </c>
      <c r="L25" s="18">
        <v>9142</v>
      </c>
      <c r="M25" s="18">
        <v>9142</v>
      </c>
      <c r="N25" s="18">
        <v>9142</v>
      </c>
      <c r="O25" s="18">
        <v>9142</v>
      </c>
      <c r="P25" s="18">
        <v>9142</v>
      </c>
      <c r="Q25" s="18">
        <v>9142</v>
      </c>
      <c r="R25" s="18">
        <v>9142</v>
      </c>
      <c r="S25" s="21">
        <f t="shared" si="4"/>
        <v>63994</v>
      </c>
      <c r="T25" s="16">
        <f t="shared" si="15"/>
        <v>109704</v>
      </c>
      <c r="U25" s="17">
        <f t="shared" si="14"/>
        <v>-54852</v>
      </c>
    </row>
    <row r="26" spans="1:21">
      <c r="A26" s="42" t="s">
        <v>33</v>
      </c>
      <c r="B26" s="42" t="s">
        <v>34</v>
      </c>
      <c r="C26" s="40">
        <v>7260</v>
      </c>
      <c r="D26" s="41">
        <v>1210</v>
      </c>
      <c r="E26" s="41">
        <v>1210</v>
      </c>
      <c r="F26" s="41">
        <v>1210</v>
      </c>
      <c r="G26" s="41">
        <v>1810</v>
      </c>
      <c r="H26" s="41">
        <v>1360</v>
      </c>
      <c r="I26" s="41">
        <v>0</v>
      </c>
      <c r="J26" s="19">
        <f t="shared" si="3"/>
        <v>6800</v>
      </c>
      <c r="K26" s="20">
        <f t="shared" si="12"/>
        <v>460</v>
      </c>
      <c r="L26" s="18">
        <v>1360</v>
      </c>
      <c r="M26" s="18">
        <v>1360</v>
      </c>
      <c r="N26" s="18">
        <v>1360</v>
      </c>
      <c r="O26" s="18">
        <v>1360</v>
      </c>
      <c r="P26" s="18">
        <v>1360</v>
      </c>
      <c r="Q26" s="18">
        <v>1360</v>
      </c>
      <c r="R26" s="18">
        <v>1360</v>
      </c>
      <c r="S26" s="21">
        <f t="shared" si="4"/>
        <v>9520</v>
      </c>
      <c r="T26" s="16">
        <f t="shared" si="15"/>
        <v>16320</v>
      </c>
      <c r="U26" s="17">
        <f t="shared" si="14"/>
        <v>-9060</v>
      </c>
    </row>
    <row r="27" spans="1:21">
      <c r="A27" s="42" t="s">
        <v>35</v>
      </c>
      <c r="B27" s="42" t="s">
        <v>36</v>
      </c>
      <c r="C27" s="40">
        <v>151656</v>
      </c>
      <c r="D27" s="41">
        <v>25275.89</v>
      </c>
      <c r="E27" s="41">
        <v>24620.2</v>
      </c>
      <c r="F27" s="41">
        <v>25275.89</v>
      </c>
      <c r="G27" s="41">
        <v>23637.16</v>
      </c>
      <c r="H27" s="41">
        <v>23837.67</v>
      </c>
      <c r="I27" s="41">
        <v>0</v>
      </c>
      <c r="J27" s="19">
        <f t="shared" si="3"/>
        <v>122646.81</v>
      </c>
      <c r="K27" s="20">
        <f t="shared" si="12"/>
        <v>29009.190000000002</v>
      </c>
      <c r="L27" s="18">
        <v>25275.889999999996</v>
      </c>
      <c r="M27" s="18">
        <v>25275.889999999996</v>
      </c>
      <c r="N27" s="18">
        <v>25275.889999999996</v>
      </c>
      <c r="O27" s="18">
        <v>25275.889999999996</v>
      </c>
      <c r="P27" s="18">
        <v>25275.889999999996</v>
      </c>
      <c r="Q27" s="18">
        <v>25275.889999999996</v>
      </c>
      <c r="R27" s="18">
        <v>25275.889999999996</v>
      </c>
      <c r="S27" s="21">
        <f t="shared" si="4"/>
        <v>176931.22999999995</v>
      </c>
      <c r="T27" s="16">
        <f t="shared" si="15"/>
        <v>299578.03999999992</v>
      </c>
      <c r="U27" s="17">
        <f t="shared" si="14"/>
        <v>-147922.03999999992</v>
      </c>
    </row>
    <row r="28" spans="1:21">
      <c r="A28" s="42" t="s">
        <v>37</v>
      </c>
      <c r="B28" s="42" t="s">
        <v>38</v>
      </c>
      <c r="C28" s="40">
        <v>214200</v>
      </c>
      <c r="D28" s="41">
        <v>35700</v>
      </c>
      <c r="E28" s="41">
        <v>35700</v>
      </c>
      <c r="F28" s="41">
        <v>35610</v>
      </c>
      <c r="G28" s="41">
        <v>35700</v>
      </c>
      <c r="H28" s="41">
        <v>35700</v>
      </c>
      <c r="I28" s="41">
        <v>0</v>
      </c>
      <c r="J28" s="19">
        <f t="shared" si="3"/>
        <v>178410</v>
      </c>
      <c r="K28" s="20">
        <f t="shared" si="12"/>
        <v>35790</v>
      </c>
      <c r="L28" s="18">
        <v>35700</v>
      </c>
      <c r="M28" s="18">
        <v>35700</v>
      </c>
      <c r="N28" s="18">
        <v>35700</v>
      </c>
      <c r="O28" s="18">
        <v>35700</v>
      </c>
      <c r="P28" s="18">
        <v>35700</v>
      </c>
      <c r="Q28" s="18">
        <v>35700</v>
      </c>
      <c r="R28" s="18">
        <v>35700</v>
      </c>
      <c r="S28" s="21">
        <f t="shared" si="4"/>
        <v>249900</v>
      </c>
      <c r="T28" s="16">
        <f t="shared" si="15"/>
        <v>428310</v>
      </c>
      <c r="U28" s="17">
        <f t="shared" si="14"/>
        <v>-214110</v>
      </c>
    </row>
    <row r="29" spans="1:21">
      <c r="A29" s="42" t="s">
        <v>39</v>
      </c>
      <c r="B29" s="42" t="s">
        <v>40</v>
      </c>
      <c r="C29" s="40">
        <v>530206</v>
      </c>
      <c r="D29" s="41">
        <v>88367.51</v>
      </c>
      <c r="E29" s="41">
        <v>88367.51</v>
      </c>
      <c r="F29" s="41">
        <v>88044.52</v>
      </c>
      <c r="G29" s="41">
        <v>88367.51</v>
      </c>
      <c r="H29" s="41">
        <v>88367.51</v>
      </c>
      <c r="I29" s="41">
        <v>0</v>
      </c>
      <c r="J29" s="19">
        <f t="shared" si="3"/>
        <v>441514.56</v>
      </c>
      <c r="K29" s="20">
        <f t="shared" si="12"/>
        <v>88691.44</v>
      </c>
      <c r="L29" s="18">
        <v>88367.51</v>
      </c>
      <c r="M29" s="18">
        <v>88367.51</v>
      </c>
      <c r="N29" s="18">
        <v>88367.51</v>
      </c>
      <c r="O29" s="18">
        <v>88367.51</v>
      </c>
      <c r="P29" s="18">
        <v>88367.51</v>
      </c>
      <c r="Q29" s="18">
        <v>88367.51</v>
      </c>
      <c r="R29" s="18">
        <v>88367.51</v>
      </c>
      <c r="S29" s="21">
        <f t="shared" si="4"/>
        <v>618572.56999999995</v>
      </c>
      <c r="T29" s="16">
        <f t="shared" si="15"/>
        <v>1060087.1299999999</v>
      </c>
      <c r="U29" s="17">
        <f t="shared" si="14"/>
        <v>-529881.12999999989</v>
      </c>
    </row>
    <row r="30" spans="1:21">
      <c r="A30" s="42" t="s">
        <v>41</v>
      </c>
      <c r="B30" s="42" t="s">
        <v>42</v>
      </c>
      <c r="C30" s="40">
        <v>0</v>
      </c>
      <c r="D30" s="41"/>
      <c r="E30" s="41"/>
      <c r="F30" s="41"/>
      <c r="G30" s="41"/>
      <c r="H30" s="41"/>
      <c r="I30" s="41"/>
      <c r="J30" s="19">
        <v>0</v>
      </c>
      <c r="K30" s="20">
        <v>0</v>
      </c>
      <c r="L30" s="18"/>
      <c r="M30" s="18">
        <v>38548</v>
      </c>
      <c r="N30" s="18"/>
      <c r="O30" s="18"/>
      <c r="P30" s="18"/>
      <c r="Q30" s="18"/>
      <c r="R30" s="18">
        <v>38548</v>
      </c>
      <c r="S30" s="21">
        <f t="shared" ref="S30:S35" si="16">SUM(L30:R30)</f>
        <v>77096</v>
      </c>
      <c r="T30" s="16">
        <f t="shared" ref="T30:T35" si="17">+J30+S30</f>
        <v>77096</v>
      </c>
      <c r="U30" s="17">
        <f t="shared" ref="U30:U35" si="18">+C30-T30</f>
        <v>-77096</v>
      </c>
    </row>
    <row r="31" spans="1:21">
      <c r="A31" s="42" t="s">
        <v>43</v>
      </c>
      <c r="B31" s="42" t="s">
        <v>44</v>
      </c>
      <c r="C31" s="40">
        <v>0</v>
      </c>
      <c r="D31" s="41"/>
      <c r="E31" s="41"/>
      <c r="F31" s="41"/>
      <c r="G31" s="41"/>
      <c r="H31" s="41"/>
      <c r="I31" s="41"/>
      <c r="J31" s="19"/>
      <c r="K31" s="20"/>
      <c r="L31" s="18"/>
      <c r="M31" s="18">
        <v>17145.53</v>
      </c>
      <c r="N31" s="18"/>
      <c r="O31" s="18"/>
      <c r="P31" s="18"/>
      <c r="Q31" s="18"/>
      <c r="R31" s="18">
        <v>17145.53</v>
      </c>
      <c r="S31" s="21">
        <f t="shared" si="16"/>
        <v>34291.06</v>
      </c>
      <c r="T31" s="16">
        <f t="shared" si="17"/>
        <v>34291.06</v>
      </c>
      <c r="U31" s="17">
        <f t="shared" si="18"/>
        <v>-34291.06</v>
      </c>
    </row>
    <row r="32" spans="1:21">
      <c r="A32" s="42" t="s">
        <v>45</v>
      </c>
      <c r="B32" s="42" t="s">
        <v>46</v>
      </c>
      <c r="C32" s="40">
        <v>10000</v>
      </c>
      <c r="D32" s="41">
        <v>10000</v>
      </c>
      <c r="E32" s="41">
        <v>0</v>
      </c>
      <c r="F32" s="41">
        <v>0</v>
      </c>
      <c r="G32" s="41">
        <v>0</v>
      </c>
      <c r="H32" s="41">
        <v>0</v>
      </c>
      <c r="I32" s="41">
        <v>0</v>
      </c>
      <c r="J32" s="19">
        <f t="shared" si="3"/>
        <v>10000</v>
      </c>
      <c r="K32" s="20">
        <f t="shared" si="12"/>
        <v>0</v>
      </c>
      <c r="L32" s="18"/>
      <c r="M32" s="18"/>
      <c r="N32" s="18"/>
      <c r="O32" s="18"/>
      <c r="P32" s="18"/>
      <c r="Q32" s="18"/>
      <c r="R32" s="18"/>
      <c r="S32" s="21">
        <f t="shared" si="16"/>
        <v>0</v>
      </c>
      <c r="T32" s="16">
        <f t="shared" si="17"/>
        <v>10000</v>
      </c>
      <c r="U32" s="17">
        <f t="shared" si="18"/>
        <v>0</v>
      </c>
    </row>
    <row r="33" spans="1:21">
      <c r="A33" s="42" t="s">
        <v>47</v>
      </c>
      <c r="B33" s="42" t="s">
        <v>48</v>
      </c>
      <c r="C33" s="40">
        <v>22475</v>
      </c>
      <c r="D33" s="41">
        <v>0</v>
      </c>
      <c r="E33" s="41">
        <v>0</v>
      </c>
      <c r="F33" s="41">
        <v>0</v>
      </c>
      <c r="G33" s="41">
        <v>0</v>
      </c>
      <c r="H33" s="41">
        <v>22474.03</v>
      </c>
      <c r="I33" s="41">
        <v>0</v>
      </c>
      <c r="J33" s="19">
        <f t="shared" si="3"/>
        <v>22474.03</v>
      </c>
      <c r="K33" s="20">
        <f t="shared" si="12"/>
        <v>0.97000000000116415</v>
      </c>
      <c r="L33" s="18"/>
      <c r="M33" s="18"/>
      <c r="N33" s="18"/>
      <c r="O33" s="18"/>
      <c r="P33" s="18"/>
      <c r="Q33" s="18">
        <v>22486.33</v>
      </c>
      <c r="R33" s="18"/>
      <c r="S33" s="21">
        <f t="shared" si="16"/>
        <v>22486.33</v>
      </c>
      <c r="T33" s="16">
        <f t="shared" si="17"/>
        <v>44960.36</v>
      </c>
      <c r="U33" s="17">
        <f t="shared" si="18"/>
        <v>-22485.360000000001</v>
      </c>
    </row>
    <row r="34" spans="1:21">
      <c r="A34" s="42" t="s">
        <v>49</v>
      </c>
      <c r="B34" s="42" t="s">
        <v>50</v>
      </c>
      <c r="C34" s="40">
        <v>0</v>
      </c>
      <c r="D34" s="41"/>
      <c r="E34" s="41"/>
      <c r="F34" s="41"/>
      <c r="G34" s="41"/>
      <c r="H34" s="41"/>
      <c r="I34" s="41"/>
      <c r="J34" s="19"/>
      <c r="K34" s="20"/>
      <c r="L34" s="18"/>
      <c r="M34" s="18">
        <v>1407.82</v>
      </c>
      <c r="N34" s="18"/>
      <c r="O34" s="18"/>
      <c r="P34" s="18"/>
      <c r="Q34" s="18"/>
      <c r="R34" s="18">
        <v>1407.82</v>
      </c>
      <c r="S34" s="21">
        <f t="shared" si="16"/>
        <v>2815.64</v>
      </c>
      <c r="T34" s="16">
        <f t="shared" si="17"/>
        <v>2815.64</v>
      </c>
      <c r="U34" s="17">
        <f t="shared" si="18"/>
        <v>-2815.64</v>
      </c>
    </row>
    <row r="35" spans="1:21" hidden="1">
      <c r="A35" s="42" t="s">
        <v>51</v>
      </c>
      <c r="B35" s="42" t="s">
        <v>52</v>
      </c>
      <c r="C35" s="40">
        <v>1398</v>
      </c>
      <c r="D35" s="41">
        <v>232.98</v>
      </c>
      <c r="E35" s="41">
        <v>243.66</v>
      </c>
      <c r="F35" s="41">
        <v>242.16</v>
      </c>
      <c r="G35" s="41">
        <v>228.63</v>
      </c>
      <c r="H35" s="41">
        <v>243.66</v>
      </c>
      <c r="I35" s="41">
        <v>0</v>
      </c>
      <c r="J35" s="19">
        <f t="shared" si="3"/>
        <v>1191.0899999999999</v>
      </c>
      <c r="K35" s="20">
        <f t="shared" si="12"/>
        <v>206.91000000000008</v>
      </c>
      <c r="L35" s="18">
        <v>243.66000000000003</v>
      </c>
      <c r="M35" s="18">
        <v>243.66000000000003</v>
      </c>
      <c r="N35" s="18">
        <v>243.66000000000003</v>
      </c>
      <c r="O35" s="18">
        <v>243.66000000000003</v>
      </c>
      <c r="P35" s="18">
        <v>243.66000000000003</v>
      </c>
      <c r="Q35" s="18">
        <v>243.66000000000003</v>
      </c>
      <c r="R35" s="18">
        <v>243.66000000000003</v>
      </c>
      <c r="S35" s="21">
        <f t="shared" si="16"/>
        <v>1705.6200000000003</v>
      </c>
      <c r="T35" s="16">
        <f t="shared" si="17"/>
        <v>2896.71</v>
      </c>
      <c r="U35" s="17">
        <f t="shared" si="18"/>
        <v>-1498.71</v>
      </c>
    </row>
    <row r="36" spans="1:21" hidden="1">
      <c r="A36" s="43" t="s">
        <v>55</v>
      </c>
      <c r="B36" s="43" t="s">
        <v>56</v>
      </c>
      <c r="C36" s="40">
        <v>20766</v>
      </c>
      <c r="D36" s="41">
        <v>3460.9</v>
      </c>
      <c r="E36" s="41">
        <v>3492.96</v>
      </c>
      <c r="F36" s="41">
        <v>3445.7</v>
      </c>
      <c r="G36" s="41">
        <v>3405.1</v>
      </c>
      <c r="H36" s="41">
        <v>3478.77</v>
      </c>
      <c r="I36" s="41">
        <v>0</v>
      </c>
      <c r="J36" s="19">
        <f t="shared" si="3"/>
        <v>17283.43</v>
      </c>
      <c r="K36" s="20">
        <f t="shared" si="12"/>
        <v>3482.5699999999997</v>
      </c>
      <c r="L36" s="18">
        <v>3522.6400000000003</v>
      </c>
      <c r="M36" s="18">
        <v>3522.6400000000003</v>
      </c>
      <c r="N36" s="18">
        <v>3522.6400000000003</v>
      </c>
      <c r="O36" s="18">
        <v>3522.6400000000003</v>
      </c>
      <c r="P36" s="18">
        <v>3522.6400000000003</v>
      </c>
      <c r="Q36" s="18">
        <v>3522.6400000000003</v>
      </c>
      <c r="R36" s="18">
        <v>3522.6400000000003</v>
      </c>
      <c r="S36" s="21">
        <f t="shared" si="4"/>
        <v>24658.48</v>
      </c>
      <c r="T36" s="16">
        <f t="shared" si="15"/>
        <v>41941.910000000003</v>
      </c>
      <c r="U36" s="17">
        <f t="shared" si="14"/>
        <v>-21175.910000000003</v>
      </c>
    </row>
    <row r="37" spans="1:21">
      <c r="A37" s="36" t="s">
        <v>77</v>
      </c>
      <c r="B37" s="36"/>
      <c r="C37" s="8">
        <f t="shared" ref="C37:I37" si="19">SUBTOTAL(9,C38:C49)</f>
        <v>3288902</v>
      </c>
      <c r="D37" s="8">
        <f t="shared" si="19"/>
        <v>152421.64000000001</v>
      </c>
      <c r="E37" s="8">
        <f t="shared" si="19"/>
        <v>140331.83000000002</v>
      </c>
      <c r="F37" s="8">
        <f t="shared" si="19"/>
        <v>151506.82999999999</v>
      </c>
      <c r="G37" s="8">
        <f t="shared" si="19"/>
        <v>159340.12999999998</v>
      </c>
      <c r="H37" s="8">
        <f t="shared" si="19"/>
        <v>231478.66</v>
      </c>
      <c r="I37" s="8">
        <f t="shared" si="19"/>
        <v>0</v>
      </c>
      <c r="J37" s="9">
        <f t="shared" si="3"/>
        <v>835079.09000000008</v>
      </c>
      <c r="K37" s="9">
        <f t="shared" si="12"/>
        <v>2453822.91</v>
      </c>
      <c r="L37" s="8">
        <f t="shared" ref="L37:R37" si="20">SUBTOTAL(9,L38:L49)</f>
        <v>182481.83</v>
      </c>
      <c r="M37" s="8">
        <f t="shared" si="20"/>
        <v>367627.66</v>
      </c>
      <c r="N37" s="8">
        <f t="shared" si="20"/>
        <v>182481.83</v>
      </c>
      <c r="O37" s="8">
        <f t="shared" si="20"/>
        <v>182481.83</v>
      </c>
      <c r="P37" s="8">
        <f t="shared" si="20"/>
        <v>182481.83</v>
      </c>
      <c r="Q37" s="8">
        <f t="shared" si="20"/>
        <v>286561.90999999997</v>
      </c>
      <c r="R37" s="8">
        <f t="shared" si="20"/>
        <v>367627.66</v>
      </c>
      <c r="S37" s="8">
        <f>SUM(L37:R37)</f>
        <v>1751744.5499999998</v>
      </c>
      <c r="T37" s="10">
        <f>+J37+S37</f>
        <v>2586823.6399999997</v>
      </c>
      <c r="U37" s="11">
        <f t="shared" si="14"/>
        <v>702078.36000000034</v>
      </c>
    </row>
    <row r="38" spans="1:21">
      <c r="A38" s="42" t="s">
        <v>27</v>
      </c>
      <c r="B38" s="42" t="s">
        <v>28</v>
      </c>
      <c r="C38" s="40">
        <v>31296</v>
      </c>
      <c r="D38" s="41">
        <v>2698.83</v>
      </c>
      <c r="E38" s="41">
        <v>2598.83</v>
      </c>
      <c r="F38" s="41">
        <v>2598.83</v>
      </c>
      <c r="G38" s="41">
        <v>2598.83</v>
      </c>
      <c r="H38" s="41">
        <v>2631.19</v>
      </c>
      <c r="I38" s="41">
        <v>0</v>
      </c>
      <c r="J38" s="13">
        <f t="shared" si="3"/>
        <v>13126.51</v>
      </c>
      <c r="K38" s="14">
        <f t="shared" si="12"/>
        <v>18169.489999999998</v>
      </c>
      <c r="L38" s="12">
        <v>2698.83</v>
      </c>
      <c r="M38" s="12">
        <v>2698.83</v>
      </c>
      <c r="N38" s="12">
        <v>2698.83</v>
      </c>
      <c r="O38" s="12">
        <v>2698.83</v>
      </c>
      <c r="P38" s="12">
        <v>2698.83</v>
      </c>
      <c r="Q38" s="12">
        <v>2698.83</v>
      </c>
      <c r="R38" s="12">
        <v>2698.83</v>
      </c>
      <c r="S38" s="15">
        <f t="shared" si="4"/>
        <v>18891.809999999998</v>
      </c>
      <c r="T38" s="16">
        <f t="shared" ref="T38:T49" si="21">+J38+S38</f>
        <v>32018.32</v>
      </c>
      <c r="U38" s="17">
        <f t="shared" si="14"/>
        <v>-722.31999999999971</v>
      </c>
    </row>
    <row r="39" spans="1:21">
      <c r="A39" s="42" t="s">
        <v>29</v>
      </c>
      <c r="B39" s="42" t="s">
        <v>30</v>
      </c>
      <c r="C39" s="40">
        <v>2253672</v>
      </c>
      <c r="D39" s="41">
        <v>121223</v>
      </c>
      <c r="E39" s="41">
        <v>119673</v>
      </c>
      <c r="F39" s="41">
        <v>130848</v>
      </c>
      <c r="G39" s="41">
        <v>145186.29999999999</v>
      </c>
      <c r="H39" s="41">
        <v>146123</v>
      </c>
      <c r="I39" s="41">
        <v>0</v>
      </c>
      <c r="J39" s="19">
        <f t="shared" si="3"/>
        <v>663053.30000000005</v>
      </c>
      <c r="K39" s="20">
        <f t="shared" si="12"/>
        <v>1590618.7</v>
      </c>
      <c r="L39" s="18">
        <v>162723</v>
      </c>
      <c r="M39" s="18">
        <v>162723</v>
      </c>
      <c r="N39" s="18">
        <v>162723</v>
      </c>
      <c r="O39" s="18">
        <v>162723</v>
      </c>
      <c r="P39" s="18">
        <v>162723</v>
      </c>
      <c r="Q39" s="18">
        <v>162723</v>
      </c>
      <c r="R39" s="18">
        <v>162723</v>
      </c>
      <c r="S39" s="21">
        <f t="shared" si="4"/>
        <v>1139061</v>
      </c>
      <c r="T39" s="16">
        <f t="shared" si="21"/>
        <v>1802114.3</v>
      </c>
      <c r="U39" s="17">
        <f t="shared" si="14"/>
        <v>451557.69999999995</v>
      </c>
    </row>
    <row r="40" spans="1:21">
      <c r="A40" s="42" t="s">
        <v>31</v>
      </c>
      <c r="B40" s="42" t="s">
        <v>32</v>
      </c>
      <c r="C40" s="40">
        <v>426009</v>
      </c>
      <c r="D40" s="41">
        <v>16850</v>
      </c>
      <c r="E40" s="41">
        <v>16850</v>
      </c>
      <c r="F40" s="41">
        <v>16850</v>
      </c>
      <c r="G40" s="41">
        <v>9750</v>
      </c>
      <c r="H40" s="41">
        <v>9750</v>
      </c>
      <c r="I40" s="41">
        <v>0</v>
      </c>
      <c r="J40" s="19">
        <f t="shared" si="3"/>
        <v>70050</v>
      </c>
      <c r="K40" s="20">
        <f t="shared" si="12"/>
        <v>355959</v>
      </c>
      <c r="L40" s="18">
        <v>15700</v>
      </c>
      <c r="M40" s="18">
        <v>15700</v>
      </c>
      <c r="N40" s="18">
        <v>15700</v>
      </c>
      <c r="O40" s="18">
        <v>15700</v>
      </c>
      <c r="P40" s="18">
        <v>15700</v>
      </c>
      <c r="Q40" s="18">
        <v>15700</v>
      </c>
      <c r="R40" s="18">
        <v>15700</v>
      </c>
      <c r="S40" s="21">
        <f t="shared" si="4"/>
        <v>109900</v>
      </c>
      <c r="T40" s="16">
        <f t="shared" si="21"/>
        <v>179950</v>
      </c>
      <c r="U40" s="17">
        <f t="shared" si="14"/>
        <v>246059</v>
      </c>
    </row>
    <row r="41" spans="1:21">
      <c r="A41" s="42" t="s">
        <v>33</v>
      </c>
      <c r="B41" s="42" t="s">
        <v>34</v>
      </c>
      <c r="C41" s="40">
        <v>14520</v>
      </c>
      <c r="D41" s="41">
        <v>1210</v>
      </c>
      <c r="E41" s="41">
        <v>1210</v>
      </c>
      <c r="F41" s="41">
        <v>1210</v>
      </c>
      <c r="G41" s="41">
        <v>1805</v>
      </c>
      <c r="H41" s="41">
        <v>1360</v>
      </c>
      <c r="I41" s="41">
        <v>0</v>
      </c>
      <c r="J41" s="19">
        <f t="shared" si="3"/>
        <v>6795</v>
      </c>
      <c r="K41" s="20">
        <f t="shared" si="12"/>
        <v>7725</v>
      </c>
      <c r="L41" s="18">
        <v>1360</v>
      </c>
      <c r="M41" s="18">
        <v>1360</v>
      </c>
      <c r="N41" s="18">
        <v>1360</v>
      </c>
      <c r="O41" s="18">
        <v>1360</v>
      </c>
      <c r="P41" s="18">
        <v>1360</v>
      </c>
      <c r="Q41" s="18">
        <v>1360</v>
      </c>
      <c r="R41" s="18">
        <v>1360</v>
      </c>
      <c r="S41" s="21">
        <f t="shared" si="4"/>
        <v>9520</v>
      </c>
      <c r="T41" s="16">
        <f t="shared" si="21"/>
        <v>16315</v>
      </c>
      <c r="U41" s="17">
        <f t="shared" si="14"/>
        <v>-1795</v>
      </c>
    </row>
    <row r="42" spans="1:21">
      <c r="A42" s="42" t="s">
        <v>41</v>
      </c>
      <c r="B42" s="42" t="s">
        <v>42</v>
      </c>
      <c r="C42" s="40">
        <v>362000</v>
      </c>
      <c r="D42" s="41">
        <v>0</v>
      </c>
      <c r="E42" s="41">
        <v>0</v>
      </c>
      <c r="F42" s="41">
        <v>0</v>
      </c>
      <c r="G42" s="41">
        <v>0</v>
      </c>
      <c r="H42" s="41">
        <v>0</v>
      </c>
      <c r="I42" s="41">
        <v>0</v>
      </c>
      <c r="J42" s="19">
        <f t="shared" si="3"/>
        <v>0</v>
      </c>
      <c r="K42" s="20">
        <f t="shared" si="12"/>
        <v>362000</v>
      </c>
      <c r="L42" s="18"/>
      <c r="M42" s="18">
        <v>178423</v>
      </c>
      <c r="N42" s="18"/>
      <c r="O42" s="18"/>
      <c r="P42" s="18"/>
      <c r="Q42" s="18"/>
      <c r="R42" s="18">
        <v>178423</v>
      </c>
      <c r="S42" s="21">
        <f t="shared" si="4"/>
        <v>356846</v>
      </c>
      <c r="T42" s="16">
        <f t="shared" si="21"/>
        <v>356846</v>
      </c>
      <c r="U42" s="17">
        <f t="shared" si="14"/>
        <v>5154</v>
      </c>
    </row>
    <row r="43" spans="1:21">
      <c r="A43" s="42" t="s">
        <v>43</v>
      </c>
      <c r="B43" s="42" t="s">
        <v>44</v>
      </c>
      <c r="C43" s="40">
        <v>600</v>
      </c>
      <c r="D43" s="41">
        <v>0</v>
      </c>
      <c r="E43" s="41">
        <v>0</v>
      </c>
      <c r="F43" s="41">
        <v>0</v>
      </c>
      <c r="G43" s="41">
        <v>0</v>
      </c>
      <c r="H43" s="41">
        <v>0</v>
      </c>
      <c r="I43" s="41">
        <v>0</v>
      </c>
      <c r="J43" s="19">
        <f t="shared" si="3"/>
        <v>0</v>
      </c>
      <c r="K43" s="20">
        <f t="shared" si="12"/>
        <v>600</v>
      </c>
      <c r="L43" s="18"/>
      <c r="M43" s="18">
        <v>300</v>
      </c>
      <c r="N43" s="18"/>
      <c r="O43" s="18"/>
      <c r="P43" s="18"/>
      <c r="Q43" s="18"/>
      <c r="R43" s="18">
        <v>300</v>
      </c>
      <c r="S43" s="21">
        <f t="shared" si="4"/>
        <v>600</v>
      </c>
      <c r="T43" s="16">
        <f t="shared" si="21"/>
        <v>600</v>
      </c>
      <c r="U43" s="17">
        <f t="shared" si="14"/>
        <v>0</v>
      </c>
    </row>
    <row r="44" spans="1:21">
      <c r="A44" s="42" t="s">
        <v>45</v>
      </c>
      <c r="B44" s="42" t="s">
        <v>46</v>
      </c>
      <c r="C44" s="40">
        <v>11329</v>
      </c>
      <c r="D44" s="41">
        <v>10439.81</v>
      </c>
      <c r="E44" s="41">
        <v>0</v>
      </c>
      <c r="F44" s="41">
        <v>0</v>
      </c>
      <c r="G44" s="41">
        <v>0</v>
      </c>
      <c r="H44" s="41">
        <v>0</v>
      </c>
      <c r="I44" s="41">
        <v>0</v>
      </c>
      <c r="J44" s="19">
        <f t="shared" si="3"/>
        <v>10439.81</v>
      </c>
      <c r="K44" s="20">
        <f t="shared" si="12"/>
        <v>889.19000000000051</v>
      </c>
      <c r="L44" s="18"/>
      <c r="M44" s="18"/>
      <c r="N44" s="18"/>
      <c r="O44" s="18"/>
      <c r="P44" s="18"/>
      <c r="Q44" s="18"/>
      <c r="R44" s="18"/>
      <c r="S44" s="21">
        <f t="shared" si="4"/>
        <v>0</v>
      </c>
      <c r="T44" s="16">
        <f t="shared" si="21"/>
        <v>10439.81</v>
      </c>
      <c r="U44" s="17">
        <f t="shared" si="14"/>
        <v>889.19000000000051</v>
      </c>
    </row>
    <row r="45" spans="1:21">
      <c r="A45" s="42" t="s">
        <v>47</v>
      </c>
      <c r="B45" s="42" t="s">
        <v>48</v>
      </c>
      <c r="C45" s="40">
        <v>168547</v>
      </c>
      <c r="D45" s="41">
        <v>0</v>
      </c>
      <c r="E45" s="41">
        <v>0</v>
      </c>
      <c r="F45" s="41">
        <v>0</v>
      </c>
      <c r="G45" s="41">
        <v>0</v>
      </c>
      <c r="H45" s="41">
        <v>71614.47</v>
      </c>
      <c r="I45" s="41">
        <v>0</v>
      </c>
      <c r="J45" s="19">
        <f t="shared" si="3"/>
        <v>71614.47</v>
      </c>
      <c r="K45" s="20">
        <f t="shared" si="12"/>
        <v>96932.53</v>
      </c>
      <c r="L45" s="18"/>
      <c r="M45" s="18"/>
      <c r="N45" s="18"/>
      <c r="O45" s="18"/>
      <c r="P45" s="18"/>
      <c r="Q45" s="18">
        <v>104080.08</v>
      </c>
      <c r="R45" s="18"/>
      <c r="S45" s="21">
        <f t="shared" si="4"/>
        <v>104080.08</v>
      </c>
      <c r="T45" s="16">
        <f t="shared" si="21"/>
        <v>175694.55</v>
      </c>
      <c r="U45" s="17">
        <f t="shared" si="14"/>
        <v>-7147.5499999999884</v>
      </c>
    </row>
    <row r="46" spans="1:21">
      <c r="A46" s="42" t="s">
        <v>58</v>
      </c>
      <c r="B46" s="42" t="s">
        <v>59</v>
      </c>
      <c r="C46" s="40">
        <v>7649</v>
      </c>
      <c r="D46" s="41">
        <v>0</v>
      </c>
      <c r="E46" s="41">
        <v>0</v>
      </c>
      <c r="F46" s="41">
        <v>0</v>
      </c>
      <c r="G46" s="41">
        <v>0</v>
      </c>
      <c r="H46" s="41">
        <v>0</v>
      </c>
      <c r="I46" s="41">
        <v>0</v>
      </c>
      <c r="J46" s="19">
        <f t="shared" si="3"/>
        <v>0</v>
      </c>
      <c r="K46" s="20">
        <f t="shared" si="12"/>
        <v>7649</v>
      </c>
      <c r="L46" s="18"/>
      <c r="M46" s="18"/>
      <c r="N46" s="18"/>
      <c r="O46" s="18"/>
      <c r="P46" s="18"/>
      <c r="Q46" s="18"/>
      <c r="R46" s="18"/>
      <c r="S46" s="21">
        <f t="shared" si="4"/>
        <v>0</v>
      </c>
      <c r="T46" s="16">
        <f t="shared" si="21"/>
        <v>0</v>
      </c>
      <c r="U46" s="17">
        <f t="shared" si="14"/>
        <v>7649</v>
      </c>
    </row>
    <row r="47" spans="1:21">
      <c r="A47" s="42" t="s">
        <v>49</v>
      </c>
      <c r="B47" s="42" t="s">
        <v>50</v>
      </c>
      <c r="C47" s="40">
        <v>13280</v>
      </c>
      <c r="D47" s="41">
        <v>0</v>
      </c>
      <c r="E47" s="41">
        <v>0</v>
      </c>
      <c r="F47" s="41">
        <v>0</v>
      </c>
      <c r="G47" s="41">
        <v>0</v>
      </c>
      <c r="H47" s="41">
        <v>0</v>
      </c>
      <c r="I47" s="41">
        <v>0</v>
      </c>
      <c r="J47" s="19">
        <f t="shared" si="3"/>
        <v>0</v>
      </c>
      <c r="K47" s="20">
        <f t="shared" si="12"/>
        <v>13280</v>
      </c>
      <c r="L47" s="18"/>
      <c r="M47" s="18">
        <v>6422.83</v>
      </c>
      <c r="N47" s="18"/>
      <c r="O47" s="18"/>
      <c r="P47" s="18"/>
      <c r="Q47" s="18"/>
      <c r="R47" s="18">
        <v>6422.83</v>
      </c>
      <c r="S47" s="21">
        <f t="shared" si="4"/>
        <v>12845.66</v>
      </c>
      <c r="T47" s="16">
        <f t="shared" si="21"/>
        <v>12845.66</v>
      </c>
      <c r="U47" s="17">
        <f t="shared" si="14"/>
        <v>434.34000000000015</v>
      </c>
    </row>
    <row r="48" spans="1:21" hidden="1">
      <c r="A48" s="42" t="s">
        <v>51</v>
      </c>
      <c r="B48" s="42" t="s">
        <v>52</v>
      </c>
      <c r="C48" s="40">
        <v>214276</v>
      </c>
      <c r="D48" s="41">
        <v>55.64</v>
      </c>
      <c r="E48" s="41">
        <v>55.64</v>
      </c>
      <c r="F48" s="41">
        <v>55.64</v>
      </c>
      <c r="G48" s="41">
        <v>55.64</v>
      </c>
      <c r="H48" s="41">
        <v>55.64</v>
      </c>
      <c r="I48" s="41">
        <v>0</v>
      </c>
      <c r="J48" s="19">
        <f t="shared" si="3"/>
        <v>278.2</v>
      </c>
      <c r="K48" s="20">
        <f t="shared" si="12"/>
        <v>213997.8</v>
      </c>
      <c r="L48" s="61">
        <f>55.64+213745.2</f>
        <v>213800.84000000003</v>
      </c>
      <c r="M48" s="18">
        <v>55.64</v>
      </c>
      <c r="N48" s="18">
        <v>55.64</v>
      </c>
      <c r="O48" s="18">
        <v>55.64</v>
      </c>
      <c r="P48" s="18">
        <v>55.64</v>
      </c>
      <c r="Q48" s="18">
        <v>55.64</v>
      </c>
      <c r="R48" s="18">
        <v>55.64</v>
      </c>
      <c r="S48" s="21">
        <f t="shared" si="4"/>
        <v>214134.68000000011</v>
      </c>
      <c r="T48" s="16">
        <f t="shared" si="21"/>
        <v>214412.88000000012</v>
      </c>
      <c r="U48" s="17">
        <f t="shared" si="14"/>
        <v>-136.88000000012107</v>
      </c>
    </row>
    <row r="49" spans="1:21" hidden="1">
      <c r="A49" s="43" t="s">
        <v>55</v>
      </c>
      <c r="B49" s="43" t="s">
        <v>56</v>
      </c>
      <c r="C49" s="40">
        <v>75361</v>
      </c>
      <c r="D49" s="41">
        <v>5034.3900000000003</v>
      </c>
      <c r="E49" s="41">
        <v>4932.01</v>
      </c>
      <c r="F49" s="41">
        <v>5464.51</v>
      </c>
      <c r="G49" s="41">
        <v>5610.61</v>
      </c>
      <c r="H49" s="41">
        <v>5693.31</v>
      </c>
      <c r="I49" s="41">
        <v>0</v>
      </c>
      <c r="J49" s="19">
        <f t="shared" si="3"/>
        <v>26734.83</v>
      </c>
      <c r="K49" s="20">
        <f t="shared" si="12"/>
        <v>48626.17</v>
      </c>
      <c r="L49" s="18">
        <v>6506.53</v>
      </c>
      <c r="M49" s="18">
        <v>6506.53</v>
      </c>
      <c r="N49" s="18">
        <v>6506.53</v>
      </c>
      <c r="O49" s="18">
        <v>6506.53</v>
      </c>
      <c r="P49" s="18">
        <v>6506.53</v>
      </c>
      <c r="Q49" s="18">
        <v>6506.53</v>
      </c>
      <c r="R49" s="18">
        <v>6506.53</v>
      </c>
      <c r="S49" s="21">
        <f t="shared" si="4"/>
        <v>45545.71</v>
      </c>
      <c r="T49" s="16">
        <f t="shared" si="21"/>
        <v>72280.540000000008</v>
      </c>
      <c r="U49" s="17">
        <f t="shared" si="14"/>
        <v>3080.4599999999919</v>
      </c>
    </row>
    <row r="50" spans="1:21">
      <c r="A50" s="36" t="s">
        <v>78</v>
      </c>
      <c r="B50" s="36"/>
      <c r="C50" s="8">
        <f t="shared" ref="C50:I50" si="22">SUBTOTAL(9,C51:C65)</f>
        <v>7143901</v>
      </c>
      <c r="D50" s="8">
        <f t="shared" si="22"/>
        <v>426853.41000000003</v>
      </c>
      <c r="E50" s="8">
        <f t="shared" si="22"/>
        <v>414592.74</v>
      </c>
      <c r="F50" s="8">
        <f t="shared" si="22"/>
        <v>414726.41</v>
      </c>
      <c r="G50" s="8">
        <f t="shared" si="22"/>
        <v>412421.31</v>
      </c>
      <c r="H50" s="8">
        <f t="shared" si="22"/>
        <v>450092.47000000003</v>
      </c>
      <c r="I50" s="8">
        <f t="shared" si="22"/>
        <v>0</v>
      </c>
      <c r="J50" s="9">
        <f t="shared" si="3"/>
        <v>2118686.3400000003</v>
      </c>
      <c r="K50" s="9">
        <f t="shared" si="12"/>
        <v>5025214.66</v>
      </c>
      <c r="L50" s="8">
        <f t="shared" ref="L50:R50" si="23">SUBTOTAL(9,L51:L65)</f>
        <v>514527.17000000004</v>
      </c>
      <c r="M50" s="8">
        <f t="shared" si="23"/>
        <v>709362.45000000007</v>
      </c>
      <c r="N50" s="8">
        <f t="shared" si="23"/>
        <v>514527.17000000004</v>
      </c>
      <c r="O50" s="8">
        <f t="shared" si="23"/>
        <v>514527.17000000004</v>
      </c>
      <c r="P50" s="8">
        <f t="shared" si="23"/>
        <v>514527.17000000004</v>
      </c>
      <c r="Q50" s="8">
        <f t="shared" si="23"/>
        <v>599796.67000000004</v>
      </c>
      <c r="R50" s="8">
        <f t="shared" si="23"/>
        <v>709362.45000000007</v>
      </c>
      <c r="S50" s="8">
        <f>SUM(L50:R50)</f>
        <v>4076630.25</v>
      </c>
      <c r="T50" s="10">
        <f>+J50+S50</f>
        <v>6195316.5899999999</v>
      </c>
      <c r="U50" s="11">
        <f t="shared" si="14"/>
        <v>948584.41000000015</v>
      </c>
    </row>
    <row r="51" spans="1:21">
      <c r="A51" s="42" t="s">
        <v>27</v>
      </c>
      <c r="B51" s="42" t="s">
        <v>28</v>
      </c>
      <c r="C51" s="40">
        <v>65202</v>
      </c>
      <c r="D51" s="41">
        <v>2714.33</v>
      </c>
      <c r="E51" s="41">
        <v>2714.33</v>
      </c>
      <c r="F51" s="41">
        <v>2714.33</v>
      </c>
      <c r="G51" s="41">
        <v>2714.33</v>
      </c>
      <c r="H51" s="41">
        <v>2714.33</v>
      </c>
      <c r="I51" s="41">
        <v>0</v>
      </c>
      <c r="J51" s="13">
        <f t="shared" si="3"/>
        <v>13571.65</v>
      </c>
      <c r="K51" s="14">
        <f t="shared" si="12"/>
        <v>51630.35</v>
      </c>
      <c r="L51" s="12">
        <v>2714.33</v>
      </c>
      <c r="M51" s="12">
        <v>2714.33</v>
      </c>
      <c r="N51" s="12">
        <v>2714.33</v>
      </c>
      <c r="O51" s="12">
        <v>2714.33</v>
      </c>
      <c r="P51" s="12">
        <v>2714.33</v>
      </c>
      <c r="Q51" s="12">
        <v>2714.33</v>
      </c>
      <c r="R51" s="12">
        <v>2714.33</v>
      </c>
      <c r="S51" s="15">
        <f t="shared" si="4"/>
        <v>19000.309999999998</v>
      </c>
      <c r="T51" s="16">
        <f t="shared" ref="T51:T65" si="24">+J51+S51</f>
        <v>32571.96</v>
      </c>
      <c r="U51" s="17">
        <f t="shared" si="14"/>
        <v>32630.04</v>
      </c>
    </row>
    <row r="52" spans="1:21">
      <c r="A52" s="42" t="s">
        <v>29</v>
      </c>
      <c r="B52" s="42" t="s">
        <v>30</v>
      </c>
      <c r="C52" s="40">
        <v>936329</v>
      </c>
      <c r="D52" s="41">
        <v>69254</v>
      </c>
      <c r="E52" s="41">
        <v>69254</v>
      </c>
      <c r="F52" s="41">
        <v>69254</v>
      </c>
      <c r="G52" s="41">
        <v>69161</v>
      </c>
      <c r="H52" s="41">
        <v>69161</v>
      </c>
      <c r="I52" s="41">
        <v>0</v>
      </c>
      <c r="J52" s="19">
        <f t="shared" si="3"/>
        <v>346084</v>
      </c>
      <c r="K52" s="20">
        <f t="shared" si="12"/>
        <v>590245</v>
      </c>
      <c r="L52" s="18">
        <v>69161</v>
      </c>
      <c r="M52" s="18">
        <v>69161</v>
      </c>
      <c r="N52" s="18">
        <v>69161</v>
      </c>
      <c r="O52" s="18">
        <v>69161</v>
      </c>
      <c r="P52" s="18">
        <v>69161</v>
      </c>
      <c r="Q52" s="18">
        <v>69161</v>
      </c>
      <c r="R52" s="18">
        <v>69161</v>
      </c>
      <c r="S52" s="21">
        <f t="shared" si="4"/>
        <v>484127</v>
      </c>
      <c r="T52" s="16">
        <f t="shared" si="24"/>
        <v>830211</v>
      </c>
      <c r="U52" s="17">
        <f t="shared" si="14"/>
        <v>106118</v>
      </c>
    </row>
    <row r="53" spans="1:21">
      <c r="A53" s="42" t="s">
        <v>31</v>
      </c>
      <c r="B53" s="42" t="s">
        <v>32</v>
      </c>
      <c r="C53" s="40">
        <v>333788</v>
      </c>
      <c r="D53" s="41">
        <v>15186.97</v>
      </c>
      <c r="E53" s="41">
        <v>21434</v>
      </c>
      <c r="F53" s="41">
        <v>21434</v>
      </c>
      <c r="G53" s="41">
        <v>21434</v>
      </c>
      <c r="H53" s="41">
        <v>21434</v>
      </c>
      <c r="I53" s="41">
        <v>0</v>
      </c>
      <c r="J53" s="19">
        <f t="shared" si="3"/>
        <v>100922.97</v>
      </c>
      <c r="K53" s="20">
        <f t="shared" si="12"/>
        <v>232865.03</v>
      </c>
      <c r="L53" s="18">
        <v>77002</v>
      </c>
      <c r="M53" s="18">
        <v>77002</v>
      </c>
      <c r="N53" s="18">
        <v>77002</v>
      </c>
      <c r="O53" s="18">
        <v>77002</v>
      </c>
      <c r="P53" s="18">
        <v>77002</v>
      </c>
      <c r="Q53" s="18">
        <v>77002</v>
      </c>
      <c r="R53" s="18">
        <v>77002</v>
      </c>
      <c r="S53" s="21">
        <f t="shared" si="4"/>
        <v>539014</v>
      </c>
      <c r="T53" s="16">
        <f t="shared" si="24"/>
        <v>639936.97</v>
      </c>
      <c r="U53" s="17">
        <f t="shared" si="14"/>
        <v>-306148.96999999997</v>
      </c>
    </row>
    <row r="54" spans="1:21">
      <c r="A54" s="42" t="s">
        <v>33</v>
      </c>
      <c r="B54" s="42" t="s">
        <v>34</v>
      </c>
      <c r="C54" s="40">
        <v>29040</v>
      </c>
      <c r="D54" s="41">
        <v>1210</v>
      </c>
      <c r="E54" s="41">
        <v>1210</v>
      </c>
      <c r="F54" s="41">
        <v>1210</v>
      </c>
      <c r="G54" s="41">
        <v>1810</v>
      </c>
      <c r="H54" s="41">
        <v>1360</v>
      </c>
      <c r="I54" s="41">
        <v>0</v>
      </c>
      <c r="J54" s="19">
        <f t="shared" si="3"/>
        <v>6800</v>
      </c>
      <c r="K54" s="20">
        <f t="shared" si="12"/>
        <v>22240</v>
      </c>
      <c r="L54" s="18">
        <v>1360</v>
      </c>
      <c r="M54" s="18">
        <v>1360</v>
      </c>
      <c r="N54" s="18">
        <v>1360</v>
      </c>
      <c r="O54" s="18">
        <v>1360</v>
      </c>
      <c r="P54" s="18">
        <v>1360</v>
      </c>
      <c r="Q54" s="18">
        <v>1360</v>
      </c>
      <c r="R54" s="18">
        <v>1360</v>
      </c>
      <c r="S54" s="21">
        <f t="shared" si="4"/>
        <v>9520</v>
      </c>
      <c r="T54" s="16">
        <f t="shared" si="24"/>
        <v>16320</v>
      </c>
      <c r="U54" s="17">
        <f t="shared" si="14"/>
        <v>12720</v>
      </c>
    </row>
    <row r="55" spans="1:21">
      <c r="A55" s="42" t="s">
        <v>35</v>
      </c>
      <c r="B55" s="42" t="s">
        <v>36</v>
      </c>
      <c r="C55" s="40">
        <v>946401</v>
      </c>
      <c r="D55" s="41">
        <v>50149.279999999999</v>
      </c>
      <c r="E55" s="41">
        <v>50015.61</v>
      </c>
      <c r="F55" s="41">
        <v>50149.279999999999</v>
      </c>
      <c r="G55" s="41">
        <v>49815.1</v>
      </c>
      <c r="H55" s="41">
        <v>48077.37</v>
      </c>
      <c r="I55" s="41">
        <v>0</v>
      </c>
      <c r="J55" s="19">
        <f t="shared" si="3"/>
        <v>248206.63999999998</v>
      </c>
      <c r="K55" s="20">
        <f t="shared" si="12"/>
        <v>698194.36</v>
      </c>
      <c r="L55" s="18">
        <v>59984.630000000019</v>
      </c>
      <c r="M55" s="18">
        <v>59984.630000000019</v>
      </c>
      <c r="N55" s="18">
        <v>59984.630000000019</v>
      </c>
      <c r="O55" s="18">
        <v>59984.630000000019</v>
      </c>
      <c r="P55" s="18">
        <v>59984.630000000019</v>
      </c>
      <c r="Q55" s="18">
        <v>59984.630000000019</v>
      </c>
      <c r="R55" s="18">
        <v>59984.630000000019</v>
      </c>
      <c r="S55" s="21">
        <f t="shared" si="4"/>
        <v>419892.41000000009</v>
      </c>
      <c r="T55" s="16">
        <f t="shared" si="24"/>
        <v>668099.05000000005</v>
      </c>
      <c r="U55" s="17">
        <f t="shared" si="14"/>
        <v>278301.94999999995</v>
      </c>
    </row>
    <row r="56" spans="1:21">
      <c r="A56" s="42" t="s">
        <v>37</v>
      </c>
      <c r="B56" s="42" t="s">
        <v>38</v>
      </c>
      <c r="C56" s="40">
        <v>1325690</v>
      </c>
      <c r="D56" s="41">
        <v>66420</v>
      </c>
      <c r="E56" s="41">
        <v>66600</v>
      </c>
      <c r="F56" s="41">
        <v>66600</v>
      </c>
      <c r="G56" s="41">
        <v>66060</v>
      </c>
      <c r="H56" s="41">
        <v>63900</v>
      </c>
      <c r="I56" s="41">
        <v>0</v>
      </c>
      <c r="J56" s="19">
        <f t="shared" si="3"/>
        <v>329580</v>
      </c>
      <c r="K56" s="20">
        <f t="shared" si="12"/>
        <v>996110</v>
      </c>
      <c r="L56" s="18">
        <v>81300</v>
      </c>
      <c r="M56" s="18">
        <v>81300</v>
      </c>
      <c r="N56" s="18">
        <v>81300</v>
      </c>
      <c r="O56" s="18">
        <v>81300</v>
      </c>
      <c r="P56" s="18">
        <v>81300</v>
      </c>
      <c r="Q56" s="18">
        <v>81300</v>
      </c>
      <c r="R56" s="18">
        <v>81300</v>
      </c>
      <c r="S56" s="21">
        <f t="shared" si="4"/>
        <v>569100</v>
      </c>
      <c r="T56" s="16">
        <f t="shared" si="24"/>
        <v>898680</v>
      </c>
      <c r="U56" s="17">
        <f t="shared" si="14"/>
        <v>427010</v>
      </c>
    </row>
    <row r="57" spans="1:21">
      <c r="A57" s="42" t="s">
        <v>39</v>
      </c>
      <c r="B57" s="42" t="s">
        <v>40</v>
      </c>
      <c r="C57" s="40">
        <v>3006653</v>
      </c>
      <c r="D57" s="41">
        <v>202718.83</v>
      </c>
      <c r="E57" s="41">
        <v>203364.8</v>
      </c>
      <c r="F57" s="41">
        <v>203364.8</v>
      </c>
      <c r="G57" s="41">
        <v>201426.88</v>
      </c>
      <c r="H57" s="41">
        <v>193675.21</v>
      </c>
      <c r="I57" s="41">
        <v>0</v>
      </c>
      <c r="J57" s="19">
        <f t="shared" si="3"/>
        <v>1004550.5199999999</v>
      </c>
      <c r="K57" s="20">
        <f t="shared" si="12"/>
        <v>2002102.48</v>
      </c>
      <c r="L57" s="18">
        <v>223005.21</v>
      </c>
      <c r="M57" s="18">
        <v>223005.21</v>
      </c>
      <c r="N57" s="18">
        <v>223005.21</v>
      </c>
      <c r="O57" s="18">
        <v>223005.21</v>
      </c>
      <c r="P57" s="18">
        <v>223005.21</v>
      </c>
      <c r="Q57" s="18">
        <v>223005.21</v>
      </c>
      <c r="R57" s="18">
        <v>223005.21</v>
      </c>
      <c r="S57" s="21">
        <f t="shared" si="4"/>
        <v>1561036.47</v>
      </c>
      <c r="T57" s="16">
        <f t="shared" si="24"/>
        <v>2565586.9899999998</v>
      </c>
      <c r="U57" s="17">
        <f t="shared" si="14"/>
        <v>441066.01000000024</v>
      </c>
    </row>
    <row r="58" spans="1:21">
      <c r="A58" s="42" t="s">
        <v>41</v>
      </c>
      <c r="B58" s="42" t="s">
        <v>42</v>
      </c>
      <c r="C58" s="40">
        <v>259030</v>
      </c>
      <c r="D58" s="41">
        <v>0</v>
      </c>
      <c r="E58" s="41">
        <v>0</v>
      </c>
      <c r="F58" s="41">
        <v>0</v>
      </c>
      <c r="G58" s="41">
        <v>0</v>
      </c>
      <c r="H58" s="41">
        <v>0</v>
      </c>
      <c r="I58" s="41">
        <v>0</v>
      </c>
      <c r="J58" s="19">
        <f t="shared" si="3"/>
        <v>0</v>
      </c>
      <c r="K58" s="20">
        <f t="shared" si="12"/>
        <v>259030</v>
      </c>
      <c r="L58" s="18"/>
      <c r="M58" s="18">
        <v>146163</v>
      </c>
      <c r="N58" s="18"/>
      <c r="O58" s="18"/>
      <c r="P58" s="18"/>
      <c r="Q58" s="18"/>
      <c r="R58" s="18">
        <v>146163</v>
      </c>
      <c r="S58" s="21">
        <f t="shared" si="4"/>
        <v>292326</v>
      </c>
      <c r="T58" s="16">
        <f t="shared" si="24"/>
        <v>292326</v>
      </c>
      <c r="U58" s="17">
        <f t="shared" si="14"/>
        <v>-33296</v>
      </c>
    </row>
    <row r="59" spans="1:21">
      <c r="A59" s="42" t="s">
        <v>43</v>
      </c>
      <c r="B59" s="42" t="s">
        <v>44</v>
      </c>
      <c r="C59" s="40">
        <v>59221</v>
      </c>
      <c r="D59" s="41">
        <v>0</v>
      </c>
      <c r="E59" s="41">
        <v>0</v>
      </c>
      <c r="F59" s="41">
        <v>0</v>
      </c>
      <c r="G59" s="41">
        <v>0</v>
      </c>
      <c r="H59" s="41">
        <v>0</v>
      </c>
      <c r="I59" s="41">
        <v>0</v>
      </c>
      <c r="J59" s="19">
        <f t="shared" si="3"/>
        <v>0</v>
      </c>
      <c r="K59" s="20">
        <f t="shared" si="12"/>
        <v>59221</v>
      </c>
      <c r="L59" s="18"/>
      <c r="M59" s="18">
        <v>43416.39</v>
      </c>
      <c r="N59" s="18"/>
      <c r="O59" s="18"/>
      <c r="P59" s="18"/>
      <c r="Q59" s="18"/>
      <c r="R59" s="18">
        <v>43416.39</v>
      </c>
      <c r="S59" s="21">
        <f t="shared" si="4"/>
        <v>86832.78</v>
      </c>
      <c r="T59" s="16">
        <f t="shared" si="24"/>
        <v>86832.78</v>
      </c>
      <c r="U59" s="17">
        <f t="shared" si="14"/>
        <v>-27611.78</v>
      </c>
    </row>
    <row r="60" spans="1:21">
      <c r="A60" s="42" t="s">
        <v>45</v>
      </c>
      <c r="B60" s="42" t="s">
        <v>46</v>
      </c>
      <c r="C60" s="40">
        <v>32249</v>
      </c>
      <c r="D60" s="41">
        <v>19200</v>
      </c>
      <c r="E60" s="41">
        <v>0</v>
      </c>
      <c r="F60" s="41">
        <v>0</v>
      </c>
      <c r="G60" s="41">
        <v>0</v>
      </c>
      <c r="H60" s="41">
        <v>0</v>
      </c>
      <c r="I60" s="41">
        <v>0</v>
      </c>
      <c r="J60" s="19">
        <f t="shared" si="3"/>
        <v>19200</v>
      </c>
      <c r="K60" s="20">
        <f t="shared" si="12"/>
        <v>13049</v>
      </c>
      <c r="L60" s="18"/>
      <c r="M60" s="18"/>
      <c r="N60" s="18"/>
      <c r="O60" s="18"/>
      <c r="P60" s="18"/>
      <c r="Q60" s="18"/>
      <c r="R60" s="18"/>
      <c r="S60" s="21">
        <f t="shared" si="4"/>
        <v>0</v>
      </c>
      <c r="T60" s="16">
        <f t="shared" si="24"/>
        <v>19200</v>
      </c>
      <c r="U60" s="17">
        <f t="shared" si="14"/>
        <v>13049</v>
      </c>
    </row>
    <row r="61" spans="1:21">
      <c r="A61" s="42" t="s">
        <v>47</v>
      </c>
      <c r="B61" s="42" t="s">
        <v>48</v>
      </c>
      <c r="C61" s="40">
        <v>140973</v>
      </c>
      <c r="D61" s="41">
        <v>0</v>
      </c>
      <c r="E61" s="41">
        <v>0</v>
      </c>
      <c r="F61" s="41">
        <v>0</v>
      </c>
      <c r="G61" s="41">
        <v>0</v>
      </c>
      <c r="H61" s="41">
        <v>49770.559999999998</v>
      </c>
      <c r="I61" s="41">
        <v>0</v>
      </c>
      <c r="J61" s="19">
        <f t="shared" si="3"/>
        <v>49770.559999999998</v>
      </c>
      <c r="K61" s="20">
        <f t="shared" si="12"/>
        <v>91202.44</v>
      </c>
      <c r="L61" s="18"/>
      <c r="M61" s="18"/>
      <c r="N61" s="18"/>
      <c r="O61" s="18"/>
      <c r="P61" s="18"/>
      <c r="Q61" s="18">
        <v>85269.5</v>
      </c>
      <c r="R61" s="18"/>
      <c r="S61" s="21">
        <f t="shared" si="4"/>
        <v>85269.5</v>
      </c>
      <c r="T61" s="16">
        <f t="shared" si="24"/>
        <v>135040.06</v>
      </c>
      <c r="U61" s="17">
        <f t="shared" si="14"/>
        <v>5932.9400000000023</v>
      </c>
    </row>
    <row r="62" spans="1:21">
      <c r="A62" s="42" t="s">
        <v>49</v>
      </c>
      <c r="B62" s="42" t="s">
        <v>50</v>
      </c>
      <c r="C62" s="40">
        <v>9325</v>
      </c>
      <c r="D62" s="41">
        <v>0</v>
      </c>
      <c r="E62" s="41">
        <v>0</v>
      </c>
      <c r="F62" s="41">
        <v>0</v>
      </c>
      <c r="G62" s="41">
        <v>0</v>
      </c>
      <c r="H62" s="41">
        <v>0</v>
      </c>
      <c r="I62" s="41">
        <v>0</v>
      </c>
      <c r="J62" s="19">
        <f t="shared" si="3"/>
        <v>0</v>
      </c>
      <c r="K62" s="20">
        <f t="shared" si="12"/>
        <v>9325</v>
      </c>
      <c r="L62" s="18"/>
      <c r="M62" s="18">
        <v>5255.89</v>
      </c>
      <c r="N62" s="18"/>
      <c r="O62" s="18"/>
      <c r="P62" s="18"/>
      <c r="Q62" s="18"/>
      <c r="R62" s="18">
        <v>5255.89</v>
      </c>
      <c r="S62" s="21">
        <f t="shared" si="4"/>
        <v>10511.78</v>
      </c>
      <c r="T62" s="16">
        <f t="shared" si="24"/>
        <v>10511.78</v>
      </c>
      <c r="U62" s="17">
        <f t="shared" si="14"/>
        <v>-1186.7800000000007</v>
      </c>
    </row>
    <row r="63" spans="1:21" hidden="1">
      <c r="A63" s="42" t="s">
        <v>51</v>
      </c>
      <c r="B63" s="42" t="s">
        <v>52</v>
      </c>
      <c r="C63" s="40">
        <v>4545</v>
      </c>
      <c r="D63" s="41">
        <v>131.36000000000001</v>
      </c>
      <c r="E63" s="41">
        <v>131.36000000000001</v>
      </c>
      <c r="F63" s="41">
        <v>131.36000000000001</v>
      </c>
      <c r="G63" s="41">
        <v>131.36000000000001</v>
      </c>
      <c r="H63" s="41">
        <v>131.36000000000001</v>
      </c>
      <c r="I63" s="41">
        <v>0</v>
      </c>
      <c r="J63" s="19">
        <f t="shared" si="3"/>
        <v>656.80000000000007</v>
      </c>
      <c r="K63" s="20">
        <f t="shared" si="12"/>
        <v>3888.2</v>
      </c>
      <c r="L63" s="18">
        <v>131.36000000000001</v>
      </c>
      <c r="M63" s="18">
        <v>131.36000000000001</v>
      </c>
      <c r="N63" s="18">
        <v>131.36000000000001</v>
      </c>
      <c r="O63" s="18">
        <v>131.36000000000001</v>
      </c>
      <c r="P63" s="18">
        <v>131.36000000000001</v>
      </c>
      <c r="Q63" s="18">
        <v>131.36000000000001</v>
      </c>
      <c r="R63" s="18">
        <v>131.36000000000001</v>
      </c>
      <c r="S63" s="21">
        <f t="shared" si="4"/>
        <v>919.5200000000001</v>
      </c>
      <c r="T63" s="16">
        <f t="shared" si="24"/>
        <v>1576.3200000000002</v>
      </c>
      <c r="U63" s="17">
        <f t="shared" si="14"/>
        <v>2968.68</v>
      </c>
    </row>
    <row r="64" spans="1:21" hidden="1">
      <c r="A64" s="42" t="s">
        <v>53</v>
      </c>
      <c r="B64" s="42" t="s">
        <v>54</v>
      </c>
      <c r="C64" s="40">
        <v>1444</v>
      </c>
      <c r="D64" s="41">
        <v>120.3</v>
      </c>
      <c r="E64" s="41">
        <v>120.3</v>
      </c>
      <c r="F64" s="41">
        <v>120.3</v>
      </c>
      <c r="G64" s="41">
        <v>120.3</v>
      </c>
      <c r="H64" s="41">
        <v>120.3</v>
      </c>
      <c r="I64" s="41">
        <v>0</v>
      </c>
      <c r="J64" s="19">
        <f t="shared" si="3"/>
        <v>601.5</v>
      </c>
      <c r="K64" s="20">
        <f t="shared" si="12"/>
        <v>842.5</v>
      </c>
      <c r="L64" s="18">
        <v>120.3</v>
      </c>
      <c r="M64" s="18">
        <v>120.3</v>
      </c>
      <c r="N64" s="18">
        <v>120.3</v>
      </c>
      <c r="O64" s="18">
        <v>120.3</v>
      </c>
      <c r="P64" s="18">
        <v>120.3</v>
      </c>
      <c r="Q64" s="18">
        <v>120.3</v>
      </c>
      <c r="R64" s="18">
        <v>120.3</v>
      </c>
      <c r="S64" s="21">
        <f t="shared" si="4"/>
        <v>842.09999999999991</v>
      </c>
      <c r="T64" s="16">
        <f t="shared" si="24"/>
        <v>1443.6</v>
      </c>
      <c r="U64" s="17">
        <f t="shared" si="14"/>
        <v>0.40000000000009095</v>
      </c>
    </row>
    <row r="65" spans="1:21" hidden="1">
      <c r="A65" s="42" t="s">
        <v>55</v>
      </c>
      <c r="B65" s="42" t="s">
        <v>56</v>
      </c>
      <c r="C65" s="40">
        <v>111188</v>
      </c>
      <c r="D65" s="41">
        <v>7319.95</v>
      </c>
      <c r="E65" s="41">
        <v>7446.67</v>
      </c>
      <c r="F65" s="41">
        <v>7500.05</v>
      </c>
      <c r="G65" s="41">
        <v>7455.41</v>
      </c>
      <c r="H65" s="41">
        <v>7213.53</v>
      </c>
      <c r="I65" s="41">
        <v>0</v>
      </c>
      <c r="J65" s="19">
        <f t="shared" si="3"/>
        <v>36935.61</v>
      </c>
      <c r="K65" s="20">
        <f t="shared" si="12"/>
        <v>74252.39</v>
      </c>
      <c r="L65" s="18">
        <v>10377.229999999998</v>
      </c>
      <c r="M65" s="18">
        <v>10377.229999999998</v>
      </c>
      <c r="N65" s="18">
        <v>10377.229999999998</v>
      </c>
      <c r="O65" s="18">
        <v>10377.229999999998</v>
      </c>
      <c r="P65" s="18">
        <v>10377.229999999998</v>
      </c>
      <c r="Q65" s="18">
        <v>10377.229999999998</v>
      </c>
      <c r="R65" s="18">
        <v>10377.229999999998</v>
      </c>
      <c r="S65" s="21">
        <f t="shared" si="4"/>
        <v>72640.609999999986</v>
      </c>
      <c r="T65" s="16">
        <f t="shared" si="24"/>
        <v>109576.21999999999</v>
      </c>
      <c r="U65" s="17">
        <f t="shared" si="14"/>
        <v>1611.7800000000134</v>
      </c>
    </row>
    <row r="66" spans="1:21" s="47" customFormat="1">
      <c r="A66" s="45" t="s">
        <v>79</v>
      </c>
      <c r="B66" s="24"/>
      <c r="C66" s="46">
        <f t="shared" ref="C66:H66" si="25">SUBTOTAL(9,C4:C65)</f>
        <v>47438222</v>
      </c>
      <c r="D66" s="46">
        <f t="shared" si="25"/>
        <v>3803625.8400000003</v>
      </c>
      <c r="E66" s="46">
        <f t="shared" si="25"/>
        <v>3656862</v>
      </c>
      <c r="F66" s="46">
        <f t="shared" si="25"/>
        <v>3624491.9</v>
      </c>
      <c r="G66" s="46">
        <f t="shared" si="25"/>
        <v>3646289.75</v>
      </c>
      <c r="H66" s="46">
        <f t="shared" si="25"/>
        <v>4174196.46</v>
      </c>
      <c r="I66" s="27">
        <f>SUM(I4:I65)/3</f>
        <v>0</v>
      </c>
      <c r="J66" s="27">
        <f>SUM(D66:I66)</f>
        <v>18905465.949999999</v>
      </c>
      <c r="K66" s="27">
        <f t="shared" si="12"/>
        <v>28532756.050000001</v>
      </c>
      <c r="L66" s="46">
        <f t="shared" ref="L66:R66" si="26">SUBTOTAL(9,L4:L65)</f>
        <v>3841909.6999999997</v>
      </c>
      <c r="M66" s="46">
        <f t="shared" si="26"/>
        <v>5337221.75</v>
      </c>
      <c r="N66" s="46">
        <f t="shared" si="26"/>
        <v>3841909.6999999997</v>
      </c>
      <c r="O66" s="46">
        <f t="shared" si="26"/>
        <v>3841909.6999999997</v>
      </c>
      <c r="P66" s="46">
        <f t="shared" si="26"/>
        <v>3841909.6999999997</v>
      </c>
      <c r="Q66" s="46">
        <f t="shared" si="26"/>
        <v>4498055.4400000004</v>
      </c>
      <c r="R66" s="46">
        <f t="shared" si="26"/>
        <v>5337221.75</v>
      </c>
      <c r="S66" s="27">
        <f t="shared" si="4"/>
        <v>30540137.739999998</v>
      </c>
      <c r="T66" s="10">
        <f>+J66+S66</f>
        <v>49445603.689999998</v>
      </c>
      <c r="U66" s="28">
        <f t="shared" si="14"/>
        <v>-2007381.6899999976</v>
      </c>
    </row>
    <row r="68" spans="1:21">
      <c r="C68" s="29"/>
      <c r="J68" s="32"/>
      <c r="K68" s="33"/>
      <c r="U68" s="32"/>
    </row>
    <row r="69" spans="1:21">
      <c r="C69" s="34"/>
      <c r="K69" s="35"/>
    </row>
    <row r="70" spans="1:21">
      <c r="C70" s="34"/>
    </row>
    <row r="71" spans="1:21">
      <c r="C71" s="34"/>
    </row>
    <row r="72" spans="1:21">
      <c r="C72" s="34"/>
    </row>
    <row r="73" spans="1:21">
      <c r="C73" s="34"/>
    </row>
    <row r="74" spans="1:21">
      <c r="C74" s="34"/>
    </row>
    <row r="75" spans="1:21">
      <c r="C75" s="34"/>
    </row>
    <row r="76" spans="1:21">
      <c r="C76" s="34"/>
    </row>
  </sheetData>
  <autoFilter ref="A3:U65">
    <filterColumn colId="0" showButton="0">
      <filters>
        <filter val="0086 MEJORA DE LOS SERVICIOS DEL SISTEMA DE JUSTICIA PENAL"/>
        <filter val="1002 PRODUCTOS ESPECIFICOS PARA REDUCCION DE LA VIOLENCIA CONTRA LA MUJER"/>
        <filter val="2.1.1.1.1.2"/>
        <filter val="2.1.1.1.1.4"/>
        <filter val="2.1.1.1.1.5"/>
        <filter val="2.1.1.1.2.1"/>
        <filter val="2.1.1.3.1.2"/>
        <filter val="2.1.1.4.1.1"/>
        <filter val="2.1.1.4.2.1"/>
        <filter val="2.1.1.4.2.2"/>
        <filter val="2.1.1.9.1.1"/>
        <filter val="2.1.1.9.1.2"/>
        <filter val="2.1.1.9.1.3"/>
        <filter val="2.1.1.9.2.1"/>
        <filter val="2.1.1.9.3.3"/>
        <filter val="2.1.1.9.3.99"/>
        <filter val="9001 ACCIONES CENTRALES"/>
        <filter val="9002 ASIGNACIONES PRESUPUESTARIAS QUE NO RESULTAN EN PRODUCTOS"/>
      </filters>
    </filterColumn>
  </autoFilter>
  <mergeCells count="5">
    <mergeCell ref="A2:B3"/>
    <mergeCell ref="C2:C3"/>
    <mergeCell ref="K2:K3"/>
    <mergeCell ref="T2:T3"/>
    <mergeCell ref="U2:U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1</vt:i4>
      </vt:variant>
    </vt:vector>
  </HeadingPairs>
  <TitlesOfParts>
    <vt:vector size="6" baseType="lpstr">
      <vt:lpstr>2.1meta</vt:lpstr>
      <vt:lpstr>CATEGORIA PRESUPUESTAL</vt:lpstr>
      <vt:lpstr>ESPECIFICA DE GASTO</vt:lpstr>
      <vt:lpstr>CAS x categ.ptal</vt:lpstr>
      <vt:lpstr>2.1 x categ.pptal</vt:lpstr>
      <vt:lpstr>'2.1meta'!Títulos_a_imprimir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 de Windows</cp:lastModifiedBy>
  <cp:lastPrinted>2021-09-20T14:15:46Z</cp:lastPrinted>
  <dcterms:created xsi:type="dcterms:W3CDTF">2021-06-08T19:52:44Z</dcterms:created>
  <dcterms:modified xsi:type="dcterms:W3CDTF">2021-12-06T12:39:13Z</dcterms:modified>
</cp:coreProperties>
</file>