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K21" i="3"/>
  <c r="K20"/>
  <c r="K19"/>
  <c r="K18"/>
  <c r="K17"/>
  <c r="K16"/>
  <c r="K15"/>
  <c r="K14"/>
  <c r="K13"/>
  <c r="K12"/>
  <c r="K11"/>
  <c r="K10"/>
  <c r="K9"/>
  <c r="K8"/>
  <c r="K7"/>
  <c r="K6"/>
  <c r="K5"/>
  <c r="K22" s="1"/>
  <c r="K66" i="2"/>
  <c r="K65"/>
  <c r="K64"/>
  <c r="K63"/>
  <c r="K62"/>
  <c r="K61"/>
  <c r="K60"/>
  <c r="K59"/>
  <c r="K58"/>
  <c r="K57"/>
  <c r="K56"/>
  <c r="K55"/>
  <c r="K54"/>
  <c r="K53"/>
  <c r="K52"/>
  <c r="K51" s="1"/>
  <c r="K50"/>
  <c r="K49"/>
  <c r="K48"/>
  <c r="K47"/>
  <c r="K46"/>
  <c r="K45"/>
  <c r="K44"/>
  <c r="K43"/>
  <c r="K42"/>
  <c r="K41"/>
  <c r="K40"/>
  <c r="K39"/>
  <c r="K38" s="1"/>
  <c r="K37"/>
  <c r="K36"/>
  <c r="K35"/>
  <c r="K34"/>
  <c r="K33"/>
  <c r="K32"/>
  <c r="K31"/>
  <c r="K30"/>
  <c r="K29"/>
  <c r="K28"/>
  <c r="K27"/>
  <c r="K26"/>
  <c r="K25"/>
  <c r="K24"/>
  <c r="K22"/>
  <c r="K21"/>
  <c r="K20"/>
  <c r="K19"/>
  <c r="K18"/>
  <c r="K17"/>
  <c r="K16"/>
  <c r="K15"/>
  <c r="K14"/>
  <c r="K13"/>
  <c r="K12"/>
  <c r="K11"/>
  <c r="K10"/>
  <c r="K9"/>
  <c r="K8"/>
  <c r="K7"/>
  <c r="K6"/>
  <c r="K5" s="1"/>
  <c r="L321" i="1"/>
  <c r="L304"/>
  <c r="L287"/>
  <c r="L270"/>
  <c r="L253"/>
  <c r="L236"/>
  <c r="L228"/>
  <c r="L211"/>
  <c r="L194"/>
  <c r="L177"/>
  <c r="L160"/>
  <c r="L143"/>
  <c r="L126"/>
  <c r="L109"/>
  <c r="L92"/>
  <c r="L75"/>
  <c r="L57"/>
  <c r="L40"/>
  <c r="L23"/>
  <c r="L6"/>
  <c r="J21" i="3"/>
  <c r="J20"/>
  <c r="J19"/>
  <c r="J18"/>
  <c r="J17"/>
  <c r="J16"/>
  <c r="J15"/>
  <c r="J14"/>
  <c r="J13"/>
  <c r="J12"/>
  <c r="J11"/>
  <c r="J10"/>
  <c r="J9"/>
  <c r="J8"/>
  <c r="J7"/>
  <c r="J6"/>
  <c r="J5"/>
  <c r="J66" i="2"/>
  <c r="J65"/>
  <c r="J64"/>
  <c r="J63"/>
  <c r="J62"/>
  <c r="J61"/>
  <c r="J60"/>
  <c r="J59"/>
  <c r="J58"/>
  <c r="J57"/>
  <c r="J56"/>
  <c r="J55"/>
  <c r="J54"/>
  <c r="J53"/>
  <c r="J52"/>
  <c r="J51" s="1"/>
  <c r="J50"/>
  <c r="J49"/>
  <c r="J48"/>
  <c r="J47"/>
  <c r="J46"/>
  <c r="J45"/>
  <c r="J44"/>
  <c r="J43"/>
  <c r="J42"/>
  <c r="J41"/>
  <c r="J40"/>
  <c r="J39"/>
  <c r="J37"/>
  <c r="J36"/>
  <c r="J35"/>
  <c r="J34"/>
  <c r="J33"/>
  <c r="J32"/>
  <c r="J31"/>
  <c r="J30"/>
  <c r="J29"/>
  <c r="J28"/>
  <c r="J27"/>
  <c r="J26"/>
  <c r="J25"/>
  <c r="J24"/>
  <c r="J22"/>
  <c r="J21"/>
  <c r="J20"/>
  <c r="J19"/>
  <c r="J18"/>
  <c r="J17"/>
  <c r="J16"/>
  <c r="J15"/>
  <c r="J14"/>
  <c r="J13"/>
  <c r="J12"/>
  <c r="J11"/>
  <c r="J10"/>
  <c r="J9"/>
  <c r="J8"/>
  <c r="J7"/>
  <c r="J6"/>
  <c r="K321" i="1"/>
  <c r="K304"/>
  <c r="K287"/>
  <c r="K270"/>
  <c r="K253"/>
  <c r="K236"/>
  <c r="K228"/>
  <c r="K211"/>
  <c r="K194"/>
  <c r="K177"/>
  <c r="K160"/>
  <c r="K143"/>
  <c r="K126"/>
  <c r="K109"/>
  <c r="K92"/>
  <c r="K75"/>
  <c r="K57"/>
  <c r="K40"/>
  <c r="K23"/>
  <c r="K6"/>
  <c r="I21" i="3"/>
  <c r="I20"/>
  <c r="I19"/>
  <c r="I18"/>
  <c r="I17"/>
  <c r="I16"/>
  <c r="I15"/>
  <c r="I14"/>
  <c r="I13"/>
  <c r="I12"/>
  <c r="I11"/>
  <c r="I10"/>
  <c r="I9"/>
  <c r="I8"/>
  <c r="I7"/>
  <c r="I6"/>
  <c r="I5"/>
  <c r="I66" i="2"/>
  <c r="I65"/>
  <c r="I64"/>
  <c r="I63"/>
  <c r="I62"/>
  <c r="I61"/>
  <c r="I60"/>
  <c r="I59"/>
  <c r="I58"/>
  <c r="I57"/>
  <c r="I56"/>
  <c r="I55"/>
  <c r="I54"/>
  <c r="I53"/>
  <c r="I52"/>
  <c r="I50"/>
  <c r="I49"/>
  <c r="I48"/>
  <c r="I47"/>
  <c r="I46"/>
  <c r="I45"/>
  <c r="I44"/>
  <c r="I43"/>
  <c r="I42"/>
  <c r="I41"/>
  <c r="I40"/>
  <c r="I39"/>
  <c r="I37"/>
  <c r="I36"/>
  <c r="I35"/>
  <c r="I34"/>
  <c r="I33"/>
  <c r="I32"/>
  <c r="I31"/>
  <c r="I30"/>
  <c r="I29"/>
  <c r="I28"/>
  <c r="I27"/>
  <c r="I26"/>
  <c r="I25"/>
  <c r="I24"/>
  <c r="I22"/>
  <c r="I21"/>
  <c r="I20"/>
  <c r="I19"/>
  <c r="I18"/>
  <c r="I17"/>
  <c r="I16"/>
  <c r="I15"/>
  <c r="I14"/>
  <c r="I13"/>
  <c r="I12"/>
  <c r="I11"/>
  <c r="I10"/>
  <c r="I9"/>
  <c r="I8"/>
  <c r="I7"/>
  <c r="I6"/>
  <c r="J321" i="1"/>
  <c r="J304"/>
  <c r="J287"/>
  <c r="J270"/>
  <c r="J253"/>
  <c r="J236"/>
  <c r="J228"/>
  <c r="J211"/>
  <c r="J194"/>
  <c r="J177"/>
  <c r="J160"/>
  <c r="J143"/>
  <c r="J126"/>
  <c r="J109"/>
  <c r="J92"/>
  <c r="J75"/>
  <c r="J57"/>
  <c r="J40"/>
  <c r="J23"/>
  <c r="J6"/>
  <c r="H21" i="3"/>
  <c r="H20"/>
  <c r="H19"/>
  <c r="H18"/>
  <c r="H17"/>
  <c r="H16"/>
  <c r="H15"/>
  <c r="H14"/>
  <c r="H13"/>
  <c r="H12"/>
  <c r="H11"/>
  <c r="H10"/>
  <c r="H9"/>
  <c r="H8"/>
  <c r="H7"/>
  <c r="H6"/>
  <c r="H5"/>
  <c r="H66" i="2"/>
  <c r="H65"/>
  <c r="H64"/>
  <c r="H63"/>
  <c r="H62"/>
  <c r="H61"/>
  <c r="H60"/>
  <c r="H59"/>
  <c r="H58"/>
  <c r="H57"/>
  <c r="H56"/>
  <c r="H55"/>
  <c r="H54"/>
  <c r="H53"/>
  <c r="H52"/>
  <c r="H50"/>
  <c r="H49"/>
  <c r="H48"/>
  <c r="H47"/>
  <c r="H46"/>
  <c r="H45"/>
  <c r="H44"/>
  <c r="H43"/>
  <c r="H42"/>
  <c r="H41"/>
  <c r="H40"/>
  <c r="H39"/>
  <c r="H37"/>
  <c r="H36"/>
  <c r="H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H10"/>
  <c r="H9"/>
  <c r="H8"/>
  <c r="H7"/>
  <c r="H6"/>
  <c r="I321" i="1"/>
  <c r="I304"/>
  <c r="I287"/>
  <c r="I270"/>
  <c r="I253"/>
  <c r="I236"/>
  <c r="I228"/>
  <c r="I211"/>
  <c r="I194"/>
  <c r="I177"/>
  <c r="I160"/>
  <c r="I143"/>
  <c r="I126"/>
  <c r="I109"/>
  <c r="I92"/>
  <c r="I75"/>
  <c r="I57"/>
  <c r="I40"/>
  <c r="I23"/>
  <c r="I6"/>
  <c r="G21" i="3"/>
  <c r="G20"/>
  <c r="G19"/>
  <c r="G18"/>
  <c r="G17"/>
  <c r="G16"/>
  <c r="G15"/>
  <c r="G14"/>
  <c r="G13"/>
  <c r="G12"/>
  <c r="G11"/>
  <c r="G10"/>
  <c r="G9"/>
  <c r="G8"/>
  <c r="G7"/>
  <c r="G6"/>
  <c r="G5"/>
  <c r="G66" i="2"/>
  <c r="G65"/>
  <c r="G64"/>
  <c r="G63"/>
  <c r="G62"/>
  <c r="G61"/>
  <c r="G60"/>
  <c r="G59"/>
  <c r="G58"/>
  <c r="G57"/>
  <c r="G56"/>
  <c r="G55"/>
  <c r="G54"/>
  <c r="G53"/>
  <c r="G52"/>
  <c r="G50"/>
  <c r="G49"/>
  <c r="G48"/>
  <c r="G47"/>
  <c r="G46"/>
  <c r="G45"/>
  <c r="G44"/>
  <c r="G43"/>
  <c r="G42"/>
  <c r="G41"/>
  <c r="G40"/>
  <c r="G39"/>
  <c r="G37"/>
  <c r="G36"/>
  <c r="G35"/>
  <c r="G34"/>
  <c r="G33"/>
  <c r="G32"/>
  <c r="G31"/>
  <c r="G30"/>
  <c r="G29"/>
  <c r="G28"/>
  <c r="G27"/>
  <c r="G26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W21" i="3"/>
  <c r="V21"/>
  <c r="U21"/>
  <c r="T21"/>
  <c r="S21"/>
  <c r="R21"/>
  <c r="Q21"/>
  <c r="P21"/>
  <c r="M21"/>
  <c r="L21"/>
  <c r="F21"/>
  <c r="E21"/>
  <c r="D21"/>
  <c r="C21"/>
  <c r="W20"/>
  <c r="V20"/>
  <c r="U20"/>
  <c r="T20"/>
  <c r="S20"/>
  <c r="R20"/>
  <c r="Q20"/>
  <c r="P20"/>
  <c r="M20"/>
  <c r="L20"/>
  <c r="F20"/>
  <c r="E20"/>
  <c r="D20"/>
  <c r="C20"/>
  <c r="W19"/>
  <c r="V19"/>
  <c r="U19"/>
  <c r="T19"/>
  <c r="S19"/>
  <c r="R19"/>
  <c r="Q19"/>
  <c r="P19"/>
  <c r="M19"/>
  <c r="L19"/>
  <c r="F19"/>
  <c r="E19"/>
  <c r="D19"/>
  <c r="C19"/>
  <c r="W18"/>
  <c r="V18"/>
  <c r="U18"/>
  <c r="T18"/>
  <c r="S18"/>
  <c r="R18"/>
  <c r="Q18"/>
  <c r="P18"/>
  <c r="M18"/>
  <c r="L18"/>
  <c r="F18"/>
  <c r="E18"/>
  <c r="D18"/>
  <c r="C18"/>
  <c r="W17"/>
  <c r="V17"/>
  <c r="U17"/>
  <c r="T17"/>
  <c r="S17"/>
  <c r="R17"/>
  <c r="Q17"/>
  <c r="P17"/>
  <c r="M17"/>
  <c r="L17"/>
  <c r="F17"/>
  <c r="E17"/>
  <c r="D17"/>
  <c r="C17"/>
  <c r="W16"/>
  <c r="V16"/>
  <c r="U16"/>
  <c r="T16"/>
  <c r="S16"/>
  <c r="R16"/>
  <c r="Q16"/>
  <c r="P16"/>
  <c r="M16"/>
  <c r="L16"/>
  <c r="F16"/>
  <c r="E16"/>
  <c r="D16"/>
  <c r="C16"/>
  <c r="W15"/>
  <c r="V15"/>
  <c r="U15"/>
  <c r="T15"/>
  <c r="S15"/>
  <c r="R15"/>
  <c r="Q15"/>
  <c r="P15"/>
  <c r="M15"/>
  <c r="L15"/>
  <c r="F15"/>
  <c r="E15"/>
  <c r="D15"/>
  <c r="C15"/>
  <c r="W14"/>
  <c r="V14"/>
  <c r="U14"/>
  <c r="T14"/>
  <c r="S14"/>
  <c r="R14"/>
  <c r="Q14"/>
  <c r="P14"/>
  <c r="W13"/>
  <c r="V13"/>
  <c r="U13"/>
  <c r="T13"/>
  <c r="S13"/>
  <c r="R13"/>
  <c r="Q13"/>
  <c r="P13"/>
  <c r="W12"/>
  <c r="V12"/>
  <c r="U12"/>
  <c r="T12"/>
  <c r="S12"/>
  <c r="R12"/>
  <c r="Q12"/>
  <c r="P12"/>
  <c r="W11"/>
  <c r="V11"/>
  <c r="U11"/>
  <c r="T11"/>
  <c r="S11"/>
  <c r="R11"/>
  <c r="Q11"/>
  <c r="P11"/>
  <c r="W10"/>
  <c r="V10"/>
  <c r="U10"/>
  <c r="T10"/>
  <c r="S10"/>
  <c r="R10"/>
  <c r="Q10"/>
  <c r="P10"/>
  <c r="M14"/>
  <c r="L14"/>
  <c r="F14"/>
  <c r="E14"/>
  <c r="D14"/>
  <c r="C14"/>
  <c r="M13"/>
  <c r="L13"/>
  <c r="F13"/>
  <c r="E13"/>
  <c r="D13"/>
  <c r="C13"/>
  <c r="M12"/>
  <c r="L12"/>
  <c r="F12"/>
  <c r="E12"/>
  <c r="D12"/>
  <c r="C12"/>
  <c r="M11"/>
  <c r="L11"/>
  <c r="F11"/>
  <c r="E11"/>
  <c r="D11"/>
  <c r="C11"/>
  <c r="M10"/>
  <c r="L10"/>
  <c r="F10"/>
  <c r="E10"/>
  <c r="D10"/>
  <c r="C10"/>
  <c r="W8"/>
  <c r="V8"/>
  <c r="U8"/>
  <c r="T8"/>
  <c r="S8"/>
  <c r="R8"/>
  <c r="Q8"/>
  <c r="P8"/>
  <c r="M8"/>
  <c r="L8"/>
  <c r="F8"/>
  <c r="E8"/>
  <c r="D8"/>
  <c r="C8"/>
  <c r="W7"/>
  <c r="V7"/>
  <c r="U7"/>
  <c r="T7"/>
  <c r="S7"/>
  <c r="R7"/>
  <c r="Q7"/>
  <c r="P7"/>
  <c r="M7"/>
  <c r="L7"/>
  <c r="F7"/>
  <c r="E7"/>
  <c r="D7"/>
  <c r="C7"/>
  <c r="W6"/>
  <c r="V6"/>
  <c r="U6"/>
  <c r="T6"/>
  <c r="S6"/>
  <c r="R6"/>
  <c r="Q6"/>
  <c r="P6"/>
  <c r="M6"/>
  <c r="L6"/>
  <c r="F6"/>
  <c r="E6"/>
  <c r="D6"/>
  <c r="C6"/>
  <c r="W5"/>
  <c r="V5"/>
  <c r="U5"/>
  <c r="T5"/>
  <c r="S5"/>
  <c r="R5"/>
  <c r="Q5"/>
  <c r="P5"/>
  <c r="M5"/>
  <c r="L5"/>
  <c r="F5"/>
  <c r="E5"/>
  <c r="D5"/>
  <c r="C5"/>
  <c r="W15" i="2"/>
  <c r="V15"/>
  <c r="U15"/>
  <c r="T15"/>
  <c r="S15"/>
  <c r="R15"/>
  <c r="Q15"/>
  <c r="P15"/>
  <c r="M15"/>
  <c r="L15"/>
  <c r="F15"/>
  <c r="C15"/>
  <c r="W22"/>
  <c r="V22"/>
  <c r="U22"/>
  <c r="T22"/>
  <c r="S22"/>
  <c r="R22"/>
  <c r="Q22"/>
  <c r="P22"/>
  <c r="M22"/>
  <c r="L22"/>
  <c r="F22"/>
  <c r="C22"/>
  <c r="W10"/>
  <c r="V10"/>
  <c r="U10"/>
  <c r="T10"/>
  <c r="S10"/>
  <c r="R10"/>
  <c r="Q10"/>
  <c r="P10"/>
  <c r="M10"/>
  <c r="L10"/>
  <c r="F10"/>
  <c r="C10"/>
  <c r="W9"/>
  <c r="V9"/>
  <c r="U9"/>
  <c r="T9"/>
  <c r="S9"/>
  <c r="R9"/>
  <c r="Q9"/>
  <c r="P9"/>
  <c r="M9"/>
  <c r="L9"/>
  <c r="F9"/>
  <c r="C9"/>
  <c r="W8"/>
  <c r="V8"/>
  <c r="U8"/>
  <c r="T8"/>
  <c r="S8"/>
  <c r="R8"/>
  <c r="Q8"/>
  <c r="P8"/>
  <c r="M8"/>
  <c r="L8"/>
  <c r="F8"/>
  <c r="C8"/>
  <c r="W7"/>
  <c r="V7"/>
  <c r="U7"/>
  <c r="T7"/>
  <c r="S7"/>
  <c r="R7"/>
  <c r="Q7"/>
  <c r="P7"/>
  <c r="M7"/>
  <c r="L7"/>
  <c r="F7"/>
  <c r="E7"/>
  <c r="D7"/>
  <c r="C7"/>
  <c r="W6"/>
  <c r="V6"/>
  <c r="U6"/>
  <c r="T6"/>
  <c r="S6"/>
  <c r="R6"/>
  <c r="Q6"/>
  <c r="P6"/>
  <c r="M6"/>
  <c r="L6"/>
  <c r="F6"/>
  <c r="E6"/>
  <c r="D6"/>
  <c r="C6"/>
  <c r="X211" i="1"/>
  <c r="W211"/>
  <c r="V211"/>
  <c r="U211"/>
  <c r="T211"/>
  <c r="S211"/>
  <c r="R211"/>
  <c r="Q211"/>
  <c r="N211"/>
  <c r="M211"/>
  <c r="G211"/>
  <c r="F211"/>
  <c r="E211"/>
  <c r="D211"/>
  <c r="E8" i="2"/>
  <c r="D8"/>
  <c r="E9"/>
  <c r="D9"/>
  <c r="E10"/>
  <c r="D10"/>
  <c r="W11"/>
  <c r="V11"/>
  <c r="U11"/>
  <c r="T11"/>
  <c r="S11"/>
  <c r="R11"/>
  <c r="Q11"/>
  <c r="P11"/>
  <c r="M11"/>
  <c r="L11"/>
  <c r="F11"/>
  <c r="E11"/>
  <c r="D11"/>
  <c r="C11"/>
  <c r="V12"/>
  <c r="U12"/>
  <c r="T12"/>
  <c r="S12"/>
  <c r="R12"/>
  <c r="Q12"/>
  <c r="P12"/>
  <c r="M12"/>
  <c r="L12"/>
  <c r="F12"/>
  <c r="E12"/>
  <c r="D12"/>
  <c r="C12"/>
  <c r="W13"/>
  <c r="V13"/>
  <c r="U13"/>
  <c r="T13"/>
  <c r="S13"/>
  <c r="R13"/>
  <c r="Q13"/>
  <c r="P13"/>
  <c r="M13"/>
  <c r="L13"/>
  <c r="F13"/>
  <c r="E13"/>
  <c r="D13"/>
  <c r="C13"/>
  <c r="W14"/>
  <c r="V14"/>
  <c r="U14"/>
  <c r="T14"/>
  <c r="S14"/>
  <c r="R14"/>
  <c r="Q14"/>
  <c r="P14"/>
  <c r="M14"/>
  <c r="L14"/>
  <c r="F14"/>
  <c r="E14"/>
  <c r="D14"/>
  <c r="C14"/>
  <c r="W12"/>
  <c r="E15"/>
  <c r="D15"/>
  <c r="W16"/>
  <c r="V16"/>
  <c r="U16"/>
  <c r="T16"/>
  <c r="S16"/>
  <c r="R16"/>
  <c r="Q16"/>
  <c r="P16"/>
  <c r="M16"/>
  <c r="L16"/>
  <c r="F16"/>
  <c r="E16"/>
  <c r="D16"/>
  <c r="C16"/>
  <c r="W17"/>
  <c r="V17"/>
  <c r="U17"/>
  <c r="T17"/>
  <c r="S17"/>
  <c r="R17"/>
  <c r="Q17"/>
  <c r="P17"/>
  <c r="M17"/>
  <c r="L17"/>
  <c r="F17"/>
  <c r="E17"/>
  <c r="D17"/>
  <c r="C17"/>
  <c r="W18"/>
  <c r="V18"/>
  <c r="U18"/>
  <c r="T18"/>
  <c r="S18"/>
  <c r="R18"/>
  <c r="Q18"/>
  <c r="P18"/>
  <c r="M18"/>
  <c r="L18"/>
  <c r="F18"/>
  <c r="E18"/>
  <c r="D18"/>
  <c r="C18"/>
  <c r="W19"/>
  <c r="V19"/>
  <c r="U19"/>
  <c r="T19"/>
  <c r="S19"/>
  <c r="R19"/>
  <c r="Q19"/>
  <c r="P19"/>
  <c r="M19"/>
  <c r="L19"/>
  <c r="F19"/>
  <c r="E19"/>
  <c r="D19"/>
  <c r="C19"/>
  <c r="W20"/>
  <c r="V20"/>
  <c r="U20"/>
  <c r="T20"/>
  <c r="S20"/>
  <c r="R20"/>
  <c r="Q20"/>
  <c r="P20"/>
  <c r="M20"/>
  <c r="L20"/>
  <c r="F20"/>
  <c r="E20"/>
  <c r="D20"/>
  <c r="C20"/>
  <c r="W21"/>
  <c r="V21"/>
  <c r="U21"/>
  <c r="T21"/>
  <c r="S21"/>
  <c r="R21"/>
  <c r="Q21"/>
  <c r="P21"/>
  <c r="M21"/>
  <c r="L21"/>
  <c r="F21"/>
  <c r="E21"/>
  <c r="D21"/>
  <c r="C21"/>
  <c r="J22" i="3" l="1"/>
  <c r="K23" i="2"/>
  <c r="K67" s="1"/>
  <c r="J23"/>
  <c r="J38"/>
  <c r="K338" i="1"/>
  <c r="L338"/>
  <c r="I51" i="2"/>
  <c r="J5"/>
  <c r="J67" s="1"/>
  <c r="I23"/>
  <c r="I38"/>
  <c r="I22" i="3"/>
  <c r="I5" i="2"/>
  <c r="H51"/>
  <c r="H38"/>
  <c r="J338" i="1"/>
  <c r="G51" i="2"/>
  <c r="H5"/>
  <c r="H22" i="3"/>
  <c r="H23" i="2"/>
  <c r="G22" i="3"/>
  <c r="G23" i="2"/>
  <c r="G38"/>
  <c r="H338" i="1"/>
  <c r="I338"/>
  <c r="G5" i="2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N21"/>
  <c r="O21" s="1"/>
  <c r="X20"/>
  <c r="N20"/>
  <c r="O20" s="1"/>
  <c r="X19"/>
  <c r="N19"/>
  <c r="O19" s="1"/>
  <c r="X18"/>
  <c r="N18"/>
  <c r="O18" s="1"/>
  <c r="X17"/>
  <c r="N17"/>
  <c r="O17" s="1"/>
  <c r="X16"/>
  <c r="N16"/>
  <c r="O16" s="1"/>
  <c r="X15"/>
  <c r="N15"/>
  <c r="O15" s="1"/>
  <c r="X14"/>
  <c r="N14"/>
  <c r="O14" s="1"/>
  <c r="X13"/>
  <c r="N13"/>
  <c r="O13" s="1"/>
  <c r="X12"/>
  <c r="N12"/>
  <c r="O12" s="1"/>
  <c r="X11"/>
  <c r="N11"/>
  <c r="O11" s="1"/>
  <c r="W9"/>
  <c r="W22" s="1"/>
  <c r="V9"/>
  <c r="V22" s="1"/>
  <c r="U9"/>
  <c r="U22" s="1"/>
  <c r="T9"/>
  <c r="T22" s="1"/>
  <c r="S9"/>
  <c r="S22" s="1"/>
  <c r="R9"/>
  <c r="R22" s="1"/>
  <c r="Q9"/>
  <c r="Q22" s="1"/>
  <c r="P9"/>
  <c r="P22" s="1"/>
  <c r="M9"/>
  <c r="M22" s="1"/>
  <c r="L9"/>
  <c r="L22" s="1"/>
  <c r="F9"/>
  <c r="F22" s="1"/>
  <c r="E9"/>
  <c r="E22" s="1"/>
  <c r="D9"/>
  <c r="D22" s="1"/>
  <c r="C9"/>
  <c r="C22" s="1"/>
  <c r="X8"/>
  <c r="N8"/>
  <c r="O8" s="1"/>
  <c r="X7"/>
  <c r="N7"/>
  <c r="O7" s="1"/>
  <c r="X6"/>
  <c r="N6"/>
  <c r="X5"/>
  <c r="N5"/>
  <c r="O5" s="1"/>
  <c r="W66" i="2"/>
  <c r="V66"/>
  <c r="U66"/>
  <c r="T66"/>
  <c r="S66"/>
  <c r="R66"/>
  <c r="Q66"/>
  <c r="P66"/>
  <c r="M66"/>
  <c r="L66"/>
  <c r="F66"/>
  <c r="E66"/>
  <c r="D66"/>
  <c r="C66"/>
  <c r="W65"/>
  <c r="V65"/>
  <c r="U65"/>
  <c r="T65"/>
  <c r="S65"/>
  <c r="R65"/>
  <c r="Q65"/>
  <c r="P65"/>
  <c r="M65"/>
  <c r="L65"/>
  <c r="F65"/>
  <c r="E65"/>
  <c r="D65"/>
  <c r="C65"/>
  <c r="W64"/>
  <c r="V64"/>
  <c r="U64"/>
  <c r="T64"/>
  <c r="S64"/>
  <c r="R64"/>
  <c r="Q64"/>
  <c r="P64"/>
  <c r="M64"/>
  <c r="L64"/>
  <c r="F64"/>
  <c r="E64"/>
  <c r="D64"/>
  <c r="C64"/>
  <c r="W63"/>
  <c r="V63"/>
  <c r="U63"/>
  <c r="T63"/>
  <c r="S63"/>
  <c r="R63"/>
  <c r="Q63"/>
  <c r="P63"/>
  <c r="M63"/>
  <c r="L63"/>
  <c r="F63"/>
  <c r="E63"/>
  <c r="D63"/>
  <c r="C63"/>
  <c r="W62"/>
  <c r="V62"/>
  <c r="U62"/>
  <c r="T62"/>
  <c r="S62"/>
  <c r="R62"/>
  <c r="Q62"/>
  <c r="P62"/>
  <c r="M62"/>
  <c r="L62"/>
  <c r="F62"/>
  <c r="E62"/>
  <c r="D62"/>
  <c r="C62"/>
  <c r="W61"/>
  <c r="V61"/>
  <c r="U61"/>
  <c r="T61"/>
  <c r="S61"/>
  <c r="R61"/>
  <c r="Q61"/>
  <c r="P61"/>
  <c r="M61"/>
  <c r="L61"/>
  <c r="F61"/>
  <c r="E61"/>
  <c r="D61"/>
  <c r="C61"/>
  <c r="W60"/>
  <c r="V60"/>
  <c r="U60"/>
  <c r="T60"/>
  <c r="S60"/>
  <c r="R60"/>
  <c r="Q60"/>
  <c r="P60"/>
  <c r="M60"/>
  <c r="L60"/>
  <c r="F60"/>
  <c r="E60"/>
  <c r="D60"/>
  <c r="C60"/>
  <c r="W59"/>
  <c r="V59"/>
  <c r="U59"/>
  <c r="T59"/>
  <c r="S59"/>
  <c r="R59"/>
  <c r="Q59"/>
  <c r="P59"/>
  <c r="M59"/>
  <c r="L59"/>
  <c r="F59"/>
  <c r="E59"/>
  <c r="D59"/>
  <c r="C59"/>
  <c r="W58"/>
  <c r="V58"/>
  <c r="U58"/>
  <c r="T58"/>
  <c r="S58"/>
  <c r="R58"/>
  <c r="Q58"/>
  <c r="P58"/>
  <c r="M58"/>
  <c r="L58"/>
  <c r="F58"/>
  <c r="E58"/>
  <c r="D58"/>
  <c r="C58"/>
  <c r="W57"/>
  <c r="V57"/>
  <c r="U57"/>
  <c r="T57"/>
  <c r="S57"/>
  <c r="R57"/>
  <c r="Q57"/>
  <c r="P57"/>
  <c r="M57"/>
  <c r="L57"/>
  <c r="F57"/>
  <c r="E57"/>
  <c r="D57"/>
  <c r="C57"/>
  <c r="W56"/>
  <c r="V56"/>
  <c r="U56"/>
  <c r="T56"/>
  <c r="S56"/>
  <c r="R56"/>
  <c r="Q56"/>
  <c r="P56"/>
  <c r="M56"/>
  <c r="L56"/>
  <c r="F56"/>
  <c r="E56"/>
  <c r="D56"/>
  <c r="C56"/>
  <c r="W55"/>
  <c r="V55"/>
  <c r="U55"/>
  <c r="T55"/>
  <c r="S55"/>
  <c r="R55"/>
  <c r="Q55"/>
  <c r="P55"/>
  <c r="M55"/>
  <c r="L55"/>
  <c r="F55"/>
  <c r="E55"/>
  <c r="D55"/>
  <c r="C55"/>
  <c r="W54"/>
  <c r="V54"/>
  <c r="U54"/>
  <c r="T54"/>
  <c r="S54"/>
  <c r="R54"/>
  <c r="Q54"/>
  <c r="P54"/>
  <c r="M54"/>
  <c r="L54"/>
  <c r="F54"/>
  <c r="E54"/>
  <c r="D54"/>
  <c r="C54"/>
  <c r="W53"/>
  <c r="V53"/>
  <c r="U53"/>
  <c r="T53"/>
  <c r="S53"/>
  <c r="R53"/>
  <c r="Q53"/>
  <c r="P53"/>
  <c r="M53"/>
  <c r="L53"/>
  <c r="F53"/>
  <c r="E53"/>
  <c r="D53"/>
  <c r="C53"/>
  <c r="W52"/>
  <c r="V52"/>
  <c r="U52"/>
  <c r="T52"/>
  <c r="S52"/>
  <c r="R52"/>
  <c r="Q52"/>
  <c r="P52"/>
  <c r="M52"/>
  <c r="L52"/>
  <c r="F52"/>
  <c r="E52"/>
  <c r="D52"/>
  <c r="C52"/>
  <c r="W50"/>
  <c r="V50"/>
  <c r="U50"/>
  <c r="T50"/>
  <c r="S50"/>
  <c r="R50"/>
  <c r="Q50"/>
  <c r="P50"/>
  <c r="M50"/>
  <c r="L50"/>
  <c r="F50"/>
  <c r="E50"/>
  <c r="D50"/>
  <c r="C50"/>
  <c r="W49"/>
  <c r="V49"/>
  <c r="U49"/>
  <c r="T49"/>
  <c r="S49"/>
  <c r="R49"/>
  <c r="Q49"/>
  <c r="P49"/>
  <c r="M49"/>
  <c r="L49"/>
  <c r="F49"/>
  <c r="E49"/>
  <c r="D49"/>
  <c r="C49"/>
  <c r="W48"/>
  <c r="V48"/>
  <c r="U48"/>
  <c r="T48"/>
  <c r="S48"/>
  <c r="R48"/>
  <c r="Q48"/>
  <c r="P48"/>
  <c r="M48"/>
  <c r="L48"/>
  <c r="F48"/>
  <c r="E48"/>
  <c r="D48"/>
  <c r="C48"/>
  <c r="W47"/>
  <c r="V47"/>
  <c r="U47"/>
  <c r="T47"/>
  <c r="S47"/>
  <c r="R47"/>
  <c r="Q47"/>
  <c r="P47"/>
  <c r="M47"/>
  <c r="L47"/>
  <c r="F47"/>
  <c r="E47"/>
  <c r="D47"/>
  <c r="C47"/>
  <c r="W46"/>
  <c r="V46"/>
  <c r="U46"/>
  <c r="T46"/>
  <c r="S46"/>
  <c r="R46"/>
  <c r="Q46"/>
  <c r="P46"/>
  <c r="M46"/>
  <c r="L46"/>
  <c r="F46"/>
  <c r="E46"/>
  <c r="D46"/>
  <c r="C46"/>
  <c r="W45"/>
  <c r="V45"/>
  <c r="U45"/>
  <c r="T45"/>
  <c r="S45"/>
  <c r="R45"/>
  <c r="Q45"/>
  <c r="P45"/>
  <c r="M45"/>
  <c r="L45"/>
  <c r="F45"/>
  <c r="E45"/>
  <c r="D45"/>
  <c r="C45"/>
  <c r="W44"/>
  <c r="V44"/>
  <c r="U44"/>
  <c r="T44"/>
  <c r="S44"/>
  <c r="R44"/>
  <c r="Q44"/>
  <c r="P44"/>
  <c r="M44"/>
  <c r="L44"/>
  <c r="F44"/>
  <c r="E44"/>
  <c r="D44"/>
  <c r="C44"/>
  <c r="W43"/>
  <c r="V43"/>
  <c r="U43"/>
  <c r="T43"/>
  <c r="S43"/>
  <c r="R43"/>
  <c r="Q43"/>
  <c r="P43"/>
  <c r="M43"/>
  <c r="L43"/>
  <c r="F43"/>
  <c r="E43"/>
  <c r="D43"/>
  <c r="C43"/>
  <c r="W42"/>
  <c r="V42"/>
  <c r="U42"/>
  <c r="T42"/>
  <c r="S42"/>
  <c r="R42"/>
  <c r="Q42"/>
  <c r="P42"/>
  <c r="M42"/>
  <c r="L42"/>
  <c r="F42"/>
  <c r="E42"/>
  <c r="D42"/>
  <c r="C42"/>
  <c r="W41"/>
  <c r="V41"/>
  <c r="U41"/>
  <c r="T41"/>
  <c r="S41"/>
  <c r="R41"/>
  <c r="Q41"/>
  <c r="P41"/>
  <c r="M41"/>
  <c r="L41"/>
  <c r="F41"/>
  <c r="E41"/>
  <c r="D41"/>
  <c r="C41"/>
  <c r="W40"/>
  <c r="V40"/>
  <c r="U40"/>
  <c r="T40"/>
  <c r="S40"/>
  <c r="R40"/>
  <c r="Q40"/>
  <c r="P40"/>
  <c r="M40"/>
  <c r="L40"/>
  <c r="F40"/>
  <c r="E40"/>
  <c r="D40"/>
  <c r="C40"/>
  <c r="W39"/>
  <c r="V39"/>
  <c r="U39"/>
  <c r="T39"/>
  <c r="S39"/>
  <c r="R39"/>
  <c r="Q39"/>
  <c r="P39"/>
  <c r="M39"/>
  <c r="L39"/>
  <c r="F39"/>
  <c r="E39"/>
  <c r="D39"/>
  <c r="C39"/>
  <c r="W37"/>
  <c r="V37"/>
  <c r="U37"/>
  <c r="T37"/>
  <c r="S37"/>
  <c r="R37"/>
  <c r="Q37"/>
  <c r="P37"/>
  <c r="M37"/>
  <c r="L37"/>
  <c r="F37"/>
  <c r="E37"/>
  <c r="D37"/>
  <c r="C37"/>
  <c r="W36"/>
  <c r="V36"/>
  <c r="U36"/>
  <c r="T36"/>
  <c r="S36"/>
  <c r="R36"/>
  <c r="Q36"/>
  <c r="P36"/>
  <c r="M36"/>
  <c r="L36"/>
  <c r="F36"/>
  <c r="E36"/>
  <c r="D36"/>
  <c r="C36"/>
  <c r="W35"/>
  <c r="V35"/>
  <c r="U35"/>
  <c r="T35"/>
  <c r="S35"/>
  <c r="R35"/>
  <c r="Q35"/>
  <c r="P35"/>
  <c r="M35"/>
  <c r="L35"/>
  <c r="F35"/>
  <c r="E35"/>
  <c r="D35"/>
  <c r="C35"/>
  <c r="W34"/>
  <c r="V34"/>
  <c r="U34"/>
  <c r="T34"/>
  <c r="S34"/>
  <c r="R34"/>
  <c r="Q34"/>
  <c r="P34"/>
  <c r="M34"/>
  <c r="L34"/>
  <c r="F34"/>
  <c r="E34"/>
  <c r="D34"/>
  <c r="C34"/>
  <c r="W33"/>
  <c r="V33"/>
  <c r="U33"/>
  <c r="T33"/>
  <c r="S33"/>
  <c r="R33"/>
  <c r="Q33"/>
  <c r="P33"/>
  <c r="M33"/>
  <c r="L33"/>
  <c r="F33"/>
  <c r="E33"/>
  <c r="D33"/>
  <c r="C33"/>
  <c r="W32"/>
  <c r="V32"/>
  <c r="U32"/>
  <c r="T32"/>
  <c r="S32"/>
  <c r="R32"/>
  <c r="Q32"/>
  <c r="P32"/>
  <c r="M32"/>
  <c r="L32"/>
  <c r="F32"/>
  <c r="E32"/>
  <c r="D32"/>
  <c r="C32"/>
  <c r="W31"/>
  <c r="V31"/>
  <c r="U31"/>
  <c r="T31"/>
  <c r="S31"/>
  <c r="R31"/>
  <c r="Q31"/>
  <c r="P31"/>
  <c r="M31"/>
  <c r="L31"/>
  <c r="F31"/>
  <c r="E31"/>
  <c r="D31"/>
  <c r="C31"/>
  <c r="W30"/>
  <c r="V30"/>
  <c r="U30"/>
  <c r="T30"/>
  <c r="S30"/>
  <c r="R30"/>
  <c r="Q30"/>
  <c r="P30"/>
  <c r="M30"/>
  <c r="L30"/>
  <c r="F30"/>
  <c r="E30"/>
  <c r="D30"/>
  <c r="C30"/>
  <c r="W29"/>
  <c r="V29"/>
  <c r="U29"/>
  <c r="T29"/>
  <c r="S29"/>
  <c r="R29"/>
  <c r="Q29"/>
  <c r="P29"/>
  <c r="M29"/>
  <c r="L29"/>
  <c r="F29"/>
  <c r="E29"/>
  <c r="D29"/>
  <c r="C29"/>
  <c r="W28"/>
  <c r="V28"/>
  <c r="U28"/>
  <c r="T28"/>
  <c r="S28"/>
  <c r="R28"/>
  <c r="Q28"/>
  <c r="P28"/>
  <c r="M28"/>
  <c r="L28"/>
  <c r="F28"/>
  <c r="E28"/>
  <c r="D28"/>
  <c r="C28"/>
  <c r="W27"/>
  <c r="V27"/>
  <c r="U27"/>
  <c r="T27"/>
  <c r="S27"/>
  <c r="R27"/>
  <c r="Q27"/>
  <c r="P27"/>
  <c r="M27"/>
  <c r="L27"/>
  <c r="F27"/>
  <c r="E27"/>
  <c r="D27"/>
  <c r="C27"/>
  <c r="W26"/>
  <c r="V26"/>
  <c r="U26"/>
  <c r="T26"/>
  <c r="S26"/>
  <c r="R26"/>
  <c r="Q26"/>
  <c r="P26"/>
  <c r="M26"/>
  <c r="L26"/>
  <c r="F26"/>
  <c r="E26"/>
  <c r="D26"/>
  <c r="C26"/>
  <c r="W25"/>
  <c r="V25"/>
  <c r="U25"/>
  <c r="T25"/>
  <c r="S25"/>
  <c r="R25"/>
  <c r="Q25"/>
  <c r="P25"/>
  <c r="M25"/>
  <c r="L25"/>
  <c r="F25"/>
  <c r="E25"/>
  <c r="D25"/>
  <c r="C25"/>
  <c r="W24"/>
  <c r="V24"/>
  <c r="U24"/>
  <c r="T24"/>
  <c r="S24"/>
  <c r="R24"/>
  <c r="Q24"/>
  <c r="P24"/>
  <c r="M24"/>
  <c r="L24"/>
  <c r="F24"/>
  <c r="E24"/>
  <c r="D24"/>
  <c r="C24"/>
  <c r="X22"/>
  <c r="N22"/>
  <c r="O22" s="1"/>
  <c r="X21"/>
  <c r="N21"/>
  <c r="O21" s="1"/>
  <c r="X20"/>
  <c r="N20"/>
  <c r="O20" s="1"/>
  <c r="X19"/>
  <c r="N19"/>
  <c r="O19" s="1"/>
  <c r="X18"/>
  <c r="N18"/>
  <c r="O18" s="1"/>
  <c r="X17"/>
  <c r="N17"/>
  <c r="O17" s="1"/>
  <c r="X16"/>
  <c r="N16"/>
  <c r="O16" s="1"/>
  <c r="X15"/>
  <c r="N15"/>
  <c r="O15" s="1"/>
  <c r="X14"/>
  <c r="N14"/>
  <c r="O14" s="1"/>
  <c r="X13"/>
  <c r="N13"/>
  <c r="O13" s="1"/>
  <c r="X12"/>
  <c r="N12"/>
  <c r="O12" s="1"/>
  <c r="X11"/>
  <c r="N11"/>
  <c r="O11" s="1"/>
  <c r="X10"/>
  <c r="N10"/>
  <c r="O10" s="1"/>
  <c r="X9"/>
  <c r="N9"/>
  <c r="O9" s="1"/>
  <c r="X8"/>
  <c r="N8"/>
  <c r="O8" s="1"/>
  <c r="X7"/>
  <c r="N7"/>
  <c r="O7" s="1"/>
  <c r="N6"/>
  <c r="O6" s="1"/>
  <c r="X6" s="1"/>
  <c r="W5"/>
  <c r="V5"/>
  <c r="U5"/>
  <c r="T5"/>
  <c r="S5"/>
  <c r="R5"/>
  <c r="Q5"/>
  <c r="P5"/>
  <c r="M5"/>
  <c r="L5"/>
  <c r="F5"/>
  <c r="C5"/>
  <c r="Y337" i="1"/>
  <c r="O337"/>
  <c r="P337" s="1"/>
  <c r="Y336"/>
  <c r="O336"/>
  <c r="P336" s="1"/>
  <c r="Y335"/>
  <c r="O335"/>
  <c r="P335" s="1"/>
  <c r="Y334"/>
  <c r="O334"/>
  <c r="P334" s="1"/>
  <c r="Y333"/>
  <c r="O333"/>
  <c r="P333" s="1"/>
  <c r="Y332"/>
  <c r="O332"/>
  <c r="P332" s="1"/>
  <c r="Y331"/>
  <c r="O331"/>
  <c r="Y330"/>
  <c r="O330"/>
  <c r="P330" s="1"/>
  <c r="Y329"/>
  <c r="O329"/>
  <c r="P329" s="1"/>
  <c r="Y328"/>
  <c r="O328"/>
  <c r="Y327"/>
  <c r="O327"/>
  <c r="P327" s="1"/>
  <c r="Y326"/>
  <c r="O326"/>
  <c r="P326" s="1"/>
  <c r="Y325"/>
  <c r="O325"/>
  <c r="Y324"/>
  <c r="O324"/>
  <c r="P324" s="1"/>
  <c r="Y323"/>
  <c r="O323"/>
  <c r="P323" s="1"/>
  <c r="Y322"/>
  <c r="O322"/>
  <c r="P322" s="1"/>
  <c r="X321"/>
  <c r="W321"/>
  <c r="V321"/>
  <c r="U321"/>
  <c r="T321"/>
  <c r="S321"/>
  <c r="R321"/>
  <c r="Q321"/>
  <c r="Y321" s="1"/>
  <c r="N321"/>
  <c r="M321"/>
  <c r="G321"/>
  <c r="F321"/>
  <c r="E321"/>
  <c r="D321"/>
  <c r="Y320"/>
  <c r="O320"/>
  <c r="P320" s="1"/>
  <c r="Y319"/>
  <c r="O319"/>
  <c r="P319" s="1"/>
  <c r="Y318"/>
  <c r="O318"/>
  <c r="P318" s="1"/>
  <c r="Y317"/>
  <c r="O317"/>
  <c r="P317" s="1"/>
  <c r="Y316"/>
  <c r="O316"/>
  <c r="P316" s="1"/>
  <c r="Y315"/>
  <c r="O315"/>
  <c r="P315" s="1"/>
  <c r="Y314"/>
  <c r="O314"/>
  <c r="P314" s="1"/>
  <c r="Y313"/>
  <c r="O313"/>
  <c r="P313" s="1"/>
  <c r="Y312"/>
  <c r="O312"/>
  <c r="P312" s="1"/>
  <c r="Y311"/>
  <c r="O311"/>
  <c r="P311" s="1"/>
  <c r="Y310"/>
  <c r="O310"/>
  <c r="P310" s="1"/>
  <c r="Y309"/>
  <c r="O309"/>
  <c r="P309" s="1"/>
  <c r="Y308"/>
  <c r="O308"/>
  <c r="P308" s="1"/>
  <c r="Y307"/>
  <c r="O307"/>
  <c r="P307" s="1"/>
  <c r="Y306"/>
  <c r="O306"/>
  <c r="P306" s="1"/>
  <c r="Y305"/>
  <c r="O305"/>
  <c r="P305" s="1"/>
  <c r="X304"/>
  <c r="W304"/>
  <c r="V304"/>
  <c r="U304"/>
  <c r="T304"/>
  <c r="S304"/>
  <c r="R304"/>
  <c r="Q304"/>
  <c r="Y304"/>
  <c r="N304"/>
  <c r="M304"/>
  <c r="G304"/>
  <c r="F304"/>
  <c r="E304"/>
  <c r="D304"/>
  <c r="Y303"/>
  <c r="O303"/>
  <c r="P303" s="1"/>
  <c r="Y302"/>
  <c r="O302"/>
  <c r="P302" s="1"/>
  <c r="Y301"/>
  <c r="O301"/>
  <c r="P301" s="1"/>
  <c r="Y300"/>
  <c r="O300"/>
  <c r="P300" s="1"/>
  <c r="Y299"/>
  <c r="O299"/>
  <c r="P299" s="1"/>
  <c r="Y298"/>
  <c r="O298"/>
  <c r="P298" s="1"/>
  <c r="Y297"/>
  <c r="O297"/>
  <c r="P297" s="1"/>
  <c r="Y296"/>
  <c r="O296"/>
  <c r="P296" s="1"/>
  <c r="Y295"/>
  <c r="O295"/>
  <c r="P295" s="1"/>
  <c r="Y294"/>
  <c r="O294"/>
  <c r="P294" s="1"/>
  <c r="Y293"/>
  <c r="O293"/>
  <c r="P293" s="1"/>
  <c r="Y292"/>
  <c r="O292"/>
  <c r="P292" s="1"/>
  <c r="Y291"/>
  <c r="O291"/>
  <c r="P291" s="1"/>
  <c r="Y290"/>
  <c r="O290"/>
  <c r="P290" s="1"/>
  <c r="Y289"/>
  <c r="O289"/>
  <c r="Y288"/>
  <c r="O288"/>
  <c r="P288" s="1"/>
  <c r="X287"/>
  <c r="W287"/>
  <c r="V287"/>
  <c r="U287"/>
  <c r="T287"/>
  <c r="S287"/>
  <c r="R287"/>
  <c r="Q287"/>
  <c r="N287"/>
  <c r="M287"/>
  <c r="G287"/>
  <c r="F287"/>
  <c r="E287"/>
  <c r="D287"/>
  <c r="Y286"/>
  <c r="O286"/>
  <c r="P286" s="1"/>
  <c r="Y285"/>
  <c r="O285"/>
  <c r="P285" s="1"/>
  <c r="Y284"/>
  <c r="O284"/>
  <c r="P284" s="1"/>
  <c r="Y283"/>
  <c r="O283"/>
  <c r="P283" s="1"/>
  <c r="Y282"/>
  <c r="O282"/>
  <c r="P282" s="1"/>
  <c r="Y281"/>
  <c r="O281"/>
  <c r="P281" s="1"/>
  <c r="Y280"/>
  <c r="O280"/>
  <c r="P280" s="1"/>
  <c r="Y279"/>
  <c r="O279"/>
  <c r="P279" s="1"/>
  <c r="Y278"/>
  <c r="O278"/>
  <c r="P278" s="1"/>
  <c r="Y277"/>
  <c r="O277"/>
  <c r="P277" s="1"/>
  <c r="Y276"/>
  <c r="O276"/>
  <c r="P276" s="1"/>
  <c r="Y275"/>
  <c r="O275"/>
  <c r="P275" s="1"/>
  <c r="Y274"/>
  <c r="O274"/>
  <c r="P274" s="1"/>
  <c r="Y273"/>
  <c r="O273"/>
  <c r="P273" s="1"/>
  <c r="Y272"/>
  <c r="O272"/>
  <c r="P272" s="1"/>
  <c r="Y271"/>
  <c r="O271"/>
  <c r="P271" s="1"/>
  <c r="X270"/>
  <c r="W270"/>
  <c r="V270"/>
  <c r="U270"/>
  <c r="T270"/>
  <c r="S270"/>
  <c r="R270"/>
  <c r="Q270"/>
  <c r="Y270" s="1"/>
  <c r="N270"/>
  <c r="M270"/>
  <c r="G270"/>
  <c r="F270"/>
  <c r="E270"/>
  <c r="D270"/>
  <c r="Y269"/>
  <c r="O269"/>
  <c r="P269" s="1"/>
  <c r="Y268"/>
  <c r="O268"/>
  <c r="P268" s="1"/>
  <c r="Y267"/>
  <c r="O267"/>
  <c r="P267" s="1"/>
  <c r="Y266"/>
  <c r="O266"/>
  <c r="P266" s="1"/>
  <c r="Y265"/>
  <c r="O265"/>
  <c r="P265" s="1"/>
  <c r="Y264"/>
  <c r="O264"/>
  <c r="P264" s="1"/>
  <c r="Y263"/>
  <c r="O263"/>
  <c r="P263" s="1"/>
  <c r="Y262"/>
  <c r="O262"/>
  <c r="P262" s="1"/>
  <c r="Y261"/>
  <c r="O261"/>
  <c r="P261" s="1"/>
  <c r="Y260"/>
  <c r="O260"/>
  <c r="P260" s="1"/>
  <c r="Y259"/>
  <c r="O259"/>
  <c r="P259" s="1"/>
  <c r="Y258"/>
  <c r="O258"/>
  <c r="P258" s="1"/>
  <c r="Y257"/>
  <c r="O257"/>
  <c r="P257" s="1"/>
  <c r="Y256"/>
  <c r="O256"/>
  <c r="P256" s="1"/>
  <c r="Y255"/>
  <c r="O255"/>
  <c r="P255" s="1"/>
  <c r="Y254"/>
  <c r="O254"/>
  <c r="P254" s="1"/>
  <c r="X253"/>
  <c r="W253"/>
  <c r="V253"/>
  <c r="U253"/>
  <c r="T253"/>
  <c r="S253"/>
  <c r="R253"/>
  <c r="Q253"/>
  <c r="N253"/>
  <c r="O253" s="1"/>
  <c r="M253"/>
  <c r="G253"/>
  <c r="F253"/>
  <c r="E253"/>
  <c r="D253"/>
  <c r="Y252"/>
  <c r="O252"/>
  <c r="P252" s="1"/>
  <c r="Y251"/>
  <c r="O251"/>
  <c r="P251" s="1"/>
  <c r="Y250"/>
  <c r="O250"/>
  <c r="P250" s="1"/>
  <c r="Y249"/>
  <c r="O249"/>
  <c r="P249" s="1"/>
  <c r="Y248"/>
  <c r="O248"/>
  <c r="P248" s="1"/>
  <c r="Y247"/>
  <c r="O247"/>
  <c r="P247" s="1"/>
  <c r="Y246"/>
  <c r="O246"/>
  <c r="P246" s="1"/>
  <c r="Y245"/>
  <c r="O245"/>
  <c r="P245" s="1"/>
  <c r="Y244"/>
  <c r="O244"/>
  <c r="P244" s="1"/>
  <c r="Y243"/>
  <c r="O243"/>
  <c r="P243" s="1"/>
  <c r="Y242"/>
  <c r="O242"/>
  <c r="P242" s="1"/>
  <c r="Y241"/>
  <c r="O241"/>
  <c r="P241" s="1"/>
  <c r="Y240"/>
  <c r="O240"/>
  <c r="P240" s="1"/>
  <c r="Y239"/>
  <c r="O239"/>
  <c r="P239" s="1"/>
  <c r="Y238"/>
  <c r="O238"/>
  <c r="P238" s="1"/>
  <c r="Y237"/>
  <c r="O237"/>
  <c r="P237" s="1"/>
  <c r="X236"/>
  <c r="W236"/>
  <c r="V236"/>
  <c r="U236"/>
  <c r="T236"/>
  <c r="S236"/>
  <c r="R236"/>
  <c r="Q236"/>
  <c r="N236"/>
  <c r="M236"/>
  <c r="G236"/>
  <c r="F236"/>
  <c r="E236"/>
  <c r="D236"/>
  <c r="Y235"/>
  <c r="O235"/>
  <c r="P235" s="1"/>
  <c r="Y234"/>
  <c r="O234"/>
  <c r="P234" s="1"/>
  <c r="Y233"/>
  <c r="O233"/>
  <c r="P233" s="1"/>
  <c r="Y232"/>
  <c r="O232"/>
  <c r="P232" s="1"/>
  <c r="Y231"/>
  <c r="O231"/>
  <c r="P231" s="1"/>
  <c r="Y230"/>
  <c r="O230"/>
  <c r="P230" s="1"/>
  <c r="Y229"/>
  <c r="O229"/>
  <c r="P229" s="1"/>
  <c r="X228"/>
  <c r="W228"/>
  <c r="V228"/>
  <c r="U228"/>
  <c r="T228"/>
  <c r="S228"/>
  <c r="R228"/>
  <c r="Q228"/>
  <c r="Y228" s="1"/>
  <c r="N228"/>
  <c r="M228"/>
  <c r="G228"/>
  <c r="F228"/>
  <c r="E228"/>
  <c r="D228"/>
  <c r="Y227"/>
  <c r="O227"/>
  <c r="P227" s="1"/>
  <c r="Y226"/>
  <c r="O226"/>
  <c r="P226" s="1"/>
  <c r="Y225"/>
  <c r="O225"/>
  <c r="P225" s="1"/>
  <c r="Y224"/>
  <c r="O224"/>
  <c r="P224" s="1"/>
  <c r="Y223"/>
  <c r="O223"/>
  <c r="P223" s="1"/>
  <c r="Y222"/>
  <c r="O222"/>
  <c r="P222" s="1"/>
  <c r="Y221"/>
  <c r="O221"/>
  <c r="P221" s="1"/>
  <c r="Y220"/>
  <c r="O220"/>
  <c r="P220" s="1"/>
  <c r="Y219"/>
  <c r="O219"/>
  <c r="P219" s="1"/>
  <c r="Y218"/>
  <c r="O218"/>
  <c r="P218" s="1"/>
  <c r="Y217"/>
  <c r="O217"/>
  <c r="P217" s="1"/>
  <c r="Y216"/>
  <c r="O216"/>
  <c r="P216" s="1"/>
  <c r="Y215"/>
  <c r="O215"/>
  <c r="P215" s="1"/>
  <c r="Y214"/>
  <c r="O214"/>
  <c r="P214" s="1"/>
  <c r="Y213"/>
  <c r="O213"/>
  <c r="P213" s="1"/>
  <c r="Y212"/>
  <c r="O212"/>
  <c r="P212" s="1"/>
  <c r="Y211"/>
  <c r="O211"/>
  <c r="P211" s="1"/>
  <c r="Y210"/>
  <c r="O210"/>
  <c r="P210" s="1"/>
  <c r="Y209"/>
  <c r="O209"/>
  <c r="P209" s="1"/>
  <c r="Y208"/>
  <c r="O208"/>
  <c r="P208" s="1"/>
  <c r="Y207"/>
  <c r="O207"/>
  <c r="P207" s="1"/>
  <c r="Y206"/>
  <c r="O206"/>
  <c r="P206" s="1"/>
  <c r="Y205"/>
  <c r="O205"/>
  <c r="P205" s="1"/>
  <c r="Y204"/>
  <c r="O204"/>
  <c r="P204" s="1"/>
  <c r="Y203"/>
  <c r="O203"/>
  <c r="P203" s="1"/>
  <c r="Y202"/>
  <c r="O202"/>
  <c r="P202" s="1"/>
  <c r="Y201"/>
  <c r="O201"/>
  <c r="P201" s="1"/>
  <c r="Y200"/>
  <c r="O200"/>
  <c r="P200" s="1"/>
  <c r="Y199"/>
  <c r="O199"/>
  <c r="P199" s="1"/>
  <c r="Y198"/>
  <c r="O198"/>
  <c r="P198" s="1"/>
  <c r="Y197"/>
  <c r="O197"/>
  <c r="P197" s="1"/>
  <c r="Y196"/>
  <c r="O196"/>
  <c r="P196" s="1"/>
  <c r="Y195"/>
  <c r="O195"/>
  <c r="P195" s="1"/>
  <c r="X194"/>
  <c r="W194"/>
  <c r="V194"/>
  <c r="U194"/>
  <c r="T194"/>
  <c r="S194"/>
  <c r="R194"/>
  <c r="Q194"/>
  <c r="N194"/>
  <c r="M194"/>
  <c r="G194"/>
  <c r="F194"/>
  <c r="E194"/>
  <c r="D194"/>
  <c r="Y193"/>
  <c r="O193"/>
  <c r="P193" s="1"/>
  <c r="Y192"/>
  <c r="O192"/>
  <c r="P192" s="1"/>
  <c r="Y191"/>
  <c r="O191"/>
  <c r="P191" s="1"/>
  <c r="Y190"/>
  <c r="O190"/>
  <c r="P190" s="1"/>
  <c r="Y189"/>
  <c r="O189"/>
  <c r="P189" s="1"/>
  <c r="Y188"/>
  <c r="O188"/>
  <c r="P188" s="1"/>
  <c r="Y187"/>
  <c r="O187"/>
  <c r="P187" s="1"/>
  <c r="Y186"/>
  <c r="O186"/>
  <c r="P186" s="1"/>
  <c r="Y185"/>
  <c r="O185"/>
  <c r="P185" s="1"/>
  <c r="Y184"/>
  <c r="O184"/>
  <c r="P184" s="1"/>
  <c r="Y183"/>
  <c r="O183"/>
  <c r="P183" s="1"/>
  <c r="Y182"/>
  <c r="O182"/>
  <c r="P182" s="1"/>
  <c r="Y181"/>
  <c r="O181"/>
  <c r="P181" s="1"/>
  <c r="Y180"/>
  <c r="O180"/>
  <c r="P180" s="1"/>
  <c r="Y179"/>
  <c r="O179"/>
  <c r="P179" s="1"/>
  <c r="Y178"/>
  <c r="O178"/>
  <c r="P178" s="1"/>
  <c r="X177"/>
  <c r="W177"/>
  <c r="V177"/>
  <c r="U177"/>
  <c r="T177"/>
  <c r="S177"/>
  <c r="R177"/>
  <c r="Q177"/>
  <c r="Y177" s="1"/>
  <c r="N177"/>
  <c r="M177"/>
  <c r="G177"/>
  <c r="F177"/>
  <c r="E177"/>
  <c r="D177"/>
  <c r="Y176"/>
  <c r="O176"/>
  <c r="P176" s="1"/>
  <c r="Y175"/>
  <c r="O175"/>
  <c r="P175" s="1"/>
  <c r="Y174"/>
  <c r="O174"/>
  <c r="P174" s="1"/>
  <c r="Y173"/>
  <c r="O173"/>
  <c r="P173" s="1"/>
  <c r="Y172"/>
  <c r="O172"/>
  <c r="P172" s="1"/>
  <c r="Y171"/>
  <c r="O171"/>
  <c r="P171" s="1"/>
  <c r="Y170"/>
  <c r="O170"/>
  <c r="P170" s="1"/>
  <c r="Y169"/>
  <c r="O169"/>
  <c r="P169" s="1"/>
  <c r="Y168"/>
  <c r="O168"/>
  <c r="P168" s="1"/>
  <c r="Y167"/>
  <c r="O167"/>
  <c r="P167" s="1"/>
  <c r="Y166"/>
  <c r="O166"/>
  <c r="P166" s="1"/>
  <c r="Y165"/>
  <c r="O165"/>
  <c r="P165" s="1"/>
  <c r="Y164"/>
  <c r="O164"/>
  <c r="P164" s="1"/>
  <c r="Y163"/>
  <c r="O163"/>
  <c r="P163" s="1"/>
  <c r="Y162"/>
  <c r="O162"/>
  <c r="P162" s="1"/>
  <c r="Y161"/>
  <c r="O161"/>
  <c r="P161" s="1"/>
  <c r="X160"/>
  <c r="W160"/>
  <c r="V160"/>
  <c r="U160"/>
  <c r="T160"/>
  <c r="S160"/>
  <c r="R160"/>
  <c r="Q160"/>
  <c r="Y160" s="1"/>
  <c r="N160"/>
  <c r="M160"/>
  <c r="G160"/>
  <c r="F160"/>
  <c r="E160"/>
  <c r="D160"/>
  <c r="Y159"/>
  <c r="O159"/>
  <c r="P159" s="1"/>
  <c r="Y158"/>
  <c r="O158"/>
  <c r="P158" s="1"/>
  <c r="Y157"/>
  <c r="O157"/>
  <c r="P157" s="1"/>
  <c r="Y156"/>
  <c r="O156"/>
  <c r="P156" s="1"/>
  <c r="Y155"/>
  <c r="O155"/>
  <c r="P155" s="1"/>
  <c r="Y154"/>
  <c r="O154"/>
  <c r="P154" s="1"/>
  <c r="Y153"/>
  <c r="O153"/>
  <c r="P153" s="1"/>
  <c r="Y152"/>
  <c r="O152"/>
  <c r="P152" s="1"/>
  <c r="Y151"/>
  <c r="O151"/>
  <c r="P151" s="1"/>
  <c r="Y150"/>
  <c r="O150"/>
  <c r="P150" s="1"/>
  <c r="Y149"/>
  <c r="O149"/>
  <c r="P149" s="1"/>
  <c r="Y148"/>
  <c r="O148"/>
  <c r="P148" s="1"/>
  <c r="Y147"/>
  <c r="O147"/>
  <c r="P147" s="1"/>
  <c r="Y146"/>
  <c r="O146"/>
  <c r="P146" s="1"/>
  <c r="Y145"/>
  <c r="O145"/>
  <c r="P145" s="1"/>
  <c r="Y144"/>
  <c r="O144"/>
  <c r="P144" s="1"/>
  <c r="X143"/>
  <c r="W143"/>
  <c r="V143"/>
  <c r="U143"/>
  <c r="T143"/>
  <c r="S143"/>
  <c r="R143"/>
  <c r="Q143"/>
  <c r="N143"/>
  <c r="M143"/>
  <c r="G143"/>
  <c r="F143"/>
  <c r="E143"/>
  <c r="D143"/>
  <c r="Y142"/>
  <c r="O142"/>
  <c r="P142" s="1"/>
  <c r="Y141"/>
  <c r="O141"/>
  <c r="P141" s="1"/>
  <c r="Y140"/>
  <c r="O140"/>
  <c r="P140" s="1"/>
  <c r="Y139"/>
  <c r="O139"/>
  <c r="P139" s="1"/>
  <c r="Y138"/>
  <c r="O138"/>
  <c r="P138" s="1"/>
  <c r="Y137"/>
  <c r="O137"/>
  <c r="P137" s="1"/>
  <c r="Y136"/>
  <c r="O136"/>
  <c r="P136" s="1"/>
  <c r="Y135"/>
  <c r="O135"/>
  <c r="P135" s="1"/>
  <c r="Y134"/>
  <c r="O134"/>
  <c r="P134" s="1"/>
  <c r="Y133"/>
  <c r="O133"/>
  <c r="P133" s="1"/>
  <c r="Y132"/>
  <c r="O132"/>
  <c r="P132" s="1"/>
  <c r="Y131"/>
  <c r="O131"/>
  <c r="P131" s="1"/>
  <c r="Y130"/>
  <c r="O130"/>
  <c r="P130" s="1"/>
  <c r="Y129"/>
  <c r="O129"/>
  <c r="P129" s="1"/>
  <c r="Y128"/>
  <c r="O128"/>
  <c r="P128" s="1"/>
  <c r="Y127"/>
  <c r="O127"/>
  <c r="P127" s="1"/>
  <c r="X126"/>
  <c r="W126"/>
  <c r="V126"/>
  <c r="U126"/>
  <c r="T126"/>
  <c r="S126"/>
  <c r="R126"/>
  <c r="Q126"/>
  <c r="Y126" s="1"/>
  <c r="N126"/>
  <c r="M126"/>
  <c r="G126"/>
  <c r="F126"/>
  <c r="E126"/>
  <c r="D126"/>
  <c r="Y125"/>
  <c r="O125"/>
  <c r="P125" s="1"/>
  <c r="Y124"/>
  <c r="O124"/>
  <c r="P124" s="1"/>
  <c r="Y123"/>
  <c r="O123"/>
  <c r="P123" s="1"/>
  <c r="Y122"/>
  <c r="O122"/>
  <c r="P122" s="1"/>
  <c r="Y121"/>
  <c r="O121"/>
  <c r="P121" s="1"/>
  <c r="Y120"/>
  <c r="O120"/>
  <c r="P120" s="1"/>
  <c r="Y119"/>
  <c r="O119"/>
  <c r="P119" s="1"/>
  <c r="Y118"/>
  <c r="O118"/>
  <c r="P118" s="1"/>
  <c r="Y117"/>
  <c r="O117"/>
  <c r="P117" s="1"/>
  <c r="Y116"/>
  <c r="O116"/>
  <c r="P116" s="1"/>
  <c r="Y115"/>
  <c r="O115"/>
  <c r="P115" s="1"/>
  <c r="Y114"/>
  <c r="O114"/>
  <c r="P114" s="1"/>
  <c r="Y113"/>
  <c r="O113"/>
  <c r="P113" s="1"/>
  <c r="Y112"/>
  <c r="O112"/>
  <c r="P112" s="1"/>
  <c r="Y111"/>
  <c r="O111"/>
  <c r="P111" s="1"/>
  <c r="Y110"/>
  <c r="O110"/>
  <c r="P110" s="1"/>
  <c r="X109"/>
  <c r="W109"/>
  <c r="V109"/>
  <c r="U109"/>
  <c r="T109"/>
  <c r="S109"/>
  <c r="R109"/>
  <c r="Q109"/>
  <c r="N109"/>
  <c r="M109"/>
  <c r="G109"/>
  <c r="F109"/>
  <c r="E109"/>
  <c r="D109"/>
  <c r="Y108"/>
  <c r="O108"/>
  <c r="P108" s="1"/>
  <c r="Y107"/>
  <c r="O107"/>
  <c r="P107" s="1"/>
  <c r="Y106"/>
  <c r="O106"/>
  <c r="P106" s="1"/>
  <c r="Y105"/>
  <c r="O105"/>
  <c r="P105" s="1"/>
  <c r="Y104"/>
  <c r="O104"/>
  <c r="P104" s="1"/>
  <c r="Y103"/>
  <c r="O103"/>
  <c r="P103" s="1"/>
  <c r="Y102"/>
  <c r="O102"/>
  <c r="P102" s="1"/>
  <c r="Y101"/>
  <c r="O101"/>
  <c r="P101" s="1"/>
  <c r="Y100"/>
  <c r="O100"/>
  <c r="P100" s="1"/>
  <c r="Y99"/>
  <c r="O99"/>
  <c r="P99" s="1"/>
  <c r="Y98"/>
  <c r="O98"/>
  <c r="P98" s="1"/>
  <c r="Y97"/>
  <c r="O97"/>
  <c r="P97" s="1"/>
  <c r="Y96"/>
  <c r="O96"/>
  <c r="P96" s="1"/>
  <c r="Y95"/>
  <c r="O95"/>
  <c r="P95" s="1"/>
  <c r="Y94"/>
  <c r="O94"/>
  <c r="P94" s="1"/>
  <c r="Y93"/>
  <c r="O93"/>
  <c r="P93" s="1"/>
  <c r="X92"/>
  <c r="W92"/>
  <c r="V92"/>
  <c r="U92"/>
  <c r="T92"/>
  <c r="S92"/>
  <c r="R92"/>
  <c r="Y92" s="1"/>
  <c r="Q92"/>
  <c r="N92"/>
  <c r="M92"/>
  <c r="G92"/>
  <c r="F92"/>
  <c r="E22" i="2" s="1"/>
  <c r="E5" s="1"/>
  <c r="E92" i="1"/>
  <c r="D22" i="2" s="1"/>
  <c r="D5" s="1"/>
  <c r="D92" i="1"/>
  <c r="Y91"/>
  <c r="O91"/>
  <c r="P91" s="1"/>
  <c r="Y90"/>
  <c r="O90"/>
  <c r="P90" s="1"/>
  <c r="Y89"/>
  <c r="O89"/>
  <c r="P89" s="1"/>
  <c r="Y88"/>
  <c r="O88"/>
  <c r="P88" s="1"/>
  <c r="Y87"/>
  <c r="O87"/>
  <c r="P87" s="1"/>
  <c r="Y86"/>
  <c r="O86"/>
  <c r="P86" s="1"/>
  <c r="Y85"/>
  <c r="O85"/>
  <c r="P85" s="1"/>
  <c r="Y84"/>
  <c r="O84"/>
  <c r="P84" s="1"/>
  <c r="Y83"/>
  <c r="O83"/>
  <c r="P83" s="1"/>
  <c r="Y82"/>
  <c r="O82"/>
  <c r="P82" s="1"/>
  <c r="Y81"/>
  <c r="O81"/>
  <c r="P81" s="1"/>
  <c r="Y80"/>
  <c r="O80"/>
  <c r="P80" s="1"/>
  <c r="Y79"/>
  <c r="O79"/>
  <c r="P79" s="1"/>
  <c r="Y78"/>
  <c r="O78"/>
  <c r="P78" s="1"/>
  <c r="Y77"/>
  <c r="O77"/>
  <c r="P77" s="1"/>
  <c r="Y76"/>
  <c r="O76"/>
  <c r="P76" s="1"/>
  <c r="X75"/>
  <c r="W75"/>
  <c r="V75"/>
  <c r="U75"/>
  <c r="T75"/>
  <c r="S75"/>
  <c r="R75"/>
  <c r="Q75"/>
  <c r="N75"/>
  <c r="M75"/>
  <c r="G75"/>
  <c r="F75"/>
  <c r="E75"/>
  <c r="D75"/>
  <c r="Y74"/>
  <c r="O74"/>
  <c r="P74" s="1"/>
  <c r="Y73"/>
  <c r="O73"/>
  <c r="P73" s="1"/>
  <c r="Y72"/>
  <c r="O72"/>
  <c r="P72" s="1"/>
  <c r="Y71"/>
  <c r="O71"/>
  <c r="P71" s="1"/>
  <c r="Y70"/>
  <c r="O70"/>
  <c r="P70" s="1"/>
  <c r="Y69"/>
  <c r="O69"/>
  <c r="P69" s="1"/>
  <c r="Y68"/>
  <c r="O68"/>
  <c r="P68" s="1"/>
  <c r="Y67"/>
  <c r="O67"/>
  <c r="P67" s="1"/>
  <c r="Y66"/>
  <c r="O66"/>
  <c r="P66" s="1"/>
  <c r="Y65"/>
  <c r="O65"/>
  <c r="P65" s="1"/>
  <c r="Y64"/>
  <c r="O64"/>
  <c r="P64" s="1"/>
  <c r="Y63"/>
  <c r="O63"/>
  <c r="Y62"/>
  <c r="O62"/>
  <c r="P62" s="1"/>
  <c r="Y61"/>
  <c r="O61"/>
  <c r="P61" s="1"/>
  <c r="Y60"/>
  <c r="O60"/>
  <c r="P60" s="1"/>
  <c r="Y59"/>
  <c r="O59"/>
  <c r="P59" s="1"/>
  <c r="Y58"/>
  <c r="O58"/>
  <c r="P58" s="1"/>
  <c r="X57"/>
  <c r="W57"/>
  <c r="V57"/>
  <c r="U57"/>
  <c r="T57"/>
  <c r="S57"/>
  <c r="R57"/>
  <c r="Q57"/>
  <c r="N57"/>
  <c r="M57"/>
  <c r="G57"/>
  <c r="F57"/>
  <c r="E57"/>
  <c r="D57"/>
  <c r="Y56"/>
  <c r="O56"/>
  <c r="P56" s="1"/>
  <c r="Y55"/>
  <c r="O55"/>
  <c r="P55" s="1"/>
  <c r="Y54"/>
  <c r="O54"/>
  <c r="P54" s="1"/>
  <c r="Y53"/>
  <c r="O53"/>
  <c r="P53" s="1"/>
  <c r="Y52"/>
  <c r="O52"/>
  <c r="P52" s="1"/>
  <c r="Y51"/>
  <c r="O51"/>
  <c r="P51" s="1"/>
  <c r="Y50"/>
  <c r="O50"/>
  <c r="Y49"/>
  <c r="O49"/>
  <c r="P49" s="1"/>
  <c r="Y48"/>
  <c r="O48"/>
  <c r="P48" s="1"/>
  <c r="Y47"/>
  <c r="O47"/>
  <c r="P47" s="1"/>
  <c r="Y46"/>
  <c r="O46"/>
  <c r="P46" s="1"/>
  <c r="Y45"/>
  <c r="O45"/>
  <c r="P45" s="1"/>
  <c r="Y44"/>
  <c r="O44"/>
  <c r="P44" s="1"/>
  <c r="Y43"/>
  <c r="O43"/>
  <c r="P43" s="1"/>
  <c r="Y42"/>
  <c r="O42"/>
  <c r="P42" s="1"/>
  <c r="Y41"/>
  <c r="O41"/>
  <c r="P41" s="1"/>
  <c r="X40"/>
  <c r="W40"/>
  <c r="V40"/>
  <c r="U40"/>
  <c r="T40"/>
  <c r="S40"/>
  <c r="R40"/>
  <c r="Q40"/>
  <c r="Y40"/>
  <c r="N40"/>
  <c r="M40"/>
  <c r="G40"/>
  <c r="F40"/>
  <c r="E40"/>
  <c r="D40"/>
  <c r="Y39"/>
  <c r="O39"/>
  <c r="P39" s="1"/>
  <c r="Y38"/>
  <c r="O38"/>
  <c r="P38" s="1"/>
  <c r="Y37"/>
  <c r="O37"/>
  <c r="P37" s="1"/>
  <c r="Y36"/>
  <c r="O36"/>
  <c r="P36" s="1"/>
  <c r="Y35"/>
  <c r="O35"/>
  <c r="P35" s="1"/>
  <c r="Y34"/>
  <c r="O34"/>
  <c r="P34" s="1"/>
  <c r="Y33"/>
  <c r="O33"/>
  <c r="P33" s="1"/>
  <c r="Y32"/>
  <c r="O32"/>
  <c r="P32" s="1"/>
  <c r="Y31"/>
  <c r="O31"/>
  <c r="P31" s="1"/>
  <c r="Y30"/>
  <c r="O30"/>
  <c r="P30" s="1"/>
  <c r="Y29"/>
  <c r="O29"/>
  <c r="P29" s="1"/>
  <c r="Y28"/>
  <c r="O28"/>
  <c r="P28" s="1"/>
  <c r="Y27"/>
  <c r="O27"/>
  <c r="P27" s="1"/>
  <c r="Y26"/>
  <c r="O26"/>
  <c r="Y25"/>
  <c r="O25"/>
  <c r="P25" s="1"/>
  <c r="Y24"/>
  <c r="O24"/>
  <c r="X23"/>
  <c r="W23"/>
  <c r="V23"/>
  <c r="U23"/>
  <c r="T23"/>
  <c r="S23"/>
  <c r="R23"/>
  <c r="Q23"/>
  <c r="N23"/>
  <c r="M23"/>
  <c r="G23"/>
  <c r="F23"/>
  <c r="E23"/>
  <c r="D23"/>
  <c r="Y22"/>
  <c r="O22"/>
  <c r="P22" s="1"/>
  <c r="Y21"/>
  <c r="O21"/>
  <c r="Y20"/>
  <c r="O20"/>
  <c r="Y19"/>
  <c r="O19"/>
  <c r="P19" s="1"/>
  <c r="Y18"/>
  <c r="O18"/>
  <c r="P18" s="1"/>
  <c r="Y17"/>
  <c r="O17"/>
  <c r="P17" s="1"/>
  <c r="Y16"/>
  <c r="O16"/>
  <c r="P16" s="1"/>
  <c r="Y15"/>
  <c r="O15"/>
  <c r="P15" s="1"/>
  <c r="Y14"/>
  <c r="O14"/>
  <c r="P14" s="1"/>
  <c r="Y13"/>
  <c r="O13"/>
  <c r="P13" s="1"/>
  <c r="Y12"/>
  <c r="O12"/>
  <c r="P12" s="1"/>
  <c r="Y11"/>
  <c r="O11"/>
  <c r="P11" s="1"/>
  <c r="Y10"/>
  <c r="O10"/>
  <c r="P10" s="1"/>
  <c r="Y9"/>
  <c r="O9"/>
  <c r="Y8"/>
  <c r="O8"/>
  <c r="P8" s="1"/>
  <c r="Y7"/>
  <c r="O7"/>
  <c r="P7" s="1"/>
  <c r="X6"/>
  <c r="W6"/>
  <c r="V6"/>
  <c r="U6"/>
  <c r="T6"/>
  <c r="S6"/>
  <c r="R6"/>
  <c r="Q6"/>
  <c r="N6"/>
  <c r="N338" s="1"/>
  <c r="M6"/>
  <c r="G6"/>
  <c r="F6"/>
  <c r="E6"/>
  <c r="E338" s="1"/>
  <c r="D6"/>
  <c r="I67" i="2" l="1"/>
  <c r="X338" i="1"/>
  <c r="D338"/>
  <c r="M338"/>
  <c r="W338"/>
  <c r="Z20"/>
  <c r="AA20" s="1"/>
  <c r="P253"/>
  <c r="Z247"/>
  <c r="AA247" s="1"/>
  <c r="Z325"/>
  <c r="AA325" s="1"/>
  <c r="Z331"/>
  <c r="AA331" s="1"/>
  <c r="G338"/>
  <c r="O143"/>
  <c r="O228"/>
  <c r="P228" s="1"/>
  <c r="Y236"/>
  <c r="Z246"/>
  <c r="AA246" s="1"/>
  <c r="X63" i="2"/>
  <c r="Y6" i="1"/>
  <c r="P20"/>
  <c r="Z47"/>
  <c r="AA47" s="1"/>
  <c r="Z184"/>
  <c r="AA184" s="1"/>
  <c r="Z229"/>
  <c r="AA229" s="1"/>
  <c r="O236"/>
  <c r="P236" s="1"/>
  <c r="O287"/>
  <c r="P287" s="1"/>
  <c r="H67" i="2"/>
  <c r="Z9" i="1"/>
  <c r="AA9" s="1"/>
  <c r="O109"/>
  <c r="P109" s="1"/>
  <c r="Z289"/>
  <c r="AA289" s="1"/>
  <c r="Z73"/>
  <c r="AA73" s="1"/>
  <c r="Z224"/>
  <c r="AA224" s="1"/>
  <c r="Z275"/>
  <c r="AA275" s="1"/>
  <c r="Z285"/>
  <c r="AA285" s="1"/>
  <c r="Z52"/>
  <c r="AA52" s="1"/>
  <c r="Z77"/>
  <c r="AA77" s="1"/>
  <c r="Z153"/>
  <c r="AA153" s="1"/>
  <c r="Z159"/>
  <c r="AA159" s="1"/>
  <c r="Z163"/>
  <c r="AA163" s="1"/>
  <c r="Z167"/>
  <c r="AA167" s="1"/>
  <c r="Z171"/>
  <c r="AA171" s="1"/>
  <c r="Z175"/>
  <c r="AA175" s="1"/>
  <c r="Z235"/>
  <c r="AA235" s="1"/>
  <c r="P289"/>
  <c r="Z305"/>
  <c r="AA305" s="1"/>
  <c r="Z311"/>
  <c r="AA311" s="1"/>
  <c r="Z315"/>
  <c r="AA315" s="1"/>
  <c r="R23" i="2"/>
  <c r="N45"/>
  <c r="O45" s="1"/>
  <c r="G67"/>
  <c r="Z24" i="1"/>
  <c r="AA24" s="1"/>
  <c r="Z26"/>
  <c r="AA26" s="1"/>
  <c r="O40"/>
  <c r="P40" s="1"/>
  <c r="O92"/>
  <c r="P92" s="1"/>
  <c r="O126"/>
  <c r="P126" s="1"/>
  <c r="O160"/>
  <c r="P160" s="1"/>
  <c r="O177"/>
  <c r="Y194"/>
  <c r="O304"/>
  <c r="P304" s="1"/>
  <c r="W51" i="2"/>
  <c r="F338" i="1"/>
  <c r="Z11"/>
  <c r="AA11" s="1"/>
  <c r="Z21"/>
  <c r="AA21" s="1"/>
  <c r="O57"/>
  <c r="P57" s="1"/>
  <c r="Z63"/>
  <c r="AA63" s="1"/>
  <c r="O75"/>
  <c r="P75" s="1"/>
  <c r="Z115"/>
  <c r="AA115" s="1"/>
  <c r="Z117"/>
  <c r="AA117" s="1"/>
  <c r="Z119"/>
  <c r="AA119" s="1"/>
  <c r="Z140"/>
  <c r="AA140" s="1"/>
  <c r="O194"/>
  <c r="P194" s="1"/>
  <c r="Z220"/>
  <c r="AA220" s="1"/>
  <c r="Z254"/>
  <c r="AA254" s="1"/>
  <c r="Z256"/>
  <c r="AA256" s="1"/>
  <c r="Z262"/>
  <c r="AA262" s="1"/>
  <c r="O321"/>
  <c r="O23"/>
  <c r="P23" s="1"/>
  <c r="Z34"/>
  <c r="AA34" s="1"/>
  <c r="Z50"/>
  <c r="AA50" s="1"/>
  <c r="Z82"/>
  <c r="AA82" s="1"/>
  <c r="Z90"/>
  <c r="AA90" s="1"/>
  <c r="Z100"/>
  <c r="AA100" s="1"/>
  <c r="Z120"/>
  <c r="AA120" s="1"/>
  <c r="Z124"/>
  <c r="AA124" s="1"/>
  <c r="Z130"/>
  <c r="AA130" s="1"/>
  <c r="Z136"/>
  <c r="AA136" s="1"/>
  <c r="Z144"/>
  <c r="AA144" s="1"/>
  <c r="Z204"/>
  <c r="AA204" s="1"/>
  <c r="Z206"/>
  <c r="AA206" s="1"/>
  <c r="Z234"/>
  <c r="AA234" s="1"/>
  <c r="O270"/>
  <c r="P270" s="1"/>
  <c r="Z328"/>
  <c r="AA328" s="1"/>
  <c r="Z323"/>
  <c r="AA323" s="1"/>
  <c r="X44" i="2"/>
  <c r="P177" i="1"/>
  <c r="Z7"/>
  <c r="AA7" s="1"/>
  <c r="P9"/>
  <c r="P21"/>
  <c r="P26"/>
  <c r="Z27"/>
  <c r="AA27" s="1"/>
  <c r="Z44"/>
  <c r="AA44" s="1"/>
  <c r="Z53"/>
  <c r="AA53" s="1"/>
  <c r="Z71"/>
  <c r="AA71" s="1"/>
  <c r="Z76"/>
  <c r="AA76" s="1"/>
  <c r="Z95"/>
  <c r="AA95" s="1"/>
  <c r="Z101"/>
  <c r="AA101" s="1"/>
  <c r="Z108"/>
  <c r="AA108" s="1"/>
  <c r="Z116"/>
  <c r="AA116" s="1"/>
  <c r="Z141"/>
  <c r="AA141" s="1"/>
  <c r="Z166"/>
  <c r="AA166" s="1"/>
  <c r="Z170"/>
  <c r="AA170" s="1"/>
  <c r="Z174"/>
  <c r="AA174" s="1"/>
  <c r="Z195"/>
  <c r="AA195" s="1"/>
  <c r="Z201"/>
  <c r="AA201" s="1"/>
  <c r="Z205"/>
  <c r="AA205" s="1"/>
  <c r="Z216"/>
  <c r="AA216" s="1"/>
  <c r="Z230"/>
  <c r="AA230" s="1"/>
  <c r="Z242"/>
  <c r="AA242" s="1"/>
  <c r="Z250"/>
  <c r="AA250" s="1"/>
  <c r="Z299"/>
  <c r="AA299" s="1"/>
  <c r="P321"/>
  <c r="Z324"/>
  <c r="AA324" s="1"/>
  <c r="P328"/>
  <c r="Z337"/>
  <c r="AA337" s="1"/>
  <c r="X48" i="2"/>
  <c r="F51"/>
  <c r="Q51"/>
  <c r="Z13" i="1"/>
  <c r="AA13" s="1"/>
  <c r="Z28"/>
  <c r="AA28" s="1"/>
  <c r="Z37"/>
  <c r="AA37" s="1"/>
  <c r="Z54"/>
  <c r="AA54" s="1"/>
  <c r="Z67"/>
  <c r="AA67" s="1"/>
  <c r="Z72"/>
  <c r="AA72" s="1"/>
  <c r="Z85"/>
  <c r="AA85" s="1"/>
  <c r="Z91"/>
  <c r="AA91" s="1"/>
  <c r="Z104"/>
  <c r="AA104" s="1"/>
  <c r="Z131"/>
  <c r="AA131" s="1"/>
  <c r="Z150"/>
  <c r="AA150" s="1"/>
  <c r="Z158"/>
  <c r="AA158" s="1"/>
  <c r="Z181"/>
  <c r="AA181" s="1"/>
  <c r="Z212"/>
  <c r="AA212" s="1"/>
  <c r="Z231"/>
  <c r="AA231" s="1"/>
  <c r="Z233"/>
  <c r="AA233" s="1"/>
  <c r="Z245"/>
  <c r="AA245" s="1"/>
  <c r="Z268"/>
  <c r="AA268" s="1"/>
  <c r="Z272"/>
  <c r="AA272" s="1"/>
  <c r="Z286"/>
  <c r="AA286" s="1"/>
  <c r="Z302"/>
  <c r="AA302" s="1"/>
  <c r="Z308"/>
  <c r="AA308" s="1"/>
  <c r="Z318"/>
  <c r="AA318" s="1"/>
  <c r="P331"/>
  <c r="T51" i="2"/>
  <c r="X24"/>
  <c r="C38"/>
  <c r="L38"/>
  <c r="X40"/>
  <c r="L23"/>
  <c r="Q23"/>
  <c r="Q38"/>
  <c r="U38"/>
  <c r="M51"/>
  <c r="F38"/>
  <c r="N49"/>
  <c r="C51"/>
  <c r="L51"/>
  <c r="N66"/>
  <c r="O66" s="1"/>
  <c r="T38"/>
  <c r="N41"/>
  <c r="O41" s="1"/>
  <c r="N61"/>
  <c r="O61" s="1"/>
  <c r="M23"/>
  <c r="V23"/>
  <c r="W23"/>
  <c r="M38"/>
  <c r="R38"/>
  <c r="V38"/>
  <c r="U51"/>
  <c r="N53"/>
  <c r="P143" i="1"/>
  <c r="O6"/>
  <c r="P6" s="1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N24" i="2"/>
  <c r="O24" s="1"/>
  <c r="T23"/>
  <c r="C23"/>
  <c r="C67" s="1"/>
  <c r="U23"/>
  <c r="N28"/>
  <c r="N32"/>
  <c r="N36"/>
  <c r="O36" s="1"/>
  <c r="N54"/>
  <c r="N58"/>
  <c r="N65"/>
  <c r="Z10" i="1"/>
  <c r="AA10" s="1"/>
  <c r="Z16"/>
  <c r="AA16" s="1"/>
  <c r="P24"/>
  <c r="Z29"/>
  <c r="AA29" s="1"/>
  <c r="Z36"/>
  <c r="AA36" s="1"/>
  <c r="Z46"/>
  <c r="AA46" s="1"/>
  <c r="P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P325"/>
  <c r="Z327"/>
  <c r="AA327" s="1"/>
  <c r="Z336"/>
  <c r="AA336" s="1"/>
  <c r="S23" i="2"/>
  <c r="Y7" i="3"/>
  <c r="Z7" s="1"/>
  <c r="Y23" i="1"/>
  <c r="Y57"/>
  <c r="Z57" s="1"/>
  <c r="AA57" s="1"/>
  <c r="Z61"/>
  <c r="AA61" s="1"/>
  <c r="P63"/>
  <c r="Z103"/>
  <c r="AA103" s="1"/>
  <c r="Z249"/>
  <c r="AA249" s="1"/>
  <c r="Z252"/>
  <c r="AA252" s="1"/>
  <c r="Z321"/>
  <c r="AA321" s="1"/>
  <c r="W38" i="2"/>
  <c r="Z40" i="1"/>
  <c r="AA40" s="1"/>
  <c r="U338"/>
  <c r="Z177"/>
  <c r="AA177" s="1"/>
  <c r="Z228"/>
  <c r="AA228" s="1"/>
  <c r="Z236"/>
  <c r="AA236" s="1"/>
  <c r="V51" i="2"/>
  <c r="V67" s="1"/>
  <c r="N57"/>
  <c r="O57" s="1"/>
  <c r="Z30" i="1"/>
  <c r="AA30" s="1"/>
  <c r="Z48"/>
  <c r="AA48" s="1"/>
  <c r="N25" i="2"/>
  <c r="O25" s="1"/>
  <c r="P23"/>
  <c r="X28"/>
  <c r="N29"/>
  <c r="O29" s="1"/>
  <c r="N33"/>
  <c r="X33"/>
  <c r="N37"/>
  <c r="O37" s="1"/>
  <c r="X37"/>
  <c r="N42"/>
  <c r="O42" s="1"/>
  <c r="N46"/>
  <c r="N50"/>
  <c r="O50" s="1"/>
  <c r="N62"/>
  <c r="Z23" i="1"/>
  <c r="AA23" s="1"/>
  <c r="Z38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F23" i="2"/>
  <c r="X25"/>
  <c r="N26"/>
  <c r="N30"/>
  <c r="O30" s="1"/>
  <c r="X30"/>
  <c r="N34"/>
  <c r="O34" s="1"/>
  <c r="N39"/>
  <c r="O39" s="1"/>
  <c r="N43"/>
  <c r="O43" s="1"/>
  <c r="N47"/>
  <c r="O47" s="1"/>
  <c r="N55"/>
  <c r="O55" s="1"/>
  <c r="N59"/>
  <c r="O59" s="1"/>
  <c r="N63"/>
  <c r="Y63" s="1"/>
  <c r="Z63" s="1"/>
  <c r="N9" i="3"/>
  <c r="O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2"/>
  <c r="AA92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N27" i="2"/>
  <c r="O27" s="1"/>
  <c r="N31"/>
  <c r="O31" s="1"/>
  <c r="N35"/>
  <c r="O35" s="1"/>
  <c r="S38"/>
  <c r="N40"/>
  <c r="Y40" s="1"/>
  <c r="Z40" s="1"/>
  <c r="P38"/>
  <c r="N44"/>
  <c r="Y44" s="1"/>
  <c r="Z44" s="1"/>
  <c r="N48"/>
  <c r="O48" s="1"/>
  <c r="N52"/>
  <c r="R51"/>
  <c r="P51"/>
  <c r="N56"/>
  <c r="O56" s="1"/>
  <c r="N60"/>
  <c r="O60" s="1"/>
  <c r="N64"/>
  <c r="T67"/>
  <c r="X9" i="3"/>
  <c r="V338" i="1"/>
  <c r="X41" i="2"/>
  <c r="X45"/>
  <c r="X49"/>
  <c r="X42"/>
  <c r="X46"/>
  <c r="X50"/>
  <c r="X39"/>
  <c r="X43"/>
  <c r="X47"/>
  <c r="S51"/>
  <c r="X53"/>
  <c r="Y53" s="1"/>
  <c r="Z53" s="1"/>
  <c r="X57"/>
  <c r="X52"/>
  <c r="X56"/>
  <c r="Y56" s="1"/>
  <c r="Z56" s="1"/>
  <c r="X60"/>
  <c r="X61"/>
  <c r="Y61" s="1"/>
  <c r="Z61" s="1"/>
  <c r="X64"/>
  <c r="X65"/>
  <c r="Y65" s="1"/>
  <c r="Z65" s="1"/>
  <c r="X66"/>
  <c r="X54"/>
  <c r="X58"/>
  <c r="Y58" s="1"/>
  <c r="Z58" s="1"/>
  <c r="X62"/>
  <c r="X55"/>
  <c r="X59"/>
  <c r="X32"/>
  <c r="Y32" s="1"/>
  <c r="Z32" s="1"/>
  <c r="X36"/>
  <c r="X29"/>
  <c r="Y29" s="1"/>
  <c r="Z29" s="1"/>
  <c r="X34"/>
  <c r="Y34" s="1"/>
  <c r="Z34" s="1"/>
  <c r="X26"/>
  <c r="X27"/>
  <c r="X31"/>
  <c r="X35"/>
  <c r="Y287" i="1"/>
  <c r="Z287" s="1"/>
  <c r="AA287" s="1"/>
  <c r="T338"/>
  <c r="S338"/>
  <c r="R338"/>
  <c r="Q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O6"/>
  <c r="Y5"/>
  <c r="Z5" s="1"/>
  <c r="N5" i="2"/>
  <c r="O5" s="1"/>
  <c r="O49"/>
  <c r="Y28"/>
  <c r="Z28" s="1"/>
  <c r="O28"/>
  <c r="O32"/>
  <c r="O53"/>
  <c r="O58"/>
  <c r="O64"/>
  <c r="O65"/>
  <c r="O338" i="1"/>
  <c r="Z211"/>
  <c r="AA211" s="1"/>
  <c r="N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Y35" l="1"/>
  <c r="Z35" s="1"/>
  <c r="W67"/>
  <c r="Y50"/>
  <c r="Z50" s="1"/>
  <c r="Y45"/>
  <c r="Z45" s="1"/>
  <c r="Y41"/>
  <c r="Z41" s="1"/>
  <c r="U67"/>
  <c r="Q67"/>
  <c r="Y52"/>
  <c r="Z52" s="1"/>
  <c r="L67"/>
  <c r="Y46"/>
  <c r="Z46" s="1"/>
  <c r="O46"/>
  <c r="Y66"/>
  <c r="Z66" s="1"/>
  <c r="F67"/>
  <c r="O63"/>
  <c r="Y43"/>
  <c r="Z43" s="1"/>
  <c r="Y26"/>
  <c r="Z26" s="1"/>
  <c r="Y33"/>
  <c r="Z33" s="1"/>
  <c r="M67"/>
  <c r="Z304" i="1"/>
  <c r="AA304" s="1"/>
  <c r="Y39" i="2"/>
  <c r="Z39" s="1"/>
  <c r="Y27"/>
  <c r="Z27" s="1"/>
  <c r="Y57"/>
  <c r="Z57" s="1"/>
  <c r="Y54"/>
  <c r="Z54" s="1"/>
  <c r="Y49"/>
  <c r="Z49" s="1"/>
  <c r="O44"/>
  <c r="O26"/>
  <c r="Y25"/>
  <c r="Z25" s="1"/>
  <c r="Y30"/>
  <c r="Z30" s="1"/>
  <c r="O33"/>
  <c r="Y62"/>
  <c r="Z62" s="1"/>
  <c r="Y37"/>
  <c r="Z37" s="1"/>
  <c r="R67"/>
  <c r="Y48"/>
  <c r="Z48" s="1"/>
  <c r="O62"/>
  <c r="X51"/>
  <c r="Y24"/>
  <c r="Y47"/>
  <c r="Z47" s="1"/>
  <c r="O54"/>
  <c r="N23"/>
  <c r="O23" s="1"/>
  <c r="Y31"/>
  <c r="Z31" s="1"/>
  <c r="X38"/>
  <c r="O40"/>
  <c r="Y36"/>
  <c r="Z36" s="1"/>
  <c r="Z126" i="1"/>
  <c r="AA126" s="1"/>
  <c r="N51" i="2"/>
  <c r="O51" s="1"/>
  <c r="O52"/>
  <c r="Y42"/>
  <c r="Z42" s="1"/>
  <c r="Y9" i="3"/>
  <c r="Z9" s="1"/>
  <c r="N22"/>
  <c r="O22" s="1"/>
  <c r="Y64" i="2"/>
  <c r="Z64" s="1"/>
  <c r="P67"/>
  <c r="X23"/>
  <c r="Y60"/>
  <c r="Z60" s="1"/>
  <c r="S67"/>
  <c r="Y59"/>
  <c r="Z59" s="1"/>
  <c r="N38"/>
  <c r="O38" s="1"/>
  <c r="Y55"/>
  <c r="Z55" s="1"/>
  <c r="Y338" i="1"/>
  <c r="Z338" s="1"/>
  <c r="AA338" s="1"/>
  <c r="Z24" i="2"/>
  <c r="O10" i="3"/>
  <c r="X22"/>
  <c r="Y10"/>
  <c r="Z5" i="2"/>
  <c r="Y5"/>
  <c r="X67" l="1"/>
  <c r="Z23"/>
  <c r="Z38"/>
  <c r="N67"/>
  <c r="O67" s="1"/>
  <c r="Y38"/>
  <c r="Y23"/>
  <c r="Y51"/>
  <c r="Z51"/>
  <c r="Z10" i="3"/>
  <c r="Z22" s="1"/>
  <c r="Y22"/>
  <c r="Y67" i="2" l="1"/>
  <c r="Z67"/>
</calcChain>
</file>

<file path=xl/sharedStrings.xml><?xml version="1.0" encoding="utf-8"?>
<sst xmlns="http://schemas.openxmlformats.org/spreadsheetml/2006/main" count="1480" uniqueCount="133">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</sst>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quotePrefix="1" applyFont="1" applyFill="1" applyBorder="1" applyAlignment="1">
      <alignment horizontal="centerContinuous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topLeftCell="C1" zoomScale="90" zoomScaleNormal="90" workbookViewId="0">
      <pane ySplit="5" topLeftCell="A6" activePane="bottomLeft" state="frozen"/>
      <selection pane="bottomLeft" activeCell="C6" sqref="C6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4" width="11.42578125" customWidth="1"/>
    <col min="15" max="15" width="12" customWidth="1"/>
    <col min="16" max="16" width="11.85546875" customWidth="1"/>
    <col min="17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O3" s="1"/>
      <c r="Y3" s="1"/>
      <c r="Z3" s="1"/>
      <c r="AA3" s="1"/>
    </row>
    <row r="4" spans="1:27" ht="30" customHeight="1">
      <c r="A4" s="228" t="s">
        <v>1</v>
      </c>
      <c r="B4" s="230" t="s">
        <v>2</v>
      </c>
      <c r="C4" s="230" t="s">
        <v>3</v>
      </c>
      <c r="D4" s="232" t="s">
        <v>4</v>
      </c>
      <c r="E4" s="232" t="s">
        <v>5</v>
      </c>
      <c r="F4" s="232" t="s">
        <v>6</v>
      </c>
      <c r="G4" s="2" t="s">
        <v>7</v>
      </c>
      <c r="H4" s="2"/>
      <c r="I4" s="2"/>
      <c r="J4" s="2"/>
      <c r="K4" s="2"/>
      <c r="L4" s="2"/>
      <c r="M4" s="2"/>
      <c r="N4" s="2"/>
      <c r="O4" s="2"/>
      <c r="P4" s="224" t="s">
        <v>132</v>
      </c>
      <c r="Q4" s="234"/>
      <c r="R4" s="234"/>
      <c r="S4" s="234"/>
      <c r="T4" s="235"/>
      <c r="U4" s="236" t="s">
        <v>9</v>
      </c>
      <c r="V4" s="235"/>
      <c r="W4" s="238" t="s">
        <v>10</v>
      </c>
      <c r="X4" s="237" t="s">
        <v>11</v>
      </c>
      <c r="Y4" s="222" t="s">
        <v>12</v>
      </c>
      <c r="Z4" s="222" t="s">
        <v>13</v>
      </c>
      <c r="AA4" s="226" t="s">
        <v>14</v>
      </c>
    </row>
    <row r="5" spans="1:27" ht="41.25" customHeight="1">
      <c r="A5" s="229"/>
      <c r="B5" s="231"/>
      <c r="C5" s="231"/>
      <c r="D5" s="233"/>
      <c r="E5" s="233"/>
      <c r="F5" s="233"/>
      <c r="G5" s="4" t="s">
        <v>15</v>
      </c>
      <c r="H5" s="4" t="s">
        <v>16</v>
      </c>
      <c r="I5" s="4" t="s">
        <v>17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 t="s">
        <v>18</v>
      </c>
      <c r="P5" s="225"/>
      <c r="Q5" s="190" t="s">
        <v>24</v>
      </c>
      <c r="R5" s="190" t="s">
        <v>25</v>
      </c>
      <c r="S5" s="118" t="s">
        <v>26</v>
      </c>
      <c r="T5" s="118" t="s">
        <v>27</v>
      </c>
      <c r="U5" s="81">
        <v>276</v>
      </c>
      <c r="V5" s="81">
        <v>728</v>
      </c>
      <c r="W5" s="239"/>
      <c r="X5" s="237"/>
      <c r="Y5" s="223"/>
      <c r="Z5" s="223"/>
      <c r="AA5" s="227"/>
    </row>
    <row r="6" spans="1:27" s="108" customFormat="1" ht="13.5" customHeight="1">
      <c r="A6" s="191" t="s">
        <v>28</v>
      </c>
      <c r="B6" s="179"/>
      <c r="C6" s="128"/>
      <c r="D6" s="129">
        <f t="shared" ref="D6:N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:L6" si="1">SUBTOTAL(9,H7:H22)</f>
        <v>0</v>
      </c>
      <c r="I6" s="130">
        <f t="shared" si="1"/>
        <v>0</v>
      </c>
      <c r="J6" s="130">
        <f t="shared" si="1"/>
        <v>0</v>
      </c>
      <c r="K6" s="130">
        <f t="shared" si="1"/>
        <v>0</v>
      </c>
      <c r="L6" s="130">
        <f t="shared" si="1"/>
        <v>0</v>
      </c>
      <c r="M6" s="130">
        <f t="shared" si="0"/>
        <v>0</v>
      </c>
      <c r="N6" s="130">
        <f t="shared" si="0"/>
        <v>0</v>
      </c>
      <c r="O6" s="107">
        <f t="shared" ref="O6:O69" si="2">SUM(G6:N6)</f>
        <v>0</v>
      </c>
      <c r="P6" s="107">
        <f t="shared" ref="P6:P69" si="3">D6-O6</f>
        <v>0</v>
      </c>
      <c r="Q6" s="130">
        <f t="shared" ref="Q6:X6" si="4">SUBTOTAL(9,Q7:Q22)</f>
        <v>0</v>
      </c>
      <c r="R6" s="130">
        <f t="shared" si="4"/>
        <v>0</v>
      </c>
      <c r="S6" s="130">
        <f t="shared" si="4"/>
        <v>0</v>
      </c>
      <c r="T6" s="130">
        <f t="shared" si="4"/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SUM(Q6:X6)</f>
        <v>0</v>
      </c>
      <c r="Z6" s="56">
        <f>+O6+Y6</f>
        <v>0</v>
      </c>
      <c r="AA6" s="131">
        <f>+D6-Z6</f>
        <v>0</v>
      </c>
    </row>
    <row r="7" spans="1:27" s="138" customFormat="1" ht="13.5" customHeight="1">
      <c r="A7" s="217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66"/>
      <c r="L7" s="66"/>
      <c r="M7" s="66"/>
      <c r="N7" s="66"/>
      <c r="O7" s="133">
        <f t="shared" si="2"/>
        <v>0</v>
      </c>
      <c r="P7" s="134">
        <f t="shared" si="3"/>
        <v>0</v>
      </c>
      <c r="Q7" s="132"/>
      <c r="R7" s="132"/>
      <c r="S7" s="132"/>
      <c r="T7" s="132"/>
      <c r="U7" s="135">
        <v>0</v>
      </c>
      <c r="V7" s="135">
        <v>0</v>
      </c>
      <c r="W7" s="135"/>
      <c r="X7" s="132"/>
      <c r="Y7" s="136">
        <f>SUM(Q7:X7)</f>
        <v>0</v>
      </c>
      <c r="Z7" s="136">
        <f>+O7+Y7</f>
        <v>0</v>
      </c>
      <c r="AA7" s="137">
        <f>+D7-Z7</f>
        <v>0</v>
      </c>
    </row>
    <row r="8" spans="1:27" s="138" customFormat="1" ht="13.5" customHeight="1">
      <c r="A8" s="217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68"/>
      <c r="L8" s="68"/>
      <c r="M8" s="68"/>
      <c r="N8" s="68"/>
      <c r="O8" s="140">
        <f t="shared" si="2"/>
        <v>0</v>
      </c>
      <c r="P8" s="141">
        <f t="shared" si="3"/>
        <v>0</v>
      </c>
      <c r="Q8" s="139"/>
      <c r="R8" s="139"/>
      <c r="S8" s="139"/>
      <c r="T8" s="139"/>
      <c r="U8" s="142">
        <v>0</v>
      </c>
      <c r="V8" s="142">
        <v>0</v>
      </c>
      <c r="W8" s="142"/>
      <c r="X8" s="139"/>
      <c r="Y8" s="136">
        <f>SUM(Q8:X8)</f>
        <v>0</v>
      </c>
      <c r="Z8" s="136">
        <f>+O8+Y8</f>
        <v>0</v>
      </c>
      <c r="AA8" s="137">
        <f>+D8-Z8</f>
        <v>0</v>
      </c>
    </row>
    <row r="9" spans="1:27" s="138" customFormat="1" ht="13.5" customHeight="1">
      <c r="A9" s="217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68"/>
      <c r="L9" s="68"/>
      <c r="M9" s="68"/>
      <c r="N9" s="68"/>
      <c r="O9" s="140">
        <f t="shared" si="2"/>
        <v>0</v>
      </c>
      <c r="P9" s="141">
        <f t="shared" si="3"/>
        <v>0</v>
      </c>
      <c r="Q9" s="139"/>
      <c r="R9" s="139"/>
      <c r="S9" s="139"/>
      <c r="T9" s="139"/>
      <c r="U9" s="142">
        <v>0</v>
      </c>
      <c r="V9" s="142">
        <v>0</v>
      </c>
      <c r="W9" s="142"/>
      <c r="X9" s="139"/>
      <c r="Y9" s="136">
        <f>SUM(Q9:X9)</f>
        <v>0</v>
      </c>
      <c r="Z9" s="136">
        <f>+O9+Y9</f>
        <v>0</v>
      </c>
      <c r="AA9" s="137">
        <f>+D9-Z9</f>
        <v>0</v>
      </c>
    </row>
    <row r="10" spans="1:27" s="138" customFormat="1" ht="13.5" customHeight="1">
      <c r="A10" s="217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68"/>
      <c r="L10" s="68"/>
      <c r="M10" s="68"/>
      <c r="N10" s="68"/>
      <c r="O10" s="140">
        <f t="shared" si="2"/>
        <v>0</v>
      </c>
      <c r="P10" s="141">
        <f t="shared" si="3"/>
        <v>0</v>
      </c>
      <c r="Q10" s="139"/>
      <c r="R10" s="139"/>
      <c r="S10" s="139"/>
      <c r="T10" s="139"/>
      <c r="U10" s="142">
        <v>0</v>
      </c>
      <c r="V10" s="142">
        <v>0</v>
      </c>
      <c r="W10" s="142"/>
      <c r="X10" s="139"/>
      <c r="Y10" s="136">
        <f>SUM(Q10:X10)</f>
        <v>0</v>
      </c>
      <c r="Z10" s="136">
        <f>+O10+Y10</f>
        <v>0</v>
      </c>
      <c r="AA10" s="137">
        <f>+D10-Z10</f>
        <v>0</v>
      </c>
    </row>
    <row r="11" spans="1:27" s="138" customFormat="1" ht="13.5" customHeight="1">
      <c r="A11" s="217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68"/>
      <c r="L11" s="68"/>
      <c r="M11" s="68"/>
      <c r="N11" s="68"/>
      <c r="O11" s="140">
        <f t="shared" si="2"/>
        <v>0</v>
      </c>
      <c r="P11" s="141">
        <f t="shared" si="3"/>
        <v>0</v>
      </c>
      <c r="Q11" s="139"/>
      <c r="R11" s="139"/>
      <c r="S11" s="139"/>
      <c r="T11" s="139"/>
      <c r="U11" s="142">
        <v>0</v>
      </c>
      <c r="V11" s="142">
        <v>0</v>
      </c>
      <c r="W11" s="142"/>
      <c r="X11" s="139"/>
      <c r="Y11" s="136">
        <f>SUM(Q11:X11)</f>
        <v>0</v>
      </c>
      <c r="Z11" s="136">
        <f>+O11+Y11</f>
        <v>0</v>
      </c>
      <c r="AA11" s="137">
        <f>+D11-Z11</f>
        <v>0</v>
      </c>
    </row>
    <row r="12" spans="1:27" s="138" customFormat="1" ht="13.5" customHeight="1">
      <c r="A12" s="217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68"/>
      <c r="L12" s="68"/>
      <c r="M12" s="68"/>
      <c r="N12" s="68"/>
      <c r="O12" s="140">
        <f t="shared" si="2"/>
        <v>0</v>
      </c>
      <c r="P12" s="141">
        <f t="shared" si="3"/>
        <v>0</v>
      </c>
      <c r="Q12" s="139"/>
      <c r="R12" s="139"/>
      <c r="S12" s="139"/>
      <c r="T12" s="139"/>
      <c r="U12" s="142">
        <v>0</v>
      </c>
      <c r="V12" s="142">
        <v>0</v>
      </c>
      <c r="W12" s="142"/>
      <c r="X12" s="139"/>
      <c r="Y12" s="136">
        <f>SUM(Q12:X12)</f>
        <v>0</v>
      </c>
      <c r="Z12" s="136">
        <f>+O12+Y12</f>
        <v>0</v>
      </c>
      <c r="AA12" s="137">
        <f>+D12-Z12</f>
        <v>0</v>
      </c>
    </row>
    <row r="13" spans="1:27" s="138" customFormat="1" ht="13.5" customHeight="1">
      <c r="A13" s="217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68"/>
      <c r="L13" s="68"/>
      <c r="M13" s="68"/>
      <c r="N13" s="68"/>
      <c r="O13" s="140">
        <f t="shared" si="2"/>
        <v>0</v>
      </c>
      <c r="P13" s="141">
        <f t="shared" si="3"/>
        <v>0</v>
      </c>
      <c r="Q13" s="139"/>
      <c r="R13" s="139"/>
      <c r="S13" s="139"/>
      <c r="T13" s="139"/>
      <c r="U13" s="142">
        <v>0</v>
      </c>
      <c r="V13" s="142">
        <v>0</v>
      </c>
      <c r="W13" s="142"/>
      <c r="X13" s="139"/>
      <c r="Y13" s="136">
        <f>SUM(Q13:X13)</f>
        <v>0</v>
      </c>
      <c r="Z13" s="136">
        <f>+O13+Y13</f>
        <v>0</v>
      </c>
      <c r="AA13" s="137">
        <f>+D13-Z13</f>
        <v>0</v>
      </c>
    </row>
    <row r="14" spans="1:27" s="138" customFormat="1" ht="13.5" customHeight="1">
      <c r="A14" s="217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69"/>
      <c r="L14" s="69"/>
      <c r="M14" s="69"/>
      <c r="N14" s="69"/>
      <c r="O14" s="140">
        <f t="shared" si="2"/>
        <v>0</v>
      </c>
      <c r="P14" s="141">
        <f t="shared" si="3"/>
        <v>0</v>
      </c>
      <c r="Q14" s="139"/>
      <c r="R14" s="139"/>
      <c r="S14" s="139"/>
      <c r="T14" s="139"/>
      <c r="U14" s="142">
        <v>0</v>
      </c>
      <c r="V14" s="142">
        <v>0</v>
      </c>
      <c r="W14" s="142"/>
      <c r="X14" s="139"/>
      <c r="Y14" s="136">
        <f>SUM(Q14:X14)</f>
        <v>0</v>
      </c>
      <c r="Z14" s="136">
        <f>+O14+Y14</f>
        <v>0</v>
      </c>
      <c r="AA14" s="137">
        <f>+D14-Z14</f>
        <v>0</v>
      </c>
    </row>
    <row r="15" spans="1:27" s="138" customFormat="1" ht="13.5" customHeight="1">
      <c r="A15" s="217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69"/>
      <c r="L15" s="69"/>
      <c r="M15" s="69"/>
      <c r="N15" s="69"/>
      <c r="O15" s="140">
        <f t="shared" si="2"/>
        <v>0</v>
      </c>
      <c r="P15" s="141">
        <f t="shared" si="3"/>
        <v>0</v>
      </c>
      <c r="Q15" s="139"/>
      <c r="R15" s="139"/>
      <c r="S15" s="139"/>
      <c r="T15" s="139"/>
      <c r="U15" s="142">
        <v>0</v>
      </c>
      <c r="V15" s="142">
        <v>0</v>
      </c>
      <c r="W15" s="142"/>
      <c r="X15" s="139"/>
      <c r="Y15" s="136">
        <f>SUM(Q15:X15)</f>
        <v>0</v>
      </c>
      <c r="Z15" s="136">
        <f>+O15+Y15</f>
        <v>0</v>
      </c>
      <c r="AA15" s="137">
        <f>+D15-Z15</f>
        <v>0</v>
      </c>
    </row>
    <row r="16" spans="1:27" s="138" customFormat="1" ht="13.5" customHeight="1">
      <c r="A16" s="217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69"/>
      <c r="L16" s="69"/>
      <c r="M16" s="69"/>
      <c r="N16" s="69"/>
      <c r="O16" s="140">
        <f t="shared" si="2"/>
        <v>0</v>
      </c>
      <c r="P16" s="141">
        <f t="shared" si="3"/>
        <v>0</v>
      </c>
      <c r="Q16" s="139"/>
      <c r="R16" s="139"/>
      <c r="S16" s="139"/>
      <c r="T16" s="139"/>
      <c r="U16" s="142">
        <v>0</v>
      </c>
      <c r="V16" s="142">
        <v>0</v>
      </c>
      <c r="W16" s="142"/>
      <c r="X16" s="139"/>
      <c r="Y16" s="136">
        <f>SUM(Q16:X16)</f>
        <v>0</v>
      </c>
      <c r="Z16" s="136">
        <f>+O16+Y16</f>
        <v>0</v>
      </c>
      <c r="AA16" s="137">
        <f>+D16-Z16</f>
        <v>0</v>
      </c>
    </row>
    <row r="17" spans="1:27" s="138" customFormat="1" ht="13.5" customHeight="1">
      <c r="A17" s="217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69"/>
      <c r="L17" s="69"/>
      <c r="M17" s="69"/>
      <c r="N17" s="69"/>
      <c r="O17" s="140">
        <f t="shared" si="2"/>
        <v>0</v>
      </c>
      <c r="P17" s="141">
        <f t="shared" si="3"/>
        <v>0</v>
      </c>
      <c r="Q17" s="139"/>
      <c r="R17" s="139"/>
      <c r="S17" s="139"/>
      <c r="T17" s="139"/>
      <c r="U17" s="142">
        <v>0</v>
      </c>
      <c r="V17" s="142">
        <v>0</v>
      </c>
      <c r="W17" s="142"/>
      <c r="X17" s="139"/>
      <c r="Y17" s="136">
        <f>SUM(Q17:X17)</f>
        <v>0</v>
      </c>
      <c r="Z17" s="136">
        <f>+O17+Y17</f>
        <v>0</v>
      </c>
      <c r="AA17" s="137">
        <f>+D17-Z17</f>
        <v>0</v>
      </c>
    </row>
    <row r="18" spans="1:27" s="138" customFormat="1" ht="13.5" customHeight="1">
      <c r="A18" s="217" t="s">
        <v>28</v>
      </c>
      <c r="B18" s="192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69"/>
      <c r="L18" s="69"/>
      <c r="M18" s="69"/>
      <c r="N18" s="69"/>
      <c r="O18" s="140">
        <f t="shared" si="2"/>
        <v>0</v>
      </c>
      <c r="P18" s="141">
        <f t="shared" si="3"/>
        <v>0</v>
      </c>
      <c r="Q18" s="139"/>
      <c r="R18" s="139"/>
      <c r="S18" s="139"/>
      <c r="T18" s="139"/>
      <c r="U18" s="142">
        <v>0</v>
      </c>
      <c r="V18" s="142">
        <v>0</v>
      </c>
      <c r="W18" s="142"/>
      <c r="X18" s="139"/>
      <c r="Y18" s="136">
        <f>SUM(Q18:X18)</f>
        <v>0</v>
      </c>
      <c r="Z18" s="136">
        <f>+O18+Y18</f>
        <v>0</v>
      </c>
      <c r="AA18" s="137">
        <f>+D18-Z18</f>
        <v>0</v>
      </c>
    </row>
    <row r="19" spans="1:27" s="138" customFormat="1" ht="13.5" customHeight="1">
      <c r="A19" s="217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69"/>
      <c r="L19" s="69"/>
      <c r="M19" s="69"/>
      <c r="N19" s="69"/>
      <c r="O19" s="140">
        <f t="shared" si="2"/>
        <v>0</v>
      </c>
      <c r="P19" s="141">
        <f t="shared" si="3"/>
        <v>0</v>
      </c>
      <c r="Q19" s="139"/>
      <c r="R19" s="139"/>
      <c r="S19" s="139"/>
      <c r="T19" s="139"/>
      <c r="U19" s="142">
        <v>0</v>
      </c>
      <c r="V19" s="142">
        <v>0</v>
      </c>
      <c r="W19" s="142"/>
      <c r="X19" s="139"/>
      <c r="Y19" s="136">
        <f>SUM(Q19:X19)</f>
        <v>0</v>
      </c>
      <c r="Z19" s="136">
        <f>+O19+Y19</f>
        <v>0</v>
      </c>
      <c r="AA19" s="137">
        <f>+D19-Z19</f>
        <v>0</v>
      </c>
    </row>
    <row r="20" spans="1:27" s="138" customFormat="1" ht="13.5" customHeight="1">
      <c r="A20" s="217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68"/>
      <c r="L20" s="68"/>
      <c r="M20" s="68"/>
      <c r="N20" s="68"/>
      <c r="O20" s="140">
        <f t="shared" si="2"/>
        <v>0</v>
      </c>
      <c r="P20" s="141">
        <f t="shared" si="3"/>
        <v>0</v>
      </c>
      <c r="Q20" s="139"/>
      <c r="R20" s="139"/>
      <c r="S20" s="139"/>
      <c r="T20" s="139"/>
      <c r="U20" s="142">
        <v>0</v>
      </c>
      <c r="V20" s="142">
        <v>0</v>
      </c>
      <c r="W20" s="142"/>
      <c r="X20" s="139"/>
      <c r="Y20" s="136">
        <f>SUM(Q20:X20)</f>
        <v>0</v>
      </c>
      <c r="Z20" s="136">
        <f>+O20+Y20</f>
        <v>0</v>
      </c>
      <c r="AA20" s="137">
        <f>+D20-Z20</f>
        <v>0</v>
      </c>
    </row>
    <row r="21" spans="1:27" s="138" customFormat="1" ht="13.5" customHeight="1">
      <c r="A21" s="217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68"/>
      <c r="L21" s="68"/>
      <c r="M21" s="68"/>
      <c r="N21" s="68"/>
      <c r="O21" s="140">
        <f t="shared" si="2"/>
        <v>0</v>
      </c>
      <c r="P21" s="141">
        <f t="shared" si="3"/>
        <v>0</v>
      </c>
      <c r="Q21" s="139"/>
      <c r="R21" s="139"/>
      <c r="S21" s="139"/>
      <c r="T21" s="139"/>
      <c r="U21" s="142">
        <v>0</v>
      </c>
      <c r="V21" s="142">
        <v>0</v>
      </c>
      <c r="W21" s="142"/>
      <c r="X21" s="139"/>
      <c r="Y21" s="136">
        <f>SUM(Q21:X21)</f>
        <v>0</v>
      </c>
      <c r="Z21" s="136">
        <f>+O21+Y21</f>
        <v>0</v>
      </c>
      <c r="AA21" s="137">
        <f>+D21-Z21</f>
        <v>0</v>
      </c>
    </row>
    <row r="22" spans="1:27" s="138" customFormat="1" ht="13.5" customHeight="1">
      <c r="A22" s="217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71"/>
      <c r="L22" s="71"/>
      <c r="M22" s="71"/>
      <c r="N22" s="71"/>
      <c r="O22" s="144">
        <f t="shared" si="2"/>
        <v>0</v>
      </c>
      <c r="P22" s="145">
        <f t="shared" si="3"/>
        <v>0</v>
      </c>
      <c r="Q22" s="143"/>
      <c r="R22" s="143"/>
      <c r="S22" s="143"/>
      <c r="T22" s="143"/>
      <c r="U22" s="146">
        <v>0</v>
      </c>
      <c r="V22" s="146">
        <v>0</v>
      </c>
      <c r="W22" s="146"/>
      <c r="X22" s="143"/>
      <c r="Y22" s="136">
        <f>SUM(Q22:X22)</f>
        <v>0</v>
      </c>
      <c r="Z22" s="136">
        <f>+O22+Y22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N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:L23" si="6">SUBTOTAL(9,H24:H39)</f>
        <v>0</v>
      </c>
      <c r="I23" s="130">
        <f t="shared" si="6"/>
        <v>0</v>
      </c>
      <c r="J23" s="130">
        <f t="shared" si="6"/>
        <v>0</v>
      </c>
      <c r="K23" s="130">
        <f t="shared" si="6"/>
        <v>0</v>
      </c>
      <c r="L23" s="130">
        <f t="shared" si="6"/>
        <v>0</v>
      </c>
      <c r="M23" s="130">
        <f t="shared" si="5"/>
        <v>0</v>
      </c>
      <c r="N23" s="130">
        <f t="shared" si="5"/>
        <v>0</v>
      </c>
      <c r="O23" s="107">
        <f t="shared" si="2"/>
        <v>0</v>
      </c>
      <c r="P23" s="107">
        <f t="shared" si="3"/>
        <v>0</v>
      </c>
      <c r="Q23" s="130">
        <f t="shared" ref="Q23:X23" si="7">SUBTOTAL(9,Q24:Q39)</f>
        <v>0</v>
      </c>
      <c r="R23" s="130">
        <f t="shared" si="7"/>
        <v>0</v>
      </c>
      <c r="S23" s="130">
        <f t="shared" si="7"/>
        <v>0</v>
      </c>
      <c r="T23" s="130">
        <f t="shared" si="7"/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SUM(Q23:X23)</f>
        <v>0</v>
      </c>
      <c r="Z23" s="56">
        <f>+O23+Y23</f>
        <v>0</v>
      </c>
      <c r="AA23" s="131">
        <f>+D23-Z23</f>
        <v>0</v>
      </c>
    </row>
    <row r="24" spans="1:27" s="138" customFormat="1" ht="13.5" customHeight="1">
      <c r="A24" s="215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66"/>
      <c r="L24" s="66"/>
      <c r="M24" s="66"/>
      <c r="N24" s="66"/>
      <c r="O24" s="133">
        <f t="shared" si="2"/>
        <v>0</v>
      </c>
      <c r="P24" s="134">
        <f t="shared" si="3"/>
        <v>0</v>
      </c>
      <c r="Q24" s="132"/>
      <c r="R24" s="132"/>
      <c r="S24" s="132"/>
      <c r="T24" s="132"/>
      <c r="U24" s="135">
        <v>0</v>
      </c>
      <c r="V24" s="135">
        <v>0</v>
      </c>
      <c r="W24" s="135"/>
      <c r="X24" s="132"/>
      <c r="Y24" s="136">
        <f>SUM(Q24:X24)</f>
        <v>0</v>
      </c>
      <c r="Z24" s="136">
        <f>+O24+Y24</f>
        <v>0</v>
      </c>
      <c r="AA24" s="137">
        <f>+D24-Z24</f>
        <v>0</v>
      </c>
    </row>
    <row r="25" spans="1:27" s="138" customFormat="1" ht="13.5" customHeight="1">
      <c r="A25" s="215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68"/>
      <c r="L25" s="68"/>
      <c r="M25" s="68"/>
      <c r="N25" s="68"/>
      <c r="O25" s="140">
        <f t="shared" si="2"/>
        <v>0</v>
      </c>
      <c r="P25" s="141">
        <f t="shared" si="3"/>
        <v>0</v>
      </c>
      <c r="Q25" s="139"/>
      <c r="R25" s="139"/>
      <c r="S25" s="139"/>
      <c r="T25" s="139"/>
      <c r="U25" s="142">
        <v>0</v>
      </c>
      <c r="V25" s="142">
        <v>0</v>
      </c>
      <c r="W25" s="142"/>
      <c r="X25" s="139"/>
      <c r="Y25" s="136">
        <f>SUM(Q25:X25)</f>
        <v>0</v>
      </c>
      <c r="Z25" s="136">
        <f>+O25+Y25</f>
        <v>0</v>
      </c>
      <c r="AA25" s="137">
        <f>+D25-Z25</f>
        <v>0</v>
      </c>
    </row>
    <row r="26" spans="1:27" s="138" customFormat="1" ht="13.5" customHeight="1">
      <c r="A26" s="215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68"/>
      <c r="L26" s="68"/>
      <c r="M26" s="68"/>
      <c r="N26" s="68"/>
      <c r="O26" s="140">
        <f t="shared" si="2"/>
        <v>0</v>
      </c>
      <c r="P26" s="141">
        <f t="shared" si="3"/>
        <v>0</v>
      </c>
      <c r="Q26" s="139"/>
      <c r="R26" s="139"/>
      <c r="S26" s="139"/>
      <c r="T26" s="139"/>
      <c r="U26" s="142">
        <v>0</v>
      </c>
      <c r="V26" s="142">
        <v>0</v>
      </c>
      <c r="W26" s="142"/>
      <c r="X26" s="139"/>
      <c r="Y26" s="136">
        <f>SUM(Q26:X26)</f>
        <v>0</v>
      </c>
      <c r="Z26" s="136">
        <f>+O26+Y26</f>
        <v>0</v>
      </c>
      <c r="AA26" s="137">
        <f>+D26-Z26</f>
        <v>0</v>
      </c>
    </row>
    <row r="27" spans="1:27" s="138" customFormat="1" ht="13.5" customHeight="1">
      <c r="A27" s="215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68"/>
      <c r="L27" s="68"/>
      <c r="M27" s="68"/>
      <c r="N27" s="68"/>
      <c r="O27" s="140">
        <f t="shared" si="2"/>
        <v>0</v>
      </c>
      <c r="P27" s="141">
        <f t="shared" si="3"/>
        <v>0</v>
      </c>
      <c r="Q27" s="139"/>
      <c r="R27" s="139"/>
      <c r="S27" s="139"/>
      <c r="T27" s="139"/>
      <c r="U27" s="142">
        <v>0</v>
      </c>
      <c r="V27" s="142">
        <v>0</v>
      </c>
      <c r="W27" s="142"/>
      <c r="X27" s="139"/>
      <c r="Y27" s="136">
        <f>SUM(Q27:X27)</f>
        <v>0</v>
      </c>
      <c r="Z27" s="136">
        <f>+O27+Y27</f>
        <v>0</v>
      </c>
      <c r="AA27" s="137">
        <f>+D27-Z27</f>
        <v>0</v>
      </c>
    </row>
    <row r="28" spans="1:27" s="138" customFormat="1" ht="13.5" customHeight="1">
      <c r="A28" s="215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68"/>
      <c r="L28" s="68"/>
      <c r="M28" s="68"/>
      <c r="N28" s="68"/>
      <c r="O28" s="140">
        <f t="shared" si="2"/>
        <v>0</v>
      </c>
      <c r="P28" s="141">
        <f t="shared" si="3"/>
        <v>0</v>
      </c>
      <c r="Q28" s="139"/>
      <c r="R28" s="139"/>
      <c r="S28" s="139"/>
      <c r="T28" s="139"/>
      <c r="U28" s="142">
        <v>0</v>
      </c>
      <c r="V28" s="142">
        <v>0</v>
      </c>
      <c r="W28" s="142"/>
      <c r="X28" s="139"/>
      <c r="Y28" s="136">
        <f>SUM(Q28:X28)</f>
        <v>0</v>
      </c>
      <c r="Z28" s="136">
        <f>+O28+Y28</f>
        <v>0</v>
      </c>
      <c r="AA28" s="137">
        <f>+D28-Z28</f>
        <v>0</v>
      </c>
    </row>
    <row r="29" spans="1:27" s="138" customFormat="1" ht="13.5" customHeight="1">
      <c r="A29" s="215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68"/>
      <c r="L29" s="68"/>
      <c r="M29" s="68"/>
      <c r="N29" s="68"/>
      <c r="O29" s="140">
        <f t="shared" si="2"/>
        <v>0</v>
      </c>
      <c r="P29" s="141">
        <f t="shared" si="3"/>
        <v>0</v>
      </c>
      <c r="Q29" s="139"/>
      <c r="R29" s="139"/>
      <c r="S29" s="139"/>
      <c r="T29" s="139"/>
      <c r="U29" s="142">
        <v>0</v>
      </c>
      <c r="V29" s="142">
        <v>0</v>
      </c>
      <c r="W29" s="142"/>
      <c r="X29" s="139"/>
      <c r="Y29" s="136">
        <f>SUM(Q29:X29)</f>
        <v>0</v>
      </c>
      <c r="Z29" s="136">
        <f>+O29+Y29</f>
        <v>0</v>
      </c>
      <c r="AA29" s="137">
        <f>+D29-Z29</f>
        <v>0</v>
      </c>
    </row>
    <row r="30" spans="1:27" s="138" customFormat="1" ht="13.5" customHeight="1">
      <c r="A30" s="215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68"/>
      <c r="L30" s="68"/>
      <c r="M30" s="68"/>
      <c r="N30" s="68"/>
      <c r="O30" s="140">
        <f t="shared" si="2"/>
        <v>0</v>
      </c>
      <c r="P30" s="141">
        <f t="shared" si="3"/>
        <v>0</v>
      </c>
      <c r="Q30" s="139"/>
      <c r="R30" s="139"/>
      <c r="S30" s="139"/>
      <c r="T30" s="139"/>
      <c r="U30" s="142">
        <v>0</v>
      </c>
      <c r="V30" s="142">
        <v>0</v>
      </c>
      <c r="W30" s="142"/>
      <c r="X30" s="139"/>
      <c r="Y30" s="136">
        <f>SUM(Q30:X30)</f>
        <v>0</v>
      </c>
      <c r="Z30" s="136">
        <f>+O30+Y30</f>
        <v>0</v>
      </c>
      <c r="AA30" s="137">
        <f>+D30-Z30</f>
        <v>0</v>
      </c>
    </row>
    <row r="31" spans="1:27" s="138" customFormat="1" ht="13.5" customHeight="1">
      <c r="A31" s="215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69"/>
      <c r="L31" s="69"/>
      <c r="M31" s="69"/>
      <c r="N31" s="69"/>
      <c r="O31" s="140">
        <f t="shared" si="2"/>
        <v>0</v>
      </c>
      <c r="P31" s="141">
        <f t="shared" si="3"/>
        <v>0</v>
      </c>
      <c r="Q31" s="139"/>
      <c r="R31" s="139"/>
      <c r="S31" s="139"/>
      <c r="T31" s="139"/>
      <c r="U31" s="142">
        <v>0</v>
      </c>
      <c r="V31" s="142">
        <v>0</v>
      </c>
      <c r="W31" s="142"/>
      <c r="X31" s="139"/>
      <c r="Y31" s="136">
        <f>SUM(Q31:X31)</f>
        <v>0</v>
      </c>
      <c r="Z31" s="136">
        <f>+O31+Y31</f>
        <v>0</v>
      </c>
      <c r="AA31" s="137">
        <f>+D31-Z31</f>
        <v>0</v>
      </c>
    </row>
    <row r="32" spans="1:27" s="138" customFormat="1" ht="13.5" customHeight="1">
      <c r="A32" s="215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69"/>
      <c r="L32" s="69"/>
      <c r="M32" s="69"/>
      <c r="N32" s="69"/>
      <c r="O32" s="140">
        <f t="shared" si="2"/>
        <v>0</v>
      </c>
      <c r="P32" s="141">
        <f t="shared" si="3"/>
        <v>0</v>
      </c>
      <c r="Q32" s="139"/>
      <c r="R32" s="139"/>
      <c r="S32" s="139"/>
      <c r="T32" s="139"/>
      <c r="U32" s="142">
        <v>0</v>
      </c>
      <c r="V32" s="142">
        <v>0</v>
      </c>
      <c r="W32" s="142"/>
      <c r="X32" s="139"/>
      <c r="Y32" s="136">
        <f>SUM(Q32:X32)</f>
        <v>0</v>
      </c>
      <c r="Z32" s="136">
        <f>+O32+Y32</f>
        <v>0</v>
      </c>
      <c r="AA32" s="137">
        <f>+D32-Z32</f>
        <v>0</v>
      </c>
    </row>
    <row r="33" spans="1:27" s="138" customFormat="1" ht="13.5" customHeight="1">
      <c r="A33" s="215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69"/>
      <c r="L33" s="69"/>
      <c r="M33" s="69"/>
      <c r="N33" s="69"/>
      <c r="O33" s="140">
        <f t="shared" si="2"/>
        <v>0</v>
      </c>
      <c r="P33" s="141">
        <f t="shared" si="3"/>
        <v>0</v>
      </c>
      <c r="Q33" s="139"/>
      <c r="R33" s="139"/>
      <c r="S33" s="139"/>
      <c r="T33" s="139"/>
      <c r="U33" s="142">
        <v>0</v>
      </c>
      <c r="V33" s="142">
        <v>0</v>
      </c>
      <c r="W33" s="142"/>
      <c r="X33" s="139"/>
      <c r="Y33" s="136">
        <f>SUM(Q33:X33)</f>
        <v>0</v>
      </c>
      <c r="Z33" s="136">
        <f>+O33+Y33</f>
        <v>0</v>
      </c>
      <c r="AA33" s="137">
        <f>+D33-Z33</f>
        <v>0</v>
      </c>
    </row>
    <row r="34" spans="1:27" s="138" customFormat="1" ht="13.5" customHeight="1">
      <c r="A34" s="215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69"/>
      <c r="L34" s="69"/>
      <c r="M34" s="69"/>
      <c r="N34" s="69"/>
      <c r="O34" s="140">
        <f t="shared" si="2"/>
        <v>0</v>
      </c>
      <c r="P34" s="141">
        <f t="shared" si="3"/>
        <v>0</v>
      </c>
      <c r="Q34" s="139"/>
      <c r="R34" s="139"/>
      <c r="S34" s="139"/>
      <c r="T34" s="139"/>
      <c r="U34" s="142">
        <v>0</v>
      </c>
      <c r="V34" s="142">
        <v>0</v>
      </c>
      <c r="W34" s="142"/>
      <c r="X34" s="139"/>
      <c r="Y34" s="136">
        <f>SUM(Q34:X34)</f>
        <v>0</v>
      </c>
      <c r="Z34" s="136">
        <f>+O34+Y34</f>
        <v>0</v>
      </c>
      <c r="AA34" s="137">
        <f>+D34-Z34</f>
        <v>0</v>
      </c>
    </row>
    <row r="35" spans="1:27" s="138" customFormat="1" ht="13.5" customHeight="1">
      <c r="A35" s="215" t="s">
        <v>61</v>
      </c>
      <c r="B35" s="192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69"/>
      <c r="L35" s="69"/>
      <c r="M35" s="69"/>
      <c r="N35" s="69"/>
      <c r="O35" s="140">
        <f t="shared" si="2"/>
        <v>0</v>
      </c>
      <c r="P35" s="141">
        <f t="shared" si="3"/>
        <v>0</v>
      </c>
      <c r="Q35" s="139"/>
      <c r="R35" s="139"/>
      <c r="S35" s="139"/>
      <c r="T35" s="139"/>
      <c r="U35" s="142">
        <v>0</v>
      </c>
      <c r="V35" s="142">
        <v>0</v>
      </c>
      <c r="W35" s="142"/>
      <c r="X35" s="139"/>
      <c r="Y35" s="136">
        <f>SUM(Q35:X35)</f>
        <v>0</v>
      </c>
      <c r="Z35" s="136">
        <f>+O35+Y35</f>
        <v>0</v>
      </c>
      <c r="AA35" s="137">
        <f>+D35-Z35</f>
        <v>0</v>
      </c>
    </row>
    <row r="36" spans="1:27" s="138" customFormat="1" ht="13.5" customHeight="1">
      <c r="A36" s="215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69"/>
      <c r="L36" s="69"/>
      <c r="M36" s="69"/>
      <c r="N36" s="69"/>
      <c r="O36" s="140">
        <f t="shared" si="2"/>
        <v>0</v>
      </c>
      <c r="P36" s="141">
        <f t="shared" si="3"/>
        <v>0</v>
      </c>
      <c r="Q36" s="139"/>
      <c r="R36" s="139"/>
      <c r="S36" s="139"/>
      <c r="T36" s="139"/>
      <c r="U36" s="142">
        <v>0</v>
      </c>
      <c r="V36" s="142">
        <v>0</v>
      </c>
      <c r="W36" s="142"/>
      <c r="X36" s="139"/>
      <c r="Y36" s="136">
        <f>SUM(Q36:X36)</f>
        <v>0</v>
      </c>
      <c r="Z36" s="136">
        <f>+O36+Y36</f>
        <v>0</v>
      </c>
      <c r="AA36" s="137">
        <f>+D36-Z36</f>
        <v>0</v>
      </c>
    </row>
    <row r="37" spans="1:27" s="138" customFormat="1" ht="13.5" customHeight="1">
      <c r="A37" s="215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68"/>
      <c r="L37" s="68"/>
      <c r="M37" s="68"/>
      <c r="N37" s="68"/>
      <c r="O37" s="140">
        <f t="shared" si="2"/>
        <v>0</v>
      </c>
      <c r="P37" s="141">
        <f t="shared" si="3"/>
        <v>0</v>
      </c>
      <c r="Q37" s="139"/>
      <c r="R37" s="139"/>
      <c r="S37" s="139"/>
      <c r="T37" s="139"/>
      <c r="U37" s="142">
        <v>0</v>
      </c>
      <c r="V37" s="142">
        <v>0</v>
      </c>
      <c r="W37" s="142"/>
      <c r="X37" s="139"/>
      <c r="Y37" s="136">
        <f>SUM(Q37:X37)</f>
        <v>0</v>
      </c>
      <c r="Z37" s="136">
        <f>+O37+Y37</f>
        <v>0</v>
      </c>
      <c r="AA37" s="137">
        <f>+D37-Z37</f>
        <v>0</v>
      </c>
    </row>
    <row r="38" spans="1:27" s="138" customFormat="1" ht="13.5" customHeight="1">
      <c r="A38" s="215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68"/>
      <c r="L38" s="68"/>
      <c r="M38" s="68"/>
      <c r="N38" s="68"/>
      <c r="O38" s="140">
        <f t="shared" si="2"/>
        <v>0</v>
      </c>
      <c r="P38" s="141">
        <f t="shared" si="3"/>
        <v>0</v>
      </c>
      <c r="Q38" s="139"/>
      <c r="R38" s="139"/>
      <c r="S38" s="139"/>
      <c r="T38" s="139"/>
      <c r="U38" s="142">
        <v>0</v>
      </c>
      <c r="V38" s="142">
        <v>0</v>
      </c>
      <c r="W38" s="142"/>
      <c r="X38" s="139"/>
      <c r="Y38" s="136">
        <f>SUM(Q38:X38)</f>
        <v>0</v>
      </c>
      <c r="Z38" s="136">
        <f>+O38+Y38</f>
        <v>0</v>
      </c>
      <c r="AA38" s="137">
        <f>+D38-Z38</f>
        <v>0</v>
      </c>
    </row>
    <row r="39" spans="1:27" s="138" customFormat="1" ht="13.5" customHeight="1">
      <c r="A39" s="215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71"/>
      <c r="L39" s="71"/>
      <c r="M39" s="71"/>
      <c r="N39" s="71"/>
      <c r="O39" s="144">
        <f t="shared" si="2"/>
        <v>0</v>
      </c>
      <c r="P39" s="145">
        <f t="shared" si="3"/>
        <v>0</v>
      </c>
      <c r="Q39" s="143"/>
      <c r="R39" s="143"/>
      <c r="S39" s="143"/>
      <c r="T39" s="143"/>
      <c r="U39" s="146">
        <v>0</v>
      </c>
      <c r="V39" s="146">
        <v>0</v>
      </c>
      <c r="W39" s="146"/>
      <c r="X39" s="143"/>
      <c r="Y39" s="136">
        <f>SUM(Q39:X39)</f>
        <v>0</v>
      </c>
      <c r="Z39" s="136">
        <f>+O39+Y39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N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:L40" si="9">SUBTOTAL(9,H41:H56)</f>
        <v>0</v>
      </c>
      <c r="I40" s="130">
        <f t="shared" si="9"/>
        <v>0</v>
      </c>
      <c r="J40" s="130">
        <f t="shared" si="9"/>
        <v>0</v>
      </c>
      <c r="K40" s="130">
        <f t="shared" si="9"/>
        <v>0</v>
      </c>
      <c r="L40" s="130">
        <f t="shared" si="9"/>
        <v>0</v>
      </c>
      <c r="M40" s="130">
        <f t="shared" si="8"/>
        <v>0</v>
      </c>
      <c r="N40" s="130">
        <f t="shared" si="8"/>
        <v>0</v>
      </c>
      <c r="O40" s="107">
        <f t="shared" si="2"/>
        <v>0</v>
      </c>
      <c r="P40" s="107">
        <f t="shared" si="3"/>
        <v>0</v>
      </c>
      <c r="Q40" s="130">
        <f t="shared" ref="Q40:X40" si="10">SUBTOTAL(9,Q41:Q56)</f>
        <v>0</v>
      </c>
      <c r="R40" s="130">
        <f t="shared" si="10"/>
        <v>0</v>
      </c>
      <c r="S40" s="130">
        <f t="shared" si="10"/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SUM(Q40:X40)</f>
        <v>0</v>
      </c>
      <c r="Z40" s="56">
        <f>+O40+Y40</f>
        <v>0</v>
      </c>
      <c r="AA40" s="131">
        <f>+D40-Z40</f>
        <v>0</v>
      </c>
    </row>
    <row r="41" spans="1:27" s="138" customFormat="1" ht="13.5" customHeight="1">
      <c r="A41" s="194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50"/>
      <c r="L41" s="150"/>
      <c r="M41" s="150"/>
      <c r="N41" s="150"/>
      <c r="O41" s="133">
        <f t="shared" si="2"/>
        <v>0</v>
      </c>
      <c r="P41" s="134">
        <f t="shared" si="3"/>
        <v>0</v>
      </c>
      <c r="Q41" s="132"/>
      <c r="R41" s="132"/>
      <c r="S41" s="132"/>
      <c r="T41" s="132"/>
      <c r="U41" s="135">
        <v>0</v>
      </c>
      <c r="V41" s="135">
        <v>0</v>
      </c>
      <c r="W41" s="135"/>
      <c r="X41" s="132"/>
      <c r="Y41" s="136">
        <f>SUM(Q41:X41)</f>
        <v>0</v>
      </c>
      <c r="Z41" s="136">
        <f>+O41+Y41</f>
        <v>0</v>
      </c>
      <c r="AA41" s="137">
        <f>+D41-Z41</f>
        <v>0</v>
      </c>
    </row>
    <row r="42" spans="1:27" s="138" customFormat="1" ht="13.5" customHeight="1">
      <c r="A42" s="194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52"/>
      <c r="L42" s="152"/>
      <c r="M42" s="152"/>
      <c r="N42" s="152"/>
      <c r="O42" s="140">
        <f t="shared" si="2"/>
        <v>0</v>
      </c>
      <c r="P42" s="141">
        <f t="shared" si="3"/>
        <v>0</v>
      </c>
      <c r="Q42" s="139"/>
      <c r="R42" s="139"/>
      <c r="S42" s="139"/>
      <c r="T42" s="139"/>
      <c r="U42" s="142">
        <v>0</v>
      </c>
      <c r="V42" s="142">
        <v>0</v>
      </c>
      <c r="W42" s="142"/>
      <c r="X42" s="139"/>
      <c r="Y42" s="136">
        <f>SUM(Q42:X42)</f>
        <v>0</v>
      </c>
      <c r="Z42" s="136">
        <f>+O42+Y42</f>
        <v>0</v>
      </c>
      <c r="AA42" s="137">
        <f>+D42-Z42</f>
        <v>0</v>
      </c>
    </row>
    <row r="43" spans="1:27" s="138" customFormat="1" ht="13.5" customHeight="1">
      <c r="A43" s="194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52"/>
      <c r="L43" s="152"/>
      <c r="M43" s="152"/>
      <c r="N43" s="152"/>
      <c r="O43" s="140">
        <f t="shared" si="2"/>
        <v>0</v>
      </c>
      <c r="P43" s="141">
        <f t="shared" si="3"/>
        <v>0</v>
      </c>
      <c r="Q43" s="139"/>
      <c r="R43" s="139"/>
      <c r="S43" s="139"/>
      <c r="T43" s="139"/>
      <c r="U43" s="142">
        <v>0</v>
      </c>
      <c r="V43" s="142">
        <v>0</v>
      </c>
      <c r="W43" s="142"/>
      <c r="X43" s="139"/>
      <c r="Y43" s="136">
        <f>SUM(Q43:X43)</f>
        <v>0</v>
      </c>
      <c r="Z43" s="136">
        <f>+O43+Y43</f>
        <v>0</v>
      </c>
      <c r="AA43" s="137">
        <f>+D43-Z43</f>
        <v>0</v>
      </c>
    </row>
    <row r="44" spans="1:27" s="138" customFormat="1" ht="13.5" customHeight="1">
      <c r="A44" s="194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52"/>
      <c r="L44" s="152"/>
      <c r="M44" s="152"/>
      <c r="N44" s="152"/>
      <c r="O44" s="140">
        <f t="shared" si="2"/>
        <v>0</v>
      </c>
      <c r="P44" s="141">
        <f t="shared" si="3"/>
        <v>0</v>
      </c>
      <c r="Q44" s="139"/>
      <c r="R44" s="139"/>
      <c r="S44" s="139"/>
      <c r="T44" s="139"/>
      <c r="U44" s="142">
        <v>0</v>
      </c>
      <c r="V44" s="142">
        <v>0</v>
      </c>
      <c r="W44" s="142"/>
      <c r="X44" s="139"/>
      <c r="Y44" s="136">
        <f>SUM(Q44:X44)</f>
        <v>0</v>
      </c>
      <c r="Z44" s="136">
        <f>+O44+Y44</f>
        <v>0</v>
      </c>
      <c r="AA44" s="137">
        <f>+D44-Z44</f>
        <v>0</v>
      </c>
    </row>
    <row r="45" spans="1:27" s="138" customFormat="1" ht="13.5" customHeight="1">
      <c r="A45" s="194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52"/>
      <c r="L45" s="152"/>
      <c r="M45" s="152"/>
      <c r="N45" s="152"/>
      <c r="O45" s="140">
        <f t="shared" si="2"/>
        <v>0</v>
      </c>
      <c r="P45" s="141">
        <f t="shared" si="3"/>
        <v>0</v>
      </c>
      <c r="Q45" s="139"/>
      <c r="R45" s="139"/>
      <c r="S45" s="139"/>
      <c r="T45" s="139"/>
      <c r="U45" s="142">
        <v>0</v>
      </c>
      <c r="V45" s="142">
        <v>0</v>
      </c>
      <c r="W45" s="142"/>
      <c r="X45" s="139"/>
      <c r="Y45" s="136">
        <f>SUM(Q45:X45)</f>
        <v>0</v>
      </c>
      <c r="Z45" s="136">
        <f>+O45+Y45</f>
        <v>0</v>
      </c>
      <c r="AA45" s="137">
        <f>+D45-Z45</f>
        <v>0</v>
      </c>
    </row>
    <row r="46" spans="1:27" s="138" customFormat="1" ht="13.5" customHeight="1">
      <c r="A46" s="194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52"/>
      <c r="L46" s="152"/>
      <c r="M46" s="152"/>
      <c r="N46" s="152"/>
      <c r="O46" s="140">
        <f t="shared" si="2"/>
        <v>0</v>
      </c>
      <c r="P46" s="141">
        <f t="shared" si="3"/>
        <v>0</v>
      </c>
      <c r="Q46" s="139"/>
      <c r="R46" s="139"/>
      <c r="S46" s="139"/>
      <c r="T46" s="139"/>
      <c r="U46" s="142">
        <v>0</v>
      </c>
      <c r="V46" s="142">
        <v>0</v>
      </c>
      <c r="W46" s="142"/>
      <c r="X46" s="139"/>
      <c r="Y46" s="136">
        <f>SUM(Q46:X46)</f>
        <v>0</v>
      </c>
      <c r="Z46" s="136">
        <f>+O46+Y46</f>
        <v>0</v>
      </c>
      <c r="AA46" s="137">
        <f>+D46-Z46</f>
        <v>0</v>
      </c>
    </row>
    <row r="47" spans="1:27" s="138" customFormat="1" ht="13.5" customHeight="1">
      <c r="A47" s="194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52"/>
      <c r="L47" s="152"/>
      <c r="M47" s="152"/>
      <c r="N47" s="152"/>
      <c r="O47" s="140">
        <f t="shared" si="2"/>
        <v>0</v>
      </c>
      <c r="P47" s="141">
        <f t="shared" si="3"/>
        <v>0</v>
      </c>
      <c r="Q47" s="139"/>
      <c r="R47" s="139"/>
      <c r="S47" s="139"/>
      <c r="T47" s="139"/>
      <c r="U47" s="142">
        <v>0</v>
      </c>
      <c r="V47" s="142">
        <v>0</v>
      </c>
      <c r="W47" s="142"/>
      <c r="X47" s="139"/>
      <c r="Y47" s="136">
        <f>SUM(Q47:X47)</f>
        <v>0</v>
      </c>
      <c r="Z47" s="136">
        <f>+O47+Y47</f>
        <v>0</v>
      </c>
      <c r="AA47" s="137">
        <f>+D47-Z47</f>
        <v>0</v>
      </c>
    </row>
    <row r="48" spans="1:27" s="138" customFormat="1" ht="13.5" customHeight="1">
      <c r="A48" s="194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53"/>
      <c r="L48" s="153"/>
      <c r="M48" s="153"/>
      <c r="N48" s="153"/>
      <c r="O48" s="140">
        <f t="shared" si="2"/>
        <v>0</v>
      </c>
      <c r="P48" s="141">
        <f t="shared" si="3"/>
        <v>0</v>
      </c>
      <c r="Q48" s="139"/>
      <c r="R48" s="139"/>
      <c r="S48" s="139"/>
      <c r="T48" s="139"/>
      <c r="U48" s="142">
        <v>0</v>
      </c>
      <c r="V48" s="142">
        <v>0</v>
      </c>
      <c r="W48" s="142"/>
      <c r="X48" s="139"/>
      <c r="Y48" s="136">
        <f>SUM(Q48:X48)</f>
        <v>0</v>
      </c>
      <c r="Z48" s="136">
        <f>+O48+Y48</f>
        <v>0</v>
      </c>
      <c r="AA48" s="137">
        <f>+D48-Z48</f>
        <v>0</v>
      </c>
    </row>
    <row r="49" spans="1:27" s="138" customFormat="1" ht="13.5" customHeight="1">
      <c r="A49" s="194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53"/>
      <c r="L49" s="153"/>
      <c r="M49" s="153"/>
      <c r="N49" s="153"/>
      <c r="O49" s="140">
        <f t="shared" si="2"/>
        <v>0</v>
      </c>
      <c r="P49" s="141">
        <f t="shared" si="3"/>
        <v>0</v>
      </c>
      <c r="Q49" s="139"/>
      <c r="R49" s="139"/>
      <c r="S49" s="139"/>
      <c r="T49" s="139"/>
      <c r="U49" s="142">
        <v>0</v>
      </c>
      <c r="V49" s="142">
        <v>0</v>
      </c>
      <c r="W49" s="142"/>
      <c r="X49" s="139"/>
      <c r="Y49" s="136">
        <f>SUM(Q49:X49)</f>
        <v>0</v>
      </c>
      <c r="Z49" s="136">
        <f>+O49+Y49</f>
        <v>0</v>
      </c>
      <c r="AA49" s="137">
        <f>+D49-Z49</f>
        <v>0</v>
      </c>
    </row>
    <row r="50" spans="1:27" s="138" customFormat="1" ht="13.5" customHeight="1">
      <c r="A50" s="194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53"/>
      <c r="L50" s="153"/>
      <c r="M50" s="153"/>
      <c r="N50" s="153"/>
      <c r="O50" s="140">
        <f t="shared" si="2"/>
        <v>0</v>
      </c>
      <c r="P50" s="141">
        <f t="shared" si="3"/>
        <v>0</v>
      </c>
      <c r="Q50" s="139"/>
      <c r="R50" s="139"/>
      <c r="S50" s="139"/>
      <c r="T50" s="139"/>
      <c r="U50" s="142">
        <v>0</v>
      </c>
      <c r="V50" s="142">
        <v>0</v>
      </c>
      <c r="W50" s="142"/>
      <c r="X50" s="139"/>
      <c r="Y50" s="136">
        <f>SUM(Q50:X50)</f>
        <v>0</v>
      </c>
      <c r="Z50" s="136">
        <f>+O50+Y50</f>
        <v>0</v>
      </c>
      <c r="AA50" s="137">
        <f>+D50-Z50</f>
        <v>0</v>
      </c>
    </row>
    <row r="51" spans="1:27" s="138" customFormat="1" ht="13.5" customHeight="1">
      <c r="A51" s="194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53"/>
      <c r="L51" s="153"/>
      <c r="M51" s="153"/>
      <c r="N51" s="153"/>
      <c r="O51" s="140">
        <f t="shared" si="2"/>
        <v>0</v>
      </c>
      <c r="P51" s="141">
        <f t="shared" si="3"/>
        <v>0</v>
      </c>
      <c r="Q51" s="139"/>
      <c r="R51" s="139"/>
      <c r="S51" s="139"/>
      <c r="T51" s="139"/>
      <c r="U51" s="142">
        <v>0</v>
      </c>
      <c r="V51" s="142">
        <v>0</v>
      </c>
      <c r="W51" s="142"/>
      <c r="X51" s="139"/>
      <c r="Y51" s="136">
        <f>SUM(Q51:X51)</f>
        <v>0</v>
      </c>
      <c r="Z51" s="136">
        <f>+O51+Y51</f>
        <v>0</v>
      </c>
      <c r="AA51" s="137">
        <f>+D51-Z51</f>
        <v>0</v>
      </c>
    </row>
    <row r="52" spans="1:27" s="138" customFormat="1" ht="13.5" customHeight="1">
      <c r="A52" s="194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53"/>
      <c r="L52" s="153"/>
      <c r="M52" s="153"/>
      <c r="N52" s="153"/>
      <c r="O52" s="140">
        <f t="shared" si="2"/>
        <v>0</v>
      </c>
      <c r="P52" s="141">
        <f t="shared" si="3"/>
        <v>0</v>
      </c>
      <c r="Q52" s="139"/>
      <c r="R52" s="139"/>
      <c r="S52" s="139"/>
      <c r="T52" s="139"/>
      <c r="U52" s="142">
        <v>0</v>
      </c>
      <c r="V52" s="142">
        <v>0</v>
      </c>
      <c r="W52" s="142"/>
      <c r="X52" s="139"/>
      <c r="Y52" s="136">
        <f>SUM(Q52:X52)</f>
        <v>0</v>
      </c>
      <c r="Z52" s="136">
        <f>+O52+Y52</f>
        <v>0</v>
      </c>
      <c r="AA52" s="137">
        <f>+D52-Z52</f>
        <v>0</v>
      </c>
    </row>
    <row r="53" spans="1:27" s="138" customFormat="1" ht="13.5" customHeight="1">
      <c r="A53" s="194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53"/>
      <c r="L53" s="153"/>
      <c r="M53" s="153"/>
      <c r="N53" s="153"/>
      <c r="O53" s="140">
        <f t="shared" si="2"/>
        <v>0</v>
      </c>
      <c r="P53" s="141">
        <f t="shared" si="3"/>
        <v>0</v>
      </c>
      <c r="Q53" s="139"/>
      <c r="R53" s="139"/>
      <c r="S53" s="139"/>
      <c r="T53" s="139"/>
      <c r="U53" s="142">
        <v>0</v>
      </c>
      <c r="V53" s="142">
        <v>0</v>
      </c>
      <c r="W53" s="142"/>
      <c r="X53" s="139"/>
      <c r="Y53" s="136">
        <f>SUM(Q53:X53)</f>
        <v>0</v>
      </c>
      <c r="Z53" s="136">
        <f>+O53+Y53</f>
        <v>0</v>
      </c>
      <c r="AA53" s="137">
        <f>+D53-Z53</f>
        <v>0</v>
      </c>
    </row>
    <row r="54" spans="1:27" s="138" customFormat="1" ht="13.5" customHeight="1">
      <c r="A54" s="194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52"/>
      <c r="L54" s="152"/>
      <c r="M54" s="152"/>
      <c r="N54" s="152"/>
      <c r="O54" s="140">
        <f t="shared" si="2"/>
        <v>0</v>
      </c>
      <c r="P54" s="141">
        <f t="shared" si="3"/>
        <v>0</v>
      </c>
      <c r="Q54" s="139"/>
      <c r="R54" s="139"/>
      <c r="S54" s="139"/>
      <c r="T54" s="139"/>
      <c r="U54" s="142">
        <v>0</v>
      </c>
      <c r="V54" s="142">
        <v>0</v>
      </c>
      <c r="W54" s="142"/>
      <c r="X54" s="139"/>
      <c r="Y54" s="136">
        <f>SUM(Q54:X54)</f>
        <v>0</v>
      </c>
      <c r="Z54" s="136">
        <f>+O54+Y54</f>
        <v>0</v>
      </c>
      <c r="AA54" s="137">
        <f>+D54-Z54</f>
        <v>0</v>
      </c>
    </row>
    <row r="55" spans="1:27" s="138" customFormat="1" ht="13.5" customHeight="1">
      <c r="A55" s="194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52"/>
      <c r="L55" s="152"/>
      <c r="M55" s="152"/>
      <c r="N55" s="152"/>
      <c r="O55" s="140">
        <f t="shared" si="2"/>
        <v>0</v>
      </c>
      <c r="P55" s="141">
        <f t="shared" si="3"/>
        <v>0</v>
      </c>
      <c r="Q55" s="139"/>
      <c r="R55" s="139"/>
      <c r="S55" s="139"/>
      <c r="T55" s="139"/>
      <c r="U55" s="142">
        <v>0</v>
      </c>
      <c r="V55" s="142">
        <v>0</v>
      </c>
      <c r="W55" s="142"/>
      <c r="X55" s="139"/>
      <c r="Y55" s="136">
        <f>SUM(Q55:X55)</f>
        <v>0</v>
      </c>
      <c r="Z55" s="136">
        <f>+O55+Y55</f>
        <v>0</v>
      </c>
      <c r="AA55" s="137">
        <f>+D55-Z55</f>
        <v>0</v>
      </c>
    </row>
    <row r="56" spans="1:27" s="138" customFormat="1" ht="13.5" customHeight="1">
      <c r="A56" s="194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55"/>
      <c r="L56" s="155"/>
      <c r="M56" s="155"/>
      <c r="N56" s="155"/>
      <c r="O56" s="144">
        <f t="shared" si="2"/>
        <v>0</v>
      </c>
      <c r="P56" s="145">
        <f t="shared" si="3"/>
        <v>0</v>
      </c>
      <c r="Q56" s="143"/>
      <c r="R56" s="143"/>
      <c r="S56" s="143"/>
      <c r="T56" s="143"/>
      <c r="U56" s="146">
        <v>0</v>
      </c>
      <c r="V56" s="146">
        <v>0</v>
      </c>
      <c r="W56" s="146"/>
      <c r="X56" s="143"/>
      <c r="Y56" s="136">
        <f>SUM(Q56:X56)</f>
        <v>0</v>
      </c>
      <c r="Z56" s="136">
        <f>+O56+Y56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N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:L57" si="12">SUBTOTAL(9,H58:H74)</f>
        <v>0</v>
      </c>
      <c r="I57" s="130">
        <f t="shared" si="12"/>
        <v>0</v>
      </c>
      <c r="J57" s="130">
        <f t="shared" si="12"/>
        <v>0</v>
      </c>
      <c r="K57" s="130">
        <f t="shared" si="12"/>
        <v>0</v>
      </c>
      <c r="L57" s="130">
        <f t="shared" si="12"/>
        <v>0</v>
      </c>
      <c r="M57" s="130">
        <f t="shared" si="11"/>
        <v>0</v>
      </c>
      <c r="N57" s="130">
        <f t="shared" si="11"/>
        <v>0</v>
      </c>
      <c r="O57" s="107">
        <f t="shared" si="2"/>
        <v>0</v>
      </c>
      <c r="P57" s="107">
        <f t="shared" si="3"/>
        <v>0</v>
      </c>
      <c r="Q57" s="130">
        <f t="shared" ref="Q57:X57" si="13">SUBTOTAL(9,Q58:Q74)</f>
        <v>0</v>
      </c>
      <c r="R57" s="130">
        <f t="shared" si="13"/>
        <v>0</v>
      </c>
      <c r="S57" s="130">
        <f t="shared" si="13"/>
        <v>0</v>
      </c>
      <c r="T57" s="130">
        <f t="shared" si="13"/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SUM(Q57:X57)</f>
        <v>0</v>
      </c>
      <c r="Z57" s="56">
        <f>+O57+Y57</f>
        <v>0</v>
      </c>
      <c r="AA57" s="131">
        <f>+D57-Z57</f>
        <v>0</v>
      </c>
    </row>
    <row r="58" spans="1:27" s="138" customFormat="1" ht="13.5" customHeight="1">
      <c r="A58" s="194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50"/>
      <c r="L58" s="150"/>
      <c r="M58" s="150"/>
      <c r="N58" s="150"/>
      <c r="O58" s="133">
        <f t="shared" si="2"/>
        <v>0</v>
      </c>
      <c r="P58" s="134">
        <f t="shared" si="3"/>
        <v>0</v>
      </c>
      <c r="Q58" s="132"/>
      <c r="R58" s="132"/>
      <c r="S58" s="132"/>
      <c r="T58" s="132"/>
      <c r="U58" s="135">
        <v>0</v>
      </c>
      <c r="V58" s="135">
        <v>0</v>
      </c>
      <c r="W58" s="135"/>
      <c r="X58" s="132"/>
      <c r="Y58" s="136">
        <f>SUM(Q58:X58)</f>
        <v>0</v>
      </c>
      <c r="Z58" s="136">
        <f>+O58+Y58</f>
        <v>0</v>
      </c>
      <c r="AA58" s="137">
        <f>+D58-Z58</f>
        <v>0</v>
      </c>
    </row>
    <row r="59" spans="1:27" s="138" customFormat="1" ht="13.5" customHeight="1">
      <c r="A59" s="194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66"/>
      <c r="L59" s="66"/>
      <c r="M59" s="66"/>
      <c r="N59" s="66"/>
      <c r="O59" s="133">
        <f t="shared" si="2"/>
        <v>0</v>
      </c>
      <c r="P59" s="134">
        <f t="shared" si="3"/>
        <v>0</v>
      </c>
      <c r="Q59" s="132"/>
      <c r="R59" s="132"/>
      <c r="S59" s="132"/>
      <c r="T59" s="132"/>
      <c r="U59" s="135">
        <v>0</v>
      </c>
      <c r="V59" s="135">
        <v>0</v>
      </c>
      <c r="W59" s="135"/>
      <c r="X59" s="132"/>
      <c r="Y59" s="136">
        <f>SUM(Q59:X59)</f>
        <v>0</v>
      </c>
      <c r="Z59" s="136">
        <f>+O59+Y59</f>
        <v>0</v>
      </c>
      <c r="AA59" s="137">
        <f>+D59-Z59</f>
        <v>0</v>
      </c>
    </row>
    <row r="60" spans="1:27" s="138" customFormat="1" ht="13.5" customHeight="1">
      <c r="A60" s="194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68"/>
      <c r="L60" s="68"/>
      <c r="M60" s="68"/>
      <c r="N60" s="68"/>
      <c r="O60" s="140">
        <f t="shared" si="2"/>
        <v>0</v>
      </c>
      <c r="P60" s="141">
        <f t="shared" si="3"/>
        <v>0</v>
      </c>
      <c r="Q60" s="139"/>
      <c r="R60" s="139"/>
      <c r="S60" s="139"/>
      <c r="T60" s="139"/>
      <c r="U60" s="142">
        <v>0</v>
      </c>
      <c r="V60" s="142">
        <v>0</v>
      </c>
      <c r="W60" s="142"/>
      <c r="X60" s="139"/>
      <c r="Y60" s="136">
        <f>SUM(Q60:X60)</f>
        <v>0</v>
      </c>
      <c r="Z60" s="136">
        <f>+O60+Y60</f>
        <v>0</v>
      </c>
      <c r="AA60" s="137">
        <f>+D60-Z60</f>
        <v>0</v>
      </c>
    </row>
    <row r="61" spans="1:27" s="138" customFormat="1" ht="13.5" customHeight="1">
      <c r="A61" s="194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52"/>
      <c r="L61" s="152"/>
      <c r="M61" s="152"/>
      <c r="N61" s="152"/>
      <c r="O61" s="140">
        <f t="shared" si="2"/>
        <v>0</v>
      </c>
      <c r="P61" s="141">
        <f t="shared" si="3"/>
        <v>0</v>
      </c>
      <c r="Q61" s="139"/>
      <c r="R61" s="139"/>
      <c r="S61" s="139"/>
      <c r="T61" s="139"/>
      <c r="U61" s="142">
        <v>0</v>
      </c>
      <c r="V61" s="142">
        <v>0</v>
      </c>
      <c r="W61" s="142"/>
      <c r="X61" s="139"/>
      <c r="Y61" s="136">
        <f>SUM(Q61:X61)</f>
        <v>0</v>
      </c>
      <c r="Z61" s="136">
        <f>+O61+Y61</f>
        <v>0</v>
      </c>
      <c r="AA61" s="137">
        <f>+D61-Z61</f>
        <v>0</v>
      </c>
    </row>
    <row r="62" spans="1:27" s="138" customFormat="1" ht="13.5" customHeight="1">
      <c r="A62" s="194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68"/>
      <c r="L62" s="68"/>
      <c r="M62" s="68"/>
      <c r="N62" s="68"/>
      <c r="O62" s="140">
        <f t="shared" si="2"/>
        <v>0</v>
      </c>
      <c r="P62" s="141">
        <f t="shared" si="3"/>
        <v>0</v>
      </c>
      <c r="Q62" s="139"/>
      <c r="R62" s="139"/>
      <c r="S62" s="139"/>
      <c r="T62" s="139"/>
      <c r="U62" s="142">
        <v>0</v>
      </c>
      <c r="V62" s="142">
        <v>0</v>
      </c>
      <c r="W62" s="142"/>
      <c r="X62" s="139"/>
      <c r="Y62" s="136">
        <f>SUM(Q62:X62)</f>
        <v>0</v>
      </c>
      <c r="Z62" s="136">
        <f>+O62+Y62</f>
        <v>0</v>
      </c>
      <c r="AA62" s="137">
        <f>+D62-Z62</f>
        <v>0</v>
      </c>
    </row>
    <row r="63" spans="1:27" s="138" customFormat="1" ht="13.5" customHeight="1">
      <c r="A63" s="194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52"/>
      <c r="L63" s="152"/>
      <c r="M63" s="152"/>
      <c r="N63" s="152"/>
      <c r="O63" s="140">
        <f t="shared" si="2"/>
        <v>0</v>
      </c>
      <c r="P63" s="141">
        <f t="shared" si="3"/>
        <v>0</v>
      </c>
      <c r="Q63" s="139"/>
      <c r="R63" s="139"/>
      <c r="S63" s="139"/>
      <c r="T63" s="139"/>
      <c r="U63" s="142">
        <v>0</v>
      </c>
      <c r="V63" s="142">
        <v>0</v>
      </c>
      <c r="W63" s="142"/>
      <c r="X63" s="139"/>
      <c r="Y63" s="136">
        <f>SUM(Q63:X63)</f>
        <v>0</v>
      </c>
      <c r="Z63" s="136">
        <f>+O63+Y63</f>
        <v>0</v>
      </c>
      <c r="AA63" s="137">
        <f>+D63-Z63</f>
        <v>0</v>
      </c>
    </row>
    <row r="64" spans="1:27" s="138" customFormat="1" ht="13.5" customHeight="1">
      <c r="A64" s="194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52"/>
      <c r="L64" s="152"/>
      <c r="M64" s="152"/>
      <c r="N64" s="152"/>
      <c r="O64" s="140">
        <f t="shared" si="2"/>
        <v>0</v>
      </c>
      <c r="P64" s="141">
        <f t="shared" si="3"/>
        <v>0</v>
      </c>
      <c r="Q64" s="139"/>
      <c r="R64" s="139"/>
      <c r="S64" s="139"/>
      <c r="T64" s="139"/>
      <c r="U64" s="142">
        <v>0</v>
      </c>
      <c r="V64" s="142">
        <v>0</v>
      </c>
      <c r="W64" s="142"/>
      <c r="X64" s="139"/>
      <c r="Y64" s="136">
        <f>SUM(Q64:X64)</f>
        <v>0</v>
      </c>
      <c r="Z64" s="136">
        <f>+O64+Y64</f>
        <v>0</v>
      </c>
      <c r="AA64" s="137">
        <f>+D64-Z64</f>
        <v>0</v>
      </c>
    </row>
    <row r="65" spans="1:27" s="138" customFormat="1" ht="13.5" customHeight="1">
      <c r="A65" s="194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52"/>
      <c r="L65" s="152"/>
      <c r="M65" s="152"/>
      <c r="N65" s="152"/>
      <c r="O65" s="140">
        <f t="shared" si="2"/>
        <v>0</v>
      </c>
      <c r="P65" s="141">
        <f t="shared" si="3"/>
        <v>0</v>
      </c>
      <c r="Q65" s="139"/>
      <c r="R65" s="139"/>
      <c r="S65" s="139"/>
      <c r="T65" s="139"/>
      <c r="U65" s="142">
        <v>0</v>
      </c>
      <c r="V65" s="142">
        <v>0</v>
      </c>
      <c r="W65" s="142"/>
      <c r="X65" s="139"/>
      <c r="Y65" s="136">
        <f>SUM(Q65:X65)</f>
        <v>0</v>
      </c>
      <c r="Z65" s="136">
        <f>+O65+Y65</f>
        <v>0</v>
      </c>
      <c r="AA65" s="137">
        <f>+D65-Z65</f>
        <v>0</v>
      </c>
    </row>
    <row r="66" spans="1:27" s="138" customFormat="1" ht="13.5" customHeight="1">
      <c r="A66" s="194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69"/>
      <c r="L66" s="69"/>
      <c r="M66" s="69"/>
      <c r="N66" s="69"/>
      <c r="O66" s="140">
        <f t="shared" si="2"/>
        <v>0</v>
      </c>
      <c r="P66" s="141">
        <f t="shared" si="3"/>
        <v>0</v>
      </c>
      <c r="Q66" s="139"/>
      <c r="R66" s="139"/>
      <c r="S66" s="139"/>
      <c r="T66" s="139"/>
      <c r="U66" s="142">
        <v>0</v>
      </c>
      <c r="V66" s="142">
        <v>0</v>
      </c>
      <c r="W66" s="142"/>
      <c r="X66" s="139"/>
      <c r="Y66" s="136">
        <f>SUM(Q66:X66)</f>
        <v>0</v>
      </c>
      <c r="Z66" s="136">
        <f>+O66+Y66</f>
        <v>0</v>
      </c>
      <c r="AA66" s="137">
        <f>+D66-Z66</f>
        <v>0</v>
      </c>
    </row>
    <row r="67" spans="1:27" s="138" customFormat="1" ht="13.5" customHeight="1">
      <c r="A67" s="194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53"/>
      <c r="L67" s="153"/>
      <c r="M67" s="153"/>
      <c r="N67" s="153"/>
      <c r="O67" s="140">
        <f t="shared" si="2"/>
        <v>0</v>
      </c>
      <c r="P67" s="141">
        <f t="shared" si="3"/>
        <v>0</v>
      </c>
      <c r="Q67" s="139"/>
      <c r="R67" s="139"/>
      <c r="S67" s="139"/>
      <c r="T67" s="139"/>
      <c r="U67" s="142">
        <v>0</v>
      </c>
      <c r="V67" s="142">
        <v>0</v>
      </c>
      <c r="W67" s="142"/>
      <c r="X67" s="139"/>
      <c r="Y67" s="136">
        <f>SUM(Q67:X67)</f>
        <v>0</v>
      </c>
      <c r="Z67" s="136">
        <f>+O67+Y67</f>
        <v>0</v>
      </c>
      <c r="AA67" s="137">
        <f>+D67-Z67</f>
        <v>0</v>
      </c>
    </row>
    <row r="68" spans="1:27" s="138" customFormat="1" ht="13.5" customHeight="1">
      <c r="A68" s="194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69"/>
      <c r="L68" s="69"/>
      <c r="M68" s="69"/>
      <c r="N68" s="69"/>
      <c r="O68" s="140">
        <f t="shared" si="2"/>
        <v>0</v>
      </c>
      <c r="P68" s="141">
        <f t="shared" si="3"/>
        <v>0</v>
      </c>
      <c r="Q68" s="139"/>
      <c r="R68" s="139"/>
      <c r="S68" s="139"/>
      <c r="T68" s="139"/>
      <c r="U68" s="142">
        <v>0</v>
      </c>
      <c r="V68" s="142">
        <v>0</v>
      </c>
      <c r="W68" s="142"/>
      <c r="X68" s="139"/>
      <c r="Y68" s="136">
        <f>SUM(Q68:X68)</f>
        <v>0</v>
      </c>
      <c r="Z68" s="136">
        <f>+O68+Y68</f>
        <v>0</v>
      </c>
      <c r="AA68" s="137">
        <f>+D68-Z68</f>
        <v>0</v>
      </c>
    </row>
    <row r="69" spans="1:27" s="138" customFormat="1" ht="13.5" customHeight="1">
      <c r="A69" s="194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69"/>
      <c r="L69" s="69"/>
      <c r="M69" s="69"/>
      <c r="N69" s="69"/>
      <c r="O69" s="140">
        <f t="shared" si="2"/>
        <v>0</v>
      </c>
      <c r="P69" s="141">
        <f t="shared" si="3"/>
        <v>0</v>
      </c>
      <c r="Q69" s="139"/>
      <c r="R69" s="139"/>
      <c r="S69" s="139"/>
      <c r="T69" s="139"/>
      <c r="U69" s="142">
        <v>0</v>
      </c>
      <c r="V69" s="142">
        <v>0</v>
      </c>
      <c r="W69" s="142"/>
      <c r="X69" s="139"/>
      <c r="Y69" s="136">
        <f>SUM(Q69:X69)</f>
        <v>0</v>
      </c>
      <c r="Z69" s="136">
        <f>+O69+Y69</f>
        <v>0</v>
      </c>
      <c r="AA69" s="137">
        <f>+D69-Z69</f>
        <v>0</v>
      </c>
    </row>
    <row r="70" spans="1:27" s="138" customFormat="1" ht="13.5" customHeight="1">
      <c r="A70" s="194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53"/>
      <c r="L70" s="153"/>
      <c r="M70" s="153"/>
      <c r="N70" s="153"/>
      <c r="O70" s="140">
        <f t="shared" ref="O70:O133" si="14">SUM(G70:N70)</f>
        <v>0</v>
      </c>
      <c r="P70" s="141">
        <f t="shared" ref="P70:P133" si="15">D70-O70</f>
        <v>0</v>
      </c>
      <c r="Q70" s="139"/>
      <c r="R70" s="139"/>
      <c r="S70" s="139"/>
      <c r="T70" s="139"/>
      <c r="U70" s="142">
        <v>0</v>
      </c>
      <c r="V70" s="142">
        <v>0</v>
      </c>
      <c r="W70" s="142"/>
      <c r="X70" s="139"/>
      <c r="Y70" s="136">
        <f>SUM(Q70:X70)</f>
        <v>0</v>
      </c>
      <c r="Z70" s="136">
        <f>+O70+Y70</f>
        <v>0</v>
      </c>
      <c r="AA70" s="137">
        <f>+D70-Z70</f>
        <v>0</v>
      </c>
    </row>
    <row r="71" spans="1:27" s="138" customFormat="1" ht="13.5" customHeight="1">
      <c r="A71" s="194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69"/>
      <c r="L71" s="69"/>
      <c r="M71" s="69"/>
      <c r="N71" s="69"/>
      <c r="O71" s="140">
        <f t="shared" si="14"/>
        <v>0</v>
      </c>
      <c r="P71" s="141">
        <f t="shared" si="15"/>
        <v>0</v>
      </c>
      <c r="Q71" s="139"/>
      <c r="R71" s="139"/>
      <c r="S71" s="139"/>
      <c r="T71" s="139"/>
      <c r="U71" s="142">
        <v>0</v>
      </c>
      <c r="V71" s="142">
        <v>0</v>
      </c>
      <c r="W71" s="142"/>
      <c r="X71" s="139"/>
      <c r="Y71" s="136">
        <f>SUM(Q71:X71)</f>
        <v>0</v>
      </c>
      <c r="Z71" s="136">
        <f>+O71+Y71</f>
        <v>0</v>
      </c>
      <c r="AA71" s="137">
        <f>+D71-Z71</f>
        <v>0</v>
      </c>
    </row>
    <row r="72" spans="1:27" s="138" customFormat="1" ht="13.5" customHeight="1">
      <c r="A72" s="194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68"/>
      <c r="L72" s="68"/>
      <c r="M72" s="68"/>
      <c r="N72" s="68"/>
      <c r="O72" s="140">
        <f t="shared" si="14"/>
        <v>0</v>
      </c>
      <c r="P72" s="141">
        <f t="shared" si="15"/>
        <v>0</v>
      </c>
      <c r="Q72" s="139"/>
      <c r="R72" s="139"/>
      <c r="S72" s="139"/>
      <c r="T72" s="139"/>
      <c r="U72" s="142">
        <v>0</v>
      </c>
      <c r="V72" s="142">
        <v>0</v>
      </c>
      <c r="W72" s="142"/>
      <c r="X72" s="139"/>
      <c r="Y72" s="136">
        <f>SUM(Q72:X72)</f>
        <v>0</v>
      </c>
      <c r="Z72" s="136">
        <f>+O72+Y72</f>
        <v>0</v>
      </c>
      <c r="AA72" s="137">
        <f>+D72-Z72</f>
        <v>0</v>
      </c>
    </row>
    <row r="73" spans="1:27" s="138" customFormat="1" ht="13.5" customHeight="1">
      <c r="A73" s="194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52"/>
      <c r="L73" s="152"/>
      <c r="M73" s="152"/>
      <c r="N73" s="152"/>
      <c r="O73" s="140">
        <f t="shared" si="14"/>
        <v>0</v>
      </c>
      <c r="P73" s="141">
        <f t="shared" si="15"/>
        <v>0</v>
      </c>
      <c r="Q73" s="139"/>
      <c r="R73" s="139"/>
      <c r="S73" s="139"/>
      <c r="T73" s="139"/>
      <c r="U73" s="142">
        <v>0</v>
      </c>
      <c r="V73" s="142">
        <v>0</v>
      </c>
      <c r="W73" s="142"/>
      <c r="X73" s="139"/>
      <c r="Y73" s="136">
        <f>SUM(Q73:X73)</f>
        <v>0</v>
      </c>
      <c r="Z73" s="136">
        <f>+O73+Y73</f>
        <v>0</v>
      </c>
      <c r="AA73" s="137">
        <f>+D73-Z73</f>
        <v>0</v>
      </c>
    </row>
    <row r="74" spans="1:27" s="138" customFormat="1" ht="13.5" customHeight="1">
      <c r="A74" s="194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71"/>
      <c r="L74" s="71"/>
      <c r="M74" s="71"/>
      <c r="N74" s="71"/>
      <c r="O74" s="144">
        <f t="shared" si="14"/>
        <v>0</v>
      </c>
      <c r="P74" s="145">
        <f t="shared" si="15"/>
        <v>0</v>
      </c>
      <c r="Q74" s="143"/>
      <c r="R74" s="143"/>
      <c r="S74" s="143"/>
      <c r="T74" s="143"/>
      <c r="U74" s="146">
        <v>0</v>
      </c>
      <c r="V74" s="146">
        <v>0</v>
      </c>
      <c r="W74" s="146"/>
      <c r="X74" s="143"/>
      <c r="Y74" s="136">
        <f>SUM(Q74:X74)</f>
        <v>0</v>
      </c>
      <c r="Z74" s="136">
        <f>+O74+Y74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N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:L75" si="17">SUBTOTAL(9,H76:H91)</f>
        <v>0</v>
      </c>
      <c r="I75" s="130">
        <f t="shared" si="17"/>
        <v>0</v>
      </c>
      <c r="J75" s="130">
        <f t="shared" si="17"/>
        <v>0</v>
      </c>
      <c r="K75" s="130">
        <f t="shared" si="17"/>
        <v>0</v>
      </c>
      <c r="L75" s="130">
        <f t="shared" si="17"/>
        <v>0</v>
      </c>
      <c r="M75" s="130">
        <f t="shared" si="16"/>
        <v>0</v>
      </c>
      <c r="N75" s="130">
        <f t="shared" si="16"/>
        <v>0</v>
      </c>
      <c r="O75" s="107">
        <f t="shared" si="14"/>
        <v>0</v>
      </c>
      <c r="P75" s="107">
        <f t="shared" si="15"/>
        <v>0</v>
      </c>
      <c r="Q75" s="130">
        <f t="shared" ref="Q75:X75" si="18">SUBTOTAL(9,Q76:Q91)</f>
        <v>0</v>
      </c>
      <c r="R75" s="130">
        <f t="shared" si="18"/>
        <v>0</v>
      </c>
      <c r="S75" s="130">
        <f t="shared" si="18"/>
        <v>0</v>
      </c>
      <c r="T75" s="130">
        <f t="shared" si="18"/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SUM(Q75:X75)</f>
        <v>0</v>
      </c>
      <c r="Z75" s="56">
        <f>+O75+Y75</f>
        <v>0</v>
      </c>
      <c r="AA75" s="131">
        <f>+D75-Z75</f>
        <v>0</v>
      </c>
    </row>
    <row r="76" spans="1:27" s="138" customFormat="1" ht="13.5" customHeight="1">
      <c r="A76" s="194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133">
        <f t="shared" si="14"/>
        <v>0</v>
      </c>
      <c r="P76" s="134">
        <f t="shared" si="15"/>
        <v>0</v>
      </c>
      <c r="Q76" s="132"/>
      <c r="R76" s="132"/>
      <c r="S76" s="132"/>
      <c r="T76" s="132"/>
      <c r="U76" s="135">
        <v>0</v>
      </c>
      <c r="V76" s="135">
        <v>0</v>
      </c>
      <c r="W76" s="135"/>
      <c r="X76" s="132"/>
      <c r="Y76" s="136">
        <f>SUM(Q76:X76)</f>
        <v>0</v>
      </c>
      <c r="Z76" s="136">
        <f>+O76+Y76</f>
        <v>0</v>
      </c>
      <c r="AA76" s="137">
        <f>+D76-Z76</f>
        <v>0</v>
      </c>
    </row>
    <row r="77" spans="1:27" s="138" customFormat="1" ht="13.5" customHeight="1">
      <c r="A77" s="194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140">
        <f t="shared" si="14"/>
        <v>0</v>
      </c>
      <c r="P77" s="141">
        <f t="shared" si="15"/>
        <v>0</v>
      </c>
      <c r="Q77" s="139"/>
      <c r="R77" s="139"/>
      <c r="S77" s="139"/>
      <c r="T77" s="139"/>
      <c r="U77" s="142">
        <v>0</v>
      </c>
      <c r="V77" s="142">
        <v>0</v>
      </c>
      <c r="W77" s="142"/>
      <c r="X77" s="139"/>
      <c r="Y77" s="136">
        <f>SUM(Q77:X77)</f>
        <v>0</v>
      </c>
      <c r="Z77" s="136">
        <f>+O77+Y77</f>
        <v>0</v>
      </c>
      <c r="AA77" s="137">
        <f>+D77-Z77</f>
        <v>0</v>
      </c>
    </row>
    <row r="78" spans="1:27" s="138" customFormat="1" ht="13.5" customHeight="1">
      <c r="A78" s="194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140">
        <f t="shared" si="14"/>
        <v>0</v>
      </c>
      <c r="P78" s="141">
        <f t="shared" si="15"/>
        <v>0</v>
      </c>
      <c r="Q78" s="139"/>
      <c r="R78" s="139"/>
      <c r="S78" s="139"/>
      <c r="T78" s="139"/>
      <c r="U78" s="142">
        <v>0</v>
      </c>
      <c r="V78" s="142">
        <v>0</v>
      </c>
      <c r="W78" s="142"/>
      <c r="X78" s="139"/>
      <c r="Y78" s="136">
        <f>SUM(Q78:X78)</f>
        <v>0</v>
      </c>
      <c r="Z78" s="136">
        <f>+O78+Y78</f>
        <v>0</v>
      </c>
      <c r="AA78" s="137">
        <f>+D78-Z78</f>
        <v>0</v>
      </c>
    </row>
    <row r="79" spans="1:27" s="138" customFormat="1" ht="13.5" customHeight="1">
      <c r="A79" s="194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140">
        <f t="shared" si="14"/>
        <v>0</v>
      </c>
      <c r="P79" s="141">
        <f t="shared" si="15"/>
        <v>0</v>
      </c>
      <c r="Q79" s="139"/>
      <c r="R79" s="139"/>
      <c r="S79" s="139"/>
      <c r="T79" s="139"/>
      <c r="U79" s="142">
        <v>0</v>
      </c>
      <c r="V79" s="142">
        <v>0</v>
      </c>
      <c r="W79" s="142"/>
      <c r="X79" s="139"/>
      <c r="Y79" s="136">
        <f>SUM(Q79:X79)</f>
        <v>0</v>
      </c>
      <c r="Z79" s="136">
        <f>+O79+Y79</f>
        <v>0</v>
      </c>
      <c r="AA79" s="137">
        <f>+D79-Z79</f>
        <v>0</v>
      </c>
    </row>
    <row r="80" spans="1:27" s="138" customFormat="1" ht="13.5" customHeight="1">
      <c r="A80" s="194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52"/>
      <c r="L80" s="152"/>
      <c r="M80" s="152"/>
      <c r="N80" s="152"/>
      <c r="O80" s="140">
        <f t="shared" si="14"/>
        <v>0</v>
      </c>
      <c r="P80" s="141">
        <f t="shared" si="15"/>
        <v>0</v>
      </c>
      <c r="Q80" s="139"/>
      <c r="R80" s="139"/>
      <c r="S80" s="139"/>
      <c r="T80" s="139"/>
      <c r="U80" s="142">
        <v>0</v>
      </c>
      <c r="V80" s="142">
        <v>0</v>
      </c>
      <c r="W80" s="142"/>
      <c r="X80" s="139"/>
      <c r="Y80" s="136">
        <f>SUM(Q80:X80)</f>
        <v>0</v>
      </c>
      <c r="Z80" s="136">
        <f>+O80+Y80</f>
        <v>0</v>
      </c>
      <c r="AA80" s="137">
        <f>+D80-Z80</f>
        <v>0</v>
      </c>
    </row>
    <row r="81" spans="1:27" s="138" customFormat="1" ht="13.5" customHeight="1">
      <c r="A81" s="194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52"/>
      <c r="L81" s="152"/>
      <c r="M81" s="152"/>
      <c r="N81" s="152"/>
      <c r="O81" s="140">
        <f t="shared" si="14"/>
        <v>0</v>
      </c>
      <c r="P81" s="141">
        <f t="shared" si="15"/>
        <v>0</v>
      </c>
      <c r="Q81" s="139"/>
      <c r="R81" s="139"/>
      <c r="S81" s="139"/>
      <c r="T81" s="139"/>
      <c r="U81" s="142">
        <v>0</v>
      </c>
      <c r="V81" s="142">
        <v>0</v>
      </c>
      <c r="W81" s="142"/>
      <c r="X81" s="139"/>
      <c r="Y81" s="136">
        <f>SUM(Q81:X81)</f>
        <v>0</v>
      </c>
      <c r="Z81" s="136">
        <f>+O81+Y81</f>
        <v>0</v>
      </c>
      <c r="AA81" s="137">
        <f>+D81-Z81</f>
        <v>0</v>
      </c>
    </row>
    <row r="82" spans="1:27" s="138" customFormat="1" ht="13.5" customHeight="1">
      <c r="A82" s="194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52"/>
      <c r="L82" s="152"/>
      <c r="M82" s="152"/>
      <c r="N82" s="152"/>
      <c r="O82" s="140">
        <f t="shared" si="14"/>
        <v>0</v>
      </c>
      <c r="P82" s="141">
        <f t="shared" si="15"/>
        <v>0</v>
      </c>
      <c r="Q82" s="139"/>
      <c r="R82" s="139"/>
      <c r="S82" s="139"/>
      <c r="T82" s="139"/>
      <c r="U82" s="142">
        <v>0</v>
      </c>
      <c r="V82" s="142">
        <v>0</v>
      </c>
      <c r="W82" s="142"/>
      <c r="X82" s="139"/>
      <c r="Y82" s="136">
        <f>SUM(Q82:X82)</f>
        <v>0</v>
      </c>
      <c r="Z82" s="136">
        <f>+O82+Y82</f>
        <v>0</v>
      </c>
      <c r="AA82" s="137">
        <f>+D82-Z82</f>
        <v>0</v>
      </c>
    </row>
    <row r="83" spans="1:27" s="138" customFormat="1" ht="13.5" customHeight="1">
      <c r="A83" s="194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140">
        <f t="shared" si="14"/>
        <v>0</v>
      </c>
      <c r="P83" s="141">
        <f t="shared" si="15"/>
        <v>0</v>
      </c>
      <c r="Q83" s="139"/>
      <c r="R83" s="139"/>
      <c r="S83" s="139"/>
      <c r="T83" s="139"/>
      <c r="U83" s="142">
        <v>0</v>
      </c>
      <c r="V83" s="142">
        <v>0</v>
      </c>
      <c r="W83" s="142"/>
      <c r="X83" s="139"/>
      <c r="Y83" s="136">
        <f>SUM(Q83:X83)</f>
        <v>0</v>
      </c>
      <c r="Z83" s="136">
        <f>+O83+Y83</f>
        <v>0</v>
      </c>
      <c r="AA83" s="137">
        <f>+D83-Z83</f>
        <v>0</v>
      </c>
    </row>
    <row r="84" spans="1:27" s="138" customFormat="1" ht="13.5" customHeight="1">
      <c r="A84" s="194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140">
        <f t="shared" si="14"/>
        <v>0</v>
      </c>
      <c r="P84" s="141">
        <f t="shared" si="15"/>
        <v>0</v>
      </c>
      <c r="Q84" s="139"/>
      <c r="R84" s="139"/>
      <c r="S84" s="139"/>
      <c r="T84" s="139"/>
      <c r="U84" s="142">
        <v>0</v>
      </c>
      <c r="V84" s="142">
        <v>0</v>
      </c>
      <c r="W84" s="142"/>
      <c r="X84" s="139"/>
      <c r="Y84" s="136">
        <f>SUM(Q84:X84)</f>
        <v>0</v>
      </c>
      <c r="Z84" s="136">
        <f>+O84+Y84</f>
        <v>0</v>
      </c>
      <c r="AA84" s="137">
        <f>+D84-Z84</f>
        <v>0</v>
      </c>
    </row>
    <row r="85" spans="1:27" s="138" customFormat="1" ht="13.5" customHeight="1">
      <c r="A85" s="194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69"/>
      <c r="L85" s="69"/>
      <c r="M85" s="69"/>
      <c r="N85" s="69"/>
      <c r="O85" s="140">
        <f t="shared" si="14"/>
        <v>0</v>
      </c>
      <c r="P85" s="141">
        <f t="shared" si="15"/>
        <v>0</v>
      </c>
      <c r="Q85" s="139"/>
      <c r="R85" s="139"/>
      <c r="S85" s="139"/>
      <c r="T85" s="139"/>
      <c r="U85" s="142">
        <v>0</v>
      </c>
      <c r="V85" s="142">
        <v>0</v>
      </c>
      <c r="W85" s="142"/>
      <c r="X85" s="139"/>
      <c r="Y85" s="136">
        <f>SUM(Q85:X85)</f>
        <v>0</v>
      </c>
      <c r="Z85" s="136">
        <f>+O85+Y85</f>
        <v>0</v>
      </c>
      <c r="AA85" s="137">
        <f>+D85-Z85</f>
        <v>0</v>
      </c>
    </row>
    <row r="86" spans="1:27" s="138" customFormat="1" ht="13.5" customHeight="1">
      <c r="A86" s="194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140">
        <f t="shared" si="14"/>
        <v>0</v>
      </c>
      <c r="P86" s="141">
        <f t="shared" si="15"/>
        <v>0</v>
      </c>
      <c r="Q86" s="139"/>
      <c r="R86" s="139"/>
      <c r="S86" s="139"/>
      <c r="T86" s="139"/>
      <c r="U86" s="142">
        <v>0</v>
      </c>
      <c r="V86" s="142">
        <v>0</v>
      </c>
      <c r="W86" s="142"/>
      <c r="X86" s="139"/>
      <c r="Y86" s="136">
        <f>SUM(Q86:X86)</f>
        <v>0</v>
      </c>
      <c r="Z86" s="136">
        <f>+O86+Y86</f>
        <v>0</v>
      </c>
      <c r="AA86" s="137">
        <f>+D86-Z86</f>
        <v>0</v>
      </c>
    </row>
    <row r="87" spans="1:27" s="138" customFormat="1" ht="13.5" customHeight="1">
      <c r="A87" s="194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140">
        <f t="shared" si="14"/>
        <v>0</v>
      </c>
      <c r="P87" s="141">
        <f t="shared" si="15"/>
        <v>0</v>
      </c>
      <c r="Q87" s="139"/>
      <c r="R87" s="139"/>
      <c r="S87" s="139"/>
      <c r="T87" s="139"/>
      <c r="U87" s="142">
        <v>0</v>
      </c>
      <c r="V87" s="142">
        <v>0</v>
      </c>
      <c r="W87" s="142"/>
      <c r="X87" s="139"/>
      <c r="Y87" s="136">
        <f>SUM(Q87:X87)</f>
        <v>0</v>
      </c>
      <c r="Z87" s="136">
        <f>+O87+Y87</f>
        <v>0</v>
      </c>
      <c r="AA87" s="137">
        <f>+D87-Z87</f>
        <v>0</v>
      </c>
    </row>
    <row r="88" spans="1:27" s="138" customFormat="1" ht="13.5" customHeight="1">
      <c r="A88" s="194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140">
        <f t="shared" si="14"/>
        <v>0</v>
      </c>
      <c r="P88" s="141">
        <f t="shared" si="15"/>
        <v>0</v>
      </c>
      <c r="Q88" s="139"/>
      <c r="R88" s="139"/>
      <c r="S88" s="139"/>
      <c r="T88" s="139"/>
      <c r="U88" s="142">
        <v>0</v>
      </c>
      <c r="V88" s="142">
        <v>0</v>
      </c>
      <c r="W88" s="142"/>
      <c r="X88" s="139"/>
      <c r="Y88" s="136">
        <f>SUM(Q88:X88)</f>
        <v>0</v>
      </c>
      <c r="Z88" s="136">
        <f>+O88+Y88</f>
        <v>0</v>
      </c>
      <c r="AA88" s="137">
        <f>+D88-Z88</f>
        <v>0</v>
      </c>
    </row>
    <row r="89" spans="1:27" s="138" customFormat="1" ht="13.5" customHeight="1">
      <c r="A89" s="194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140">
        <f t="shared" si="14"/>
        <v>0</v>
      </c>
      <c r="P89" s="141">
        <f t="shared" si="15"/>
        <v>0</v>
      </c>
      <c r="Q89" s="139"/>
      <c r="R89" s="139"/>
      <c r="S89" s="139"/>
      <c r="T89" s="139"/>
      <c r="U89" s="142">
        <v>0</v>
      </c>
      <c r="V89" s="142">
        <v>0</v>
      </c>
      <c r="W89" s="142"/>
      <c r="X89" s="139"/>
      <c r="Y89" s="136">
        <f>SUM(Q89:X89)</f>
        <v>0</v>
      </c>
      <c r="Z89" s="136">
        <f>+O89+Y89</f>
        <v>0</v>
      </c>
      <c r="AA89" s="137">
        <f>+D89-Z89</f>
        <v>0</v>
      </c>
    </row>
    <row r="90" spans="1:27" s="138" customFormat="1" ht="13.5" customHeight="1">
      <c r="A90" s="194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52"/>
      <c r="L90" s="152"/>
      <c r="M90" s="152"/>
      <c r="N90" s="152"/>
      <c r="O90" s="140">
        <f t="shared" si="14"/>
        <v>0</v>
      </c>
      <c r="P90" s="141">
        <f t="shared" si="15"/>
        <v>0</v>
      </c>
      <c r="Q90" s="139"/>
      <c r="R90" s="139"/>
      <c r="S90" s="139"/>
      <c r="T90" s="139"/>
      <c r="U90" s="142">
        <v>0</v>
      </c>
      <c r="V90" s="142">
        <v>0</v>
      </c>
      <c r="W90" s="142"/>
      <c r="X90" s="139"/>
      <c r="Y90" s="136">
        <f>SUM(Q90:X90)</f>
        <v>0</v>
      </c>
      <c r="Z90" s="136">
        <f>+O90+Y90</f>
        <v>0</v>
      </c>
      <c r="AA90" s="137">
        <f>+D90-Z90</f>
        <v>0</v>
      </c>
    </row>
    <row r="91" spans="1:27" s="138" customFormat="1" ht="13.5" customHeight="1">
      <c r="A91" s="194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144">
        <f t="shared" si="14"/>
        <v>0</v>
      </c>
      <c r="P91" s="145">
        <f t="shared" si="15"/>
        <v>0</v>
      </c>
      <c r="Q91" s="143"/>
      <c r="R91" s="143"/>
      <c r="S91" s="143"/>
      <c r="T91" s="143"/>
      <c r="U91" s="146">
        <v>0</v>
      </c>
      <c r="V91" s="146">
        <v>0</v>
      </c>
      <c r="W91" s="146"/>
      <c r="X91" s="143"/>
      <c r="Y91" s="136">
        <f>SUM(Q91:X91)</f>
        <v>0</v>
      </c>
      <c r="Z91" s="136">
        <f>+O91+Y91</f>
        <v>0</v>
      </c>
      <c r="AA91" s="137">
        <f>+D91-Z91</f>
        <v>0</v>
      </c>
    </row>
    <row r="92" spans="1:27" s="138" customFormat="1" ht="13.5" customHeight="1">
      <c r="A92" s="193" t="s">
        <v>67</v>
      </c>
      <c r="B92" s="186"/>
      <c r="C92" s="156"/>
      <c r="D92" s="129">
        <f t="shared" ref="D92:N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:L92" si="20">SUBTOTAL(9,H93:H108)</f>
        <v>0</v>
      </c>
      <c r="I92" s="130">
        <f t="shared" si="20"/>
        <v>0</v>
      </c>
      <c r="J92" s="130">
        <f t="shared" si="20"/>
        <v>0</v>
      </c>
      <c r="K92" s="130">
        <f t="shared" si="20"/>
        <v>0</v>
      </c>
      <c r="L92" s="130">
        <f t="shared" si="20"/>
        <v>0</v>
      </c>
      <c r="M92" s="130">
        <f t="shared" si="19"/>
        <v>0</v>
      </c>
      <c r="N92" s="130">
        <f t="shared" si="19"/>
        <v>0</v>
      </c>
      <c r="O92" s="107">
        <f t="shared" si="14"/>
        <v>0</v>
      </c>
      <c r="P92" s="107">
        <f t="shared" si="15"/>
        <v>0</v>
      </c>
      <c r="Q92" s="130">
        <f t="shared" ref="Q92:X92" si="21">SUBTOTAL(9,Q93:Q108)</f>
        <v>0</v>
      </c>
      <c r="R92" s="130">
        <f t="shared" si="21"/>
        <v>0</v>
      </c>
      <c r="S92" s="130">
        <f t="shared" si="21"/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SUM(Q92:X92)</f>
        <v>0</v>
      </c>
      <c r="Z92" s="56">
        <f>+O92+Y92</f>
        <v>0</v>
      </c>
      <c r="AA92" s="131">
        <f>+D92-Z92</f>
        <v>0</v>
      </c>
    </row>
    <row r="93" spans="1:27" s="138" customFormat="1" ht="13.5" customHeight="1">
      <c r="A93" s="216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133">
        <f t="shared" si="14"/>
        <v>0</v>
      </c>
      <c r="P93" s="134">
        <f t="shared" si="15"/>
        <v>0</v>
      </c>
      <c r="Q93" s="132"/>
      <c r="R93" s="132"/>
      <c r="S93" s="132"/>
      <c r="T93" s="132"/>
      <c r="U93" s="135">
        <v>0</v>
      </c>
      <c r="V93" s="135">
        <v>0</v>
      </c>
      <c r="W93" s="135"/>
      <c r="X93" s="132"/>
      <c r="Y93" s="136">
        <f>SUM(Q93:X93)</f>
        <v>0</v>
      </c>
      <c r="Z93" s="136">
        <f>+O93+Y93</f>
        <v>0</v>
      </c>
      <c r="AA93" s="137">
        <f>+D93-Z93</f>
        <v>0</v>
      </c>
    </row>
    <row r="94" spans="1:27" s="138" customFormat="1" ht="13.5" customHeight="1">
      <c r="A94" s="216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140">
        <f t="shared" si="14"/>
        <v>0</v>
      </c>
      <c r="P94" s="141">
        <f t="shared" si="15"/>
        <v>0</v>
      </c>
      <c r="Q94" s="139"/>
      <c r="R94" s="139"/>
      <c r="S94" s="139"/>
      <c r="T94" s="139"/>
      <c r="U94" s="142">
        <v>0</v>
      </c>
      <c r="V94" s="142">
        <v>0</v>
      </c>
      <c r="W94" s="142"/>
      <c r="X94" s="139"/>
      <c r="Y94" s="136">
        <f>SUM(Q94:X94)</f>
        <v>0</v>
      </c>
      <c r="Z94" s="136">
        <f>+O94+Y94</f>
        <v>0</v>
      </c>
      <c r="AA94" s="137">
        <f>+D94-Z94</f>
        <v>0</v>
      </c>
    </row>
    <row r="95" spans="1:27" s="138" customFormat="1" ht="13.5" customHeight="1">
      <c r="A95" s="216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140">
        <f t="shared" si="14"/>
        <v>0</v>
      </c>
      <c r="P95" s="141">
        <f t="shared" si="15"/>
        <v>0</v>
      </c>
      <c r="Q95" s="139"/>
      <c r="R95" s="139"/>
      <c r="S95" s="139"/>
      <c r="T95" s="139"/>
      <c r="U95" s="142">
        <v>0</v>
      </c>
      <c r="V95" s="142">
        <v>0</v>
      </c>
      <c r="W95" s="142"/>
      <c r="X95" s="139"/>
      <c r="Y95" s="136">
        <f>SUM(Q95:X95)</f>
        <v>0</v>
      </c>
      <c r="Z95" s="136">
        <f>+O95+Y95</f>
        <v>0</v>
      </c>
      <c r="AA95" s="137">
        <f>+D95-Z95</f>
        <v>0</v>
      </c>
    </row>
    <row r="96" spans="1:27" s="138" customFormat="1" ht="13.5" customHeight="1">
      <c r="A96" s="216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140">
        <f t="shared" si="14"/>
        <v>0</v>
      </c>
      <c r="P96" s="141">
        <f t="shared" si="15"/>
        <v>0</v>
      </c>
      <c r="Q96" s="139"/>
      <c r="R96" s="139"/>
      <c r="S96" s="139"/>
      <c r="T96" s="139"/>
      <c r="U96" s="142">
        <v>0</v>
      </c>
      <c r="V96" s="142">
        <v>0</v>
      </c>
      <c r="W96" s="142"/>
      <c r="X96" s="139"/>
      <c r="Y96" s="136">
        <f>SUM(Q96:X96)</f>
        <v>0</v>
      </c>
      <c r="Z96" s="136">
        <f>+O96+Y96</f>
        <v>0</v>
      </c>
      <c r="AA96" s="137">
        <f>+D96-Z96</f>
        <v>0</v>
      </c>
    </row>
    <row r="97" spans="1:27" s="138" customFormat="1" ht="13.5" customHeight="1">
      <c r="A97" s="216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52"/>
      <c r="L97" s="152"/>
      <c r="M97" s="152"/>
      <c r="N97" s="152"/>
      <c r="O97" s="140">
        <f t="shared" si="14"/>
        <v>0</v>
      </c>
      <c r="P97" s="141">
        <f t="shared" si="15"/>
        <v>0</v>
      </c>
      <c r="Q97" s="139"/>
      <c r="R97" s="139"/>
      <c r="S97" s="139"/>
      <c r="T97" s="139"/>
      <c r="U97" s="142">
        <v>0</v>
      </c>
      <c r="V97" s="142">
        <v>0</v>
      </c>
      <c r="W97" s="142"/>
      <c r="X97" s="139"/>
      <c r="Y97" s="136">
        <f>SUM(Q97:X97)</f>
        <v>0</v>
      </c>
      <c r="Z97" s="136">
        <f>+O97+Y97</f>
        <v>0</v>
      </c>
      <c r="AA97" s="137">
        <f>+D97-Z97</f>
        <v>0</v>
      </c>
    </row>
    <row r="98" spans="1:27" s="138" customFormat="1" ht="13.5" customHeight="1">
      <c r="A98" s="216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52"/>
      <c r="L98" s="152"/>
      <c r="M98" s="152"/>
      <c r="N98" s="152"/>
      <c r="O98" s="140">
        <f t="shared" si="14"/>
        <v>0</v>
      </c>
      <c r="P98" s="141">
        <f t="shared" si="15"/>
        <v>0</v>
      </c>
      <c r="Q98" s="139"/>
      <c r="R98" s="139"/>
      <c r="S98" s="139"/>
      <c r="T98" s="139"/>
      <c r="U98" s="142">
        <v>0</v>
      </c>
      <c r="V98" s="142">
        <v>0</v>
      </c>
      <c r="W98" s="142"/>
      <c r="X98" s="139"/>
      <c r="Y98" s="136">
        <f>SUM(Q98:X98)</f>
        <v>0</v>
      </c>
      <c r="Z98" s="136">
        <f>+O98+Y98</f>
        <v>0</v>
      </c>
      <c r="AA98" s="137">
        <f>+D98-Z98</f>
        <v>0</v>
      </c>
    </row>
    <row r="99" spans="1:27" s="138" customFormat="1" ht="13.5" customHeight="1">
      <c r="A99" s="216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52"/>
      <c r="L99" s="152"/>
      <c r="M99" s="152"/>
      <c r="N99" s="152"/>
      <c r="O99" s="140">
        <f t="shared" si="14"/>
        <v>0</v>
      </c>
      <c r="P99" s="141">
        <f t="shared" si="15"/>
        <v>0</v>
      </c>
      <c r="Q99" s="139"/>
      <c r="R99" s="139"/>
      <c r="S99" s="139"/>
      <c r="T99" s="139"/>
      <c r="U99" s="142">
        <v>0</v>
      </c>
      <c r="V99" s="142">
        <v>0</v>
      </c>
      <c r="W99" s="142"/>
      <c r="X99" s="139"/>
      <c r="Y99" s="136">
        <f>SUM(Q99:X99)</f>
        <v>0</v>
      </c>
      <c r="Z99" s="136">
        <f>+O99+Y99</f>
        <v>0</v>
      </c>
      <c r="AA99" s="137">
        <f>+D99-Z99</f>
        <v>0</v>
      </c>
    </row>
    <row r="100" spans="1:27" s="138" customFormat="1" ht="13.5" customHeight="1">
      <c r="A100" s="216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140">
        <f t="shared" si="14"/>
        <v>0</v>
      </c>
      <c r="P100" s="141">
        <f t="shared" si="15"/>
        <v>0</v>
      </c>
      <c r="Q100" s="139"/>
      <c r="R100" s="139"/>
      <c r="S100" s="139"/>
      <c r="T100" s="139"/>
      <c r="U100" s="142">
        <v>0</v>
      </c>
      <c r="V100" s="142">
        <v>0</v>
      </c>
      <c r="W100" s="142"/>
      <c r="X100" s="139"/>
      <c r="Y100" s="136">
        <f>SUM(Q100:X100)</f>
        <v>0</v>
      </c>
      <c r="Z100" s="136">
        <f>+O100+Y100</f>
        <v>0</v>
      </c>
      <c r="AA100" s="137">
        <f>+D100-Z100</f>
        <v>0</v>
      </c>
    </row>
    <row r="101" spans="1:27" s="138" customFormat="1" ht="13.5" customHeight="1">
      <c r="A101" s="216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140">
        <f t="shared" si="14"/>
        <v>0</v>
      </c>
      <c r="P101" s="141">
        <f t="shared" si="15"/>
        <v>0</v>
      </c>
      <c r="Q101" s="139"/>
      <c r="R101" s="139"/>
      <c r="S101" s="139"/>
      <c r="T101" s="139"/>
      <c r="U101" s="142">
        <v>0</v>
      </c>
      <c r="V101" s="142">
        <v>0</v>
      </c>
      <c r="W101" s="142"/>
      <c r="X101" s="139"/>
      <c r="Y101" s="136">
        <f>SUM(Q101:X101)</f>
        <v>0</v>
      </c>
      <c r="Z101" s="136">
        <f>+O101+Y101</f>
        <v>0</v>
      </c>
      <c r="AA101" s="137">
        <f>+D101-Z101</f>
        <v>0</v>
      </c>
    </row>
    <row r="102" spans="1:27" s="138" customFormat="1" ht="13.5" customHeight="1">
      <c r="A102" s="216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69"/>
      <c r="L102" s="69"/>
      <c r="M102" s="69"/>
      <c r="N102" s="69"/>
      <c r="O102" s="140">
        <f t="shared" si="14"/>
        <v>0</v>
      </c>
      <c r="P102" s="141">
        <f t="shared" si="15"/>
        <v>0</v>
      </c>
      <c r="Q102" s="139"/>
      <c r="R102" s="139"/>
      <c r="S102" s="139"/>
      <c r="T102" s="139"/>
      <c r="U102" s="142">
        <v>0</v>
      </c>
      <c r="V102" s="142">
        <v>0</v>
      </c>
      <c r="W102" s="142"/>
      <c r="X102" s="139"/>
      <c r="Y102" s="136">
        <f>SUM(Q102:X102)</f>
        <v>0</v>
      </c>
      <c r="Z102" s="136">
        <f>+O102+Y102</f>
        <v>0</v>
      </c>
      <c r="AA102" s="137">
        <f>+D102-Z102</f>
        <v>0</v>
      </c>
    </row>
    <row r="103" spans="1:27" s="138" customFormat="1" ht="13.5" customHeight="1">
      <c r="A103" s="216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140">
        <f t="shared" si="14"/>
        <v>0</v>
      </c>
      <c r="P103" s="141">
        <f t="shared" si="15"/>
        <v>0</v>
      </c>
      <c r="Q103" s="139"/>
      <c r="R103" s="139"/>
      <c r="S103" s="139"/>
      <c r="T103" s="139"/>
      <c r="U103" s="142">
        <v>0</v>
      </c>
      <c r="V103" s="142">
        <v>0</v>
      </c>
      <c r="W103" s="142"/>
      <c r="X103" s="139"/>
      <c r="Y103" s="136">
        <f>SUM(Q103:X103)</f>
        <v>0</v>
      </c>
      <c r="Z103" s="136">
        <f>+O103+Y103</f>
        <v>0</v>
      </c>
      <c r="AA103" s="137">
        <f>+D103-Z103</f>
        <v>0</v>
      </c>
    </row>
    <row r="104" spans="1:27" s="138" customFormat="1" ht="13.5" customHeight="1">
      <c r="A104" s="216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140">
        <f t="shared" si="14"/>
        <v>0</v>
      </c>
      <c r="P104" s="141">
        <f t="shared" si="15"/>
        <v>0</v>
      </c>
      <c r="Q104" s="139"/>
      <c r="R104" s="139"/>
      <c r="S104" s="139"/>
      <c r="T104" s="139"/>
      <c r="U104" s="142">
        <v>0</v>
      </c>
      <c r="V104" s="142">
        <v>0</v>
      </c>
      <c r="W104" s="142"/>
      <c r="X104" s="139"/>
      <c r="Y104" s="136">
        <f>SUM(Q104:X104)</f>
        <v>0</v>
      </c>
      <c r="Z104" s="136">
        <f>+O104+Y104</f>
        <v>0</v>
      </c>
      <c r="AA104" s="137">
        <f>+D104-Z104</f>
        <v>0</v>
      </c>
    </row>
    <row r="105" spans="1:27" s="138" customFormat="1" ht="13.5" customHeight="1">
      <c r="A105" s="216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140">
        <f t="shared" si="14"/>
        <v>0</v>
      </c>
      <c r="P105" s="141">
        <f t="shared" si="15"/>
        <v>0</v>
      </c>
      <c r="Q105" s="139"/>
      <c r="R105" s="139"/>
      <c r="S105" s="139"/>
      <c r="T105" s="139"/>
      <c r="U105" s="142">
        <v>0</v>
      </c>
      <c r="V105" s="142">
        <v>0</v>
      </c>
      <c r="W105" s="142"/>
      <c r="X105" s="139"/>
      <c r="Y105" s="136">
        <f>SUM(Q105:X105)</f>
        <v>0</v>
      </c>
      <c r="Z105" s="136">
        <f>+O105+Y105</f>
        <v>0</v>
      </c>
      <c r="AA105" s="137">
        <f>+D105-Z105</f>
        <v>0</v>
      </c>
    </row>
    <row r="106" spans="1:27" s="138" customFormat="1" ht="13.5" customHeight="1">
      <c r="A106" s="216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140">
        <f t="shared" si="14"/>
        <v>0</v>
      </c>
      <c r="P106" s="141">
        <f t="shared" si="15"/>
        <v>0</v>
      </c>
      <c r="Q106" s="139"/>
      <c r="R106" s="139"/>
      <c r="S106" s="139"/>
      <c r="T106" s="139"/>
      <c r="U106" s="142">
        <v>0</v>
      </c>
      <c r="V106" s="142">
        <v>0</v>
      </c>
      <c r="W106" s="142"/>
      <c r="X106" s="139"/>
      <c r="Y106" s="136">
        <f>SUM(Q106:X106)</f>
        <v>0</v>
      </c>
      <c r="Z106" s="136">
        <f>+O106+Y106</f>
        <v>0</v>
      </c>
      <c r="AA106" s="137">
        <f>+D106-Z106</f>
        <v>0</v>
      </c>
    </row>
    <row r="107" spans="1:27" s="138" customFormat="1" ht="13.5" customHeight="1">
      <c r="A107" s="216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52"/>
      <c r="L107" s="152"/>
      <c r="M107" s="152"/>
      <c r="N107" s="152"/>
      <c r="O107" s="140">
        <f t="shared" si="14"/>
        <v>0</v>
      </c>
      <c r="P107" s="141">
        <f t="shared" si="15"/>
        <v>0</v>
      </c>
      <c r="Q107" s="139"/>
      <c r="R107" s="139"/>
      <c r="S107" s="139"/>
      <c r="T107" s="139"/>
      <c r="U107" s="142">
        <v>0</v>
      </c>
      <c r="V107" s="142">
        <v>0</v>
      </c>
      <c r="W107" s="142"/>
      <c r="X107" s="139"/>
      <c r="Y107" s="136">
        <f>SUM(Q107:X107)</f>
        <v>0</v>
      </c>
      <c r="Z107" s="136">
        <f>+O107+Y107</f>
        <v>0</v>
      </c>
      <c r="AA107" s="137">
        <f>+D107-Z107</f>
        <v>0</v>
      </c>
    </row>
    <row r="108" spans="1:27" s="138" customFormat="1" ht="13.5" customHeight="1">
      <c r="A108" s="216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144">
        <f t="shared" si="14"/>
        <v>0</v>
      </c>
      <c r="P108" s="145">
        <f t="shared" si="15"/>
        <v>0</v>
      </c>
      <c r="Q108" s="143"/>
      <c r="R108" s="143"/>
      <c r="S108" s="143"/>
      <c r="T108" s="143"/>
      <c r="U108" s="146">
        <v>0</v>
      </c>
      <c r="V108" s="146">
        <v>0</v>
      </c>
      <c r="W108" s="146"/>
      <c r="X108" s="143"/>
      <c r="Y108" s="136">
        <f>SUM(Q108:X108)</f>
        <v>0</v>
      </c>
      <c r="Z108" s="136">
        <f>+O108+Y108</f>
        <v>0</v>
      </c>
      <c r="AA108" s="137">
        <f>+D108-Z108</f>
        <v>0</v>
      </c>
    </row>
    <row r="109" spans="1:27" s="138" customFormat="1" ht="13.5" customHeight="1">
      <c r="A109" s="193" t="s">
        <v>68</v>
      </c>
      <c r="B109" s="186"/>
      <c r="C109" s="156"/>
      <c r="D109" s="129">
        <f t="shared" ref="D109:N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:L109" si="23">SUBTOTAL(9,H110:H125)</f>
        <v>0</v>
      </c>
      <c r="I109" s="130">
        <f t="shared" si="23"/>
        <v>0</v>
      </c>
      <c r="J109" s="130">
        <f t="shared" si="23"/>
        <v>0</v>
      </c>
      <c r="K109" s="130">
        <f t="shared" si="23"/>
        <v>0</v>
      </c>
      <c r="L109" s="130">
        <f t="shared" si="23"/>
        <v>0</v>
      </c>
      <c r="M109" s="130">
        <f t="shared" si="22"/>
        <v>0</v>
      </c>
      <c r="N109" s="130">
        <f t="shared" si="22"/>
        <v>0</v>
      </c>
      <c r="O109" s="107">
        <f t="shared" si="14"/>
        <v>0</v>
      </c>
      <c r="P109" s="107">
        <f t="shared" si="15"/>
        <v>0</v>
      </c>
      <c r="Q109" s="130">
        <f t="shared" ref="Q109:X109" si="24">SUBTOTAL(9,Q110:Q125)</f>
        <v>0</v>
      </c>
      <c r="R109" s="130">
        <f t="shared" si="24"/>
        <v>0</v>
      </c>
      <c r="S109" s="130">
        <f t="shared" si="24"/>
        <v>0</v>
      </c>
      <c r="T109" s="130">
        <f t="shared" si="24"/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SUM(Q109:X109)</f>
        <v>0</v>
      </c>
      <c r="Z109" s="56">
        <f>+O109+Y109</f>
        <v>0</v>
      </c>
      <c r="AA109" s="131">
        <f>+D109-Z109</f>
        <v>0</v>
      </c>
    </row>
    <row r="110" spans="1:27" s="138" customFormat="1" ht="13.5" customHeight="1">
      <c r="A110" s="216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133">
        <f t="shared" si="14"/>
        <v>0</v>
      </c>
      <c r="P110" s="134">
        <f t="shared" si="15"/>
        <v>0</v>
      </c>
      <c r="Q110" s="132"/>
      <c r="R110" s="132"/>
      <c r="S110" s="132"/>
      <c r="T110" s="132"/>
      <c r="U110" s="135">
        <v>0</v>
      </c>
      <c r="V110" s="135">
        <v>0</v>
      </c>
      <c r="W110" s="135"/>
      <c r="X110" s="132"/>
      <c r="Y110" s="136">
        <f>SUM(Q110:X110)</f>
        <v>0</v>
      </c>
      <c r="Z110" s="136">
        <f>+O110+Y110</f>
        <v>0</v>
      </c>
      <c r="AA110" s="137">
        <f>+D110-Z110</f>
        <v>0</v>
      </c>
    </row>
    <row r="111" spans="1:27" s="138" customFormat="1" ht="13.5" customHeight="1">
      <c r="A111" s="216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140">
        <f t="shared" si="14"/>
        <v>0</v>
      </c>
      <c r="P111" s="141">
        <f t="shared" si="15"/>
        <v>0</v>
      </c>
      <c r="Q111" s="139"/>
      <c r="R111" s="139"/>
      <c r="S111" s="139"/>
      <c r="T111" s="139"/>
      <c r="U111" s="142">
        <v>0</v>
      </c>
      <c r="V111" s="142">
        <v>0</v>
      </c>
      <c r="W111" s="142"/>
      <c r="X111" s="139"/>
      <c r="Y111" s="136">
        <f>SUM(Q111:X111)</f>
        <v>0</v>
      </c>
      <c r="Z111" s="136">
        <f>+O111+Y111</f>
        <v>0</v>
      </c>
      <c r="AA111" s="137">
        <f>+D111-Z111</f>
        <v>0</v>
      </c>
    </row>
    <row r="112" spans="1:27" s="138" customFormat="1" ht="13.5" customHeight="1">
      <c r="A112" s="216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140">
        <f t="shared" si="14"/>
        <v>0</v>
      </c>
      <c r="P112" s="141">
        <f t="shared" si="15"/>
        <v>0</v>
      </c>
      <c r="Q112" s="139"/>
      <c r="R112" s="139"/>
      <c r="S112" s="139"/>
      <c r="T112" s="139"/>
      <c r="U112" s="142">
        <v>0</v>
      </c>
      <c r="V112" s="142">
        <v>0</v>
      </c>
      <c r="W112" s="142"/>
      <c r="X112" s="139"/>
      <c r="Y112" s="136">
        <f>SUM(Q112:X112)</f>
        <v>0</v>
      </c>
      <c r="Z112" s="136">
        <f>+O112+Y112</f>
        <v>0</v>
      </c>
      <c r="AA112" s="137">
        <f>+D112-Z112</f>
        <v>0</v>
      </c>
    </row>
    <row r="113" spans="1:27" s="138" customFormat="1" ht="13.5" customHeight="1">
      <c r="A113" s="216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140">
        <f t="shared" si="14"/>
        <v>0</v>
      </c>
      <c r="P113" s="141">
        <f t="shared" si="15"/>
        <v>0</v>
      </c>
      <c r="Q113" s="139"/>
      <c r="R113" s="139"/>
      <c r="S113" s="139"/>
      <c r="T113" s="139"/>
      <c r="U113" s="142">
        <v>0</v>
      </c>
      <c r="V113" s="142">
        <v>0</v>
      </c>
      <c r="W113" s="142"/>
      <c r="X113" s="139"/>
      <c r="Y113" s="136">
        <f>SUM(Q113:X113)</f>
        <v>0</v>
      </c>
      <c r="Z113" s="136">
        <f>+O113+Y113</f>
        <v>0</v>
      </c>
      <c r="AA113" s="137">
        <f>+D113-Z113</f>
        <v>0</v>
      </c>
    </row>
    <row r="114" spans="1:27" s="138" customFormat="1" ht="13.5" customHeight="1">
      <c r="A114" s="216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52"/>
      <c r="L114" s="152"/>
      <c r="M114" s="152"/>
      <c r="N114" s="152"/>
      <c r="O114" s="140">
        <f t="shared" si="14"/>
        <v>0</v>
      </c>
      <c r="P114" s="141">
        <f t="shared" si="15"/>
        <v>0</v>
      </c>
      <c r="Q114" s="139"/>
      <c r="R114" s="139"/>
      <c r="S114" s="139"/>
      <c r="T114" s="139"/>
      <c r="U114" s="142">
        <v>0</v>
      </c>
      <c r="V114" s="142">
        <v>0</v>
      </c>
      <c r="W114" s="142"/>
      <c r="X114" s="139"/>
      <c r="Y114" s="136">
        <f>SUM(Q114:X114)</f>
        <v>0</v>
      </c>
      <c r="Z114" s="136">
        <f>+O114+Y114</f>
        <v>0</v>
      </c>
      <c r="AA114" s="137">
        <f>+D114-Z114</f>
        <v>0</v>
      </c>
    </row>
    <row r="115" spans="1:27" s="138" customFormat="1" ht="13.5" customHeight="1">
      <c r="A115" s="216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52"/>
      <c r="L115" s="152"/>
      <c r="M115" s="152"/>
      <c r="N115" s="152"/>
      <c r="O115" s="140">
        <f t="shared" si="14"/>
        <v>0</v>
      </c>
      <c r="P115" s="141">
        <f t="shared" si="15"/>
        <v>0</v>
      </c>
      <c r="Q115" s="139"/>
      <c r="R115" s="139"/>
      <c r="S115" s="139"/>
      <c r="T115" s="139"/>
      <c r="U115" s="142">
        <v>0</v>
      </c>
      <c r="V115" s="142">
        <v>0</v>
      </c>
      <c r="W115" s="142"/>
      <c r="X115" s="139"/>
      <c r="Y115" s="136">
        <f>SUM(Q115:X115)</f>
        <v>0</v>
      </c>
      <c r="Z115" s="136">
        <f>+O115+Y115</f>
        <v>0</v>
      </c>
      <c r="AA115" s="137">
        <f>+D115-Z115</f>
        <v>0</v>
      </c>
    </row>
    <row r="116" spans="1:27" s="138" customFormat="1" ht="13.5" customHeight="1">
      <c r="A116" s="216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52"/>
      <c r="L116" s="152"/>
      <c r="M116" s="152"/>
      <c r="N116" s="152"/>
      <c r="O116" s="140">
        <f t="shared" si="14"/>
        <v>0</v>
      </c>
      <c r="P116" s="141">
        <f t="shared" si="15"/>
        <v>0</v>
      </c>
      <c r="Q116" s="139"/>
      <c r="R116" s="139"/>
      <c r="S116" s="139"/>
      <c r="T116" s="139"/>
      <c r="U116" s="142">
        <v>0</v>
      </c>
      <c r="V116" s="142">
        <v>0</v>
      </c>
      <c r="W116" s="142"/>
      <c r="X116" s="139"/>
      <c r="Y116" s="136">
        <f>SUM(Q116:X116)</f>
        <v>0</v>
      </c>
      <c r="Z116" s="136">
        <f>+O116+Y116</f>
        <v>0</v>
      </c>
      <c r="AA116" s="137">
        <f>+D116-Z116</f>
        <v>0</v>
      </c>
    </row>
    <row r="117" spans="1:27" s="138" customFormat="1" ht="13.5" customHeight="1">
      <c r="A117" s="216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140">
        <f t="shared" si="14"/>
        <v>0</v>
      </c>
      <c r="P117" s="141">
        <f t="shared" si="15"/>
        <v>0</v>
      </c>
      <c r="Q117" s="139"/>
      <c r="R117" s="139"/>
      <c r="S117" s="139"/>
      <c r="T117" s="139"/>
      <c r="U117" s="142">
        <v>0</v>
      </c>
      <c r="V117" s="142">
        <v>0</v>
      </c>
      <c r="W117" s="142"/>
      <c r="X117" s="139"/>
      <c r="Y117" s="136">
        <f>SUM(Q117:X117)</f>
        <v>0</v>
      </c>
      <c r="Z117" s="136">
        <f>+O117+Y117</f>
        <v>0</v>
      </c>
      <c r="AA117" s="137">
        <f>+D117-Z117</f>
        <v>0</v>
      </c>
    </row>
    <row r="118" spans="1:27" s="138" customFormat="1" ht="13.5" customHeight="1">
      <c r="A118" s="216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140">
        <f t="shared" si="14"/>
        <v>0</v>
      </c>
      <c r="P118" s="141">
        <f t="shared" si="15"/>
        <v>0</v>
      </c>
      <c r="Q118" s="139"/>
      <c r="R118" s="139"/>
      <c r="S118" s="139"/>
      <c r="T118" s="139"/>
      <c r="U118" s="142">
        <v>0</v>
      </c>
      <c r="V118" s="142">
        <v>0</v>
      </c>
      <c r="W118" s="142"/>
      <c r="X118" s="139"/>
      <c r="Y118" s="136">
        <f>SUM(Q118:X118)</f>
        <v>0</v>
      </c>
      <c r="Z118" s="136">
        <f>+O118+Y118</f>
        <v>0</v>
      </c>
      <c r="AA118" s="137">
        <f>+D118-Z118</f>
        <v>0</v>
      </c>
    </row>
    <row r="119" spans="1:27" s="138" customFormat="1" ht="13.5" customHeight="1">
      <c r="A119" s="216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69"/>
      <c r="L119" s="69"/>
      <c r="M119" s="69"/>
      <c r="N119" s="69"/>
      <c r="O119" s="140">
        <f t="shared" si="14"/>
        <v>0</v>
      </c>
      <c r="P119" s="141">
        <f t="shared" si="15"/>
        <v>0</v>
      </c>
      <c r="Q119" s="139"/>
      <c r="R119" s="139"/>
      <c r="S119" s="139"/>
      <c r="T119" s="139"/>
      <c r="U119" s="142">
        <v>0</v>
      </c>
      <c r="V119" s="142">
        <v>0</v>
      </c>
      <c r="W119" s="142"/>
      <c r="X119" s="139"/>
      <c r="Y119" s="136">
        <f>SUM(Q119:X119)</f>
        <v>0</v>
      </c>
      <c r="Z119" s="136">
        <f>+O119+Y119</f>
        <v>0</v>
      </c>
      <c r="AA119" s="137">
        <f>+D119-Z119</f>
        <v>0</v>
      </c>
    </row>
    <row r="120" spans="1:27" s="138" customFormat="1" ht="13.5" customHeight="1">
      <c r="A120" s="216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140">
        <f t="shared" si="14"/>
        <v>0</v>
      </c>
      <c r="P120" s="141">
        <f t="shared" si="15"/>
        <v>0</v>
      </c>
      <c r="Q120" s="139"/>
      <c r="R120" s="139"/>
      <c r="S120" s="139"/>
      <c r="T120" s="139"/>
      <c r="U120" s="142">
        <v>0</v>
      </c>
      <c r="V120" s="142">
        <v>0</v>
      </c>
      <c r="W120" s="142"/>
      <c r="X120" s="139"/>
      <c r="Y120" s="136">
        <f>SUM(Q120:X120)</f>
        <v>0</v>
      </c>
      <c r="Z120" s="136">
        <f>+O120+Y120</f>
        <v>0</v>
      </c>
      <c r="AA120" s="137">
        <f>+D120-Z120</f>
        <v>0</v>
      </c>
    </row>
    <row r="121" spans="1:27" s="138" customFormat="1" ht="13.5" customHeight="1">
      <c r="A121" s="216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140">
        <f t="shared" si="14"/>
        <v>0</v>
      </c>
      <c r="P121" s="141">
        <f t="shared" si="15"/>
        <v>0</v>
      </c>
      <c r="Q121" s="139"/>
      <c r="R121" s="139"/>
      <c r="S121" s="139"/>
      <c r="T121" s="139"/>
      <c r="U121" s="142">
        <v>0</v>
      </c>
      <c r="V121" s="142">
        <v>0</v>
      </c>
      <c r="W121" s="142"/>
      <c r="X121" s="139"/>
      <c r="Y121" s="136">
        <f>SUM(Q121:X121)</f>
        <v>0</v>
      </c>
      <c r="Z121" s="136">
        <f>+O121+Y121</f>
        <v>0</v>
      </c>
      <c r="AA121" s="137">
        <f>+D121-Z121</f>
        <v>0</v>
      </c>
    </row>
    <row r="122" spans="1:27" s="138" customFormat="1" ht="13.5" customHeight="1">
      <c r="A122" s="216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140">
        <f t="shared" si="14"/>
        <v>0</v>
      </c>
      <c r="P122" s="141">
        <f t="shared" si="15"/>
        <v>0</v>
      </c>
      <c r="Q122" s="139"/>
      <c r="R122" s="139"/>
      <c r="S122" s="139"/>
      <c r="T122" s="139"/>
      <c r="U122" s="142">
        <v>0</v>
      </c>
      <c r="V122" s="142">
        <v>0</v>
      </c>
      <c r="W122" s="142"/>
      <c r="X122" s="139"/>
      <c r="Y122" s="136">
        <f>SUM(Q122:X122)</f>
        <v>0</v>
      </c>
      <c r="Z122" s="136">
        <f>+O122+Y122</f>
        <v>0</v>
      </c>
      <c r="AA122" s="137">
        <f>+D122-Z122</f>
        <v>0</v>
      </c>
    </row>
    <row r="123" spans="1:27" s="138" customFormat="1" ht="13.5" customHeight="1">
      <c r="A123" s="216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140">
        <f t="shared" si="14"/>
        <v>0</v>
      </c>
      <c r="P123" s="141">
        <f t="shared" si="15"/>
        <v>0</v>
      </c>
      <c r="Q123" s="139"/>
      <c r="R123" s="139"/>
      <c r="S123" s="139"/>
      <c r="T123" s="139"/>
      <c r="U123" s="142">
        <v>0</v>
      </c>
      <c r="V123" s="142">
        <v>0</v>
      </c>
      <c r="W123" s="142"/>
      <c r="X123" s="139"/>
      <c r="Y123" s="136">
        <f>SUM(Q123:X123)</f>
        <v>0</v>
      </c>
      <c r="Z123" s="136">
        <f>+O123+Y123</f>
        <v>0</v>
      </c>
      <c r="AA123" s="137">
        <f>+D123-Z123</f>
        <v>0</v>
      </c>
    </row>
    <row r="124" spans="1:27" s="138" customFormat="1" ht="13.5" customHeight="1">
      <c r="A124" s="216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52"/>
      <c r="L124" s="152"/>
      <c r="M124" s="152"/>
      <c r="N124" s="152"/>
      <c r="O124" s="140">
        <f t="shared" si="14"/>
        <v>0</v>
      </c>
      <c r="P124" s="141">
        <f t="shared" si="15"/>
        <v>0</v>
      </c>
      <c r="Q124" s="139"/>
      <c r="R124" s="139"/>
      <c r="S124" s="139"/>
      <c r="T124" s="139"/>
      <c r="U124" s="142">
        <v>0</v>
      </c>
      <c r="V124" s="142">
        <v>0</v>
      </c>
      <c r="W124" s="142"/>
      <c r="X124" s="139"/>
      <c r="Y124" s="136">
        <f>SUM(Q124:X124)</f>
        <v>0</v>
      </c>
      <c r="Z124" s="136">
        <f>+O124+Y124</f>
        <v>0</v>
      </c>
      <c r="AA124" s="137">
        <f>+D124-Z124</f>
        <v>0</v>
      </c>
    </row>
    <row r="125" spans="1:27" s="138" customFormat="1" ht="13.5" customHeight="1">
      <c r="A125" s="216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144">
        <f t="shared" si="14"/>
        <v>0</v>
      </c>
      <c r="P125" s="145">
        <f t="shared" si="15"/>
        <v>0</v>
      </c>
      <c r="Q125" s="143"/>
      <c r="R125" s="143"/>
      <c r="S125" s="143"/>
      <c r="T125" s="143"/>
      <c r="U125" s="146">
        <v>0</v>
      </c>
      <c r="V125" s="146">
        <v>0</v>
      </c>
      <c r="W125" s="146"/>
      <c r="X125" s="143"/>
      <c r="Y125" s="136">
        <f>SUM(Q125:X125)</f>
        <v>0</v>
      </c>
      <c r="Z125" s="136">
        <f>+O125+Y125</f>
        <v>0</v>
      </c>
      <c r="AA125" s="137">
        <f>+D125-Z125</f>
        <v>0</v>
      </c>
    </row>
    <row r="126" spans="1:27" s="138" customFormat="1" ht="13.5" customHeight="1">
      <c r="A126" s="193" t="s">
        <v>69</v>
      </c>
      <c r="B126" s="186"/>
      <c r="C126" s="156"/>
      <c r="D126" s="129">
        <f t="shared" ref="D126:N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:L126" si="26">SUBTOTAL(9,H127:H142)</f>
        <v>0</v>
      </c>
      <c r="I126" s="130">
        <f t="shared" si="26"/>
        <v>0</v>
      </c>
      <c r="J126" s="130">
        <f t="shared" si="26"/>
        <v>0</v>
      </c>
      <c r="K126" s="130">
        <f t="shared" si="26"/>
        <v>0</v>
      </c>
      <c r="L126" s="130">
        <f t="shared" si="26"/>
        <v>0</v>
      </c>
      <c r="M126" s="130">
        <f t="shared" si="25"/>
        <v>0</v>
      </c>
      <c r="N126" s="130">
        <f t="shared" si="25"/>
        <v>0</v>
      </c>
      <c r="O126" s="107">
        <f t="shared" si="14"/>
        <v>0</v>
      </c>
      <c r="P126" s="107">
        <f t="shared" si="15"/>
        <v>0</v>
      </c>
      <c r="Q126" s="130">
        <f t="shared" ref="Q126:X126" si="27">SUBTOTAL(9,Q127:Q142)</f>
        <v>0</v>
      </c>
      <c r="R126" s="130">
        <f t="shared" si="27"/>
        <v>0</v>
      </c>
      <c r="S126" s="130">
        <f t="shared" si="27"/>
        <v>0</v>
      </c>
      <c r="T126" s="130">
        <f t="shared" si="27"/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SUM(Q126:X126)</f>
        <v>0</v>
      </c>
      <c r="Z126" s="56">
        <f>+O126+Y126</f>
        <v>0</v>
      </c>
      <c r="AA126" s="131">
        <f>+D126-Z126</f>
        <v>0</v>
      </c>
    </row>
    <row r="127" spans="1:27" s="138" customFormat="1" ht="13.5" customHeight="1">
      <c r="A127" s="216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133">
        <f t="shared" si="14"/>
        <v>0</v>
      </c>
      <c r="P127" s="134">
        <f t="shared" si="15"/>
        <v>0</v>
      </c>
      <c r="Q127" s="132"/>
      <c r="R127" s="132"/>
      <c r="S127" s="132"/>
      <c r="T127" s="132"/>
      <c r="U127" s="135">
        <v>0</v>
      </c>
      <c r="V127" s="135">
        <v>0</v>
      </c>
      <c r="W127" s="135"/>
      <c r="X127" s="132"/>
      <c r="Y127" s="136">
        <f>SUM(Q127:X127)</f>
        <v>0</v>
      </c>
      <c r="Z127" s="136">
        <f>+O127+Y127</f>
        <v>0</v>
      </c>
      <c r="AA127" s="137">
        <f>+D127-Z127</f>
        <v>0</v>
      </c>
    </row>
    <row r="128" spans="1:27" s="138" customFormat="1" ht="13.5" customHeight="1">
      <c r="A128" s="216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140">
        <f t="shared" si="14"/>
        <v>0</v>
      </c>
      <c r="P128" s="141">
        <f t="shared" si="15"/>
        <v>0</v>
      </c>
      <c r="Q128" s="139"/>
      <c r="R128" s="139"/>
      <c r="S128" s="139"/>
      <c r="T128" s="139"/>
      <c r="U128" s="142">
        <v>0</v>
      </c>
      <c r="V128" s="142">
        <v>0</v>
      </c>
      <c r="W128" s="142"/>
      <c r="X128" s="139"/>
      <c r="Y128" s="136">
        <f>SUM(Q128:X128)</f>
        <v>0</v>
      </c>
      <c r="Z128" s="136">
        <f>+O128+Y128</f>
        <v>0</v>
      </c>
      <c r="AA128" s="137">
        <f>+D128-Z128</f>
        <v>0</v>
      </c>
    </row>
    <row r="129" spans="1:27" s="138" customFormat="1" ht="13.5" customHeight="1">
      <c r="A129" s="216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140">
        <f t="shared" si="14"/>
        <v>0</v>
      </c>
      <c r="P129" s="141">
        <f t="shared" si="15"/>
        <v>0</v>
      </c>
      <c r="Q129" s="139"/>
      <c r="R129" s="139"/>
      <c r="S129" s="139"/>
      <c r="T129" s="139"/>
      <c r="U129" s="142">
        <v>0</v>
      </c>
      <c r="V129" s="142">
        <v>0</v>
      </c>
      <c r="W129" s="142"/>
      <c r="X129" s="139"/>
      <c r="Y129" s="136">
        <f>SUM(Q129:X129)</f>
        <v>0</v>
      </c>
      <c r="Z129" s="136">
        <f>+O129+Y129</f>
        <v>0</v>
      </c>
      <c r="AA129" s="137">
        <f>+D129-Z129</f>
        <v>0</v>
      </c>
    </row>
    <row r="130" spans="1:27" s="138" customFormat="1" ht="13.5" customHeight="1">
      <c r="A130" s="216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140">
        <f t="shared" si="14"/>
        <v>0</v>
      </c>
      <c r="P130" s="141">
        <f t="shared" si="15"/>
        <v>0</v>
      </c>
      <c r="Q130" s="139"/>
      <c r="R130" s="139"/>
      <c r="S130" s="139"/>
      <c r="T130" s="139"/>
      <c r="U130" s="142">
        <v>0</v>
      </c>
      <c r="V130" s="142">
        <v>0</v>
      </c>
      <c r="W130" s="142"/>
      <c r="X130" s="139"/>
      <c r="Y130" s="136">
        <f>SUM(Q130:X130)</f>
        <v>0</v>
      </c>
      <c r="Z130" s="136">
        <f>+O130+Y130</f>
        <v>0</v>
      </c>
      <c r="AA130" s="137">
        <f>+D130-Z130</f>
        <v>0</v>
      </c>
    </row>
    <row r="131" spans="1:27" s="138" customFormat="1" ht="13.5" customHeight="1">
      <c r="A131" s="216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52"/>
      <c r="L131" s="152"/>
      <c r="M131" s="152"/>
      <c r="N131" s="152"/>
      <c r="O131" s="140">
        <f t="shared" si="14"/>
        <v>0</v>
      </c>
      <c r="P131" s="141">
        <f t="shared" si="15"/>
        <v>0</v>
      </c>
      <c r="Q131" s="139"/>
      <c r="R131" s="139"/>
      <c r="S131" s="139"/>
      <c r="T131" s="139"/>
      <c r="U131" s="142">
        <v>0</v>
      </c>
      <c r="V131" s="142">
        <v>0</v>
      </c>
      <c r="W131" s="142"/>
      <c r="X131" s="139"/>
      <c r="Y131" s="136">
        <f>SUM(Q131:X131)</f>
        <v>0</v>
      </c>
      <c r="Z131" s="136">
        <f>+O131+Y131</f>
        <v>0</v>
      </c>
      <c r="AA131" s="137">
        <f>+D131-Z131</f>
        <v>0</v>
      </c>
    </row>
    <row r="132" spans="1:27" s="138" customFormat="1" ht="13.5" customHeight="1">
      <c r="A132" s="216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52"/>
      <c r="L132" s="152"/>
      <c r="M132" s="152"/>
      <c r="N132" s="152"/>
      <c r="O132" s="140">
        <f t="shared" si="14"/>
        <v>0</v>
      </c>
      <c r="P132" s="141">
        <f t="shared" si="15"/>
        <v>0</v>
      </c>
      <c r="Q132" s="139"/>
      <c r="R132" s="139"/>
      <c r="S132" s="139"/>
      <c r="T132" s="139"/>
      <c r="U132" s="142">
        <v>0</v>
      </c>
      <c r="V132" s="142">
        <v>0</v>
      </c>
      <c r="W132" s="142"/>
      <c r="X132" s="139"/>
      <c r="Y132" s="136">
        <f>SUM(Q132:X132)</f>
        <v>0</v>
      </c>
      <c r="Z132" s="136">
        <f>+O132+Y132</f>
        <v>0</v>
      </c>
      <c r="AA132" s="137">
        <f>+D132-Z132</f>
        <v>0</v>
      </c>
    </row>
    <row r="133" spans="1:27" s="138" customFormat="1" ht="13.5" customHeight="1">
      <c r="A133" s="216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52"/>
      <c r="L133" s="152"/>
      <c r="M133" s="152"/>
      <c r="N133" s="152"/>
      <c r="O133" s="140">
        <f t="shared" si="14"/>
        <v>0</v>
      </c>
      <c r="P133" s="141">
        <f t="shared" si="15"/>
        <v>0</v>
      </c>
      <c r="Q133" s="139"/>
      <c r="R133" s="139"/>
      <c r="S133" s="139"/>
      <c r="T133" s="139"/>
      <c r="U133" s="142">
        <v>0</v>
      </c>
      <c r="V133" s="142">
        <v>0</v>
      </c>
      <c r="W133" s="142"/>
      <c r="X133" s="139"/>
      <c r="Y133" s="136">
        <f>SUM(Q133:X133)</f>
        <v>0</v>
      </c>
      <c r="Z133" s="136">
        <f>+O133+Y133</f>
        <v>0</v>
      </c>
      <c r="AA133" s="137">
        <f>+D133-Z133</f>
        <v>0</v>
      </c>
    </row>
    <row r="134" spans="1:27" s="138" customFormat="1" ht="13.5" customHeight="1">
      <c r="A134" s="216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140">
        <f t="shared" ref="O134:O197" si="28">SUM(G134:N134)</f>
        <v>0</v>
      </c>
      <c r="P134" s="141">
        <f t="shared" ref="P134:P197" si="29">D134-O134</f>
        <v>0</v>
      </c>
      <c r="Q134" s="139"/>
      <c r="R134" s="139"/>
      <c r="S134" s="139"/>
      <c r="T134" s="139"/>
      <c r="U134" s="142">
        <v>0</v>
      </c>
      <c r="V134" s="142">
        <v>0</v>
      </c>
      <c r="W134" s="142"/>
      <c r="X134" s="139"/>
      <c r="Y134" s="136">
        <f>SUM(Q134:X134)</f>
        <v>0</v>
      </c>
      <c r="Z134" s="136">
        <f>+O134+Y134</f>
        <v>0</v>
      </c>
      <c r="AA134" s="137">
        <f>+D134-Z134</f>
        <v>0</v>
      </c>
    </row>
    <row r="135" spans="1:27" s="138" customFormat="1" ht="13.5" customHeight="1">
      <c r="A135" s="216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140">
        <f t="shared" si="28"/>
        <v>0</v>
      </c>
      <c r="P135" s="141">
        <f t="shared" si="29"/>
        <v>0</v>
      </c>
      <c r="Q135" s="139"/>
      <c r="R135" s="139"/>
      <c r="S135" s="139"/>
      <c r="T135" s="139"/>
      <c r="U135" s="142">
        <v>0</v>
      </c>
      <c r="V135" s="142">
        <v>0</v>
      </c>
      <c r="W135" s="142"/>
      <c r="X135" s="139"/>
      <c r="Y135" s="136">
        <f>SUM(Q135:X135)</f>
        <v>0</v>
      </c>
      <c r="Z135" s="136">
        <f>+O135+Y135</f>
        <v>0</v>
      </c>
      <c r="AA135" s="137">
        <f>+D135-Z135</f>
        <v>0</v>
      </c>
    </row>
    <row r="136" spans="1:27" s="138" customFormat="1" ht="13.5" customHeight="1">
      <c r="A136" s="216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69"/>
      <c r="L136" s="69"/>
      <c r="M136" s="69"/>
      <c r="N136" s="69"/>
      <c r="O136" s="140">
        <f t="shared" si="28"/>
        <v>0</v>
      </c>
      <c r="P136" s="141">
        <f t="shared" si="29"/>
        <v>0</v>
      </c>
      <c r="Q136" s="139"/>
      <c r="R136" s="139"/>
      <c r="S136" s="139"/>
      <c r="T136" s="139"/>
      <c r="U136" s="142">
        <v>0</v>
      </c>
      <c r="V136" s="142">
        <v>0</v>
      </c>
      <c r="W136" s="142"/>
      <c r="X136" s="139"/>
      <c r="Y136" s="136">
        <f>SUM(Q136:X136)</f>
        <v>0</v>
      </c>
      <c r="Z136" s="136">
        <f>+O136+Y136</f>
        <v>0</v>
      </c>
      <c r="AA136" s="137">
        <f>+D136-Z136</f>
        <v>0</v>
      </c>
    </row>
    <row r="137" spans="1:27" s="138" customFormat="1" ht="13.5" customHeight="1">
      <c r="A137" s="216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140">
        <f t="shared" si="28"/>
        <v>0</v>
      </c>
      <c r="P137" s="141">
        <f t="shared" si="29"/>
        <v>0</v>
      </c>
      <c r="Q137" s="139"/>
      <c r="R137" s="139"/>
      <c r="S137" s="139"/>
      <c r="T137" s="139"/>
      <c r="U137" s="142">
        <v>0</v>
      </c>
      <c r="V137" s="142">
        <v>0</v>
      </c>
      <c r="W137" s="142"/>
      <c r="X137" s="139"/>
      <c r="Y137" s="136">
        <f>SUM(Q137:X137)</f>
        <v>0</v>
      </c>
      <c r="Z137" s="136">
        <f>+O137+Y137</f>
        <v>0</v>
      </c>
      <c r="AA137" s="137">
        <f>+D137-Z137</f>
        <v>0</v>
      </c>
    </row>
    <row r="138" spans="1:27" s="138" customFormat="1" ht="13.5" customHeight="1">
      <c r="A138" s="216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140">
        <f t="shared" si="28"/>
        <v>0</v>
      </c>
      <c r="P138" s="141">
        <f t="shared" si="29"/>
        <v>0</v>
      </c>
      <c r="Q138" s="139"/>
      <c r="R138" s="139"/>
      <c r="S138" s="139"/>
      <c r="T138" s="139"/>
      <c r="U138" s="142">
        <v>0</v>
      </c>
      <c r="V138" s="142">
        <v>0</v>
      </c>
      <c r="W138" s="142"/>
      <c r="X138" s="139"/>
      <c r="Y138" s="136">
        <f>SUM(Q138:X138)</f>
        <v>0</v>
      </c>
      <c r="Z138" s="136">
        <f>+O138+Y138</f>
        <v>0</v>
      </c>
      <c r="AA138" s="137">
        <f>+D138-Z138</f>
        <v>0</v>
      </c>
    </row>
    <row r="139" spans="1:27" s="138" customFormat="1" ht="13.5" customHeight="1">
      <c r="A139" s="216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140">
        <f t="shared" si="28"/>
        <v>0</v>
      </c>
      <c r="P139" s="141">
        <f t="shared" si="29"/>
        <v>0</v>
      </c>
      <c r="Q139" s="139"/>
      <c r="R139" s="139"/>
      <c r="S139" s="139"/>
      <c r="T139" s="139"/>
      <c r="U139" s="142">
        <v>0</v>
      </c>
      <c r="V139" s="142">
        <v>0</v>
      </c>
      <c r="W139" s="142"/>
      <c r="X139" s="139"/>
      <c r="Y139" s="136">
        <f>SUM(Q139:X139)</f>
        <v>0</v>
      </c>
      <c r="Z139" s="136">
        <f>+O139+Y139</f>
        <v>0</v>
      </c>
      <c r="AA139" s="137">
        <f>+D139-Z139</f>
        <v>0</v>
      </c>
    </row>
    <row r="140" spans="1:27" s="138" customFormat="1" ht="13.5" customHeight="1">
      <c r="A140" s="216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140">
        <f t="shared" si="28"/>
        <v>0</v>
      </c>
      <c r="P140" s="141">
        <f t="shared" si="29"/>
        <v>0</v>
      </c>
      <c r="Q140" s="139"/>
      <c r="R140" s="139"/>
      <c r="S140" s="139"/>
      <c r="T140" s="139"/>
      <c r="U140" s="142">
        <v>0</v>
      </c>
      <c r="V140" s="142">
        <v>0</v>
      </c>
      <c r="W140" s="142"/>
      <c r="X140" s="139"/>
      <c r="Y140" s="136">
        <f>SUM(Q140:X140)</f>
        <v>0</v>
      </c>
      <c r="Z140" s="136">
        <f>+O140+Y140</f>
        <v>0</v>
      </c>
      <c r="AA140" s="137">
        <f>+D140-Z140</f>
        <v>0</v>
      </c>
    </row>
    <row r="141" spans="1:27" s="138" customFormat="1" ht="13.5" customHeight="1">
      <c r="A141" s="216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52"/>
      <c r="L141" s="152"/>
      <c r="M141" s="152"/>
      <c r="N141" s="152"/>
      <c r="O141" s="140">
        <f t="shared" si="28"/>
        <v>0</v>
      </c>
      <c r="P141" s="141">
        <f t="shared" si="29"/>
        <v>0</v>
      </c>
      <c r="Q141" s="139"/>
      <c r="R141" s="139"/>
      <c r="S141" s="139"/>
      <c r="T141" s="139"/>
      <c r="U141" s="142">
        <v>0</v>
      </c>
      <c r="V141" s="142">
        <v>0</v>
      </c>
      <c r="W141" s="142"/>
      <c r="X141" s="139"/>
      <c r="Y141" s="136">
        <f>SUM(Q141:X141)</f>
        <v>0</v>
      </c>
      <c r="Z141" s="136">
        <f>+O141+Y141</f>
        <v>0</v>
      </c>
      <c r="AA141" s="137">
        <f>+D141-Z141</f>
        <v>0</v>
      </c>
    </row>
    <row r="142" spans="1:27" s="138" customFormat="1" ht="13.5" customHeight="1">
      <c r="A142" s="216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144">
        <f t="shared" si="28"/>
        <v>0</v>
      </c>
      <c r="P142" s="145">
        <f t="shared" si="29"/>
        <v>0</v>
      </c>
      <c r="Q142" s="143"/>
      <c r="R142" s="143"/>
      <c r="S142" s="143"/>
      <c r="T142" s="143"/>
      <c r="U142" s="146">
        <v>0</v>
      </c>
      <c r="V142" s="146">
        <v>0</v>
      </c>
      <c r="W142" s="146"/>
      <c r="X142" s="143"/>
      <c r="Y142" s="136">
        <f>SUM(Q142:X142)</f>
        <v>0</v>
      </c>
      <c r="Z142" s="136">
        <f>+O142+Y142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N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:L143" si="31">SUBTOTAL(9,H144:H159)</f>
        <v>0</v>
      </c>
      <c r="I143" s="130">
        <f t="shared" si="31"/>
        <v>0</v>
      </c>
      <c r="J143" s="130">
        <f t="shared" si="31"/>
        <v>0</v>
      </c>
      <c r="K143" s="130">
        <f t="shared" si="31"/>
        <v>0</v>
      </c>
      <c r="L143" s="130">
        <f t="shared" si="31"/>
        <v>0</v>
      </c>
      <c r="M143" s="130">
        <f t="shared" si="30"/>
        <v>0</v>
      </c>
      <c r="N143" s="130">
        <f t="shared" si="30"/>
        <v>0</v>
      </c>
      <c r="O143" s="107">
        <f t="shared" si="28"/>
        <v>0</v>
      </c>
      <c r="P143" s="107">
        <f t="shared" si="29"/>
        <v>0</v>
      </c>
      <c r="Q143" s="130">
        <f t="shared" ref="Q143:X143" si="32">SUBTOTAL(9,Q144:Q159)</f>
        <v>0</v>
      </c>
      <c r="R143" s="130">
        <f t="shared" si="32"/>
        <v>0</v>
      </c>
      <c r="S143" s="130">
        <f t="shared" si="32"/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SUM(Q143:X143)</f>
        <v>0</v>
      </c>
      <c r="Z143" s="56">
        <f>+O143+Y143</f>
        <v>0</v>
      </c>
      <c r="AA143" s="131">
        <f>+D143-Z143</f>
        <v>0</v>
      </c>
    </row>
    <row r="144" spans="1:27" s="138" customFormat="1" ht="13.5" customHeight="1">
      <c r="A144" s="208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73"/>
      <c r="L144" s="73"/>
      <c r="M144" s="73"/>
      <c r="N144" s="73"/>
      <c r="O144" s="159">
        <f t="shared" si="28"/>
        <v>0</v>
      </c>
      <c r="P144" s="160">
        <f t="shared" si="29"/>
        <v>0</v>
      </c>
      <c r="Q144" s="158"/>
      <c r="R144" s="158"/>
      <c r="S144" s="158"/>
      <c r="T144" s="158"/>
      <c r="U144" s="161">
        <v>0</v>
      </c>
      <c r="V144" s="161">
        <v>0</v>
      </c>
      <c r="W144" s="161"/>
      <c r="X144" s="158"/>
      <c r="Y144" s="162">
        <f>SUM(Q144:X144)</f>
        <v>0</v>
      </c>
      <c r="Z144" s="162">
        <f>+O144+Y144</f>
        <v>0</v>
      </c>
      <c r="AA144" s="163">
        <f>+D144-Z144</f>
        <v>0</v>
      </c>
    </row>
    <row r="145" spans="1:27" s="138" customFormat="1" ht="13.5" customHeight="1">
      <c r="A145" s="208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75"/>
      <c r="L145" s="75"/>
      <c r="M145" s="75"/>
      <c r="N145" s="75"/>
      <c r="O145" s="165">
        <f t="shared" si="28"/>
        <v>0</v>
      </c>
      <c r="P145" s="166">
        <f t="shared" si="29"/>
        <v>0</v>
      </c>
      <c r="Q145" s="164"/>
      <c r="R145" s="164"/>
      <c r="S145" s="164"/>
      <c r="T145" s="164"/>
      <c r="U145" s="167">
        <v>0</v>
      </c>
      <c r="V145" s="167">
        <v>0</v>
      </c>
      <c r="W145" s="167"/>
      <c r="X145" s="164"/>
      <c r="Y145" s="162">
        <f>SUM(Q145:X145)</f>
        <v>0</v>
      </c>
      <c r="Z145" s="162">
        <f>+O145+Y145</f>
        <v>0</v>
      </c>
      <c r="AA145" s="163">
        <f>+D145-Z145</f>
        <v>0</v>
      </c>
    </row>
    <row r="146" spans="1:27" s="138" customFormat="1" ht="13.5" customHeight="1">
      <c r="A146" s="208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75"/>
      <c r="L146" s="75"/>
      <c r="M146" s="75"/>
      <c r="N146" s="75"/>
      <c r="O146" s="165">
        <f t="shared" si="28"/>
        <v>0</v>
      </c>
      <c r="P146" s="166">
        <f t="shared" si="29"/>
        <v>0</v>
      </c>
      <c r="Q146" s="164"/>
      <c r="R146" s="164"/>
      <c r="S146" s="164"/>
      <c r="T146" s="164"/>
      <c r="U146" s="167">
        <v>0</v>
      </c>
      <c r="V146" s="167">
        <v>0</v>
      </c>
      <c r="W146" s="167"/>
      <c r="X146" s="164"/>
      <c r="Y146" s="162">
        <f>SUM(Q146:X146)</f>
        <v>0</v>
      </c>
      <c r="Z146" s="162">
        <f>+O146+Y146</f>
        <v>0</v>
      </c>
      <c r="AA146" s="163">
        <f>+D146-Z146</f>
        <v>0</v>
      </c>
    </row>
    <row r="147" spans="1:27" s="138" customFormat="1" ht="13.5" customHeight="1">
      <c r="A147" s="208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75"/>
      <c r="L147" s="75"/>
      <c r="M147" s="75"/>
      <c r="N147" s="75"/>
      <c r="O147" s="165">
        <f t="shared" si="28"/>
        <v>0</v>
      </c>
      <c r="P147" s="166">
        <f t="shared" si="29"/>
        <v>0</v>
      </c>
      <c r="Q147" s="164"/>
      <c r="R147" s="164"/>
      <c r="S147" s="164"/>
      <c r="T147" s="164"/>
      <c r="U147" s="167">
        <v>0</v>
      </c>
      <c r="V147" s="167">
        <v>0</v>
      </c>
      <c r="W147" s="167"/>
      <c r="X147" s="164"/>
      <c r="Y147" s="162">
        <f>SUM(Q147:X147)</f>
        <v>0</v>
      </c>
      <c r="Z147" s="162">
        <f>+O147+Y147</f>
        <v>0</v>
      </c>
      <c r="AA147" s="163">
        <f>+D147-Z147</f>
        <v>0</v>
      </c>
    </row>
    <row r="148" spans="1:27" s="138" customFormat="1" ht="13.5" customHeight="1">
      <c r="A148" s="208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75"/>
      <c r="L148" s="75"/>
      <c r="M148" s="75"/>
      <c r="N148" s="75"/>
      <c r="O148" s="165">
        <f t="shared" si="28"/>
        <v>0</v>
      </c>
      <c r="P148" s="166">
        <f t="shared" si="29"/>
        <v>0</v>
      </c>
      <c r="Q148" s="164"/>
      <c r="R148" s="164"/>
      <c r="S148" s="164"/>
      <c r="T148" s="164"/>
      <c r="U148" s="167">
        <v>0</v>
      </c>
      <c r="V148" s="167">
        <v>0</v>
      </c>
      <c r="W148" s="167"/>
      <c r="X148" s="164"/>
      <c r="Y148" s="162">
        <f>SUM(Q148:X148)</f>
        <v>0</v>
      </c>
      <c r="Z148" s="162">
        <f>+O148+Y148</f>
        <v>0</v>
      </c>
      <c r="AA148" s="163">
        <f>+D148-Z148</f>
        <v>0</v>
      </c>
    </row>
    <row r="149" spans="1:27" s="138" customFormat="1" ht="13.5" customHeight="1">
      <c r="A149" s="208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75"/>
      <c r="L149" s="75"/>
      <c r="M149" s="75"/>
      <c r="N149" s="75"/>
      <c r="O149" s="165">
        <f t="shared" si="28"/>
        <v>0</v>
      </c>
      <c r="P149" s="166">
        <f t="shared" si="29"/>
        <v>0</v>
      </c>
      <c r="Q149" s="164"/>
      <c r="R149" s="164"/>
      <c r="S149" s="164"/>
      <c r="T149" s="164"/>
      <c r="U149" s="167">
        <v>0</v>
      </c>
      <c r="V149" s="167">
        <v>0</v>
      </c>
      <c r="W149" s="167"/>
      <c r="X149" s="164"/>
      <c r="Y149" s="162">
        <f>SUM(Q149:X149)</f>
        <v>0</v>
      </c>
      <c r="Z149" s="162">
        <f>+O149+Y149</f>
        <v>0</v>
      </c>
      <c r="AA149" s="163">
        <f>+D149-Z149</f>
        <v>0</v>
      </c>
    </row>
    <row r="150" spans="1:27" s="138" customFormat="1" ht="13.5" customHeight="1">
      <c r="A150" s="208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75"/>
      <c r="L150" s="75"/>
      <c r="M150" s="75"/>
      <c r="N150" s="75"/>
      <c r="O150" s="165">
        <f t="shared" si="28"/>
        <v>0</v>
      </c>
      <c r="P150" s="166">
        <f t="shared" si="29"/>
        <v>0</v>
      </c>
      <c r="Q150" s="164"/>
      <c r="R150" s="164"/>
      <c r="S150" s="164"/>
      <c r="T150" s="164"/>
      <c r="U150" s="167">
        <v>0</v>
      </c>
      <c r="V150" s="167">
        <v>0</v>
      </c>
      <c r="W150" s="167"/>
      <c r="X150" s="164"/>
      <c r="Y150" s="162">
        <f>SUM(Q150:X150)</f>
        <v>0</v>
      </c>
      <c r="Z150" s="162">
        <f>+O150+Y150</f>
        <v>0</v>
      </c>
      <c r="AA150" s="163">
        <f>+D150-Z150</f>
        <v>0</v>
      </c>
    </row>
    <row r="151" spans="1:27" s="138" customFormat="1" ht="13.5" customHeight="1">
      <c r="A151" s="208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76"/>
      <c r="L151" s="76"/>
      <c r="M151" s="76"/>
      <c r="N151" s="76"/>
      <c r="O151" s="165">
        <f t="shared" si="28"/>
        <v>0</v>
      </c>
      <c r="P151" s="166">
        <f t="shared" si="29"/>
        <v>0</v>
      </c>
      <c r="Q151" s="164"/>
      <c r="R151" s="164"/>
      <c r="S151" s="164"/>
      <c r="T151" s="164"/>
      <c r="U151" s="167">
        <v>0</v>
      </c>
      <c r="V151" s="167">
        <v>0</v>
      </c>
      <c r="W151" s="167"/>
      <c r="X151" s="164"/>
      <c r="Y151" s="162">
        <f>SUM(Q151:X151)</f>
        <v>0</v>
      </c>
      <c r="Z151" s="162">
        <f>+O151+Y151</f>
        <v>0</v>
      </c>
      <c r="AA151" s="163">
        <f>+D151-Z151</f>
        <v>0</v>
      </c>
    </row>
    <row r="152" spans="1:27" s="138" customFormat="1" ht="13.5" customHeight="1">
      <c r="A152" s="208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76"/>
      <c r="L152" s="76"/>
      <c r="M152" s="76"/>
      <c r="N152" s="76"/>
      <c r="O152" s="165">
        <f t="shared" si="28"/>
        <v>0</v>
      </c>
      <c r="P152" s="166">
        <f t="shared" si="29"/>
        <v>0</v>
      </c>
      <c r="Q152" s="164"/>
      <c r="R152" s="164"/>
      <c r="S152" s="164"/>
      <c r="T152" s="164"/>
      <c r="U152" s="167">
        <v>0</v>
      </c>
      <c r="V152" s="167">
        <v>0</v>
      </c>
      <c r="W152" s="167"/>
      <c r="X152" s="164"/>
      <c r="Y152" s="162">
        <f>SUM(Q152:X152)</f>
        <v>0</v>
      </c>
      <c r="Z152" s="162">
        <f>+O152+Y152</f>
        <v>0</v>
      </c>
      <c r="AA152" s="163">
        <f>+D152-Z152</f>
        <v>0</v>
      </c>
    </row>
    <row r="153" spans="1:27" s="138" customFormat="1" ht="13.5" customHeight="1">
      <c r="A153" s="208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76"/>
      <c r="L153" s="76"/>
      <c r="M153" s="76"/>
      <c r="N153" s="76"/>
      <c r="O153" s="165">
        <f t="shared" si="28"/>
        <v>0</v>
      </c>
      <c r="P153" s="166">
        <f t="shared" si="29"/>
        <v>0</v>
      </c>
      <c r="Q153" s="164"/>
      <c r="R153" s="164"/>
      <c r="S153" s="164"/>
      <c r="T153" s="164"/>
      <c r="U153" s="167">
        <v>0</v>
      </c>
      <c r="V153" s="167">
        <v>0</v>
      </c>
      <c r="W153" s="167"/>
      <c r="X153" s="164"/>
      <c r="Y153" s="162">
        <f>SUM(Q153:X153)</f>
        <v>0</v>
      </c>
      <c r="Z153" s="162">
        <f>+O153+Y153</f>
        <v>0</v>
      </c>
      <c r="AA153" s="163">
        <f>+D153-Z153</f>
        <v>0</v>
      </c>
    </row>
    <row r="154" spans="1:27" s="138" customFormat="1" ht="13.5" customHeight="1">
      <c r="A154" s="208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76"/>
      <c r="L154" s="76"/>
      <c r="M154" s="76"/>
      <c r="N154" s="76"/>
      <c r="O154" s="165">
        <f t="shared" si="28"/>
        <v>0</v>
      </c>
      <c r="P154" s="166">
        <f t="shared" si="29"/>
        <v>0</v>
      </c>
      <c r="Q154" s="164"/>
      <c r="R154" s="164"/>
      <c r="S154" s="164"/>
      <c r="T154" s="164"/>
      <c r="U154" s="167">
        <v>0</v>
      </c>
      <c r="V154" s="167">
        <v>0</v>
      </c>
      <c r="W154" s="167"/>
      <c r="X154" s="164"/>
      <c r="Y154" s="162">
        <f>SUM(Q154:X154)</f>
        <v>0</v>
      </c>
      <c r="Z154" s="162">
        <f>+O154+Y154</f>
        <v>0</v>
      </c>
      <c r="AA154" s="163">
        <f>+D154-Z154</f>
        <v>0</v>
      </c>
    </row>
    <row r="155" spans="1:27" s="138" customFormat="1" ht="13.5" customHeight="1">
      <c r="A155" s="208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140">
        <f t="shared" si="28"/>
        <v>0</v>
      </c>
      <c r="P155" s="141">
        <f t="shared" si="29"/>
        <v>0</v>
      </c>
      <c r="Q155" s="139"/>
      <c r="R155" s="139"/>
      <c r="S155" s="139"/>
      <c r="T155" s="139"/>
      <c r="U155" s="142">
        <v>0</v>
      </c>
      <c r="V155" s="142">
        <v>0</v>
      </c>
      <c r="W155" s="142"/>
      <c r="X155" s="139"/>
      <c r="Y155" s="136">
        <f>SUM(Q155:X155)</f>
        <v>0</v>
      </c>
      <c r="Z155" s="136">
        <f>+O155+Y155</f>
        <v>0</v>
      </c>
      <c r="AA155" s="137">
        <f>+D155-Z155</f>
        <v>0</v>
      </c>
    </row>
    <row r="156" spans="1:27" s="138" customFormat="1" ht="13.5" customHeight="1">
      <c r="A156" s="208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76"/>
      <c r="L156" s="76"/>
      <c r="M156" s="76"/>
      <c r="N156" s="76"/>
      <c r="O156" s="165">
        <f t="shared" si="28"/>
        <v>0</v>
      </c>
      <c r="P156" s="166">
        <f t="shared" si="29"/>
        <v>0</v>
      </c>
      <c r="Q156" s="164"/>
      <c r="R156" s="164"/>
      <c r="S156" s="164"/>
      <c r="T156" s="164"/>
      <c r="U156" s="167">
        <v>0</v>
      </c>
      <c r="V156" s="167">
        <v>0</v>
      </c>
      <c r="W156" s="167"/>
      <c r="X156" s="164"/>
      <c r="Y156" s="162">
        <f>SUM(Q156:X156)</f>
        <v>0</v>
      </c>
      <c r="Z156" s="162">
        <f>+O156+Y156</f>
        <v>0</v>
      </c>
      <c r="AA156" s="163">
        <f>+D156-Z156</f>
        <v>0</v>
      </c>
    </row>
    <row r="157" spans="1:27" s="138" customFormat="1" ht="13.5" customHeight="1">
      <c r="A157" s="208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75"/>
      <c r="L157" s="75"/>
      <c r="M157" s="75"/>
      <c r="N157" s="75"/>
      <c r="O157" s="165">
        <f t="shared" si="28"/>
        <v>0</v>
      </c>
      <c r="P157" s="166">
        <f t="shared" si="29"/>
        <v>0</v>
      </c>
      <c r="Q157" s="164"/>
      <c r="R157" s="164"/>
      <c r="S157" s="164"/>
      <c r="T157" s="164"/>
      <c r="U157" s="167">
        <v>0</v>
      </c>
      <c r="V157" s="167">
        <v>0</v>
      </c>
      <c r="W157" s="167"/>
      <c r="X157" s="164"/>
      <c r="Y157" s="162">
        <f>SUM(Q157:X157)</f>
        <v>0</v>
      </c>
      <c r="Z157" s="162">
        <f>+O157+Y157</f>
        <v>0</v>
      </c>
      <c r="AA157" s="163">
        <f>+D157-Z157</f>
        <v>0</v>
      </c>
    </row>
    <row r="158" spans="1:27" s="138" customFormat="1" ht="13.5" customHeight="1">
      <c r="A158" s="208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75"/>
      <c r="L158" s="75"/>
      <c r="M158" s="75"/>
      <c r="N158" s="75"/>
      <c r="O158" s="165">
        <f t="shared" si="28"/>
        <v>0</v>
      </c>
      <c r="P158" s="166">
        <f t="shared" si="29"/>
        <v>0</v>
      </c>
      <c r="Q158" s="164"/>
      <c r="R158" s="164"/>
      <c r="S158" s="164"/>
      <c r="T158" s="164"/>
      <c r="U158" s="167">
        <v>0</v>
      </c>
      <c r="V158" s="167">
        <v>0</v>
      </c>
      <c r="W158" s="167"/>
      <c r="X158" s="164"/>
      <c r="Y158" s="162">
        <f>SUM(Q158:X158)</f>
        <v>0</v>
      </c>
      <c r="Z158" s="162">
        <f>+O158+Y158</f>
        <v>0</v>
      </c>
      <c r="AA158" s="163">
        <f>+D158-Z158</f>
        <v>0</v>
      </c>
    </row>
    <row r="159" spans="1:27" s="138" customFormat="1" ht="13.5" customHeight="1">
      <c r="A159" s="208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78"/>
      <c r="L159" s="78"/>
      <c r="M159" s="78"/>
      <c r="N159" s="78"/>
      <c r="O159" s="169">
        <f t="shared" si="28"/>
        <v>0</v>
      </c>
      <c r="P159" s="170">
        <f t="shared" si="29"/>
        <v>0</v>
      </c>
      <c r="Q159" s="168"/>
      <c r="R159" s="168"/>
      <c r="S159" s="168"/>
      <c r="T159" s="168"/>
      <c r="U159" s="171">
        <v>0</v>
      </c>
      <c r="V159" s="171">
        <v>0</v>
      </c>
      <c r="W159" s="171"/>
      <c r="X159" s="168"/>
      <c r="Y159" s="162">
        <f>SUM(Q159:X159)</f>
        <v>0</v>
      </c>
      <c r="Z159" s="162">
        <f>+O159+Y159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N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:L160" si="34">SUBTOTAL(9,H161:H176)</f>
        <v>0</v>
      </c>
      <c r="I160" s="130">
        <f t="shared" si="34"/>
        <v>0</v>
      </c>
      <c r="J160" s="130">
        <f t="shared" si="34"/>
        <v>0</v>
      </c>
      <c r="K160" s="130">
        <f t="shared" si="34"/>
        <v>0</v>
      </c>
      <c r="L160" s="130">
        <f t="shared" si="34"/>
        <v>0</v>
      </c>
      <c r="M160" s="130">
        <f t="shared" si="33"/>
        <v>0</v>
      </c>
      <c r="N160" s="130">
        <f t="shared" si="33"/>
        <v>0</v>
      </c>
      <c r="O160" s="107">
        <f t="shared" si="28"/>
        <v>0</v>
      </c>
      <c r="P160" s="107">
        <f t="shared" si="29"/>
        <v>0</v>
      </c>
      <c r="Q160" s="130">
        <f t="shared" ref="Q160:X160" si="35">SUBTOTAL(9,Q161:Q176)</f>
        <v>0</v>
      </c>
      <c r="R160" s="130">
        <f t="shared" si="35"/>
        <v>0</v>
      </c>
      <c r="S160" s="130">
        <f t="shared" si="35"/>
        <v>0</v>
      </c>
      <c r="T160" s="130">
        <f t="shared" si="35"/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SUM(Q160:X160)</f>
        <v>0</v>
      </c>
      <c r="Z160" s="56">
        <f>+O160+Y160</f>
        <v>0</v>
      </c>
      <c r="AA160" s="131">
        <f>+D160-Z160</f>
        <v>0</v>
      </c>
    </row>
    <row r="161" spans="1:27" s="138" customFormat="1" ht="13.5" customHeight="1">
      <c r="A161" s="194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73"/>
      <c r="L161" s="73"/>
      <c r="M161" s="73"/>
      <c r="N161" s="73"/>
      <c r="O161" s="159">
        <f t="shared" si="28"/>
        <v>0</v>
      </c>
      <c r="P161" s="160">
        <f t="shared" si="29"/>
        <v>0</v>
      </c>
      <c r="Q161" s="158">
        <v>0</v>
      </c>
      <c r="R161" s="158"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SUM(Q161:X161)</f>
        <v>0</v>
      </c>
      <c r="Z161" s="162">
        <f>+O161+Y161</f>
        <v>0</v>
      </c>
      <c r="AA161" s="163">
        <f>+D161-Z161</f>
        <v>0</v>
      </c>
    </row>
    <row r="162" spans="1:27" s="138" customFormat="1" ht="13.5" customHeight="1">
      <c r="A162" s="194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66"/>
      <c r="L162" s="66"/>
      <c r="M162" s="66"/>
      <c r="N162" s="66"/>
      <c r="O162" s="133">
        <f t="shared" si="28"/>
        <v>0</v>
      </c>
      <c r="P162" s="134">
        <f t="shared" si="29"/>
        <v>0</v>
      </c>
      <c r="Q162" s="132">
        <v>0</v>
      </c>
      <c r="R162" s="132"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SUM(Q162:X162)</f>
        <v>0</v>
      </c>
      <c r="Z162" s="136">
        <f>+O162+Y162</f>
        <v>0</v>
      </c>
      <c r="AA162" s="137">
        <f>+D162-Z162</f>
        <v>0</v>
      </c>
    </row>
    <row r="163" spans="1:27" s="138" customFormat="1" ht="13.5" customHeight="1">
      <c r="A163" s="194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75"/>
      <c r="L163" s="75"/>
      <c r="M163" s="75"/>
      <c r="N163" s="75"/>
      <c r="O163" s="165">
        <f t="shared" si="28"/>
        <v>0</v>
      </c>
      <c r="P163" s="166">
        <f t="shared" si="29"/>
        <v>0</v>
      </c>
      <c r="Q163" s="164">
        <v>0</v>
      </c>
      <c r="R163" s="164"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SUM(Q163:X163)</f>
        <v>0</v>
      </c>
      <c r="Z163" s="162">
        <f>+O163+Y163</f>
        <v>0</v>
      </c>
      <c r="AA163" s="163">
        <f>+D163-Z163</f>
        <v>0</v>
      </c>
    </row>
    <row r="164" spans="1:27" s="138" customFormat="1" ht="13.5" customHeight="1">
      <c r="A164" s="194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75"/>
      <c r="L164" s="75"/>
      <c r="M164" s="75"/>
      <c r="N164" s="75"/>
      <c r="O164" s="165">
        <f t="shared" si="28"/>
        <v>0</v>
      </c>
      <c r="P164" s="166">
        <f t="shared" si="29"/>
        <v>0</v>
      </c>
      <c r="Q164" s="164">
        <v>0</v>
      </c>
      <c r="R164" s="164"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SUM(Q164:X164)</f>
        <v>0</v>
      </c>
      <c r="Z164" s="162">
        <f>+O164+Y164</f>
        <v>0</v>
      </c>
      <c r="AA164" s="163">
        <f>+D164-Z164</f>
        <v>0</v>
      </c>
    </row>
    <row r="165" spans="1:27" s="138" customFormat="1" ht="13.5" customHeight="1">
      <c r="A165" s="194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68"/>
      <c r="L165" s="68"/>
      <c r="M165" s="68"/>
      <c r="N165" s="68"/>
      <c r="O165" s="140">
        <f t="shared" si="28"/>
        <v>0</v>
      </c>
      <c r="P165" s="141">
        <f t="shared" si="29"/>
        <v>0</v>
      </c>
      <c r="Q165" s="172"/>
      <c r="R165" s="172"/>
      <c r="S165" s="172"/>
      <c r="T165" s="172"/>
      <c r="U165" s="173"/>
      <c r="V165" s="173"/>
      <c r="W165" s="173"/>
      <c r="X165" s="172"/>
      <c r="Y165" s="136">
        <f>SUM(Q165:X165)</f>
        <v>0</v>
      </c>
      <c r="Z165" s="136">
        <f>+O165+Y165</f>
        <v>0</v>
      </c>
      <c r="AA165" s="137">
        <f>+D165-Z165</f>
        <v>0</v>
      </c>
    </row>
    <row r="166" spans="1:27" s="138" customFormat="1" ht="13.5" customHeight="1">
      <c r="A166" s="194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68"/>
      <c r="L166" s="68"/>
      <c r="M166" s="68"/>
      <c r="N166" s="68"/>
      <c r="O166" s="140">
        <f t="shared" si="28"/>
        <v>0</v>
      </c>
      <c r="P166" s="141">
        <f t="shared" si="29"/>
        <v>0</v>
      </c>
      <c r="Q166" s="139">
        <v>0</v>
      </c>
      <c r="R166" s="139"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SUM(Q166:X166)</f>
        <v>0</v>
      </c>
      <c r="Z166" s="136">
        <f>+O166+Y166</f>
        <v>0</v>
      </c>
      <c r="AA166" s="137">
        <f>+D166-Z166</f>
        <v>0</v>
      </c>
    </row>
    <row r="167" spans="1:27" s="138" customFormat="1" ht="13.5" customHeight="1">
      <c r="A167" s="194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68"/>
      <c r="L167" s="68"/>
      <c r="M167" s="68"/>
      <c r="N167" s="68"/>
      <c r="O167" s="140">
        <f t="shared" si="28"/>
        <v>0</v>
      </c>
      <c r="P167" s="141">
        <f t="shared" si="29"/>
        <v>0</v>
      </c>
      <c r="Q167" s="139">
        <v>0</v>
      </c>
      <c r="R167" s="139"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SUM(Q167:X167)</f>
        <v>0</v>
      </c>
      <c r="Z167" s="136">
        <f>+O167+Y167</f>
        <v>0</v>
      </c>
      <c r="AA167" s="137">
        <f>+D167-Z167</f>
        <v>0</v>
      </c>
    </row>
    <row r="168" spans="1:27" s="138" customFormat="1" ht="13.5" customHeight="1">
      <c r="A168" s="194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69"/>
      <c r="L168" s="69"/>
      <c r="M168" s="69"/>
      <c r="N168" s="69"/>
      <c r="O168" s="140">
        <f t="shared" si="28"/>
        <v>0</v>
      </c>
      <c r="P168" s="141">
        <f t="shared" si="29"/>
        <v>0</v>
      </c>
      <c r="Q168" s="139">
        <v>0</v>
      </c>
      <c r="R168" s="139"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SUM(Q168:X168)</f>
        <v>0</v>
      </c>
      <c r="Z168" s="136">
        <f>+O168+Y168</f>
        <v>0</v>
      </c>
      <c r="AA168" s="137">
        <f>+D168-Z168</f>
        <v>0</v>
      </c>
    </row>
    <row r="169" spans="1:27" s="138" customFormat="1" ht="13.5" customHeight="1">
      <c r="A169" s="194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69"/>
      <c r="L169" s="69"/>
      <c r="M169" s="69"/>
      <c r="N169" s="69"/>
      <c r="O169" s="140">
        <f t="shared" si="28"/>
        <v>0</v>
      </c>
      <c r="P169" s="141">
        <f t="shared" si="29"/>
        <v>0</v>
      </c>
      <c r="Q169" s="139">
        <v>0</v>
      </c>
      <c r="R169" s="139"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SUM(Q169:X169)</f>
        <v>0</v>
      </c>
      <c r="Z169" s="136">
        <f>+O169+Y169</f>
        <v>0</v>
      </c>
      <c r="AA169" s="137">
        <f>+D169-Z169</f>
        <v>0</v>
      </c>
    </row>
    <row r="170" spans="1:27" s="138" customFormat="1" ht="13.5" customHeight="1">
      <c r="A170" s="194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69"/>
      <c r="L170" s="69"/>
      <c r="M170" s="69"/>
      <c r="N170" s="69"/>
      <c r="O170" s="140">
        <f t="shared" si="28"/>
        <v>0</v>
      </c>
      <c r="P170" s="141">
        <f t="shared" si="29"/>
        <v>0</v>
      </c>
      <c r="Q170" s="139">
        <v>0</v>
      </c>
      <c r="R170" s="139"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SUM(Q170:X170)</f>
        <v>0</v>
      </c>
      <c r="Z170" s="136">
        <f>+O170+Y170</f>
        <v>0</v>
      </c>
      <c r="AA170" s="137">
        <f>+D170-Z170</f>
        <v>0</v>
      </c>
    </row>
    <row r="171" spans="1:27" s="138" customFormat="1" ht="13.5" customHeight="1">
      <c r="A171" s="194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69"/>
      <c r="L171" s="69"/>
      <c r="M171" s="69"/>
      <c r="N171" s="69"/>
      <c r="O171" s="140">
        <f t="shared" si="28"/>
        <v>0</v>
      </c>
      <c r="P171" s="141">
        <f t="shared" si="29"/>
        <v>0</v>
      </c>
      <c r="Q171" s="139">
        <v>0</v>
      </c>
      <c r="R171" s="139"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SUM(Q171:X171)</f>
        <v>0</v>
      </c>
      <c r="Z171" s="136">
        <f>+O171+Y171</f>
        <v>0</v>
      </c>
      <c r="AA171" s="137">
        <f>+D171-Z171</f>
        <v>0</v>
      </c>
    </row>
    <row r="172" spans="1:27" s="138" customFormat="1" ht="13.5" customHeight="1">
      <c r="A172" s="194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140">
        <f t="shared" si="28"/>
        <v>0</v>
      </c>
      <c r="P172" s="141">
        <f t="shared" si="29"/>
        <v>0</v>
      </c>
      <c r="Q172" s="139">
        <v>0</v>
      </c>
      <c r="R172" s="139"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SUM(Q172:X172)</f>
        <v>0</v>
      </c>
      <c r="Z172" s="136">
        <f>+O172+Y172</f>
        <v>0</v>
      </c>
      <c r="AA172" s="137">
        <f>+D172-Z172</f>
        <v>0</v>
      </c>
    </row>
    <row r="173" spans="1:27" s="138" customFormat="1" ht="13.5" customHeight="1">
      <c r="A173" s="194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69"/>
      <c r="L173" s="69"/>
      <c r="M173" s="69"/>
      <c r="N173" s="69"/>
      <c r="O173" s="140">
        <f t="shared" si="28"/>
        <v>0</v>
      </c>
      <c r="P173" s="141">
        <f t="shared" si="29"/>
        <v>0</v>
      </c>
      <c r="Q173" s="139">
        <v>0</v>
      </c>
      <c r="R173" s="139"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SUM(Q173:X173)</f>
        <v>0</v>
      </c>
      <c r="Z173" s="136">
        <f>+O173+Y173</f>
        <v>0</v>
      </c>
      <c r="AA173" s="137">
        <f>+D173-Z173</f>
        <v>0</v>
      </c>
    </row>
    <row r="174" spans="1:27" s="138" customFormat="1" ht="13.5" customHeight="1">
      <c r="A174" s="194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68"/>
      <c r="L174" s="68"/>
      <c r="M174" s="68"/>
      <c r="N174" s="68"/>
      <c r="O174" s="140">
        <f t="shared" si="28"/>
        <v>0</v>
      </c>
      <c r="P174" s="141">
        <f t="shared" si="29"/>
        <v>0</v>
      </c>
      <c r="Q174" s="139">
        <v>0</v>
      </c>
      <c r="R174" s="139"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SUM(Q174:X174)</f>
        <v>0</v>
      </c>
      <c r="Z174" s="136">
        <f>+O174+Y174</f>
        <v>0</v>
      </c>
      <c r="AA174" s="137">
        <f>+D174-Z174</f>
        <v>0</v>
      </c>
    </row>
    <row r="175" spans="1:27" s="138" customFormat="1" ht="13.5" customHeight="1">
      <c r="A175" s="194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68"/>
      <c r="L175" s="68"/>
      <c r="M175" s="68"/>
      <c r="N175" s="68"/>
      <c r="O175" s="140">
        <f t="shared" si="28"/>
        <v>0</v>
      </c>
      <c r="P175" s="141">
        <f t="shared" si="29"/>
        <v>0</v>
      </c>
      <c r="Q175" s="139">
        <v>0</v>
      </c>
      <c r="R175" s="139"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SUM(Q175:X175)</f>
        <v>0</v>
      </c>
      <c r="Z175" s="136">
        <f>+O175+Y175</f>
        <v>0</v>
      </c>
      <c r="AA175" s="137">
        <f>+D175-Z175</f>
        <v>0</v>
      </c>
    </row>
    <row r="176" spans="1:27" s="138" customFormat="1" ht="13.5" customHeight="1">
      <c r="A176" s="194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71"/>
      <c r="L176" s="71"/>
      <c r="M176" s="71"/>
      <c r="N176" s="71"/>
      <c r="O176" s="144">
        <f t="shared" si="28"/>
        <v>0</v>
      </c>
      <c r="P176" s="145">
        <f t="shared" si="29"/>
        <v>0</v>
      </c>
      <c r="Q176" s="143">
        <v>0</v>
      </c>
      <c r="R176" s="143"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SUM(Q176:X176)</f>
        <v>0</v>
      </c>
      <c r="Z176" s="136">
        <f>+O176+Y176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N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:L177" si="37">SUBTOTAL(9,H178:H193)</f>
        <v>0</v>
      </c>
      <c r="I177" s="130">
        <f t="shared" si="37"/>
        <v>0</v>
      </c>
      <c r="J177" s="130">
        <f t="shared" si="37"/>
        <v>0</v>
      </c>
      <c r="K177" s="130">
        <f t="shared" si="37"/>
        <v>0</v>
      </c>
      <c r="L177" s="130">
        <f t="shared" si="37"/>
        <v>0</v>
      </c>
      <c r="M177" s="130">
        <f t="shared" si="36"/>
        <v>0</v>
      </c>
      <c r="N177" s="130">
        <f t="shared" si="36"/>
        <v>0</v>
      </c>
      <c r="O177" s="107">
        <f t="shared" si="28"/>
        <v>0</v>
      </c>
      <c r="P177" s="107">
        <f t="shared" si="29"/>
        <v>0</v>
      </c>
      <c r="Q177" s="130">
        <f t="shared" ref="Q177:X177" si="38">SUBTOTAL(9,Q178:Q193)</f>
        <v>0</v>
      </c>
      <c r="R177" s="130">
        <f t="shared" si="38"/>
        <v>0</v>
      </c>
      <c r="S177" s="130">
        <f t="shared" si="38"/>
        <v>0</v>
      </c>
      <c r="T177" s="130">
        <f t="shared" si="38"/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SUM(Q177:X177)</f>
        <v>0</v>
      </c>
      <c r="Z177" s="56">
        <f>+O177+Y177</f>
        <v>0</v>
      </c>
      <c r="AA177" s="131">
        <f>+D177-Z177</f>
        <v>0</v>
      </c>
    </row>
    <row r="178" spans="1:27" s="138" customFormat="1" ht="13.5" customHeight="1">
      <c r="A178" s="194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73"/>
      <c r="L178" s="73"/>
      <c r="M178" s="73"/>
      <c r="N178" s="73"/>
      <c r="O178" s="159">
        <f t="shared" si="28"/>
        <v>0</v>
      </c>
      <c r="P178" s="160">
        <f t="shared" si="29"/>
        <v>0</v>
      </c>
      <c r="Q178" s="158"/>
      <c r="R178" s="158"/>
      <c r="S178" s="158"/>
      <c r="T178" s="158"/>
      <c r="U178" s="161">
        <v>0</v>
      </c>
      <c r="V178" s="161">
        <v>0</v>
      </c>
      <c r="W178" s="161"/>
      <c r="X178" s="158"/>
      <c r="Y178" s="162">
        <f>SUM(Q178:X178)</f>
        <v>0</v>
      </c>
      <c r="Z178" s="162">
        <f>+O178+Y178</f>
        <v>0</v>
      </c>
      <c r="AA178" s="163">
        <f>+D178-Z178</f>
        <v>0</v>
      </c>
    </row>
    <row r="179" spans="1:27" s="138" customFormat="1" ht="13.5" customHeight="1">
      <c r="A179" s="194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66"/>
      <c r="L179" s="66"/>
      <c r="M179" s="66"/>
      <c r="N179" s="66"/>
      <c r="O179" s="133">
        <f t="shared" si="28"/>
        <v>0</v>
      </c>
      <c r="P179" s="134">
        <f t="shared" si="29"/>
        <v>0</v>
      </c>
      <c r="Q179" s="132"/>
      <c r="R179" s="132"/>
      <c r="S179" s="132"/>
      <c r="T179" s="132"/>
      <c r="U179" s="135">
        <v>0</v>
      </c>
      <c r="V179" s="135">
        <v>0</v>
      </c>
      <c r="W179" s="135"/>
      <c r="X179" s="132"/>
      <c r="Y179" s="136">
        <f>SUM(Q179:X179)</f>
        <v>0</v>
      </c>
      <c r="Z179" s="136">
        <f>+O179+Y179</f>
        <v>0</v>
      </c>
      <c r="AA179" s="137">
        <f>+D179-Z179</f>
        <v>0</v>
      </c>
    </row>
    <row r="180" spans="1:27" s="138" customFormat="1" ht="13.5" customHeight="1">
      <c r="A180" s="194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68"/>
      <c r="L180" s="68"/>
      <c r="M180" s="68"/>
      <c r="N180" s="68"/>
      <c r="O180" s="140">
        <f t="shared" si="28"/>
        <v>0</v>
      </c>
      <c r="P180" s="141">
        <f t="shared" si="29"/>
        <v>0</v>
      </c>
      <c r="Q180" s="139"/>
      <c r="R180" s="139"/>
      <c r="S180" s="139"/>
      <c r="T180" s="139"/>
      <c r="U180" s="142">
        <v>0</v>
      </c>
      <c r="V180" s="142">
        <v>0</v>
      </c>
      <c r="W180" s="142"/>
      <c r="X180" s="139"/>
      <c r="Y180" s="136">
        <f>SUM(Q180:X180)</f>
        <v>0</v>
      </c>
      <c r="Z180" s="136">
        <f>+O180+Y180</f>
        <v>0</v>
      </c>
      <c r="AA180" s="137">
        <f>+D180-Z180</f>
        <v>0</v>
      </c>
    </row>
    <row r="181" spans="1:27" s="138" customFormat="1" ht="13.5" customHeight="1">
      <c r="A181" s="194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75"/>
      <c r="L181" s="75"/>
      <c r="M181" s="75"/>
      <c r="N181" s="75"/>
      <c r="O181" s="165">
        <f t="shared" si="28"/>
        <v>0</v>
      </c>
      <c r="P181" s="166">
        <f t="shared" si="29"/>
        <v>0</v>
      </c>
      <c r="Q181" s="164"/>
      <c r="R181" s="164"/>
      <c r="S181" s="164"/>
      <c r="T181" s="164"/>
      <c r="U181" s="167">
        <v>0</v>
      </c>
      <c r="V181" s="167">
        <v>0</v>
      </c>
      <c r="W181" s="167"/>
      <c r="X181" s="164"/>
      <c r="Y181" s="162">
        <f>SUM(Q181:X181)</f>
        <v>0</v>
      </c>
      <c r="Z181" s="162">
        <f>+O181+Y181</f>
        <v>0</v>
      </c>
      <c r="AA181" s="163">
        <f>+D181-Z181</f>
        <v>0</v>
      </c>
    </row>
    <row r="182" spans="1:27" s="138" customFormat="1" ht="13.5" customHeight="1">
      <c r="A182" s="194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68"/>
      <c r="L182" s="68"/>
      <c r="M182" s="68"/>
      <c r="N182" s="68"/>
      <c r="O182" s="140">
        <f t="shared" si="28"/>
        <v>0</v>
      </c>
      <c r="P182" s="141">
        <f t="shared" si="29"/>
        <v>0</v>
      </c>
      <c r="Q182" s="139"/>
      <c r="R182" s="139"/>
      <c r="S182" s="139"/>
      <c r="T182" s="139"/>
      <c r="U182" s="142">
        <v>0</v>
      </c>
      <c r="V182" s="142">
        <v>0</v>
      </c>
      <c r="W182" s="142"/>
      <c r="X182" s="139"/>
      <c r="Y182" s="136">
        <f>SUM(Q182:X182)</f>
        <v>0</v>
      </c>
      <c r="Z182" s="136">
        <f>+O182+Y182</f>
        <v>0</v>
      </c>
      <c r="AA182" s="137">
        <f>+D182-Z182</f>
        <v>0</v>
      </c>
    </row>
    <row r="183" spans="1:27" s="138" customFormat="1" ht="13.5" customHeight="1">
      <c r="A183" s="194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68"/>
      <c r="L183" s="68"/>
      <c r="M183" s="68"/>
      <c r="N183" s="68"/>
      <c r="O183" s="140">
        <f t="shared" si="28"/>
        <v>0</v>
      </c>
      <c r="P183" s="141">
        <f t="shared" si="29"/>
        <v>0</v>
      </c>
      <c r="Q183" s="139"/>
      <c r="R183" s="139"/>
      <c r="S183" s="139"/>
      <c r="T183" s="139"/>
      <c r="U183" s="142">
        <v>0</v>
      </c>
      <c r="V183" s="142">
        <v>0</v>
      </c>
      <c r="W183" s="142"/>
      <c r="X183" s="139"/>
      <c r="Y183" s="136">
        <f>SUM(Q183:X183)</f>
        <v>0</v>
      </c>
      <c r="Z183" s="136">
        <f>+O183+Y183</f>
        <v>0</v>
      </c>
      <c r="AA183" s="137">
        <f>+D183-Z183</f>
        <v>0</v>
      </c>
    </row>
    <row r="184" spans="1:27" s="138" customFormat="1" ht="13.5" customHeight="1">
      <c r="A184" s="194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68"/>
      <c r="L184" s="68"/>
      <c r="M184" s="68"/>
      <c r="N184" s="68"/>
      <c r="O184" s="140">
        <f t="shared" si="28"/>
        <v>0</v>
      </c>
      <c r="P184" s="141">
        <f t="shared" si="29"/>
        <v>0</v>
      </c>
      <c r="Q184" s="139"/>
      <c r="R184" s="139"/>
      <c r="S184" s="139"/>
      <c r="T184" s="139"/>
      <c r="U184" s="142">
        <v>0</v>
      </c>
      <c r="V184" s="142">
        <v>0</v>
      </c>
      <c r="W184" s="142"/>
      <c r="X184" s="139"/>
      <c r="Y184" s="136">
        <f>SUM(Q184:X184)</f>
        <v>0</v>
      </c>
      <c r="Z184" s="136">
        <f>+O184+Y184</f>
        <v>0</v>
      </c>
      <c r="AA184" s="137">
        <f>+D184-Z184</f>
        <v>0</v>
      </c>
    </row>
    <row r="185" spans="1:27" s="138" customFormat="1" ht="13.5" customHeight="1">
      <c r="A185" s="194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69"/>
      <c r="L185" s="69"/>
      <c r="M185" s="69"/>
      <c r="N185" s="69"/>
      <c r="O185" s="140">
        <f t="shared" si="28"/>
        <v>0</v>
      </c>
      <c r="P185" s="141">
        <f t="shared" si="29"/>
        <v>0</v>
      </c>
      <c r="Q185" s="139"/>
      <c r="R185" s="139"/>
      <c r="S185" s="139"/>
      <c r="T185" s="139"/>
      <c r="U185" s="142">
        <v>0</v>
      </c>
      <c r="V185" s="142">
        <v>0</v>
      </c>
      <c r="W185" s="142"/>
      <c r="X185" s="139"/>
      <c r="Y185" s="136">
        <f>SUM(Q185:X185)</f>
        <v>0</v>
      </c>
      <c r="Z185" s="136">
        <f>+O185+Y185</f>
        <v>0</v>
      </c>
      <c r="AA185" s="137">
        <f>+D185-Z185</f>
        <v>0</v>
      </c>
    </row>
    <row r="186" spans="1:27" s="138" customFormat="1" ht="13.5" customHeight="1">
      <c r="A186" s="194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69"/>
      <c r="L186" s="69"/>
      <c r="M186" s="69"/>
      <c r="N186" s="69"/>
      <c r="O186" s="140">
        <f t="shared" si="28"/>
        <v>0</v>
      </c>
      <c r="P186" s="141">
        <f t="shared" si="29"/>
        <v>0</v>
      </c>
      <c r="Q186" s="139"/>
      <c r="R186" s="139"/>
      <c r="S186" s="139"/>
      <c r="T186" s="139"/>
      <c r="U186" s="142">
        <v>0</v>
      </c>
      <c r="V186" s="142">
        <v>0</v>
      </c>
      <c r="W186" s="142"/>
      <c r="X186" s="139"/>
      <c r="Y186" s="136">
        <f>SUM(Q186:X186)</f>
        <v>0</v>
      </c>
      <c r="Z186" s="136">
        <f>+O186+Y186</f>
        <v>0</v>
      </c>
      <c r="AA186" s="137">
        <f>+D186-Z186</f>
        <v>0</v>
      </c>
    </row>
    <row r="187" spans="1:27" s="138" customFormat="1" ht="13.5" customHeight="1">
      <c r="A187" s="194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69"/>
      <c r="L187" s="69"/>
      <c r="M187" s="69"/>
      <c r="N187" s="69"/>
      <c r="O187" s="140">
        <f t="shared" si="28"/>
        <v>0</v>
      </c>
      <c r="P187" s="141">
        <f t="shared" si="29"/>
        <v>0</v>
      </c>
      <c r="Q187" s="139"/>
      <c r="R187" s="139"/>
      <c r="S187" s="139"/>
      <c r="T187" s="139"/>
      <c r="U187" s="142">
        <v>0</v>
      </c>
      <c r="V187" s="142">
        <v>0</v>
      </c>
      <c r="W187" s="142"/>
      <c r="X187" s="139"/>
      <c r="Y187" s="136">
        <f>SUM(Q187:X187)</f>
        <v>0</v>
      </c>
      <c r="Z187" s="136">
        <f>+O187+Y187</f>
        <v>0</v>
      </c>
      <c r="AA187" s="137">
        <f>+D187-Z187</f>
        <v>0</v>
      </c>
    </row>
    <row r="188" spans="1:27" s="138" customFormat="1" ht="13.5" customHeight="1">
      <c r="A188" s="194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69"/>
      <c r="L188" s="69"/>
      <c r="M188" s="69"/>
      <c r="N188" s="69"/>
      <c r="O188" s="140">
        <f t="shared" si="28"/>
        <v>0</v>
      </c>
      <c r="P188" s="141">
        <f t="shared" si="29"/>
        <v>0</v>
      </c>
      <c r="Q188" s="139"/>
      <c r="R188" s="139"/>
      <c r="S188" s="139"/>
      <c r="T188" s="139"/>
      <c r="U188" s="142">
        <v>0</v>
      </c>
      <c r="V188" s="142">
        <v>0</v>
      </c>
      <c r="W188" s="142"/>
      <c r="X188" s="139"/>
      <c r="Y188" s="136">
        <f>SUM(Q188:X188)</f>
        <v>0</v>
      </c>
      <c r="Z188" s="136">
        <f>+O188+Y188</f>
        <v>0</v>
      </c>
      <c r="AA188" s="137">
        <f>+D188-Z188</f>
        <v>0</v>
      </c>
    </row>
    <row r="189" spans="1:27" s="138" customFormat="1" ht="13.5" customHeight="1">
      <c r="A189" s="194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140">
        <f t="shared" si="28"/>
        <v>0</v>
      </c>
      <c r="P189" s="141">
        <f t="shared" si="29"/>
        <v>0</v>
      </c>
      <c r="Q189" s="139"/>
      <c r="R189" s="139"/>
      <c r="S189" s="139"/>
      <c r="T189" s="139"/>
      <c r="U189" s="142">
        <v>0</v>
      </c>
      <c r="V189" s="142">
        <v>0</v>
      </c>
      <c r="W189" s="142"/>
      <c r="X189" s="139"/>
      <c r="Y189" s="136">
        <f>SUM(Q189:X189)</f>
        <v>0</v>
      </c>
      <c r="Z189" s="136">
        <f>+O189+Y189</f>
        <v>0</v>
      </c>
      <c r="AA189" s="137">
        <f>+D189-Z189</f>
        <v>0</v>
      </c>
    </row>
    <row r="190" spans="1:27" s="138" customFormat="1" ht="13.5" customHeight="1">
      <c r="A190" s="194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69"/>
      <c r="L190" s="69"/>
      <c r="M190" s="69"/>
      <c r="N190" s="69"/>
      <c r="O190" s="140">
        <f t="shared" si="28"/>
        <v>0</v>
      </c>
      <c r="P190" s="141">
        <f t="shared" si="29"/>
        <v>0</v>
      </c>
      <c r="Q190" s="139"/>
      <c r="R190" s="139"/>
      <c r="S190" s="139"/>
      <c r="T190" s="139"/>
      <c r="U190" s="142">
        <v>0</v>
      </c>
      <c r="V190" s="142">
        <v>0</v>
      </c>
      <c r="W190" s="142"/>
      <c r="X190" s="139"/>
      <c r="Y190" s="136">
        <f>SUM(Q190:X190)</f>
        <v>0</v>
      </c>
      <c r="Z190" s="136">
        <f>+O190+Y190</f>
        <v>0</v>
      </c>
      <c r="AA190" s="137">
        <f>+D190-Z190</f>
        <v>0</v>
      </c>
    </row>
    <row r="191" spans="1:27" s="138" customFormat="1" ht="13.5" customHeight="1">
      <c r="A191" s="194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68"/>
      <c r="L191" s="68"/>
      <c r="M191" s="68"/>
      <c r="N191" s="68"/>
      <c r="O191" s="140">
        <f t="shared" si="28"/>
        <v>0</v>
      </c>
      <c r="P191" s="141">
        <f t="shared" si="29"/>
        <v>0</v>
      </c>
      <c r="Q191" s="139"/>
      <c r="R191" s="139"/>
      <c r="S191" s="139"/>
      <c r="T191" s="139"/>
      <c r="U191" s="142">
        <v>0</v>
      </c>
      <c r="V191" s="142">
        <v>0</v>
      </c>
      <c r="W191" s="142"/>
      <c r="X191" s="139"/>
      <c r="Y191" s="136">
        <f>SUM(Q191:X191)</f>
        <v>0</v>
      </c>
      <c r="Z191" s="136">
        <f>+O191+Y191</f>
        <v>0</v>
      </c>
      <c r="AA191" s="137">
        <f>+D191-Z191</f>
        <v>0</v>
      </c>
    </row>
    <row r="192" spans="1:27" s="138" customFormat="1" ht="13.5" customHeight="1">
      <c r="A192" s="194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68"/>
      <c r="L192" s="68"/>
      <c r="M192" s="68"/>
      <c r="N192" s="68"/>
      <c r="O192" s="140">
        <f t="shared" si="28"/>
        <v>0</v>
      </c>
      <c r="P192" s="141">
        <f t="shared" si="29"/>
        <v>0</v>
      </c>
      <c r="Q192" s="139"/>
      <c r="R192" s="139"/>
      <c r="S192" s="139"/>
      <c r="T192" s="139"/>
      <c r="U192" s="142">
        <v>0</v>
      </c>
      <c r="V192" s="142">
        <v>0</v>
      </c>
      <c r="W192" s="142"/>
      <c r="X192" s="139"/>
      <c r="Y192" s="136">
        <f>SUM(Q192:X192)</f>
        <v>0</v>
      </c>
      <c r="Z192" s="136">
        <f>+O192+Y192</f>
        <v>0</v>
      </c>
      <c r="AA192" s="137">
        <f>+D192-Z192</f>
        <v>0</v>
      </c>
    </row>
    <row r="193" spans="1:27" s="138" customFormat="1" ht="13.5" customHeight="1">
      <c r="A193" s="194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71"/>
      <c r="L193" s="71"/>
      <c r="M193" s="71"/>
      <c r="N193" s="71"/>
      <c r="O193" s="140">
        <f t="shared" si="28"/>
        <v>0</v>
      </c>
      <c r="P193" s="141">
        <f t="shared" si="29"/>
        <v>0</v>
      </c>
      <c r="Q193" s="143"/>
      <c r="R193" s="143"/>
      <c r="S193" s="143"/>
      <c r="T193" s="143"/>
      <c r="U193" s="146">
        <v>0</v>
      </c>
      <c r="V193" s="146">
        <v>0</v>
      </c>
      <c r="W193" s="146"/>
      <c r="X193" s="143"/>
      <c r="Y193" s="136">
        <f>SUM(Q193:X193)</f>
        <v>0</v>
      </c>
      <c r="Z193" s="136">
        <f>+O193+Y193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N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:L194" si="40">SUBTOTAL(9,H195:H210)</f>
        <v>0</v>
      </c>
      <c r="I194" s="130">
        <f t="shared" si="40"/>
        <v>0</v>
      </c>
      <c r="J194" s="130">
        <f t="shared" si="40"/>
        <v>0</v>
      </c>
      <c r="K194" s="130">
        <f t="shared" si="40"/>
        <v>0</v>
      </c>
      <c r="L194" s="130">
        <f t="shared" si="40"/>
        <v>0</v>
      </c>
      <c r="M194" s="130">
        <f t="shared" si="39"/>
        <v>0</v>
      </c>
      <c r="N194" s="130">
        <f t="shared" si="39"/>
        <v>0</v>
      </c>
      <c r="O194" s="107">
        <f t="shared" si="28"/>
        <v>0</v>
      </c>
      <c r="P194" s="107">
        <f t="shared" si="29"/>
        <v>0</v>
      </c>
      <c r="Q194" s="130">
        <f t="shared" ref="Q194:X194" si="41">SUBTOTAL(9,Q195:Q210)</f>
        <v>0</v>
      </c>
      <c r="R194" s="130">
        <f t="shared" si="41"/>
        <v>0</v>
      </c>
      <c r="S194" s="130">
        <f t="shared" si="41"/>
        <v>0</v>
      </c>
      <c r="T194" s="130">
        <f t="shared" si="41"/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SUM(Q194:X194)</f>
        <v>0</v>
      </c>
      <c r="Z194" s="56">
        <f>+O194+Y194</f>
        <v>0</v>
      </c>
      <c r="AA194" s="131">
        <f>+D194-Z194</f>
        <v>0</v>
      </c>
    </row>
    <row r="195" spans="1:27" s="138" customFormat="1" ht="13.5" customHeight="1">
      <c r="A195" s="194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73"/>
      <c r="L195" s="73"/>
      <c r="M195" s="73"/>
      <c r="N195" s="73"/>
      <c r="O195" s="159">
        <f t="shared" si="28"/>
        <v>0</v>
      </c>
      <c r="P195" s="160">
        <f t="shared" si="29"/>
        <v>0</v>
      </c>
      <c r="Q195" s="158"/>
      <c r="R195" s="158"/>
      <c r="S195" s="158"/>
      <c r="T195" s="158"/>
      <c r="U195" s="161">
        <v>0</v>
      </c>
      <c r="V195" s="161">
        <v>0</v>
      </c>
      <c r="W195" s="161"/>
      <c r="X195" s="158"/>
      <c r="Y195" s="162">
        <f>SUM(Q195:X195)</f>
        <v>0</v>
      </c>
      <c r="Z195" s="162">
        <f>+O195+Y195</f>
        <v>0</v>
      </c>
      <c r="AA195" s="163">
        <f>+D195-Z195</f>
        <v>0</v>
      </c>
    </row>
    <row r="196" spans="1:27" s="138" customFormat="1" ht="13.5" customHeight="1">
      <c r="A196" s="194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66"/>
      <c r="L196" s="66"/>
      <c r="M196" s="66"/>
      <c r="N196" s="66"/>
      <c r="O196" s="133">
        <f t="shared" si="28"/>
        <v>0</v>
      </c>
      <c r="P196" s="134">
        <f t="shared" si="29"/>
        <v>0</v>
      </c>
      <c r="Q196" s="132"/>
      <c r="R196" s="132"/>
      <c r="S196" s="132"/>
      <c r="T196" s="132"/>
      <c r="U196" s="135">
        <v>0</v>
      </c>
      <c r="V196" s="135">
        <v>0</v>
      </c>
      <c r="W196" s="135"/>
      <c r="X196" s="132"/>
      <c r="Y196" s="136">
        <f>SUM(Q196:X196)</f>
        <v>0</v>
      </c>
      <c r="Z196" s="136">
        <f>+O196+Y196</f>
        <v>0</v>
      </c>
      <c r="AA196" s="137">
        <f>+D196-Z196</f>
        <v>0</v>
      </c>
    </row>
    <row r="197" spans="1:27" s="138" customFormat="1" ht="13.5" customHeight="1">
      <c r="A197" s="194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68"/>
      <c r="L197" s="68"/>
      <c r="M197" s="68"/>
      <c r="N197" s="68"/>
      <c r="O197" s="140">
        <f t="shared" si="28"/>
        <v>0</v>
      </c>
      <c r="P197" s="141">
        <f t="shared" si="29"/>
        <v>0</v>
      </c>
      <c r="Q197" s="139"/>
      <c r="R197" s="139"/>
      <c r="S197" s="139"/>
      <c r="T197" s="139"/>
      <c r="U197" s="142">
        <v>0</v>
      </c>
      <c r="V197" s="142">
        <v>0</v>
      </c>
      <c r="W197" s="142"/>
      <c r="X197" s="139"/>
      <c r="Y197" s="136">
        <f>SUM(Q197:X197)</f>
        <v>0</v>
      </c>
      <c r="Z197" s="136">
        <f>+O197+Y197</f>
        <v>0</v>
      </c>
      <c r="AA197" s="137">
        <f>+D197-Z197</f>
        <v>0</v>
      </c>
    </row>
    <row r="198" spans="1:27" s="138" customFormat="1" ht="13.5" customHeight="1">
      <c r="A198" s="194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75"/>
      <c r="L198" s="75"/>
      <c r="M198" s="75"/>
      <c r="N198" s="75"/>
      <c r="O198" s="165">
        <f t="shared" ref="O198:O261" si="42">SUM(G198:N198)</f>
        <v>0</v>
      </c>
      <c r="P198" s="166">
        <f t="shared" ref="P198:P261" si="43">D198-O198</f>
        <v>0</v>
      </c>
      <c r="Q198" s="164"/>
      <c r="R198" s="164"/>
      <c r="S198" s="164"/>
      <c r="T198" s="164"/>
      <c r="U198" s="167">
        <v>0</v>
      </c>
      <c r="V198" s="167">
        <v>0</v>
      </c>
      <c r="W198" s="167"/>
      <c r="X198" s="164"/>
      <c r="Y198" s="162">
        <f>SUM(Q198:X198)</f>
        <v>0</v>
      </c>
      <c r="Z198" s="162">
        <f>+O198+Y198</f>
        <v>0</v>
      </c>
      <c r="AA198" s="163">
        <f>+D198-Z198</f>
        <v>0</v>
      </c>
    </row>
    <row r="199" spans="1:27" s="138" customFormat="1" ht="13.5" customHeight="1">
      <c r="A199" s="194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68"/>
      <c r="L199" s="68"/>
      <c r="M199" s="68"/>
      <c r="N199" s="68"/>
      <c r="O199" s="140">
        <f t="shared" si="42"/>
        <v>0</v>
      </c>
      <c r="P199" s="141">
        <f t="shared" si="43"/>
        <v>0</v>
      </c>
      <c r="Q199" s="139"/>
      <c r="R199" s="139"/>
      <c r="S199" s="139"/>
      <c r="T199" s="139"/>
      <c r="U199" s="142">
        <v>0</v>
      </c>
      <c r="V199" s="142">
        <v>0</v>
      </c>
      <c r="W199" s="142"/>
      <c r="X199" s="139"/>
      <c r="Y199" s="136">
        <f>SUM(Q199:X199)</f>
        <v>0</v>
      </c>
      <c r="Z199" s="136">
        <f>+O199+Y199</f>
        <v>0</v>
      </c>
      <c r="AA199" s="137">
        <f>+D199-Z199</f>
        <v>0</v>
      </c>
    </row>
    <row r="200" spans="1:27" s="138" customFormat="1" ht="13.5" customHeight="1">
      <c r="A200" s="194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68"/>
      <c r="L200" s="68"/>
      <c r="M200" s="68"/>
      <c r="N200" s="68"/>
      <c r="O200" s="140">
        <f t="shared" si="42"/>
        <v>0</v>
      </c>
      <c r="P200" s="141">
        <f t="shared" si="43"/>
        <v>0</v>
      </c>
      <c r="Q200" s="139"/>
      <c r="R200" s="139"/>
      <c r="S200" s="139"/>
      <c r="T200" s="139"/>
      <c r="U200" s="142">
        <v>0</v>
      </c>
      <c r="V200" s="142">
        <v>0</v>
      </c>
      <c r="W200" s="142"/>
      <c r="X200" s="139"/>
      <c r="Y200" s="136">
        <f>SUM(Q200:X200)</f>
        <v>0</v>
      </c>
      <c r="Z200" s="136">
        <f>+O200+Y200</f>
        <v>0</v>
      </c>
      <c r="AA200" s="137">
        <f>+D200-Z200</f>
        <v>0</v>
      </c>
    </row>
    <row r="201" spans="1:27" s="138" customFormat="1" ht="13.5" customHeight="1">
      <c r="A201" s="194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68"/>
      <c r="L201" s="68"/>
      <c r="M201" s="68"/>
      <c r="N201" s="68"/>
      <c r="O201" s="140">
        <f t="shared" si="42"/>
        <v>0</v>
      </c>
      <c r="P201" s="141">
        <f t="shared" si="43"/>
        <v>0</v>
      </c>
      <c r="Q201" s="139"/>
      <c r="R201" s="139"/>
      <c r="S201" s="139"/>
      <c r="T201" s="139"/>
      <c r="U201" s="142">
        <v>0</v>
      </c>
      <c r="V201" s="142">
        <v>0</v>
      </c>
      <c r="W201" s="142"/>
      <c r="X201" s="139"/>
      <c r="Y201" s="136">
        <f>SUM(Q201:X201)</f>
        <v>0</v>
      </c>
      <c r="Z201" s="136">
        <f>+O201+Y201</f>
        <v>0</v>
      </c>
      <c r="AA201" s="137">
        <f>+D201-Z201</f>
        <v>0</v>
      </c>
    </row>
    <row r="202" spans="1:27" s="138" customFormat="1" ht="13.5" customHeight="1">
      <c r="A202" s="194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69"/>
      <c r="L202" s="69"/>
      <c r="M202" s="69"/>
      <c r="N202" s="69"/>
      <c r="O202" s="140">
        <f t="shared" si="42"/>
        <v>0</v>
      </c>
      <c r="P202" s="141">
        <f t="shared" si="43"/>
        <v>0</v>
      </c>
      <c r="Q202" s="139"/>
      <c r="R202" s="139"/>
      <c r="S202" s="139"/>
      <c r="T202" s="139"/>
      <c r="U202" s="142">
        <v>0</v>
      </c>
      <c r="V202" s="142">
        <v>0</v>
      </c>
      <c r="W202" s="142"/>
      <c r="X202" s="139"/>
      <c r="Y202" s="136">
        <f>SUM(Q202:X202)</f>
        <v>0</v>
      </c>
      <c r="Z202" s="136">
        <f>+O202+Y202</f>
        <v>0</v>
      </c>
      <c r="AA202" s="137">
        <f>+D202-Z202</f>
        <v>0</v>
      </c>
    </row>
    <row r="203" spans="1:27" s="138" customFormat="1" ht="13.5" customHeight="1">
      <c r="A203" s="194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69"/>
      <c r="L203" s="69"/>
      <c r="M203" s="69"/>
      <c r="N203" s="69"/>
      <c r="O203" s="140">
        <f t="shared" si="42"/>
        <v>0</v>
      </c>
      <c r="P203" s="141">
        <f t="shared" si="43"/>
        <v>0</v>
      </c>
      <c r="Q203" s="139"/>
      <c r="R203" s="139"/>
      <c r="S203" s="139"/>
      <c r="T203" s="139"/>
      <c r="U203" s="142">
        <v>0</v>
      </c>
      <c r="V203" s="142">
        <v>0</v>
      </c>
      <c r="W203" s="142"/>
      <c r="X203" s="139"/>
      <c r="Y203" s="136">
        <f>SUM(Q203:X203)</f>
        <v>0</v>
      </c>
      <c r="Z203" s="136">
        <f>+O203+Y203</f>
        <v>0</v>
      </c>
      <c r="AA203" s="137">
        <f>+D203-Z203</f>
        <v>0</v>
      </c>
    </row>
    <row r="204" spans="1:27" s="138" customFormat="1" ht="13.5" customHeight="1">
      <c r="A204" s="194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69"/>
      <c r="L204" s="69"/>
      <c r="M204" s="69"/>
      <c r="N204" s="69"/>
      <c r="O204" s="140">
        <f t="shared" si="42"/>
        <v>0</v>
      </c>
      <c r="P204" s="141">
        <f t="shared" si="43"/>
        <v>0</v>
      </c>
      <c r="Q204" s="139"/>
      <c r="R204" s="139"/>
      <c r="S204" s="139"/>
      <c r="T204" s="139"/>
      <c r="U204" s="142">
        <v>0</v>
      </c>
      <c r="V204" s="142">
        <v>0</v>
      </c>
      <c r="W204" s="142"/>
      <c r="X204" s="139"/>
      <c r="Y204" s="136">
        <f>SUM(Q204:X204)</f>
        <v>0</v>
      </c>
      <c r="Z204" s="136">
        <f>+O204+Y204</f>
        <v>0</v>
      </c>
      <c r="AA204" s="137">
        <f>+D204-Z204</f>
        <v>0</v>
      </c>
    </row>
    <row r="205" spans="1:27" s="138" customFormat="1" ht="13.5" customHeight="1">
      <c r="A205" s="194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69"/>
      <c r="L205" s="69"/>
      <c r="M205" s="69"/>
      <c r="N205" s="69"/>
      <c r="O205" s="140">
        <f t="shared" si="42"/>
        <v>0</v>
      </c>
      <c r="P205" s="141">
        <f t="shared" si="43"/>
        <v>0</v>
      </c>
      <c r="Q205" s="139"/>
      <c r="R205" s="139"/>
      <c r="S205" s="139"/>
      <c r="T205" s="139"/>
      <c r="U205" s="142">
        <v>0</v>
      </c>
      <c r="V205" s="142">
        <v>0</v>
      </c>
      <c r="W205" s="142"/>
      <c r="X205" s="139"/>
      <c r="Y205" s="136">
        <f>SUM(Q205:X205)</f>
        <v>0</v>
      </c>
      <c r="Z205" s="136">
        <f>+O205+Y205</f>
        <v>0</v>
      </c>
      <c r="AA205" s="137">
        <f>+D205-Z205</f>
        <v>0</v>
      </c>
    </row>
    <row r="206" spans="1:27" s="138" customFormat="1" ht="13.5" customHeight="1">
      <c r="A206" s="194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140">
        <f t="shared" si="42"/>
        <v>0</v>
      </c>
      <c r="P206" s="141">
        <f t="shared" si="43"/>
        <v>0</v>
      </c>
      <c r="Q206" s="139"/>
      <c r="R206" s="139"/>
      <c r="S206" s="139"/>
      <c r="T206" s="139"/>
      <c r="U206" s="142">
        <v>0</v>
      </c>
      <c r="V206" s="142">
        <v>0</v>
      </c>
      <c r="W206" s="142"/>
      <c r="X206" s="139"/>
      <c r="Y206" s="136">
        <f>SUM(Q206:X206)</f>
        <v>0</v>
      </c>
      <c r="Z206" s="136">
        <f>+O206+Y206</f>
        <v>0</v>
      </c>
      <c r="AA206" s="137">
        <f>+D206-Z206</f>
        <v>0</v>
      </c>
    </row>
    <row r="207" spans="1:27" s="138" customFormat="1" ht="13.5" customHeight="1">
      <c r="A207" s="194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69"/>
      <c r="L207" s="69"/>
      <c r="M207" s="69"/>
      <c r="N207" s="69"/>
      <c r="O207" s="140">
        <f t="shared" si="42"/>
        <v>0</v>
      </c>
      <c r="P207" s="141">
        <f t="shared" si="43"/>
        <v>0</v>
      </c>
      <c r="Q207" s="139"/>
      <c r="R207" s="139"/>
      <c r="S207" s="139"/>
      <c r="T207" s="139"/>
      <c r="U207" s="142">
        <v>0</v>
      </c>
      <c r="V207" s="142">
        <v>0</v>
      </c>
      <c r="W207" s="142"/>
      <c r="X207" s="139"/>
      <c r="Y207" s="136">
        <f>SUM(Q207:X207)</f>
        <v>0</v>
      </c>
      <c r="Z207" s="136">
        <f>+O207+Y207</f>
        <v>0</v>
      </c>
      <c r="AA207" s="137">
        <f>+D207-Z207</f>
        <v>0</v>
      </c>
    </row>
    <row r="208" spans="1:27" s="138" customFormat="1" ht="13.5" customHeight="1">
      <c r="A208" s="194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68"/>
      <c r="L208" s="68"/>
      <c r="M208" s="68"/>
      <c r="N208" s="68"/>
      <c r="O208" s="140">
        <f t="shared" si="42"/>
        <v>0</v>
      </c>
      <c r="P208" s="141">
        <f t="shared" si="43"/>
        <v>0</v>
      </c>
      <c r="Q208" s="139"/>
      <c r="R208" s="139"/>
      <c r="S208" s="139"/>
      <c r="T208" s="139"/>
      <c r="U208" s="142">
        <v>0</v>
      </c>
      <c r="V208" s="142">
        <v>0</v>
      </c>
      <c r="W208" s="142"/>
      <c r="X208" s="139"/>
      <c r="Y208" s="136">
        <f>SUM(Q208:X208)</f>
        <v>0</v>
      </c>
      <c r="Z208" s="136">
        <f>+O208+Y208</f>
        <v>0</v>
      </c>
      <c r="AA208" s="137">
        <f>+D208-Z208</f>
        <v>0</v>
      </c>
    </row>
    <row r="209" spans="1:27" s="138" customFormat="1" ht="13.5" customHeight="1">
      <c r="A209" s="194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68"/>
      <c r="L209" s="68"/>
      <c r="M209" s="68"/>
      <c r="N209" s="68"/>
      <c r="O209" s="140">
        <f t="shared" si="42"/>
        <v>0</v>
      </c>
      <c r="P209" s="141">
        <f t="shared" si="43"/>
        <v>0</v>
      </c>
      <c r="Q209" s="139"/>
      <c r="R209" s="139"/>
      <c r="S209" s="139"/>
      <c r="T209" s="139"/>
      <c r="U209" s="142">
        <v>0</v>
      </c>
      <c r="V209" s="142">
        <v>0</v>
      </c>
      <c r="W209" s="142"/>
      <c r="X209" s="139"/>
      <c r="Y209" s="136">
        <f>SUM(Q209:X209)</f>
        <v>0</v>
      </c>
      <c r="Z209" s="136">
        <f>+O209+Y209</f>
        <v>0</v>
      </c>
      <c r="AA209" s="137">
        <f>+D209-Z209</f>
        <v>0</v>
      </c>
    </row>
    <row r="210" spans="1:27" s="138" customFormat="1" ht="13.5" customHeight="1">
      <c r="A210" s="194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71"/>
      <c r="L210" s="71"/>
      <c r="M210" s="71"/>
      <c r="N210" s="71"/>
      <c r="O210" s="144">
        <f t="shared" si="42"/>
        <v>0</v>
      </c>
      <c r="P210" s="145">
        <f t="shared" si="43"/>
        <v>0</v>
      </c>
      <c r="Q210" s="143"/>
      <c r="R210" s="143"/>
      <c r="S210" s="143"/>
      <c r="T210" s="143"/>
      <c r="U210" s="146">
        <v>0</v>
      </c>
      <c r="V210" s="146">
        <v>0</v>
      </c>
      <c r="W210" s="146"/>
      <c r="X210" s="143"/>
      <c r="Y210" s="136">
        <f>SUM(Q210:X210)</f>
        <v>0</v>
      </c>
      <c r="Z210" s="136">
        <f>+O210+Y210</f>
        <v>0</v>
      </c>
      <c r="AA210" s="137">
        <f>+D210-Z210</f>
        <v>0</v>
      </c>
    </row>
    <row r="211" spans="1:27" s="138" customFormat="1" ht="13.5" customHeight="1">
      <c r="A211" s="193" t="s">
        <v>74</v>
      </c>
      <c r="B211" s="186"/>
      <c r="C211" s="156"/>
      <c r="D211" s="130">
        <f t="shared" ref="D211:N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:L211" si="45">SUBTOTAL(9,H212:H227)</f>
        <v>0</v>
      </c>
      <c r="I211" s="130">
        <f t="shared" si="45"/>
        <v>0</v>
      </c>
      <c r="J211" s="130">
        <f t="shared" si="45"/>
        <v>0</v>
      </c>
      <c r="K211" s="130">
        <f t="shared" si="45"/>
        <v>0</v>
      </c>
      <c r="L211" s="130">
        <f t="shared" si="45"/>
        <v>0</v>
      </c>
      <c r="M211" s="130">
        <f t="shared" si="44"/>
        <v>0</v>
      </c>
      <c r="N211" s="130">
        <f t="shared" si="44"/>
        <v>0</v>
      </c>
      <c r="O211" s="148">
        <f t="shared" si="42"/>
        <v>0</v>
      </c>
      <c r="P211" s="148">
        <f t="shared" si="43"/>
        <v>0</v>
      </c>
      <c r="Q211" s="130">
        <f t="shared" ref="Q211:X211" si="46">SUBTOTAL(9,Q212:Q227)</f>
        <v>0</v>
      </c>
      <c r="R211" s="130">
        <f t="shared" si="46"/>
        <v>0</v>
      </c>
      <c r="S211" s="130">
        <f t="shared" si="46"/>
        <v>0</v>
      </c>
      <c r="T211" s="130">
        <f t="shared" si="46"/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SUM(Q211:X211)</f>
        <v>0</v>
      </c>
      <c r="Z211" s="126">
        <f>+O211+Y211</f>
        <v>0</v>
      </c>
      <c r="AA211" s="127">
        <f>+D211-Z211</f>
        <v>0</v>
      </c>
    </row>
    <row r="212" spans="1:27" s="138" customFormat="1" ht="13.5" customHeight="1">
      <c r="A212" s="216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73"/>
      <c r="L212" s="73"/>
      <c r="M212" s="73"/>
      <c r="N212" s="73"/>
      <c r="O212" s="159">
        <f t="shared" si="42"/>
        <v>0</v>
      </c>
      <c r="P212" s="160">
        <f t="shared" si="43"/>
        <v>0</v>
      </c>
      <c r="Q212" s="158">
        <v>0</v>
      </c>
      <c r="R212" s="158"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SUM(Q212:X212)</f>
        <v>0</v>
      </c>
      <c r="Z212" s="162">
        <f>+O212+Y212</f>
        <v>0</v>
      </c>
      <c r="AA212" s="163">
        <f>+D212-Z212</f>
        <v>0</v>
      </c>
    </row>
    <row r="213" spans="1:27" s="138" customFormat="1" ht="13.5" customHeight="1">
      <c r="A213" s="216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66"/>
      <c r="L213" s="66"/>
      <c r="M213" s="66"/>
      <c r="N213" s="66"/>
      <c r="O213" s="133">
        <f t="shared" si="42"/>
        <v>0</v>
      </c>
      <c r="P213" s="134">
        <f t="shared" si="43"/>
        <v>0</v>
      </c>
      <c r="Q213" s="132">
        <v>0</v>
      </c>
      <c r="R213" s="132"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SUM(Q213:X213)</f>
        <v>0</v>
      </c>
      <c r="Z213" s="136">
        <f>+O213+Y213</f>
        <v>0</v>
      </c>
      <c r="AA213" s="137">
        <f>+D213-Z213</f>
        <v>0</v>
      </c>
    </row>
    <row r="214" spans="1:27" s="138" customFormat="1" ht="13.5" customHeight="1">
      <c r="A214" s="216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68"/>
      <c r="L214" s="68"/>
      <c r="M214" s="68"/>
      <c r="N214" s="68"/>
      <c r="O214" s="140">
        <f t="shared" si="42"/>
        <v>0</v>
      </c>
      <c r="P214" s="141">
        <f t="shared" si="43"/>
        <v>0</v>
      </c>
      <c r="Q214" s="139">
        <v>0</v>
      </c>
      <c r="R214" s="139"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SUM(Q214:X214)</f>
        <v>0</v>
      </c>
      <c r="Z214" s="136">
        <f>+O214+Y214</f>
        <v>0</v>
      </c>
      <c r="AA214" s="137">
        <f>+D214-Z214</f>
        <v>0</v>
      </c>
    </row>
    <row r="215" spans="1:27" s="138" customFormat="1" ht="13.5" customHeight="1">
      <c r="A215" s="216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75"/>
      <c r="L215" s="75"/>
      <c r="M215" s="75"/>
      <c r="N215" s="75"/>
      <c r="O215" s="165">
        <f t="shared" si="42"/>
        <v>0</v>
      </c>
      <c r="P215" s="166">
        <f t="shared" si="43"/>
        <v>0</v>
      </c>
      <c r="Q215" s="164">
        <v>0</v>
      </c>
      <c r="R215" s="164"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SUM(Q215:X215)</f>
        <v>0</v>
      </c>
      <c r="Z215" s="162">
        <f>+O215+Y215</f>
        <v>0</v>
      </c>
      <c r="AA215" s="163">
        <f>+D215-Z215</f>
        <v>0</v>
      </c>
    </row>
    <row r="216" spans="1:27" s="138" customFormat="1" ht="13.5" customHeight="1">
      <c r="A216" s="216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66"/>
      <c r="L216" s="66"/>
      <c r="M216" s="66"/>
      <c r="N216" s="66"/>
      <c r="O216" s="133">
        <f t="shared" si="42"/>
        <v>0</v>
      </c>
      <c r="P216" s="134">
        <f t="shared" si="43"/>
        <v>0</v>
      </c>
      <c r="Q216" s="132">
        <v>0</v>
      </c>
      <c r="R216" s="132"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SUM(Q216:X216)</f>
        <v>0</v>
      </c>
      <c r="Z216" s="136">
        <f>+O216+Y216</f>
        <v>0</v>
      </c>
      <c r="AA216" s="137">
        <f>+D216-Z216</f>
        <v>0</v>
      </c>
    </row>
    <row r="217" spans="1:27" s="138" customFormat="1" ht="13.5" customHeight="1">
      <c r="A217" s="216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68"/>
      <c r="L217" s="68"/>
      <c r="M217" s="68"/>
      <c r="N217" s="68"/>
      <c r="O217" s="140">
        <f t="shared" si="42"/>
        <v>0</v>
      </c>
      <c r="P217" s="141">
        <f t="shared" si="43"/>
        <v>0</v>
      </c>
      <c r="Q217" s="139">
        <v>0</v>
      </c>
      <c r="R217" s="139"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SUM(Q217:X217)</f>
        <v>0</v>
      </c>
      <c r="Z217" s="136">
        <f>+O217+Y217</f>
        <v>0</v>
      </c>
      <c r="AA217" s="137">
        <f>+D217-Z217</f>
        <v>0</v>
      </c>
    </row>
    <row r="218" spans="1:27" s="138" customFormat="1" ht="13.5" customHeight="1">
      <c r="A218" s="216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68"/>
      <c r="L218" s="68"/>
      <c r="M218" s="68"/>
      <c r="N218" s="68"/>
      <c r="O218" s="140">
        <f t="shared" si="42"/>
        <v>0</v>
      </c>
      <c r="P218" s="141">
        <f t="shared" si="43"/>
        <v>0</v>
      </c>
      <c r="Q218" s="139">
        <v>0</v>
      </c>
      <c r="R218" s="139"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SUM(Q218:X218)</f>
        <v>0</v>
      </c>
      <c r="Z218" s="136">
        <f>+O218+Y218</f>
        <v>0</v>
      </c>
      <c r="AA218" s="137">
        <f>+D218-Z218</f>
        <v>0</v>
      </c>
    </row>
    <row r="219" spans="1:27" s="138" customFormat="1" ht="13.5" customHeight="1">
      <c r="A219" s="216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69"/>
      <c r="L219" s="69"/>
      <c r="M219" s="69"/>
      <c r="N219" s="69"/>
      <c r="O219" s="140">
        <f t="shared" si="42"/>
        <v>0</v>
      </c>
      <c r="P219" s="141">
        <f t="shared" si="43"/>
        <v>0</v>
      </c>
      <c r="Q219" s="139">
        <v>0</v>
      </c>
      <c r="R219" s="139"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SUM(Q219:X219)</f>
        <v>0</v>
      </c>
      <c r="Z219" s="136">
        <f>+O219+Y219</f>
        <v>0</v>
      </c>
      <c r="AA219" s="137">
        <f>+D219-Z219</f>
        <v>0</v>
      </c>
    </row>
    <row r="220" spans="1:27" s="138" customFormat="1" ht="13.5" customHeight="1">
      <c r="A220" s="216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69"/>
      <c r="L220" s="69"/>
      <c r="M220" s="69"/>
      <c r="N220" s="69"/>
      <c r="O220" s="140">
        <f t="shared" si="42"/>
        <v>0</v>
      </c>
      <c r="P220" s="141">
        <f t="shared" si="43"/>
        <v>0</v>
      </c>
      <c r="Q220" s="139">
        <v>0</v>
      </c>
      <c r="R220" s="139"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SUM(Q220:X220)</f>
        <v>0</v>
      </c>
      <c r="Z220" s="136">
        <f>+O220+Y220</f>
        <v>0</v>
      </c>
      <c r="AA220" s="137">
        <f>+D220-Z220</f>
        <v>0</v>
      </c>
    </row>
    <row r="221" spans="1:27" s="138" customFormat="1" ht="13.5" customHeight="1">
      <c r="A221" s="216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69"/>
      <c r="L221" s="69"/>
      <c r="M221" s="69"/>
      <c r="N221" s="69"/>
      <c r="O221" s="140">
        <f t="shared" si="42"/>
        <v>0</v>
      </c>
      <c r="P221" s="141">
        <f t="shared" si="43"/>
        <v>0</v>
      </c>
      <c r="Q221" s="139">
        <v>0</v>
      </c>
      <c r="R221" s="139"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SUM(Q221:X221)</f>
        <v>0</v>
      </c>
      <c r="Z221" s="136">
        <f>+O221+Y221</f>
        <v>0</v>
      </c>
      <c r="AA221" s="137">
        <f>+D221-Z221</f>
        <v>0</v>
      </c>
    </row>
    <row r="222" spans="1:27" s="138" customFormat="1" ht="13.5" customHeight="1">
      <c r="A222" s="216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69"/>
      <c r="L222" s="69"/>
      <c r="M222" s="69"/>
      <c r="N222" s="69"/>
      <c r="O222" s="140">
        <f t="shared" si="42"/>
        <v>0</v>
      </c>
      <c r="P222" s="141">
        <f t="shared" si="43"/>
        <v>0</v>
      </c>
      <c r="Q222" s="139">
        <v>0</v>
      </c>
      <c r="R222" s="139"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SUM(Q222:X222)</f>
        <v>0</v>
      </c>
      <c r="Z222" s="136">
        <f>+O222+Y222</f>
        <v>0</v>
      </c>
      <c r="AA222" s="137">
        <f>+D222-Z222</f>
        <v>0</v>
      </c>
    </row>
    <row r="223" spans="1:27" s="138" customFormat="1" ht="13.5" customHeight="1">
      <c r="A223" s="216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140">
        <f t="shared" si="42"/>
        <v>0</v>
      </c>
      <c r="P223" s="141">
        <f t="shared" si="43"/>
        <v>0</v>
      </c>
      <c r="Q223" s="139">
        <v>0</v>
      </c>
      <c r="R223" s="139"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SUM(Q223:X223)</f>
        <v>0</v>
      </c>
      <c r="Z223" s="136">
        <f>+O223+Y223</f>
        <v>0</v>
      </c>
      <c r="AA223" s="137">
        <f>+D223-Z223</f>
        <v>0</v>
      </c>
    </row>
    <row r="224" spans="1:27" s="138" customFormat="1" ht="13.5" customHeight="1">
      <c r="A224" s="216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69"/>
      <c r="L224" s="69"/>
      <c r="M224" s="69"/>
      <c r="N224" s="69"/>
      <c r="O224" s="140">
        <f t="shared" si="42"/>
        <v>0</v>
      </c>
      <c r="P224" s="141">
        <f t="shared" si="43"/>
        <v>0</v>
      </c>
      <c r="Q224" s="139">
        <v>0</v>
      </c>
      <c r="R224" s="139"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SUM(Q224:X224)</f>
        <v>0</v>
      </c>
      <c r="Z224" s="136">
        <f>+O224+Y224</f>
        <v>0</v>
      </c>
      <c r="AA224" s="137">
        <f>+D224-Z224</f>
        <v>0</v>
      </c>
    </row>
    <row r="225" spans="1:27" s="138" customFormat="1" ht="13.5" customHeight="1">
      <c r="A225" s="216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68"/>
      <c r="L225" s="68"/>
      <c r="M225" s="68"/>
      <c r="N225" s="68"/>
      <c r="O225" s="140">
        <f t="shared" si="42"/>
        <v>0</v>
      </c>
      <c r="P225" s="141">
        <f t="shared" si="43"/>
        <v>0</v>
      </c>
      <c r="Q225" s="139">
        <v>0</v>
      </c>
      <c r="R225" s="139"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SUM(Q225:X225)</f>
        <v>0</v>
      </c>
      <c r="Z225" s="136">
        <f>+O225+Y225</f>
        <v>0</v>
      </c>
      <c r="AA225" s="137">
        <f>+D225-Z225</f>
        <v>0</v>
      </c>
    </row>
    <row r="226" spans="1:27" s="138" customFormat="1" ht="13.5" customHeight="1">
      <c r="A226" s="216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68"/>
      <c r="L226" s="68"/>
      <c r="M226" s="68"/>
      <c r="N226" s="68"/>
      <c r="O226" s="140">
        <f t="shared" si="42"/>
        <v>0</v>
      </c>
      <c r="P226" s="141">
        <f t="shared" si="43"/>
        <v>0</v>
      </c>
      <c r="Q226" s="139">
        <v>0</v>
      </c>
      <c r="R226" s="139"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SUM(Q226:X226)</f>
        <v>0</v>
      </c>
      <c r="Z226" s="136">
        <f>+O226+Y226</f>
        <v>0</v>
      </c>
      <c r="AA226" s="137">
        <f>+D226-Z226</f>
        <v>0</v>
      </c>
    </row>
    <row r="227" spans="1:27" s="138" customFormat="1" ht="13.5" customHeight="1">
      <c r="A227" s="216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71"/>
      <c r="L227" s="71"/>
      <c r="M227" s="71"/>
      <c r="N227" s="71"/>
      <c r="O227" s="144">
        <f t="shared" si="42"/>
        <v>0</v>
      </c>
      <c r="P227" s="145">
        <f t="shared" si="43"/>
        <v>0</v>
      </c>
      <c r="Q227" s="143">
        <v>0</v>
      </c>
      <c r="R227" s="143"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SUM(Q227:X227)</f>
        <v>0</v>
      </c>
      <c r="Z227" s="136">
        <f>+O227+Y227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N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:L228" si="48">SUBTOTAL(9,H229:H235)</f>
        <v>0</v>
      </c>
      <c r="I228" s="130">
        <f t="shared" si="48"/>
        <v>0</v>
      </c>
      <c r="J228" s="130">
        <f t="shared" si="48"/>
        <v>0</v>
      </c>
      <c r="K228" s="130">
        <f t="shared" si="48"/>
        <v>0</v>
      </c>
      <c r="L228" s="130">
        <f t="shared" si="48"/>
        <v>0</v>
      </c>
      <c r="M228" s="125">
        <f t="shared" si="47"/>
        <v>0</v>
      </c>
      <c r="N228" s="125">
        <f t="shared" si="47"/>
        <v>0</v>
      </c>
      <c r="O228" s="148">
        <f t="shared" si="42"/>
        <v>0</v>
      </c>
      <c r="P228" s="148">
        <f t="shared" si="43"/>
        <v>0</v>
      </c>
      <c r="Q228" s="125">
        <f t="shared" ref="Q228:X228" si="49">SUBTOTAL(9,Q229:Q235)</f>
        <v>0</v>
      </c>
      <c r="R228" s="125">
        <f t="shared" si="49"/>
        <v>0</v>
      </c>
      <c r="S228" s="125">
        <f t="shared" si="49"/>
        <v>0</v>
      </c>
      <c r="T228" s="125">
        <f t="shared" si="49"/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SUM(Q228:X228)</f>
        <v>0</v>
      </c>
      <c r="Z228" s="126">
        <f>+O228+Y228</f>
        <v>0</v>
      </c>
      <c r="AA228" s="127">
        <f>+D228-Z228</f>
        <v>0</v>
      </c>
    </row>
    <row r="229" spans="1:27" s="138" customFormat="1" ht="13.5" customHeight="1">
      <c r="A229" s="194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66"/>
      <c r="L229" s="66"/>
      <c r="M229" s="66"/>
      <c r="N229" s="66"/>
      <c r="O229" s="133">
        <f t="shared" si="42"/>
        <v>0</v>
      </c>
      <c r="P229" s="134">
        <f t="shared" si="43"/>
        <v>0</v>
      </c>
      <c r="Q229" s="132">
        <v>0</v>
      </c>
      <c r="R229" s="132"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SUM(Q229:X229)</f>
        <v>0</v>
      </c>
      <c r="Z229" s="136">
        <f>+O229+Y229</f>
        <v>0</v>
      </c>
      <c r="AA229" s="137">
        <f>+D229-Z229</f>
        <v>0</v>
      </c>
    </row>
    <row r="230" spans="1:27" s="138" customFormat="1" ht="13.5" customHeight="1">
      <c r="A230" s="194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68"/>
      <c r="L230" s="68"/>
      <c r="M230" s="68"/>
      <c r="N230" s="68"/>
      <c r="O230" s="140">
        <f t="shared" si="42"/>
        <v>0</v>
      </c>
      <c r="P230" s="141">
        <f t="shared" si="43"/>
        <v>0</v>
      </c>
      <c r="Q230" s="139">
        <v>0</v>
      </c>
      <c r="R230" s="139"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SUM(Q230:X230)</f>
        <v>0</v>
      </c>
      <c r="Z230" s="136">
        <f>+O230+Y230</f>
        <v>0</v>
      </c>
      <c r="AA230" s="137">
        <f>+D230-Z230</f>
        <v>0</v>
      </c>
    </row>
    <row r="231" spans="1:27" s="138" customFormat="1" ht="13.5" customHeight="1">
      <c r="A231" s="194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68"/>
      <c r="L231" s="68"/>
      <c r="M231" s="68"/>
      <c r="N231" s="68"/>
      <c r="O231" s="140">
        <f t="shared" si="42"/>
        <v>0</v>
      </c>
      <c r="P231" s="141">
        <f t="shared" si="43"/>
        <v>0</v>
      </c>
      <c r="Q231" s="139">
        <v>0</v>
      </c>
      <c r="R231" s="139"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SUM(Q231:X231)</f>
        <v>0</v>
      </c>
      <c r="Z231" s="136">
        <f>+O231+Y231</f>
        <v>0</v>
      </c>
      <c r="AA231" s="137">
        <f>+D231-Z231</f>
        <v>0</v>
      </c>
    </row>
    <row r="232" spans="1:27" s="138" customFormat="1" ht="13.5" customHeight="1">
      <c r="A232" s="194" t="s">
        <v>75</v>
      </c>
      <c r="B232" s="195" t="s">
        <v>45</v>
      </c>
      <c r="C232" s="196" t="s">
        <v>46</v>
      </c>
      <c r="D232" s="67"/>
      <c r="E232" s="139"/>
      <c r="F232" s="139"/>
      <c r="G232" s="69"/>
      <c r="H232" s="69"/>
      <c r="I232" s="69"/>
      <c r="J232" s="69"/>
      <c r="K232" s="69"/>
      <c r="L232" s="69"/>
      <c r="M232" s="69"/>
      <c r="N232" s="69"/>
      <c r="O232" s="140">
        <f t="shared" si="42"/>
        <v>0</v>
      </c>
      <c r="P232" s="141">
        <f t="shared" si="43"/>
        <v>0</v>
      </c>
      <c r="Q232" s="139">
        <v>0</v>
      </c>
      <c r="R232" s="139"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SUM(Q232:X232)</f>
        <v>0</v>
      </c>
      <c r="Z232" s="136">
        <f>+O232+Y232</f>
        <v>0</v>
      </c>
      <c r="AA232" s="137">
        <f>+D232-Z232</f>
        <v>0</v>
      </c>
    </row>
    <row r="233" spans="1:27" s="138" customFormat="1" ht="13.5" customHeight="1">
      <c r="A233" s="194" t="s">
        <v>75</v>
      </c>
      <c r="B233" s="195" t="s">
        <v>47</v>
      </c>
      <c r="C233" s="196" t="s">
        <v>48</v>
      </c>
      <c r="D233" s="67"/>
      <c r="E233" s="139"/>
      <c r="F233" s="139"/>
      <c r="G233" s="68"/>
      <c r="H233" s="69"/>
      <c r="I233" s="69"/>
      <c r="J233" s="69"/>
      <c r="K233" s="69"/>
      <c r="L233" s="69"/>
      <c r="M233" s="69"/>
      <c r="N233" s="69"/>
      <c r="O233" s="140">
        <f t="shared" si="42"/>
        <v>0</v>
      </c>
      <c r="P233" s="141">
        <f t="shared" si="43"/>
        <v>0</v>
      </c>
      <c r="Q233" s="139">
        <v>0</v>
      </c>
      <c r="R233" s="139"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SUM(Q233:X233)</f>
        <v>0</v>
      </c>
      <c r="Z233" s="136">
        <f>+O233+Y233</f>
        <v>0</v>
      </c>
      <c r="AA233" s="137">
        <f>+D233-Z233</f>
        <v>0</v>
      </c>
    </row>
    <row r="234" spans="1:27" s="138" customFormat="1" ht="13.5" customHeight="1">
      <c r="A234" s="194" t="s">
        <v>75</v>
      </c>
      <c r="B234" s="195" t="s">
        <v>55</v>
      </c>
      <c r="C234" s="196" t="s">
        <v>56</v>
      </c>
      <c r="D234" s="67"/>
      <c r="E234" s="139"/>
      <c r="F234" s="139"/>
      <c r="G234" s="68"/>
      <c r="H234" s="68"/>
      <c r="I234" s="68"/>
      <c r="J234" s="68"/>
      <c r="K234" s="68"/>
      <c r="L234" s="68"/>
      <c r="M234" s="68"/>
      <c r="N234" s="68"/>
      <c r="O234" s="140">
        <f t="shared" si="42"/>
        <v>0</v>
      </c>
      <c r="P234" s="141">
        <f t="shared" si="43"/>
        <v>0</v>
      </c>
      <c r="Q234" s="139">
        <v>0</v>
      </c>
      <c r="R234" s="139"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SUM(Q234:X234)</f>
        <v>0</v>
      </c>
      <c r="Z234" s="136">
        <f>+O234+Y234</f>
        <v>0</v>
      </c>
      <c r="AA234" s="137">
        <f>+D234-Z234</f>
        <v>0</v>
      </c>
    </row>
    <row r="235" spans="1:27" s="138" customFormat="1" ht="13.5" customHeight="1">
      <c r="A235" s="194" t="s">
        <v>75</v>
      </c>
      <c r="B235" s="197" t="s">
        <v>59</v>
      </c>
      <c r="C235" s="198" t="s">
        <v>60</v>
      </c>
      <c r="D235" s="70"/>
      <c r="E235" s="143"/>
      <c r="F235" s="143"/>
      <c r="G235" s="71"/>
      <c r="H235" s="71"/>
      <c r="I235" s="71"/>
      <c r="J235" s="71"/>
      <c r="K235" s="71"/>
      <c r="L235" s="71"/>
      <c r="M235" s="71"/>
      <c r="N235" s="71"/>
      <c r="O235" s="144">
        <f t="shared" si="42"/>
        <v>0</v>
      </c>
      <c r="P235" s="145">
        <f t="shared" si="43"/>
        <v>0</v>
      </c>
      <c r="Q235" s="143">
        <v>0</v>
      </c>
      <c r="R235" s="143"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SUM(Q235:X235)</f>
        <v>0</v>
      </c>
      <c r="Z235" s="136">
        <f>+O235+Y235</f>
        <v>0</v>
      </c>
      <c r="AA235" s="137">
        <f>+D235-Z235</f>
        <v>0</v>
      </c>
    </row>
    <row r="236" spans="1:27" s="108" customFormat="1" ht="13.5" customHeight="1">
      <c r="A236" s="193" t="s">
        <v>76</v>
      </c>
      <c r="B236" s="199"/>
      <c r="C236" s="200"/>
      <c r="D236" s="129">
        <f t="shared" ref="D236:N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:L236" si="51">SUBTOTAL(9,H237:H252)</f>
        <v>0</v>
      </c>
      <c r="I236" s="130">
        <f t="shared" si="51"/>
        <v>0</v>
      </c>
      <c r="J236" s="130">
        <f t="shared" si="51"/>
        <v>0</v>
      </c>
      <c r="K236" s="130">
        <f t="shared" si="51"/>
        <v>0</v>
      </c>
      <c r="L236" s="130">
        <f t="shared" si="51"/>
        <v>0</v>
      </c>
      <c r="M236" s="130">
        <f t="shared" si="50"/>
        <v>0</v>
      </c>
      <c r="N236" s="130">
        <f t="shared" si="50"/>
        <v>0</v>
      </c>
      <c r="O236" s="107">
        <f t="shared" si="42"/>
        <v>0</v>
      </c>
      <c r="P236" s="107">
        <f t="shared" si="43"/>
        <v>0</v>
      </c>
      <c r="Q236" s="130">
        <f t="shared" ref="Q236:X236" si="52">SUBTOTAL(9,Q237:Q252)</f>
        <v>0</v>
      </c>
      <c r="R236" s="130">
        <f t="shared" si="52"/>
        <v>0</v>
      </c>
      <c r="S236" s="130">
        <f t="shared" si="52"/>
        <v>0</v>
      </c>
      <c r="T236" s="130">
        <f t="shared" si="52"/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SUM(Q236:X236)</f>
        <v>0</v>
      </c>
      <c r="Z236" s="56">
        <f>+O236+Y236</f>
        <v>0</v>
      </c>
      <c r="AA236" s="131">
        <f>+D236-Z236</f>
        <v>0</v>
      </c>
    </row>
    <row r="237" spans="1:27" s="138" customFormat="1" ht="13.5" customHeight="1">
      <c r="A237" s="201" t="s">
        <v>76</v>
      </c>
      <c r="B237" s="202" t="s">
        <v>29</v>
      </c>
      <c r="C237" s="203" t="s">
        <v>30</v>
      </c>
      <c r="D237" s="65"/>
      <c r="E237" s="132"/>
      <c r="F237" s="132"/>
      <c r="G237" s="66"/>
      <c r="H237" s="66"/>
      <c r="I237" s="66"/>
      <c r="J237" s="66"/>
      <c r="K237" s="66"/>
      <c r="L237" s="66"/>
      <c r="M237" s="66"/>
      <c r="N237" s="66"/>
      <c r="O237" s="133">
        <f t="shared" si="42"/>
        <v>0</v>
      </c>
      <c r="P237" s="134">
        <f t="shared" si="43"/>
        <v>0</v>
      </c>
      <c r="Q237" s="132"/>
      <c r="R237" s="132"/>
      <c r="S237" s="132"/>
      <c r="T237" s="132"/>
      <c r="U237" s="135">
        <v>0</v>
      </c>
      <c r="V237" s="135">
        <v>0</v>
      </c>
      <c r="W237" s="135"/>
      <c r="X237" s="132"/>
      <c r="Y237" s="136">
        <f>SUM(Q237:X237)</f>
        <v>0</v>
      </c>
      <c r="Z237" s="136">
        <f>+O237+Y237</f>
        <v>0</v>
      </c>
      <c r="AA237" s="137">
        <f>+D237-Z237</f>
        <v>0</v>
      </c>
    </row>
    <row r="238" spans="1:27" s="138" customFormat="1" ht="13.5" customHeight="1">
      <c r="A238" s="201" t="s">
        <v>76</v>
      </c>
      <c r="B238" s="204" t="s">
        <v>31</v>
      </c>
      <c r="C238" s="196" t="s">
        <v>32</v>
      </c>
      <c r="D238" s="67"/>
      <c r="E238" s="139"/>
      <c r="F238" s="139"/>
      <c r="G238" s="68"/>
      <c r="H238" s="68"/>
      <c r="I238" s="68"/>
      <c r="J238" s="68"/>
      <c r="K238" s="68"/>
      <c r="L238" s="68"/>
      <c r="M238" s="68"/>
      <c r="N238" s="68"/>
      <c r="O238" s="140">
        <f t="shared" si="42"/>
        <v>0</v>
      </c>
      <c r="P238" s="141">
        <f t="shared" si="43"/>
        <v>0</v>
      </c>
      <c r="Q238" s="139"/>
      <c r="R238" s="139"/>
      <c r="S238" s="139"/>
      <c r="T238" s="139"/>
      <c r="U238" s="142">
        <v>0</v>
      </c>
      <c r="V238" s="142">
        <v>0</v>
      </c>
      <c r="W238" s="142"/>
      <c r="X238" s="139"/>
      <c r="Y238" s="136">
        <f>SUM(Q238:X238)</f>
        <v>0</v>
      </c>
      <c r="Z238" s="136">
        <f>+O238+Y238</f>
        <v>0</v>
      </c>
      <c r="AA238" s="137">
        <f>+D238-Z238</f>
        <v>0</v>
      </c>
    </row>
    <row r="239" spans="1:27" s="138" customFormat="1" ht="13.5" customHeight="1">
      <c r="A239" s="201" t="s">
        <v>76</v>
      </c>
      <c r="B239" s="204" t="s">
        <v>33</v>
      </c>
      <c r="C239" s="196" t="s">
        <v>34</v>
      </c>
      <c r="D239" s="67"/>
      <c r="E239" s="139"/>
      <c r="F239" s="139"/>
      <c r="G239" s="68"/>
      <c r="H239" s="68"/>
      <c r="I239" s="68"/>
      <c r="J239" s="68"/>
      <c r="K239" s="68"/>
      <c r="L239" s="68"/>
      <c r="M239" s="68"/>
      <c r="N239" s="68"/>
      <c r="O239" s="140">
        <f t="shared" si="42"/>
        <v>0</v>
      </c>
      <c r="P239" s="141">
        <f t="shared" si="43"/>
        <v>0</v>
      </c>
      <c r="Q239" s="139"/>
      <c r="R239" s="139"/>
      <c r="S239" s="139"/>
      <c r="T239" s="139"/>
      <c r="U239" s="142">
        <v>0</v>
      </c>
      <c r="V239" s="142">
        <v>0</v>
      </c>
      <c r="W239" s="142"/>
      <c r="X239" s="139"/>
      <c r="Y239" s="136">
        <f>SUM(Q239:X239)</f>
        <v>0</v>
      </c>
      <c r="Z239" s="136">
        <f>+O239+Y239</f>
        <v>0</v>
      </c>
      <c r="AA239" s="137">
        <f>+D239-Z239</f>
        <v>0</v>
      </c>
    </row>
    <row r="240" spans="1:27" s="138" customFormat="1" ht="13.5" customHeight="1">
      <c r="A240" s="201" t="s">
        <v>76</v>
      </c>
      <c r="B240" s="204" t="s">
        <v>35</v>
      </c>
      <c r="C240" s="196" t="s">
        <v>36</v>
      </c>
      <c r="D240" s="67"/>
      <c r="E240" s="139"/>
      <c r="F240" s="139"/>
      <c r="G240" s="68"/>
      <c r="H240" s="68"/>
      <c r="I240" s="68"/>
      <c r="J240" s="68"/>
      <c r="K240" s="68"/>
      <c r="L240" s="68"/>
      <c r="M240" s="68"/>
      <c r="N240" s="68"/>
      <c r="O240" s="140">
        <f t="shared" si="42"/>
        <v>0</v>
      </c>
      <c r="P240" s="141">
        <f t="shared" si="43"/>
        <v>0</v>
      </c>
      <c r="Q240" s="139"/>
      <c r="R240" s="139"/>
      <c r="S240" s="139"/>
      <c r="T240" s="139"/>
      <c r="U240" s="142">
        <v>0</v>
      </c>
      <c r="V240" s="142">
        <v>0</v>
      </c>
      <c r="W240" s="142"/>
      <c r="X240" s="139"/>
      <c r="Y240" s="136">
        <f>SUM(Q240:X240)</f>
        <v>0</v>
      </c>
      <c r="Z240" s="136">
        <f>+O240+Y240</f>
        <v>0</v>
      </c>
      <c r="AA240" s="137">
        <f>+D240-Z240</f>
        <v>0</v>
      </c>
    </row>
    <row r="241" spans="1:27" s="138" customFormat="1" ht="13.5" customHeight="1">
      <c r="A241" s="201" t="s">
        <v>76</v>
      </c>
      <c r="B241" s="204" t="s">
        <v>37</v>
      </c>
      <c r="C241" s="196" t="s">
        <v>38</v>
      </c>
      <c r="D241" s="67"/>
      <c r="E241" s="139"/>
      <c r="F241" s="139"/>
      <c r="G241" s="68"/>
      <c r="H241" s="68"/>
      <c r="I241" s="68"/>
      <c r="J241" s="68"/>
      <c r="K241" s="68"/>
      <c r="L241" s="68"/>
      <c r="M241" s="68"/>
      <c r="N241" s="68"/>
      <c r="O241" s="140">
        <f t="shared" si="42"/>
        <v>0</v>
      </c>
      <c r="P241" s="141">
        <f t="shared" si="43"/>
        <v>0</v>
      </c>
      <c r="Q241" s="139"/>
      <c r="R241" s="139"/>
      <c r="S241" s="139"/>
      <c r="T241" s="139"/>
      <c r="U241" s="142">
        <v>0</v>
      </c>
      <c r="V241" s="142">
        <v>0</v>
      </c>
      <c r="W241" s="142"/>
      <c r="X241" s="139"/>
      <c r="Y241" s="136">
        <f>SUM(Q241:X241)</f>
        <v>0</v>
      </c>
      <c r="Z241" s="136">
        <f>+O241+Y241</f>
        <v>0</v>
      </c>
      <c r="AA241" s="137">
        <f>+D241-Z241</f>
        <v>0</v>
      </c>
    </row>
    <row r="242" spans="1:27" s="138" customFormat="1" ht="13.5" customHeight="1">
      <c r="A242" s="201" t="s">
        <v>76</v>
      </c>
      <c r="B242" s="204" t="s">
        <v>39</v>
      </c>
      <c r="C242" s="196" t="s">
        <v>40</v>
      </c>
      <c r="D242" s="67"/>
      <c r="E242" s="139"/>
      <c r="F242" s="139"/>
      <c r="G242" s="68"/>
      <c r="H242" s="68"/>
      <c r="I242" s="68"/>
      <c r="J242" s="68"/>
      <c r="K242" s="68"/>
      <c r="L242" s="68"/>
      <c r="M242" s="68"/>
      <c r="N242" s="68"/>
      <c r="O242" s="140">
        <f t="shared" si="42"/>
        <v>0</v>
      </c>
      <c r="P242" s="141">
        <f t="shared" si="43"/>
        <v>0</v>
      </c>
      <c r="Q242" s="139"/>
      <c r="R242" s="139"/>
      <c r="S242" s="139"/>
      <c r="T242" s="139"/>
      <c r="U242" s="142">
        <v>0</v>
      </c>
      <c r="V242" s="142">
        <v>0</v>
      </c>
      <c r="W242" s="142"/>
      <c r="X242" s="139"/>
      <c r="Y242" s="136">
        <f>SUM(Q242:X242)</f>
        <v>0</v>
      </c>
      <c r="Z242" s="136">
        <f>+O242+Y242</f>
        <v>0</v>
      </c>
      <c r="AA242" s="137">
        <f>+D242-Z242</f>
        <v>0</v>
      </c>
    </row>
    <row r="243" spans="1:27" s="138" customFormat="1" ht="13.5" customHeight="1">
      <c r="A243" s="201" t="s">
        <v>76</v>
      </c>
      <c r="B243" s="204" t="s">
        <v>41</v>
      </c>
      <c r="C243" s="196" t="s">
        <v>42</v>
      </c>
      <c r="D243" s="67"/>
      <c r="E243" s="139"/>
      <c r="F243" s="139"/>
      <c r="G243" s="68"/>
      <c r="H243" s="68"/>
      <c r="I243" s="68"/>
      <c r="J243" s="68"/>
      <c r="K243" s="68"/>
      <c r="L243" s="68"/>
      <c r="M243" s="68"/>
      <c r="N243" s="68"/>
      <c r="O243" s="140">
        <f t="shared" si="42"/>
        <v>0</v>
      </c>
      <c r="P243" s="141">
        <f t="shared" si="43"/>
        <v>0</v>
      </c>
      <c r="Q243" s="139"/>
      <c r="R243" s="139"/>
      <c r="S243" s="139"/>
      <c r="T243" s="139"/>
      <c r="U243" s="142">
        <v>0</v>
      </c>
      <c r="V243" s="142">
        <v>0</v>
      </c>
      <c r="W243" s="142"/>
      <c r="X243" s="139"/>
      <c r="Y243" s="136">
        <f>SUM(Q243:X243)</f>
        <v>0</v>
      </c>
      <c r="Z243" s="136">
        <f>+O243+Y243</f>
        <v>0</v>
      </c>
      <c r="AA243" s="137">
        <f>+D243-Z243</f>
        <v>0</v>
      </c>
    </row>
    <row r="244" spans="1:27" s="138" customFormat="1" ht="13.5" customHeight="1">
      <c r="A244" s="201" t="s">
        <v>76</v>
      </c>
      <c r="B244" s="204" t="s">
        <v>43</v>
      </c>
      <c r="C244" s="196" t="s">
        <v>44</v>
      </c>
      <c r="D244" s="67"/>
      <c r="E244" s="139"/>
      <c r="F244" s="139"/>
      <c r="G244" s="69"/>
      <c r="H244" s="69"/>
      <c r="I244" s="69"/>
      <c r="J244" s="69"/>
      <c r="K244" s="69"/>
      <c r="L244" s="69"/>
      <c r="M244" s="69"/>
      <c r="N244" s="69"/>
      <c r="O244" s="140">
        <f t="shared" si="42"/>
        <v>0</v>
      </c>
      <c r="P244" s="141">
        <f t="shared" si="43"/>
        <v>0</v>
      </c>
      <c r="Q244" s="139"/>
      <c r="R244" s="139"/>
      <c r="S244" s="139"/>
      <c r="T244" s="139"/>
      <c r="U244" s="142">
        <v>0</v>
      </c>
      <c r="V244" s="142">
        <v>0</v>
      </c>
      <c r="W244" s="142"/>
      <c r="X244" s="139"/>
      <c r="Y244" s="136">
        <f>SUM(Q244:X244)</f>
        <v>0</v>
      </c>
      <c r="Z244" s="136">
        <f>+O244+Y244</f>
        <v>0</v>
      </c>
      <c r="AA244" s="137">
        <f>+D244-Z244</f>
        <v>0</v>
      </c>
    </row>
    <row r="245" spans="1:27" s="138" customFormat="1" ht="13.5" customHeight="1">
      <c r="A245" s="201" t="s">
        <v>76</v>
      </c>
      <c r="B245" s="204" t="s">
        <v>45</v>
      </c>
      <c r="C245" s="196" t="s">
        <v>46</v>
      </c>
      <c r="D245" s="67"/>
      <c r="E245" s="139"/>
      <c r="F245" s="139"/>
      <c r="G245" s="69"/>
      <c r="H245" s="69"/>
      <c r="I245" s="69"/>
      <c r="J245" s="69"/>
      <c r="K245" s="69"/>
      <c r="L245" s="69"/>
      <c r="M245" s="69"/>
      <c r="N245" s="69"/>
      <c r="O245" s="140">
        <f t="shared" si="42"/>
        <v>0</v>
      </c>
      <c r="P245" s="141">
        <f t="shared" si="43"/>
        <v>0</v>
      </c>
      <c r="Q245" s="139"/>
      <c r="R245" s="139"/>
      <c r="S245" s="139"/>
      <c r="T245" s="139"/>
      <c r="U245" s="142">
        <v>0</v>
      </c>
      <c r="V245" s="142">
        <v>0</v>
      </c>
      <c r="W245" s="142"/>
      <c r="X245" s="139"/>
      <c r="Y245" s="136">
        <f>SUM(Q245:X245)</f>
        <v>0</v>
      </c>
      <c r="Z245" s="136">
        <f>+O245+Y245</f>
        <v>0</v>
      </c>
      <c r="AA245" s="137">
        <f>+D245-Z245</f>
        <v>0</v>
      </c>
    </row>
    <row r="246" spans="1:27" s="138" customFormat="1" ht="13.5" customHeight="1">
      <c r="A246" s="201" t="s">
        <v>76</v>
      </c>
      <c r="B246" s="204" t="s">
        <v>47</v>
      </c>
      <c r="C246" s="196" t="s">
        <v>48</v>
      </c>
      <c r="D246" s="67"/>
      <c r="E246" s="139"/>
      <c r="F246" s="139"/>
      <c r="G246" s="68"/>
      <c r="H246" s="69"/>
      <c r="I246" s="69"/>
      <c r="J246" s="69"/>
      <c r="K246" s="69"/>
      <c r="L246" s="69"/>
      <c r="M246" s="69"/>
      <c r="N246" s="69"/>
      <c r="O246" s="140">
        <f t="shared" si="42"/>
        <v>0</v>
      </c>
      <c r="P246" s="141">
        <f t="shared" si="43"/>
        <v>0</v>
      </c>
      <c r="Q246" s="139"/>
      <c r="R246" s="139"/>
      <c r="S246" s="139"/>
      <c r="T246" s="139"/>
      <c r="U246" s="142">
        <v>0</v>
      </c>
      <c r="V246" s="142">
        <v>0</v>
      </c>
      <c r="W246" s="142"/>
      <c r="X246" s="139"/>
      <c r="Y246" s="136">
        <f>SUM(Q246:X246)</f>
        <v>0</v>
      </c>
      <c r="Z246" s="136">
        <f>+O246+Y246</f>
        <v>0</v>
      </c>
      <c r="AA246" s="137">
        <f>+D246-Z246</f>
        <v>0</v>
      </c>
    </row>
    <row r="247" spans="1:27" s="138" customFormat="1" ht="13.5" customHeight="1">
      <c r="A247" s="201" t="s">
        <v>76</v>
      </c>
      <c r="B247" s="204" t="s">
        <v>49</v>
      </c>
      <c r="C247" s="196" t="s">
        <v>50</v>
      </c>
      <c r="D247" s="67"/>
      <c r="E247" s="139"/>
      <c r="F247" s="139"/>
      <c r="G247" s="69"/>
      <c r="H247" s="69"/>
      <c r="I247" s="69"/>
      <c r="J247" s="69"/>
      <c r="K247" s="69"/>
      <c r="L247" s="69"/>
      <c r="M247" s="69"/>
      <c r="N247" s="69"/>
      <c r="O247" s="140">
        <f t="shared" si="42"/>
        <v>0</v>
      </c>
      <c r="P247" s="141">
        <f t="shared" si="43"/>
        <v>0</v>
      </c>
      <c r="Q247" s="139"/>
      <c r="R247" s="139"/>
      <c r="S247" s="139"/>
      <c r="T247" s="139"/>
      <c r="U247" s="142">
        <v>0</v>
      </c>
      <c r="V247" s="142">
        <v>0</v>
      </c>
      <c r="W247" s="142"/>
      <c r="X247" s="139"/>
      <c r="Y247" s="136">
        <f>SUM(Q247:X247)</f>
        <v>0</v>
      </c>
      <c r="Z247" s="136">
        <f>+O247+Y247</f>
        <v>0</v>
      </c>
      <c r="AA247" s="137">
        <f>+D247-Z247</f>
        <v>0</v>
      </c>
    </row>
    <row r="248" spans="1:27" s="138" customFormat="1" ht="13.5" customHeight="1">
      <c r="A248" s="201" t="s">
        <v>76</v>
      </c>
      <c r="B248" s="204" t="s">
        <v>51</v>
      </c>
      <c r="C248" s="196" t="s">
        <v>52</v>
      </c>
      <c r="D248" s="67"/>
      <c r="E248" s="139"/>
      <c r="F248" s="139"/>
      <c r="G248" s="69"/>
      <c r="H248" s="69"/>
      <c r="I248" s="69"/>
      <c r="J248" s="69"/>
      <c r="K248" s="69"/>
      <c r="L248" s="69"/>
      <c r="M248" s="69"/>
      <c r="N248" s="69"/>
      <c r="O248" s="140">
        <f t="shared" si="42"/>
        <v>0</v>
      </c>
      <c r="P248" s="141">
        <f t="shared" si="43"/>
        <v>0</v>
      </c>
      <c r="Q248" s="139"/>
      <c r="R248" s="139"/>
      <c r="S248" s="139"/>
      <c r="T248" s="139"/>
      <c r="U248" s="142">
        <v>0</v>
      </c>
      <c r="V248" s="142">
        <v>0</v>
      </c>
      <c r="W248" s="142"/>
      <c r="X248" s="139"/>
      <c r="Y248" s="136">
        <f>SUM(Q248:X248)</f>
        <v>0</v>
      </c>
      <c r="Z248" s="136">
        <f>+O248+Y248</f>
        <v>0</v>
      </c>
      <c r="AA248" s="137">
        <f>+D248-Z248</f>
        <v>0</v>
      </c>
    </row>
    <row r="249" spans="1:27" s="138" customFormat="1" ht="13.5" customHeight="1">
      <c r="A249" s="201" t="s">
        <v>76</v>
      </c>
      <c r="B249" s="204" t="s">
        <v>53</v>
      </c>
      <c r="C249" s="196" t="s">
        <v>54</v>
      </c>
      <c r="D249" s="67"/>
      <c r="E249" s="139"/>
      <c r="F249" s="139"/>
      <c r="G249" s="69"/>
      <c r="H249" s="69"/>
      <c r="I249" s="69"/>
      <c r="J249" s="69"/>
      <c r="K249" s="69"/>
      <c r="L249" s="69"/>
      <c r="M249" s="69"/>
      <c r="N249" s="69"/>
      <c r="O249" s="140">
        <f t="shared" si="42"/>
        <v>0</v>
      </c>
      <c r="P249" s="141">
        <f t="shared" si="43"/>
        <v>0</v>
      </c>
      <c r="Q249" s="139"/>
      <c r="R249" s="139"/>
      <c r="S249" s="139"/>
      <c r="T249" s="139"/>
      <c r="U249" s="142">
        <v>0</v>
      </c>
      <c r="V249" s="142">
        <v>0</v>
      </c>
      <c r="W249" s="142"/>
      <c r="X249" s="139"/>
      <c r="Y249" s="136">
        <f>SUM(Q249:X249)</f>
        <v>0</v>
      </c>
      <c r="Z249" s="136">
        <f>+O249+Y249</f>
        <v>0</v>
      </c>
      <c r="AA249" s="137">
        <f>+D249-Z249</f>
        <v>0</v>
      </c>
    </row>
    <row r="250" spans="1:27" s="138" customFormat="1" ht="13.5" customHeight="1">
      <c r="A250" s="201" t="s">
        <v>76</v>
      </c>
      <c r="B250" s="204" t="s">
        <v>55</v>
      </c>
      <c r="C250" s="196" t="s">
        <v>56</v>
      </c>
      <c r="D250" s="67"/>
      <c r="E250" s="139"/>
      <c r="F250" s="139"/>
      <c r="G250" s="68"/>
      <c r="H250" s="68"/>
      <c r="I250" s="68"/>
      <c r="J250" s="68"/>
      <c r="K250" s="68"/>
      <c r="L250" s="68"/>
      <c r="M250" s="68"/>
      <c r="N250" s="68"/>
      <c r="O250" s="140">
        <f t="shared" si="42"/>
        <v>0</v>
      </c>
      <c r="P250" s="141">
        <f t="shared" si="43"/>
        <v>0</v>
      </c>
      <c r="Q250" s="139"/>
      <c r="R250" s="139"/>
      <c r="S250" s="139"/>
      <c r="T250" s="139"/>
      <c r="U250" s="142">
        <v>0</v>
      </c>
      <c r="V250" s="142">
        <v>0</v>
      </c>
      <c r="W250" s="142"/>
      <c r="X250" s="139"/>
      <c r="Y250" s="136">
        <f>SUM(Q250:X250)</f>
        <v>0</v>
      </c>
      <c r="Z250" s="136">
        <f>+O250+Y250</f>
        <v>0</v>
      </c>
      <c r="AA250" s="137">
        <f>+D250-Z250</f>
        <v>0</v>
      </c>
    </row>
    <row r="251" spans="1:27" s="138" customFormat="1" ht="13.5" customHeight="1">
      <c r="A251" s="201" t="s">
        <v>76</v>
      </c>
      <c r="B251" s="204" t="s">
        <v>57</v>
      </c>
      <c r="C251" s="196" t="s">
        <v>58</v>
      </c>
      <c r="D251" s="67"/>
      <c r="E251" s="139"/>
      <c r="F251" s="139"/>
      <c r="G251" s="68"/>
      <c r="H251" s="68"/>
      <c r="I251" s="68"/>
      <c r="J251" s="68"/>
      <c r="K251" s="68"/>
      <c r="L251" s="68"/>
      <c r="M251" s="68"/>
      <c r="N251" s="68"/>
      <c r="O251" s="140">
        <f t="shared" si="42"/>
        <v>0</v>
      </c>
      <c r="P251" s="141">
        <f t="shared" si="43"/>
        <v>0</v>
      </c>
      <c r="Q251" s="139"/>
      <c r="R251" s="139"/>
      <c r="S251" s="139"/>
      <c r="T251" s="139"/>
      <c r="U251" s="142">
        <v>0</v>
      </c>
      <c r="V251" s="142">
        <v>0</v>
      </c>
      <c r="W251" s="142"/>
      <c r="X251" s="139"/>
      <c r="Y251" s="136">
        <f>SUM(Q251:X251)</f>
        <v>0</v>
      </c>
      <c r="Z251" s="136">
        <f>+O251+Y251</f>
        <v>0</v>
      </c>
      <c r="AA251" s="137">
        <f>+D251-Z251</f>
        <v>0</v>
      </c>
    </row>
    <row r="252" spans="1:27" s="138" customFormat="1" ht="13.5" customHeight="1">
      <c r="A252" s="201" t="s">
        <v>76</v>
      </c>
      <c r="B252" s="205" t="s">
        <v>59</v>
      </c>
      <c r="C252" s="198" t="s">
        <v>60</v>
      </c>
      <c r="D252" s="70"/>
      <c r="E252" s="143"/>
      <c r="F252" s="143"/>
      <c r="G252" s="71"/>
      <c r="H252" s="71"/>
      <c r="I252" s="71"/>
      <c r="J252" s="71"/>
      <c r="K252" s="71"/>
      <c r="L252" s="71"/>
      <c r="M252" s="71"/>
      <c r="N252" s="71"/>
      <c r="O252" s="144">
        <f t="shared" si="42"/>
        <v>0</v>
      </c>
      <c r="P252" s="145">
        <f t="shared" si="43"/>
        <v>0</v>
      </c>
      <c r="Q252" s="143"/>
      <c r="R252" s="143"/>
      <c r="S252" s="143"/>
      <c r="T252" s="143"/>
      <c r="U252" s="146">
        <v>0</v>
      </c>
      <c r="V252" s="146">
        <v>0</v>
      </c>
      <c r="W252" s="146"/>
      <c r="X252" s="143"/>
      <c r="Y252" s="136">
        <f>SUM(Q252:X252)</f>
        <v>0</v>
      </c>
      <c r="Z252" s="136">
        <f>+O252+Y252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6"/>
      <c r="C253" s="174"/>
      <c r="D253" s="129">
        <f t="shared" ref="D253:N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:L253" si="54">SUBTOTAL(9,H254:H269)</f>
        <v>0</v>
      </c>
      <c r="I253" s="130">
        <f t="shared" si="54"/>
        <v>0</v>
      </c>
      <c r="J253" s="130">
        <f t="shared" si="54"/>
        <v>0</v>
      </c>
      <c r="K253" s="130">
        <f t="shared" si="54"/>
        <v>0</v>
      </c>
      <c r="L253" s="130">
        <f t="shared" si="54"/>
        <v>0</v>
      </c>
      <c r="M253" s="130">
        <f t="shared" si="53"/>
        <v>0</v>
      </c>
      <c r="N253" s="130">
        <f t="shared" si="53"/>
        <v>0</v>
      </c>
      <c r="O253" s="107">
        <f t="shared" si="42"/>
        <v>0</v>
      </c>
      <c r="P253" s="107">
        <f t="shared" si="43"/>
        <v>0</v>
      </c>
      <c r="Q253" s="130">
        <f t="shared" ref="Q253:X253" si="55">SUBTOTAL(9,Q254:Q269)</f>
        <v>0</v>
      </c>
      <c r="R253" s="130">
        <f t="shared" si="55"/>
        <v>0</v>
      </c>
      <c r="S253" s="130">
        <f t="shared" si="55"/>
        <v>0</v>
      </c>
      <c r="T253" s="130">
        <f t="shared" si="55"/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SUM(Q253:X253)</f>
        <v>0</v>
      </c>
      <c r="Z253" s="56">
        <f>+O253+Y253</f>
        <v>0</v>
      </c>
      <c r="AA253" s="131">
        <f>+D253-Z253</f>
        <v>0</v>
      </c>
    </row>
    <row r="254" spans="1:27" s="138" customFormat="1" ht="13.5" customHeight="1">
      <c r="A254" s="194" t="s">
        <v>77</v>
      </c>
      <c r="B254" s="207" t="s">
        <v>29</v>
      </c>
      <c r="C254" s="203" t="s">
        <v>30</v>
      </c>
      <c r="D254" s="65"/>
      <c r="E254" s="132"/>
      <c r="F254" s="132"/>
      <c r="G254" s="66"/>
      <c r="H254" s="66"/>
      <c r="I254" s="66"/>
      <c r="J254" s="66"/>
      <c r="K254" s="66"/>
      <c r="L254" s="66"/>
      <c r="M254" s="66"/>
      <c r="N254" s="66"/>
      <c r="O254" s="133">
        <f t="shared" si="42"/>
        <v>0</v>
      </c>
      <c r="P254" s="134">
        <f t="shared" si="43"/>
        <v>0</v>
      </c>
      <c r="Q254" s="132"/>
      <c r="R254" s="132"/>
      <c r="S254" s="132"/>
      <c r="T254" s="132"/>
      <c r="U254" s="135">
        <v>0</v>
      </c>
      <c r="V254" s="135">
        <v>0</v>
      </c>
      <c r="W254" s="135"/>
      <c r="X254" s="132"/>
      <c r="Y254" s="136">
        <f>SUM(Q254:X254)</f>
        <v>0</v>
      </c>
      <c r="Z254" s="136">
        <f>+O254+Y254</f>
        <v>0</v>
      </c>
      <c r="AA254" s="137">
        <f>+D254-Z254</f>
        <v>0</v>
      </c>
    </row>
    <row r="255" spans="1:27" s="138" customFormat="1" ht="13.5" customHeight="1">
      <c r="A255" s="194" t="s">
        <v>77</v>
      </c>
      <c r="B255" s="195" t="s">
        <v>31</v>
      </c>
      <c r="C255" s="196" t="s">
        <v>32</v>
      </c>
      <c r="D255" s="67"/>
      <c r="E255" s="139"/>
      <c r="F255" s="139"/>
      <c r="G255" s="68"/>
      <c r="H255" s="68"/>
      <c r="I255" s="68"/>
      <c r="J255" s="68"/>
      <c r="K255" s="68"/>
      <c r="L255" s="68"/>
      <c r="M255" s="68"/>
      <c r="N255" s="68"/>
      <c r="O255" s="140">
        <f t="shared" si="42"/>
        <v>0</v>
      </c>
      <c r="P255" s="141">
        <f t="shared" si="43"/>
        <v>0</v>
      </c>
      <c r="Q255" s="139"/>
      <c r="R255" s="139"/>
      <c r="S255" s="139"/>
      <c r="T255" s="139"/>
      <c r="U255" s="142">
        <v>0</v>
      </c>
      <c r="V255" s="142">
        <v>0</v>
      </c>
      <c r="W255" s="142"/>
      <c r="X255" s="139"/>
      <c r="Y255" s="136">
        <f>SUM(Q255:X255)</f>
        <v>0</v>
      </c>
      <c r="Z255" s="136">
        <f>+O255+Y255</f>
        <v>0</v>
      </c>
      <c r="AA255" s="137">
        <f>+D255-Z255</f>
        <v>0</v>
      </c>
    </row>
    <row r="256" spans="1:27" s="138" customFormat="1" ht="13.5" customHeight="1">
      <c r="A256" s="194" t="s">
        <v>77</v>
      </c>
      <c r="B256" s="195" t="s">
        <v>33</v>
      </c>
      <c r="C256" s="196" t="s">
        <v>34</v>
      </c>
      <c r="D256" s="67"/>
      <c r="E256" s="139"/>
      <c r="F256" s="139"/>
      <c r="G256" s="68"/>
      <c r="H256" s="68"/>
      <c r="I256" s="68"/>
      <c r="J256" s="68"/>
      <c r="K256" s="68"/>
      <c r="L256" s="68"/>
      <c r="M256" s="68"/>
      <c r="N256" s="68"/>
      <c r="O256" s="140">
        <f t="shared" si="42"/>
        <v>0</v>
      </c>
      <c r="P256" s="141">
        <f t="shared" si="43"/>
        <v>0</v>
      </c>
      <c r="Q256" s="139"/>
      <c r="R256" s="139"/>
      <c r="S256" s="139"/>
      <c r="T256" s="139"/>
      <c r="U256" s="142">
        <v>0</v>
      </c>
      <c r="V256" s="142">
        <v>0</v>
      </c>
      <c r="W256" s="142"/>
      <c r="X256" s="139"/>
      <c r="Y256" s="136">
        <f>SUM(Q256:X256)</f>
        <v>0</v>
      </c>
      <c r="Z256" s="136">
        <f>+O256+Y256</f>
        <v>0</v>
      </c>
      <c r="AA256" s="137">
        <f>+D256-Z256</f>
        <v>0</v>
      </c>
    </row>
    <row r="257" spans="1:27" s="138" customFormat="1" ht="13.5" customHeight="1">
      <c r="A257" s="194" t="s">
        <v>77</v>
      </c>
      <c r="B257" s="195" t="s">
        <v>35</v>
      </c>
      <c r="C257" s="196" t="s">
        <v>36</v>
      </c>
      <c r="D257" s="67"/>
      <c r="E257" s="139"/>
      <c r="F257" s="139"/>
      <c r="G257" s="68"/>
      <c r="H257" s="68"/>
      <c r="I257" s="68"/>
      <c r="J257" s="68"/>
      <c r="K257" s="68"/>
      <c r="L257" s="68"/>
      <c r="M257" s="68"/>
      <c r="N257" s="68"/>
      <c r="O257" s="140">
        <f t="shared" si="42"/>
        <v>0</v>
      </c>
      <c r="P257" s="141">
        <f t="shared" si="43"/>
        <v>0</v>
      </c>
      <c r="Q257" s="139"/>
      <c r="R257" s="139"/>
      <c r="S257" s="139"/>
      <c r="T257" s="139"/>
      <c r="U257" s="142">
        <v>0</v>
      </c>
      <c r="V257" s="142">
        <v>0</v>
      </c>
      <c r="W257" s="142"/>
      <c r="X257" s="139"/>
      <c r="Y257" s="136">
        <f>SUM(Q257:X257)</f>
        <v>0</v>
      </c>
      <c r="Z257" s="136">
        <f>+O257+Y257</f>
        <v>0</v>
      </c>
      <c r="AA257" s="137">
        <f>+D257-Z257</f>
        <v>0</v>
      </c>
    </row>
    <row r="258" spans="1:27" s="138" customFormat="1" ht="13.5" customHeight="1">
      <c r="A258" s="194" t="s">
        <v>77</v>
      </c>
      <c r="B258" s="195" t="s">
        <v>37</v>
      </c>
      <c r="C258" s="196" t="s">
        <v>38</v>
      </c>
      <c r="D258" s="67"/>
      <c r="E258" s="139"/>
      <c r="F258" s="139"/>
      <c r="G258" s="68"/>
      <c r="H258" s="68"/>
      <c r="I258" s="68"/>
      <c r="J258" s="68"/>
      <c r="K258" s="68"/>
      <c r="L258" s="68"/>
      <c r="M258" s="68"/>
      <c r="N258" s="68"/>
      <c r="O258" s="140">
        <f t="shared" si="42"/>
        <v>0</v>
      </c>
      <c r="P258" s="141">
        <f t="shared" si="43"/>
        <v>0</v>
      </c>
      <c r="Q258" s="139"/>
      <c r="R258" s="139"/>
      <c r="S258" s="139"/>
      <c r="T258" s="139"/>
      <c r="U258" s="142">
        <v>0</v>
      </c>
      <c r="V258" s="142">
        <v>0</v>
      </c>
      <c r="W258" s="142"/>
      <c r="X258" s="139"/>
      <c r="Y258" s="136">
        <f>SUM(Q258:X258)</f>
        <v>0</v>
      </c>
      <c r="Z258" s="136">
        <f>+O258+Y258</f>
        <v>0</v>
      </c>
      <c r="AA258" s="137">
        <f>+D258-Z258</f>
        <v>0</v>
      </c>
    </row>
    <row r="259" spans="1:27" s="138" customFormat="1" ht="13.5" customHeight="1">
      <c r="A259" s="194" t="s">
        <v>77</v>
      </c>
      <c r="B259" s="195" t="s">
        <v>39</v>
      </c>
      <c r="C259" s="196" t="s">
        <v>40</v>
      </c>
      <c r="D259" s="67"/>
      <c r="E259" s="139"/>
      <c r="F259" s="139"/>
      <c r="G259" s="68"/>
      <c r="H259" s="68"/>
      <c r="I259" s="68"/>
      <c r="J259" s="68"/>
      <c r="K259" s="68"/>
      <c r="L259" s="68"/>
      <c r="M259" s="68"/>
      <c r="N259" s="68"/>
      <c r="O259" s="140">
        <f t="shared" si="42"/>
        <v>0</v>
      </c>
      <c r="P259" s="141">
        <f t="shared" si="43"/>
        <v>0</v>
      </c>
      <c r="Q259" s="139"/>
      <c r="R259" s="139"/>
      <c r="S259" s="139"/>
      <c r="T259" s="139"/>
      <c r="U259" s="142">
        <v>0</v>
      </c>
      <c r="V259" s="142">
        <v>0</v>
      </c>
      <c r="W259" s="142"/>
      <c r="X259" s="139"/>
      <c r="Y259" s="136">
        <f>SUM(Q259:X259)</f>
        <v>0</v>
      </c>
      <c r="Z259" s="136">
        <f>+O259+Y259</f>
        <v>0</v>
      </c>
      <c r="AA259" s="137">
        <f>+D259-Z259</f>
        <v>0</v>
      </c>
    </row>
    <row r="260" spans="1:27" s="138" customFormat="1" ht="13.5" customHeight="1">
      <c r="A260" s="194" t="s">
        <v>77</v>
      </c>
      <c r="B260" s="195" t="s">
        <v>41</v>
      </c>
      <c r="C260" s="196" t="s">
        <v>42</v>
      </c>
      <c r="D260" s="67"/>
      <c r="E260" s="139"/>
      <c r="F260" s="139"/>
      <c r="G260" s="68"/>
      <c r="H260" s="68"/>
      <c r="I260" s="68"/>
      <c r="J260" s="68"/>
      <c r="K260" s="68"/>
      <c r="L260" s="68"/>
      <c r="M260" s="68"/>
      <c r="N260" s="68"/>
      <c r="O260" s="140">
        <f t="shared" si="42"/>
        <v>0</v>
      </c>
      <c r="P260" s="141">
        <f t="shared" si="43"/>
        <v>0</v>
      </c>
      <c r="Q260" s="139"/>
      <c r="R260" s="139"/>
      <c r="S260" s="139"/>
      <c r="T260" s="139"/>
      <c r="U260" s="142">
        <v>0</v>
      </c>
      <c r="V260" s="142">
        <v>0</v>
      </c>
      <c r="W260" s="142"/>
      <c r="X260" s="139"/>
      <c r="Y260" s="136">
        <f>SUM(Q260:X260)</f>
        <v>0</v>
      </c>
      <c r="Z260" s="136">
        <f>+O260+Y260</f>
        <v>0</v>
      </c>
      <c r="AA260" s="137">
        <f>+D260-Z260</f>
        <v>0</v>
      </c>
    </row>
    <row r="261" spans="1:27" s="138" customFormat="1" ht="13.5" customHeight="1">
      <c r="A261" s="194" t="s">
        <v>77</v>
      </c>
      <c r="B261" s="195" t="s">
        <v>43</v>
      </c>
      <c r="C261" s="196" t="s">
        <v>44</v>
      </c>
      <c r="D261" s="67"/>
      <c r="E261" s="139"/>
      <c r="F261" s="139"/>
      <c r="G261" s="69"/>
      <c r="H261" s="69"/>
      <c r="I261" s="69"/>
      <c r="J261" s="69"/>
      <c r="K261" s="69"/>
      <c r="L261" s="69"/>
      <c r="M261" s="69"/>
      <c r="N261" s="69"/>
      <c r="O261" s="140">
        <f t="shared" si="42"/>
        <v>0</v>
      </c>
      <c r="P261" s="141">
        <f t="shared" si="43"/>
        <v>0</v>
      </c>
      <c r="Q261" s="139"/>
      <c r="R261" s="139"/>
      <c r="S261" s="139"/>
      <c r="T261" s="139"/>
      <c r="U261" s="142">
        <v>0</v>
      </c>
      <c r="V261" s="142">
        <v>0</v>
      </c>
      <c r="W261" s="142"/>
      <c r="X261" s="139"/>
      <c r="Y261" s="136">
        <f>SUM(Q261:X261)</f>
        <v>0</v>
      </c>
      <c r="Z261" s="136">
        <f>+O261+Y261</f>
        <v>0</v>
      </c>
      <c r="AA261" s="137">
        <f>+D261-Z261</f>
        <v>0</v>
      </c>
    </row>
    <row r="262" spans="1:27" s="138" customFormat="1" ht="13.5" customHeight="1">
      <c r="A262" s="194" t="s">
        <v>77</v>
      </c>
      <c r="B262" s="195" t="s">
        <v>45</v>
      </c>
      <c r="C262" s="196" t="s">
        <v>46</v>
      </c>
      <c r="D262" s="67"/>
      <c r="E262" s="139"/>
      <c r="F262" s="139"/>
      <c r="G262" s="69"/>
      <c r="H262" s="69"/>
      <c r="I262" s="69"/>
      <c r="J262" s="69"/>
      <c r="K262" s="69"/>
      <c r="L262" s="69"/>
      <c r="M262" s="69"/>
      <c r="N262" s="69"/>
      <c r="O262" s="140">
        <f t="shared" ref="O262:O325" si="56">SUM(G262:N262)</f>
        <v>0</v>
      </c>
      <c r="P262" s="141">
        <f t="shared" ref="P262:P325" si="57">D262-O262</f>
        <v>0</v>
      </c>
      <c r="Q262" s="139"/>
      <c r="R262" s="139"/>
      <c r="S262" s="139"/>
      <c r="T262" s="139"/>
      <c r="U262" s="142">
        <v>0</v>
      </c>
      <c r="V262" s="142">
        <v>0</v>
      </c>
      <c r="W262" s="142"/>
      <c r="X262" s="139"/>
      <c r="Y262" s="136">
        <f>SUM(Q262:X262)</f>
        <v>0</v>
      </c>
      <c r="Z262" s="136">
        <f>+O262+Y262</f>
        <v>0</v>
      </c>
      <c r="AA262" s="137">
        <f>+D262-Z262</f>
        <v>0</v>
      </c>
    </row>
    <row r="263" spans="1:27" s="138" customFormat="1" ht="13.5" customHeight="1">
      <c r="A263" s="194" t="s">
        <v>77</v>
      </c>
      <c r="B263" s="195" t="s">
        <v>47</v>
      </c>
      <c r="C263" s="196" t="s">
        <v>48</v>
      </c>
      <c r="D263" s="67"/>
      <c r="E263" s="139"/>
      <c r="F263" s="139"/>
      <c r="G263" s="68"/>
      <c r="H263" s="69"/>
      <c r="I263" s="69"/>
      <c r="J263" s="69"/>
      <c r="K263" s="69"/>
      <c r="L263" s="69"/>
      <c r="M263" s="69"/>
      <c r="N263" s="69"/>
      <c r="O263" s="140">
        <f t="shared" si="56"/>
        <v>0</v>
      </c>
      <c r="P263" s="141">
        <f t="shared" si="57"/>
        <v>0</v>
      </c>
      <c r="Q263" s="139"/>
      <c r="R263" s="139"/>
      <c r="S263" s="139"/>
      <c r="T263" s="139"/>
      <c r="U263" s="142">
        <v>0</v>
      </c>
      <c r="V263" s="142">
        <v>0</v>
      </c>
      <c r="W263" s="142"/>
      <c r="X263" s="139"/>
      <c r="Y263" s="136">
        <f>SUM(Q263:X263)</f>
        <v>0</v>
      </c>
      <c r="Z263" s="136">
        <f>+O263+Y263</f>
        <v>0</v>
      </c>
      <c r="AA263" s="137">
        <f>+D263-Z263</f>
        <v>0</v>
      </c>
    </row>
    <row r="264" spans="1:27" s="138" customFormat="1" ht="13.5" customHeight="1">
      <c r="A264" s="194" t="s">
        <v>77</v>
      </c>
      <c r="B264" s="195" t="s">
        <v>49</v>
      </c>
      <c r="C264" s="196" t="s">
        <v>50</v>
      </c>
      <c r="D264" s="67"/>
      <c r="E264" s="139"/>
      <c r="F264" s="139"/>
      <c r="G264" s="69"/>
      <c r="H264" s="69"/>
      <c r="I264" s="69"/>
      <c r="J264" s="69"/>
      <c r="K264" s="69"/>
      <c r="L264" s="69"/>
      <c r="M264" s="69"/>
      <c r="N264" s="69"/>
      <c r="O264" s="140">
        <f t="shared" si="56"/>
        <v>0</v>
      </c>
      <c r="P264" s="141">
        <f t="shared" si="57"/>
        <v>0</v>
      </c>
      <c r="Q264" s="139"/>
      <c r="R264" s="139"/>
      <c r="S264" s="139"/>
      <c r="T264" s="139"/>
      <c r="U264" s="142">
        <v>0</v>
      </c>
      <c r="V264" s="142">
        <v>0</v>
      </c>
      <c r="W264" s="142"/>
      <c r="X264" s="139"/>
      <c r="Y264" s="136">
        <f>SUM(Q264:X264)</f>
        <v>0</v>
      </c>
      <c r="Z264" s="136">
        <f>+O264+Y264</f>
        <v>0</v>
      </c>
      <c r="AA264" s="137">
        <f>+D264-Z264</f>
        <v>0</v>
      </c>
    </row>
    <row r="265" spans="1:27" s="138" customFormat="1" ht="13.5" customHeight="1">
      <c r="A265" s="194" t="s">
        <v>77</v>
      </c>
      <c r="B265" s="204" t="s">
        <v>51</v>
      </c>
      <c r="C265" s="196" t="s">
        <v>52</v>
      </c>
      <c r="D265" s="67"/>
      <c r="E265" s="139"/>
      <c r="F265" s="139"/>
      <c r="G265" s="69"/>
      <c r="H265" s="69"/>
      <c r="I265" s="69"/>
      <c r="J265" s="69"/>
      <c r="K265" s="69"/>
      <c r="L265" s="69"/>
      <c r="M265" s="69"/>
      <c r="N265" s="69"/>
      <c r="O265" s="140">
        <f t="shared" si="56"/>
        <v>0</v>
      </c>
      <c r="P265" s="141">
        <f t="shared" si="57"/>
        <v>0</v>
      </c>
      <c r="Q265" s="139"/>
      <c r="R265" s="139"/>
      <c r="S265" s="139"/>
      <c r="T265" s="139"/>
      <c r="U265" s="142">
        <v>0</v>
      </c>
      <c r="V265" s="142">
        <v>0</v>
      </c>
      <c r="W265" s="142"/>
      <c r="X265" s="139"/>
      <c r="Y265" s="136">
        <f>SUM(Q265:X265)</f>
        <v>0</v>
      </c>
      <c r="Z265" s="136">
        <f>+O265+Y265</f>
        <v>0</v>
      </c>
      <c r="AA265" s="137">
        <f>+D265-Z265</f>
        <v>0</v>
      </c>
    </row>
    <row r="266" spans="1:27" s="138" customFormat="1" ht="13.5" customHeight="1">
      <c r="A266" s="194" t="s">
        <v>77</v>
      </c>
      <c r="B266" s="195" t="s">
        <v>53</v>
      </c>
      <c r="C266" s="196" t="s">
        <v>54</v>
      </c>
      <c r="D266" s="67"/>
      <c r="E266" s="139"/>
      <c r="F266" s="139"/>
      <c r="G266" s="69"/>
      <c r="H266" s="69"/>
      <c r="I266" s="69"/>
      <c r="J266" s="69"/>
      <c r="K266" s="69"/>
      <c r="L266" s="69"/>
      <c r="M266" s="69"/>
      <c r="N266" s="69"/>
      <c r="O266" s="140">
        <f t="shared" si="56"/>
        <v>0</v>
      </c>
      <c r="P266" s="141">
        <f t="shared" si="57"/>
        <v>0</v>
      </c>
      <c r="Q266" s="139"/>
      <c r="R266" s="139"/>
      <c r="S266" s="139"/>
      <c r="T266" s="139"/>
      <c r="U266" s="142">
        <v>0</v>
      </c>
      <c r="V266" s="142">
        <v>0</v>
      </c>
      <c r="W266" s="142"/>
      <c r="X266" s="139"/>
      <c r="Y266" s="136">
        <f>SUM(Q266:X266)</f>
        <v>0</v>
      </c>
      <c r="Z266" s="136">
        <f>+O266+Y266</f>
        <v>0</v>
      </c>
      <c r="AA266" s="137">
        <f>+D266-Z266</f>
        <v>0</v>
      </c>
    </row>
    <row r="267" spans="1:27" s="138" customFormat="1" ht="13.5" customHeight="1">
      <c r="A267" s="194" t="s">
        <v>77</v>
      </c>
      <c r="B267" s="195" t="s">
        <v>55</v>
      </c>
      <c r="C267" s="196" t="s">
        <v>56</v>
      </c>
      <c r="D267" s="67"/>
      <c r="E267" s="139"/>
      <c r="F267" s="139"/>
      <c r="G267" s="68"/>
      <c r="H267" s="68"/>
      <c r="I267" s="68"/>
      <c r="J267" s="68"/>
      <c r="K267" s="68"/>
      <c r="L267" s="68"/>
      <c r="M267" s="68"/>
      <c r="N267" s="68"/>
      <c r="O267" s="140">
        <f t="shared" si="56"/>
        <v>0</v>
      </c>
      <c r="P267" s="141">
        <f t="shared" si="57"/>
        <v>0</v>
      </c>
      <c r="Q267" s="139"/>
      <c r="R267" s="139"/>
      <c r="S267" s="139"/>
      <c r="T267" s="139"/>
      <c r="U267" s="142">
        <v>0</v>
      </c>
      <c r="V267" s="142">
        <v>0</v>
      </c>
      <c r="W267" s="142"/>
      <c r="X267" s="139"/>
      <c r="Y267" s="136">
        <f>SUM(Q267:X267)</f>
        <v>0</v>
      </c>
      <c r="Z267" s="136">
        <f>+O267+Y267</f>
        <v>0</v>
      </c>
      <c r="AA267" s="137">
        <f>+D267-Z267</f>
        <v>0</v>
      </c>
    </row>
    <row r="268" spans="1:27" s="138" customFormat="1" ht="13.5" customHeight="1">
      <c r="A268" s="194" t="s">
        <v>77</v>
      </c>
      <c r="B268" s="204" t="s">
        <v>57</v>
      </c>
      <c r="C268" s="196" t="s">
        <v>58</v>
      </c>
      <c r="D268" s="67"/>
      <c r="E268" s="139"/>
      <c r="F268" s="139"/>
      <c r="G268" s="68"/>
      <c r="H268" s="68"/>
      <c r="I268" s="68"/>
      <c r="J268" s="68"/>
      <c r="K268" s="68"/>
      <c r="L268" s="68"/>
      <c r="M268" s="68"/>
      <c r="N268" s="68"/>
      <c r="O268" s="140">
        <f t="shared" si="56"/>
        <v>0</v>
      </c>
      <c r="P268" s="141">
        <f t="shared" si="57"/>
        <v>0</v>
      </c>
      <c r="Q268" s="139"/>
      <c r="R268" s="139"/>
      <c r="S268" s="139"/>
      <c r="T268" s="139"/>
      <c r="U268" s="142">
        <v>0</v>
      </c>
      <c r="V268" s="142">
        <v>0</v>
      </c>
      <c r="W268" s="142"/>
      <c r="X268" s="139"/>
      <c r="Y268" s="136">
        <f>SUM(Q268:X268)</f>
        <v>0</v>
      </c>
      <c r="Z268" s="136">
        <f>+O268+Y268</f>
        <v>0</v>
      </c>
      <c r="AA268" s="137">
        <f>+D268-Z268</f>
        <v>0</v>
      </c>
    </row>
    <row r="269" spans="1:27" s="138" customFormat="1" ht="13.5" customHeight="1">
      <c r="A269" s="194" t="s">
        <v>77</v>
      </c>
      <c r="B269" s="197" t="s">
        <v>59</v>
      </c>
      <c r="C269" s="198" t="s">
        <v>60</v>
      </c>
      <c r="D269" s="70"/>
      <c r="E269" s="143"/>
      <c r="F269" s="143"/>
      <c r="G269" s="71"/>
      <c r="H269" s="71"/>
      <c r="I269" s="71"/>
      <c r="J269" s="71"/>
      <c r="K269" s="71"/>
      <c r="L269" s="71"/>
      <c r="M269" s="71"/>
      <c r="N269" s="71"/>
      <c r="O269" s="144">
        <f t="shared" si="56"/>
        <v>0</v>
      </c>
      <c r="P269" s="145">
        <f t="shared" si="57"/>
        <v>0</v>
      </c>
      <c r="Q269" s="143"/>
      <c r="R269" s="143"/>
      <c r="S269" s="143"/>
      <c r="T269" s="143"/>
      <c r="U269" s="146">
        <v>0</v>
      </c>
      <c r="V269" s="146">
        <v>0</v>
      </c>
      <c r="W269" s="146"/>
      <c r="X269" s="143"/>
      <c r="Y269" s="136">
        <f>SUM(Q269:X269)</f>
        <v>0</v>
      </c>
      <c r="Z269" s="136">
        <f>+O269+Y269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6"/>
      <c r="C270" s="174"/>
      <c r="D270" s="129">
        <f t="shared" ref="D270:N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:L270" si="59">SUBTOTAL(9,H271:H286)</f>
        <v>0</v>
      </c>
      <c r="I270" s="130">
        <f t="shared" si="59"/>
        <v>0</v>
      </c>
      <c r="J270" s="130">
        <f t="shared" si="59"/>
        <v>0</v>
      </c>
      <c r="K270" s="130">
        <f t="shared" si="59"/>
        <v>0</v>
      </c>
      <c r="L270" s="130">
        <f t="shared" si="59"/>
        <v>0</v>
      </c>
      <c r="M270" s="130">
        <f t="shared" si="58"/>
        <v>0</v>
      </c>
      <c r="N270" s="130">
        <f t="shared" si="58"/>
        <v>0</v>
      </c>
      <c r="O270" s="107">
        <f t="shared" si="56"/>
        <v>0</v>
      </c>
      <c r="P270" s="107">
        <f t="shared" si="57"/>
        <v>0</v>
      </c>
      <c r="Q270" s="130">
        <f t="shared" ref="Q270:X270" si="60">SUBTOTAL(9,Q271:Q286)</f>
        <v>0</v>
      </c>
      <c r="R270" s="130">
        <f t="shared" si="60"/>
        <v>0</v>
      </c>
      <c r="S270" s="130">
        <f t="shared" si="60"/>
        <v>0</v>
      </c>
      <c r="T270" s="130">
        <f t="shared" si="60"/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SUM(Q270:X270)</f>
        <v>0</v>
      </c>
      <c r="Z270" s="56">
        <f>+O270+Y270</f>
        <v>0</v>
      </c>
      <c r="AA270" s="131">
        <f>+D270-Z270</f>
        <v>0</v>
      </c>
    </row>
    <row r="271" spans="1:27" s="138" customFormat="1" ht="13.5" customHeight="1">
      <c r="A271" s="208" t="s">
        <v>78</v>
      </c>
      <c r="B271" s="207" t="s">
        <v>29</v>
      </c>
      <c r="C271" s="203" t="s">
        <v>30</v>
      </c>
      <c r="D271" s="65"/>
      <c r="E271" s="132"/>
      <c r="F271" s="132"/>
      <c r="G271" s="66"/>
      <c r="H271" s="66"/>
      <c r="I271" s="66"/>
      <c r="J271" s="66"/>
      <c r="K271" s="66"/>
      <c r="L271" s="66"/>
      <c r="M271" s="66"/>
      <c r="N271" s="66"/>
      <c r="O271" s="133">
        <f t="shared" si="56"/>
        <v>0</v>
      </c>
      <c r="P271" s="134">
        <f t="shared" si="57"/>
        <v>0</v>
      </c>
      <c r="Q271" s="132"/>
      <c r="R271" s="132"/>
      <c r="S271" s="132"/>
      <c r="T271" s="132"/>
      <c r="U271" s="135">
        <v>0</v>
      </c>
      <c r="V271" s="135">
        <v>0</v>
      </c>
      <c r="W271" s="135"/>
      <c r="X271" s="132"/>
      <c r="Y271" s="136">
        <f>SUM(Q271:X271)</f>
        <v>0</v>
      </c>
      <c r="Z271" s="136">
        <f>+O271+Y271</f>
        <v>0</v>
      </c>
      <c r="AA271" s="137">
        <f>+D271-Z271</f>
        <v>0</v>
      </c>
    </row>
    <row r="272" spans="1:27" s="138" customFormat="1" ht="13.5" customHeight="1">
      <c r="A272" s="208" t="s">
        <v>78</v>
      </c>
      <c r="B272" s="209" t="s">
        <v>31</v>
      </c>
      <c r="C272" s="210" t="s">
        <v>32</v>
      </c>
      <c r="D272" s="72"/>
      <c r="E272" s="158"/>
      <c r="F272" s="158"/>
      <c r="G272" s="73"/>
      <c r="H272" s="73"/>
      <c r="I272" s="73"/>
      <c r="J272" s="73"/>
      <c r="K272" s="73"/>
      <c r="L272" s="73"/>
      <c r="M272" s="73"/>
      <c r="N272" s="73"/>
      <c r="O272" s="159">
        <f t="shared" si="56"/>
        <v>0</v>
      </c>
      <c r="P272" s="160">
        <f t="shared" si="57"/>
        <v>0</v>
      </c>
      <c r="Q272" s="158"/>
      <c r="R272" s="158"/>
      <c r="S272" s="158"/>
      <c r="T272" s="158"/>
      <c r="U272" s="161">
        <v>0</v>
      </c>
      <c r="V272" s="161">
        <v>0</v>
      </c>
      <c r="W272" s="161"/>
      <c r="X272" s="158"/>
      <c r="Y272" s="162">
        <f>SUM(Q272:X272)</f>
        <v>0</v>
      </c>
      <c r="Z272" s="162">
        <f>+O272+Y272</f>
        <v>0</v>
      </c>
      <c r="AA272" s="163">
        <f>+D272-Z272</f>
        <v>0</v>
      </c>
    </row>
    <row r="273" spans="1:27" s="138" customFormat="1" ht="13.5" customHeight="1">
      <c r="A273" s="208" t="s">
        <v>78</v>
      </c>
      <c r="B273" s="195" t="s">
        <v>33</v>
      </c>
      <c r="C273" s="196" t="s">
        <v>34</v>
      </c>
      <c r="D273" s="67"/>
      <c r="E273" s="139"/>
      <c r="F273" s="139"/>
      <c r="G273" s="68"/>
      <c r="H273" s="68"/>
      <c r="I273" s="68"/>
      <c r="J273" s="68"/>
      <c r="K273" s="68"/>
      <c r="L273" s="68"/>
      <c r="M273" s="68"/>
      <c r="N273" s="68"/>
      <c r="O273" s="140">
        <f t="shared" si="56"/>
        <v>0</v>
      </c>
      <c r="P273" s="141">
        <f t="shared" si="57"/>
        <v>0</v>
      </c>
      <c r="Q273" s="139"/>
      <c r="R273" s="139"/>
      <c r="S273" s="139"/>
      <c r="T273" s="139"/>
      <c r="U273" s="142">
        <v>0</v>
      </c>
      <c r="V273" s="142">
        <v>0</v>
      </c>
      <c r="W273" s="142"/>
      <c r="X273" s="139"/>
      <c r="Y273" s="136">
        <f>SUM(Q273:X273)</f>
        <v>0</v>
      </c>
      <c r="Z273" s="136">
        <f>+O273+Y273</f>
        <v>0</v>
      </c>
      <c r="AA273" s="137">
        <f>+D273-Z273</f>
        <v>0</v>
      </c>
    </row>
    <row r="274" spans="1:27" s="138" customFormat="1" ht="13.5" customHeight="1">
      <c r="A274" s="208" t="s">
        <v>78</v>
      </c>
      <c r="B274" s="195" t="s">
        <v>35</v>
      </c>
      <c r="C274" s="196" t="s">
        <v>36</v>
      </c>
      <c r="D274" s="67"/>
      <c r="E274" s="139"/>
      <c r="F274" s="139"/>
      <c r="G274" s="68"/>
      <c r="H274" s="68"/>
      <c r="I274" s="68"/>
      <c r="J274" s="68"/>
      <c r="K274" s="68"/>
      <c r="L274" s="68"/>
      <c r="M274" s="68"/>
      <c r="N274" s="68"/>
      <c r="O274" s="140">
        <f t="shared" si="56"/>
        <v>0</v>
      </c>
      <c r="P274" s="141">
        <f t="shared" si="57"/>
        <v>0</v>
      </c>
      <c r="Q274" s="139"/>
      <c r="R274" s="139"/>
      <c r="S274" s="139"/>
      <c r="T274" s="139"/>
      <c r="U274" s="142">
        <v>0</v>
      </c>
      <c r="V274" s="142">
        <v>0</v>
      </c>
      <c r="W274" s="142"/>
      <c r="X274" s="139"/>
      <c r="Y274" s="136">
        <f>SUM(Q274:X274)</f>
        <v>0</v>
      </c>
      <c r="Z274" s="136">
        <f>+O274+Y274</f>
        <v>0</v>
      </c>
      <c r="AA274" s="137">
        <f>+D274-Z274</f>
        <v>0</v>
      </c>
    </row>
    <row r="275" spans="1:27" s="138" customFormat="1" ht="13.5" customHeight="1">
      <c r="A275" s="208" t="s">
        <v>78</v>
      </c>
      <c r="B275" s="211" t="s">
        <v>37</v>
      </c>
      <c r="C275" s="212" t="s">
        <v>38</v>
      </c>
      <c r="D275" s="74"/>
      <c r="E275" s="164"/>
      <c r="F275" s="164"/>
      <c r="G275" s="75"/>
      <c r="H275" s="75"/>
      <c r="I275" s="75"/>
      <c r="J275" s="75"/>
      <c r="K275" s="75"/>
      <c r="L275" s="75"/>
      <c r="M275" s="75"/>
      <c r="N275" s="75"/>
      <c r="O275" s="159">
        <f t="shared" si="56"/>
        <v>0</v>
      </c>
      <c r="P275" s="166">
        <f t="shared" si="57"/>
        <v>0</v>
      </c>
      <c r="Q275" s="164"/>
      <c r="R275" s="164"/>
      <c r="S275" s="164"/>
      <c r="T275" s="164"/>
      <c r="U275" s="167">
        <v>0</v>
      </c>
      <c r="V275" s="167">
        <v>0</v>
      </c>
      <c r="W275" s="167"/>
      <c r="X275" s="164"/>
      <c r="Y275" s="162">
        <f>SUM(Q275:X275)</f>
        <v>0</v>
      </c>
      <c r="Z275" s="162">
        <f>+O275+Y275</f>
        <v>0</v>
      </c>
      <c r="AA275" s="175">
        <f>+D275-Z275</f>
        <v>0</v>
      </c>
    </row>
    <row r="276" spans="1:27" s="138" customFormat="1" ht="13.5" customHeight="1">
      <c r="A276" s="208" t="s">
        <v>78</v>
      </c>
      <c r="B276" s="211" t="s">
        <v>39</v>
      </c>
      <c r="C276" s="212" t="s">
        <v>40</v>
      </c>
      <c r="D276" s="74"/>
      <c r="E276" s="164"/>
      <c r="F276" s="164"/>
      <c r="G276" s="75"/>
      <c r="H276" s="75"/>
      <c r="I276" s="75"/>
      <c r="J276" s="75"/>
      <c r="K276" s="75"/>
      <c r="L276" s="75"/>
      <c r="M276" s="75"/>
      <c r="N276" s="75"/>
      <c r="O276" s="159">
        <f t="shared" si="56"/>
        <v>0</v>
      </c>
      <c r="P276" s="166">
        <f t="shared" si="57"/>
        <v>0</v>
      </c>
      <c r="Q276" s="164"/>
      <c r="R276" s="164"/>
      <c r="S276" s="164"/>
      <c r="T276" s="164"/>
      <c r="U276" s="167">
        <v>0</v>
      </c>
      <c r="V276" s="167">
        <v>0</v>
      </c>
      <c r="W276" s="167"/>
      <c r="X276" s="164"/>
      <c r="Y276" s="162">
        <f>SUM(Q276:X276)</f>
        <v>0</v>
      </c>
      <c r="Z276" s="162">
        <f>+O276+Y276</f>
        <v>0</v>
      </c>
      <c r="AA276" s="175">
        <f>+D276-Z276</f>
        <v>0</v>
      </c>
    </row>
    <row r="277" spans="1:27" s="138" customFormat="1" ht="13.5" customHeight="1">
      <c r="A277" s="208" t="s">
        <v>78</v>
      </c>
      <c r="B277" s="211" t="s">
        <v>41</v>
      </c>
      <c r="C277" s="212" t="s">
        <v>42</v>
      </c>
      <c r="D277" s="74"/>
      <c r="E277" s="164"/>
      <c r="F277" s="164"/>
      <c r="G277" s="75"/>
      <c r="H277" s="75"/>
      <c r="I277" s="75"/>
      <c r="J277" s="75"/>
      <c r="K277" s="75"/>
      <c r="L277" s="75"/>
      <c r="M277" s="75"/>
      <c r="N277" s="75"/>
      <c r="O277" s="159">
        <f t="shared" si="56"/>
        <v>0</v>
      </c>
      <c r="P277" s="166">
        <f t="shared" si="57"/>
        <v>0</v>
      </c>
      <c r="Q277" s="164"/>
      <c r="R277" s="164"/>
      <c r="S277" s="164"/>
      <c r="T277" s="164"/>
      <c r="U277" s="167">
        <v>0</v>
      </c>
      <c r="V277" s="167">
        <v>0</v>
      </c>
      <c r="W277" s="167"/>
      <c r="X277" s="164"/>
      <c r="Y277" s="162">
        <f>SUM(Q277:X277)</f>
        <v>0</v>
      </c>
      <c r="Z277" s="162">
        <f>+O277+Y277</f>
        <v>0</v>
      </c>
      <c r="AA277" s="175">
        <f>+D277-Z277</f>
        <v>0</v>
      </c>
    </row>
    <row r="278" spans="1:27" s="138" customFormat="1" ht="13.5" customHeight="1">
      <c r="A278" s="208" t="s">
        <v>78</v>
      </c>
      <c r="B278" s="211" t="s">
        <v>43</v>
      </c>
      <c r="C278" s="212" t="s">
        <v>44</v>
      </c>
      <c r="D278" s="74"/>
      <c r="E278" s="164"/>
      <c r="F278" s="164"/>
      <c r="G278" s="76"/>
      <c r="H278" s="76"/>
      <c r="I278" s="76"/>
      <c r="J278" s="76"/>
      <c r="K278" s="76"/>
      <c r="L278" s="76"/>
      <c r="M278" s="76"/>
      <c r="N278" s="76"/>
      <c r="O278" s="159">
        <f t="shared" si="56"/>
        <v>0</v>
      </c>
      <c r="P278" s="166">
        <f t="shared" si="57"/>
        <v>0</v>
      </c>
      <c r="Q278" s="164"/>
      <c r="R278" s="164"/>
      <c r="S278" s="164"/>
      <c r="T278" s="164"/>
      <c r="U278" s="167">
        <v>0</v>
      </c>
      <c r="V278" s="167">
        <v>0</v>
      </c>
      <c r="W278" s="167"/>
      <c r="X278" s="164"/>
      <c r="Y278" s="162">
        <f>SUM(Q278:X278)</f>
        <v>0</v>
      </c>
      <c r="Z278" s="162">
        <f>+O278+Y278</f>
        <v>0</v>
      </c>
      <c r="AA278" s="175">
        <f>+D278-Z278</f>
        <v>0</v>
      </c>
    </row>
    <row r="279" spans="1:27" s="138" customFormat="1" ht="13.5" customHeight="1">
      <c r="A279" s="208" t="s">
        <v>78</v>
      </c>
      <c r="B279" s="211" t="s">
        <v>45</v>
      </c>
      <c r="C279" s="212" t="s">
        <v>46</v>
      </c>
      <c r="D279" s="74"/>
      <c r="E279" s="164"/>
      <c r="F279" s="164"/>
      <c r="G279" s="76"/>
      <c r="H279" s="76"/>
      <c r="I279" s="76"/>
      <c r="J279" s="76"/>
      <c r="K279" s="76"/>
      <c r="L279" s="76"/>
      <c r="M279" s="76"/>
      <c r="N279" s="76"/>
      <c r="O279" s="159">
        <f t="shared" si="56"/>
        <v>0</v>
      </c>
      <c r="P279" s="166">
        <f t="shared" si="57"/>
        <v>0</v>
      </c>
      <c r="Q279" s="164"/>
      <c r="R279" s="164"/>
      <c r="S279" s="164"/>
      <c r="T279" s="164"/>
      <c r="U279" s="167">
        <v>0</v>
      </c>
      <c r="V279" s="167">
        <v>0</v>
      </c>
      <c r="W279" s="167"/>
      <c r="X279" s="164"/>
      <c r="Y279" s="162">
        <f>SUM(Q279:X279)</f>
        <v>0</v>
      </c>
      <c r="Z279" s="162">
        <f>+O279+Y279</f>
        <v>0</v>
      </c>
      <c r="AA279" s="175">
        <f>+D279-Z279</f>
        <v>0</v>
      </c>
    </row>
    <row r="280" spans="1:27" s="138" customFormat="1" ht="13.5" customHeight="1">
      <c r="A280" s="208" t="s">
        <v>78</v>
      </c>
      <c r="B280" s="211" t="s">
        <v>47</v>
      </c>
      <c r="C280" s="212" t="s">
        <v>48</v>
      </c>
      <c r="D280" s="74"/>
      <c r="E280" s="164"/>
      <c r="F280" s="164"/>
      <c r="G280" s="75"/>
      <c r="H280" s="76"/>
      <c r="I280" s="76"/>
      <c r="J280" s="76"/>
      <c r="K280" s="76"/>
      <c r="L280" s="76"/>
      <c r="M280" s="76"/>
      <c r="N280" s="76"/>
      <c r="O280" s="159">
        <f t="shared" si="56"/>
        <v>0</v>
      </c>
      <c r="P280" s="166">
        <f t="shared" si="57"/>
        <v>0</v>
      </c>
      <c r="Q280" s="164"/>
      <c r="R280" s="164"/>
      <c r="S280" s="164"/>
      <c r="T280" s="164"/>
      <c r="U280" s="167">
        <v>0</v>
      </c>
      <c r="V280" s="167">
        <v>0</v>
      </c>
      <c r="W280" s="167"/>
      <c r="X280" s="164"/>
      <c r="Y280" s="162">
        <f>SUM(Q280:X280)</f>
        <v>0</v>
      </c>
      <c r="Z280" s="162">
        <f>+O280+Y280</f>
        <v>0</v>
      </c>
      <c r="AA280" s="175">
        <f>+D280-Z280</f>
        <v>0</v>
      </c>
    </row>
    <row r="281" spans="1:27" s="138" customFormat="1" ht="13.5" customHeight="1">
      <c r="A281" s="208" t="s">
        <v>78</v>
      </c>
      <c r="B281" s="211" t="s">
        <v>49</v>
      </c>
      <c r="C281" s="212" t="s">
        <v>50</v>
      </c>
      <c r="D281" s="74"/>
      <c r="E281" s="164"/>
      <c r="F281" s="164"/>
      <c r="G281" s="76"/>
      <c r="H281" s="76"/>
      <c r="I281" s="76"/>
      <c r="J281" s="76"/>
      <c r="K281" s="76"/>
      <c r="L281" s="76"/>
      <c r="M281" s="76"/>
      <c r="N281" s="76"/>
      <c r="O281" s="159">
        <f t="shared" si="56"/>
        <v>0</v>
      </c>
      <c r="P281" s="166">
        <f t="shared" si="57"/>
        <v>0</v>
      </c>
      <c r="Q281" s="164"/>
      <c r="R281" s="164"/>
      <c r="S281" s="164"/>
      <c r="T281" s="164"/>
      <c r="U281" s="167">
        <v>0</v>
      </c>
      <c r="V281" s="167">
        <v>0</v>
      </c>
      <c r="W281" s="167"/>
      <c r="X281" s="164"/>
      <c r="Y281" s="162">
        <f>SUM(Q281:X281)</f>
        <v>0</v>
      </c>
      <c r="Z281" s="162">
        <f>+O281+Y281</f>
        <v>0</v>
      </c>
      <c r="AA281" s="175">
        <f>+D281-Z281</f>
        <v>0</v>
      </c>
    </row>
    <row r="282" spans="1:27" s="138" customFormat="1" ht="13.5" customHeight="1">
      <c r="A282" s="208" t="s">
        <v>78</v>
      </c>
      <c r="B282" s="204" t="s">
        <v>51</v>
      </c>
      <c r="C282" s="196" t="s">
        <v>52</v>
      </c>
      <c r="D282" s="67"/>
      <c r="E282" s="139"/>
      <c r="F282" s="139"/>
      <c r="G282" s="69"/>
      <c r="H282" s="69"/>
      <c r="I282" s="69"/>
      <c r="J282" s="69"/>
      <c r="K282" s="69"/>
      <c r="L282" s="69"/>
      <c r="M282" s="69"/>
      <c r="N282" s="69"/>
      <c r="O282" s="140">
        <f t="shared" si="56"/>
        <v>0</v>
      </c>
      <c r="P282" s="141">
        <f t="shared" si="57"/>
        <v>0</v>
      </c>
      <c r="Q282" s="139"/>
      <c r="R282" s="139"/>
      <c r="S282" s="139"/>
      <c r="T282" s="139"/>
      <c r="U282" s="142">
        <v>0</v>
      </c>
      <c r="V282" s="142">
        <v>0</v>
      </c>
      <c r="W282" s="142"/>
      <c r="X282" s="139"/>
      <c r="Y282" s="136">
        <f>SUM(Q282:X282)</f>
        <v>0</v>
      </c>
      <c r="Z282" s="136">
        <f>+O282+Y282</f>
        <v>0</v>
      </c>
      <c r="AA282" s="137">
        <f>+D282-Z282</f>
        <v>0</v>
      </c>
    </row>
    <row r="283" spans="1:27" s="138" customFormat="1" ht="13.5" customHeight="1">
      <c r="A283" s="208" t="s">
        <v>78</v>
      </c>
      <c r="B283" s="211" t="s">
        <v>53</v>
      </c>
      <c r="C283" s="212" t="s">
        <v>54</v>
      </c>
      <c r="D283" s="74"/>
      <c r="E283" s="164"/>
      <c r="F283" s="164"/>
      <c r="G283" s="76"/>
      <c r="H283" s="76"/>
      <c r="I283" s="76"/>
      <c r="J283" s="76"/>
      <c r="K283" s="76"/>
      <c r="L283" s="76"/>
      <c r="M283" s="76"/>
      <c r="N283" s="76"/>
      <c r="O283" s="159">
        <f t="shared" si="56"/>
        <v>0</v>
      </c>
      <c r="P283" s="166">
        <f t="shared" si="57"/>
        <v>0</v>
      </c>
      <c r="Q283" s="164"/>
      <c r="R283" s="164"/>
      <c r="S283" s="164"/>
      <c r="T283" s="164"/>
      <c r="U283" s="167">
        <v>0</v>
      </c>
      <c r="V283" s="167">
        <v>0</v>
      </c>
      <c r="W283" s="167"/>
      <c r="X283" s="164"/>
      <c r="Y283" s="162">
        <f>SUM(Q283:X283)</f>
        <v>0</v>
      </c>
      <c r="Z283" s="162">
        <f>+O283+Y283</f>
        <v>0</v>
      </c>
      <c r="AA283" s="175">
        <f>+D283-Z283</f>
        <v>0</v>
      </c>
    </row>
    <row r="284" spans="1:27" s="138" customFormat="1" ht="13.5" customHeight="1">
      <c r="A284" s="208" t="s">
        <v>78</v>
      </c>
      <c r="B284" s="211" t="s">
        <v>55</v>
      </c>
      <c r="C284" s="212" t="s">
        <v>56</v>
      </c>
      <c r="D284" s="74"/>
      <c r="E284" s="164"/>
      <c r="F284" s="164"/>
      <c r="G284" s="75"/>
      <c r="H284" s="75"/>
      <c r="I284" s="75"/>
      <c r="J284" s="75"/>
      <c r="K284" s="75"/>
      <c r="L284" s="75"/>
      <c r="M284" s="75"/>
      <c r="N284" s="75"/>
      <c r="O284" s="159">
        <f t="shared" si="56"/>
        <v>0</v>
      </c>
      <c r="P284" s="166">
        <f t="shared" si="57"/>
        <v>0</v>
      </c>
      <c r="Q284" s="164"/>
      <c r="R284" s="164"/>
      <c r="S284" s="164"/>
      <c r="T284" s="164"/>
      <c r="U284" s="167">
        <v>0</v>
      </c>
      <c r="V284" s="167">
        <v>0</v>
      </c>
      <c r="W284" s="167"/>
      <c r="X284" s="164"/>
      <c r="Y284" s="162">
        <f>SUM(Q284:X284)</f>
        <v>0</v>
      </c>
      <c r="Z284" s="162">
        <f>+O284+Y284</f>
        <v>0</v>
      </c>
      <c r="AA284" s="175">
        <f>+D284-Z284</f>
        <v>0</v>
      </c>
    </row>
    <row r="285" spans="1:27" s="138" customFormat="1" ht="13.5" customHeight="1">
      <c r="A285" s="208" t="s">
        <v>78</v>
      </c>
      <c r="B285" s="204" t="s">
        <v>57</v>
      </c>
      <c r="C285" s="196" t="s">
        <v>58</v>
      </c>
      <c r="D285" s="67"/>
      <c r="E285" s="139"/>
      <c r="F285" s="139"/>
      <c r="G285" s="68"/>
      <c r="H285" s="68"/>
      <c r="I285" s="68"/>
      <c r="J285" s="68"/>
      <c r="K285" s="68"/>
      <c r="L285" s="68"/>
      <c r="M285" s="68"/>
      <c r="N285" s="68"/>
      <c r="O285" s="140">
        <f t="shared" si="56"/>
        <v>0</v>
      </c>
      <c r="P285" s="141">
        <f t="shared" si="57"/>
        <v>0</v>
      </c>
      <c r="Q285" s="139"/>
      <c r="R285" s="139"/>
      <c r="S285" s="139"/>
      <c r="T285" s="139"/>
      <c r="U285" s="142">
        <v>0</v>
      </c>
      <c r="V285" s="142">
        <v>0</v>
      </c>
      <c r="W285" s="142"/>
      <c r="X285" s="139"/>
      <c r="Y285" s="136">
        <f>SUM(Q285:X285)</f>
        <v>0</v>
      </c>
      <c r="Z285" s="136">
        <f>+O285+Y285</f>
        <v>0</v>
      </c>
      <c r="AA285" s="137">
        <f>+D285-Z285</f>
        <v>0</v>
      </c>
    </row>
    <row r="286" spans="1:27" s="138" customFormat="1" ht="13.5" customHeight="1">
      <c r="A286" s="208" t="s">
        <v>78</v>
      </c>
      <c r="B286" s="213" t="s">
        <v>59</v>
      </c>
      <c r="C286" s="214" t="s">
        <v>60</v>
      </c>
      <c r="D286" s="77"/>
      <c r="E286" s="168"/>
      <c r="F286" s="168"/>
      <c r="G286" s="78"/>
      <c r="H286" s="78"/>
      <c r="I286" s="78"/>
      <c r="J286" s="78"/>
      <c r="K286" s="78"/>
      <c r="L286" s="78"/>
      <c r="M286" s="78"/>
      <c r="N286" s="78"/>
      <c r="O286" s="159">
        <f t="shared" si="56"/>
        <v>0</v>
      </c>
      <c r="P286" s="170">
        <f t="shared" si="57"/>
        <v>0</v>
      </c>
      <c r="Q286" s="168"/>
      <c r="R286" s="168"/>
      <c r="S286" s="168"/>
      <c r="T286" s="168"/>
      <c r="U286" s="171">
        <v>0</v>
      </c>
      <c r="V286" s="171">
        <v>0</v>
      </c>
      <c r="W286" s="171"/>
      <c r="X286" s="168"/>
      <c r="Y286" s="162">
        <f>SUM(Q286:X286)</f>
        <v>0</v>
      </c>
      <c r="Z286" s="162">
        <f>+O286+Y286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6"/>
      <c r="C287" s="174"/>
      <c r="D287" s="129">
        <f t="shared" ref="D287:N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:L287" si="62">SUBTOTAL(9,H288:H303)</f>
        <v>0</v>
      </c>
      <c r="I287" s="130">
        <f t="shared" si="62"/>
        <v>0</v>
      </c>
      <c r="J287" s="130">
        <f t="shared" si="62"/>
        <v>0</v>
      </c>
      <c r="K287" s="130">
        <f t="shared" si="62"/>
        <v>0</v>
      </c>
      <c r="L287" s="130">
        <f t="shared" si="62"/>
        <v>0</v>
      </c>
      <c r="M287" s="130">
        <f t="shared" si="61"/>
        <v>0</v>
      </c>
      <c r="N287" s="130">
        <f t="shared" si="61"/>
        <v>0</v>
      </c>
      <c r="O287" s="107">
        <f t="shared" si="56"/>
        <v>0</v>
      </c>
      <c r="P287" s="107">
        <f t="shared" si="57"/>
        <v>0</v>
      </c>
      <c r="Q287" s="130">
        <f t="shared" ref="Q287:X287" si="63">SUBTOTAL(9,Q288:Q303)</f>
        <v>0</v>
      </c>
      <c r="R287" s="130">
        <f t="shared" si="63"/>
        <v>0</v>
      </c>
      <c r="S287" s="130">
        <f t="shared" si="63"/>
        <v>0</v>
      </c>
      <c r="T287" s="130">
        <f t="shared" si="63"/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SUM(Q287:X287)</f>
        <v>0</v>
      </c>
      <c r="Z287" s="56">
        <f>+O287+Y287</f>
        <v>0</v>
      </c>
      <c r="AA287" s="131">
        <f>+D287-Z287</f>
        <v>0</v>
      </c>
    </row>
    <row r="288" spans="1:27" s="138" customFormat="1" ht="13.5" customHeight="1">
      <c r="A288" s="208" t="s">
        <v>79</v>
      </c>
      <c r="B288" s="207" t="s">
        <v>29</v>
      </c>
      <c r="C288" s="203" t="s">
        <v>30</v>
      </c>
      <c r="D288" s="65"/>
      <c r="E288" s="132"/>
      <c r="F288" s="132"/>
      <c r="G288" s="66"/>
      <c r="H288" s="66"/>
      <c r="I288" s="66"/>
      <c r="J288" s="66"/>
      <c r="K288" s="66"/>
      <c r="L288" s="66"/>
      <c r="M288" s="66"/>
      <c r="N288" s="66"/>
      <c r="O288" s="133">
        <f t="shared" si="56"/>
        <v>0</v>
      </c>
      <c r="P288" s="134">
        <f t="shared" si="57"/>
        <v>0</v>
      </c>
      <c r="Q288" s="132"/>
      <c r="R288" s="132"/>
      <c r="S288" s="132"/>
      <c r="T288" s="132"/>
      <c r="U288" s="135">
        <v>0</v>
      </c>
      <c r="V288" s="135">
        <v>0</v>
      </c>
      <c r="W288" s="135"/>
      <c r="X288" s="132"/>
      <c r="Y288" s="136">
        <f>SUM(Q288:X288)</f>
        <v>0</v>
      </c>
      <c r="Z288" s="136">
        <f>+O288+Y288</f>
        <v>0</v>
      </c>
      <c r="AA288" s="137">
        <f>+D288-Z288</f>
        <v>0</v>
      </c>
    </row>
    <row r="289" spans="1:27" s="138" customFormat="1" ht="13.5" customHeight="1">
      <c r="A289" s="208" t="s">
        <v>79</v>
      </c>
      <c r="B289" s="209" t="s">
        <v>31</v>
      </c>
      <c r="C289" s="210" t="s">
        <v>32</v>
      </c>
      <c r="D289" s="72"/>
      <c r="E289" s="158"/>
      <c r="F289" s="158"/>
      <c r="G289" s="73"/>
      <c r="H289" s="73"/>
      <c r="I289" s="73"/>
      <c r="J289" s="73"/>
      <c r="K289" s="73"/>
      <c r="L289" s="73"/>
      <c r="M289" s="73"/>
      <c r="N289" s="73"/>
      <c r="O289" s="159">
        <f t="shared" si="56"/>
        <v>0</v>
      </c>
      <c r="P289" s="160">
        <f t="shared" si="57"/>
        <v>0</v>
      </c>
      <c r="Q289" s="158"/>
      <c r="R289" s="158"/>
      <c r="S289" s="158"/>
      <c r="T289" s="158"/>
      <c r="U289" s="161">
        <v>0</v>
      </c>
      <c r="V289" s="161">
        <v>0</v>
      </c>
      <c r="W289" s="161"/>
      <c r="X289" s="158"/>
      <c r="Y289" s="162">
        <f>SUM(Q289:X289)</f>
        <v>0</v>
      </c>
      <c r="Z289" s="162">
        <f>+O289+Y289</f>
        <v>0</v>
      </c>
      <c r="AA289" s="163">
        <f>+D289-Z289</f>
        <v>0</v>
      </c>
    </row>
    <row r="290" spans="1:27" s="138" customFormat="1" ht="13.5" customHeight="1">
      <c r="A290" s="208" t="s">
        <v>79</v>
      </c>
      <c r="B290" s="209" t="s">
        <v>33</v>
      </c>
      <c r="C290" s="210" t="s">
        <v>34</v>
      </c>
      <c r="D290" s="72"/>
      <c r="E290" s="158"/>
      <c r="F290" s="158"/>
      <c r="G290" s="73"/>
      <c r="H290" s="73"/>
      <c r="I290" s="73"/>
      <c r="J290" s="73"/>
      <c r="K290" s="73"/>
      <c r="L290" s="73"/>
      <c r="M290" s="73"/>
      <c r="N290" s="73"/>
      <c r="O290" s="159">
        <f t="shared" si="56"/>
        <v>0</v>
      </c>
      <c r="P290" s="160">
        <f t="shared" si="57"/>
        <v>0</v>
      </c>
      <c r="Q290" s="158"/>
      <c r="R290" s="158"/>
      <c r="S290" s="158"/>
      <c r="T290" s="158"/>
      <c r="U290" s="161">
        <v>0</v>
      </c>
      <c r="V290" s="161">
        <v>0</v>
      </c>
      <c r="W290" s="161"/>
      <c r="X290" s="158"/>
      <c r="Y290" s="162">
        <f>SUM(Q290:X290)</f>
        <v>0</v>
      </c>
      <c r="Z290" s="162">
        <f>+O290+Y290</f>
        <v>0</v>
      </c>
      <c r="AA290" s="163">
        <f>+D290-Z290</f>
        <v>0</v>
      </c>
    </row>
    <row r="291" spans="1:27" s="138" customFormat="1" ht="13.5" customHeight="1">
      <c r="A291" s="208" t="s">
        <v>79</v>
      </c>
      <c r="B291" s="195" t="s">
        <v>35</v>
      </c>
      <c r="C291" s="196" t="s">
        <v>36</v>
      </c>
      <c r="D291" s="67"/>
      <c r="E291" s="139"/>
      <c r="F291" s="139"/>
      <c r="G291" s="68"/>
      <c r="H291" s="68"/>
      <c r="I291" s="68"/>
      <c r="J291" s="68"/>
      <c r="K291" s="68"/>
      <c r="L291" s="68"/>
      <c r="M291" s="68"/>
      <c r="N291" s="68"/>
      <c r="O291" s="140">
        <f t="shared" si="56"/>
        <v>0</v>
      </c>
      <c r="P291" s="141">
        <f t="shared" si="57"/>
        <v>0</v>
      </c>
      <c r="Q291" s="139"/>
      <c r="R291" s="139"/>
      <c r="S291" s="139"/>
      <c r="T291" s="139"/>
      <c r="U291" s="142">
        <v>0</v>
      </c>
      <c r="V291" s="142">
        <v>0</v>
      </c>
      <c r="W291" s="142"/>
      <c r="X291" s="139"/>
      <c r="Y291" s="136">
        <f>SUM(Q291:X291)</f>
        <v>0</v>
      </c>
      <c r="Z291" s="136">
        <f>+O291+Y291</f>
        <v>0</v>
      </c>
      <c r="AA291" s="137">
        <f>+D291-Z291</f>
        <v>0</v>
      </c>
    </row>
    <row r="292" spans="1:27" s="138" customFormat="1" ht="13.5" customHeight="1">
      <c r="A292" s="208" t="s">
        <v>79</v>
      </c>
      <c r="B292" s="211" t="s">
        <v>37</v>
      </c>
      <c r="C292" s="212" t="s">
        <v>38</v>
      </c>
      <c r="D292" s="74"/>
      <c r="E292" s="164"/>
      <c r="F292" s="164"/>
      <c r="G292" s="75"/>
      <c r="H292" s="75"/>
      <c r="I292" s="75"/>
      <c r="J292" s="75"/>
      <c r="K292" s="75"/>
      <c r="L292" s="75"/>
      <c r="M292" s="75"/>
      <c r="N292" s="75"/>
      <c r="O292" s="165">
        <f t="shared" si="56"/>
        <v>0</v>
      </c>
      <c r="P292" s="166">
        <f t="shared" si="57"/>
        <v>0</v>
      </c>
      <c r="Q292" s="164"/>
      <c r="R292" s="164"/>
      <c r="S292" s="164"/>
      <c r="T292" s="164"/>
      <c r="U292" s="167">
        <v>0</v>
      </c>
      <c r="V292" s="167">
        <v>0</v>
      </c>
      <c r="W292" s="167"/>
      <c r="X292" s="164"/>
      <c r="Y292" s="162">
        <f>SUM(Q292:X292)</f>
        <v>0</v>
      </c>
      <c r="Z292" s="162">
        <f>+O292+Y292</f>
        <v>0</v>
      </c>
      <c r="AA292" s="175">
        <f>+D292-Z292</f>
        <v>0</v>
      </c>
    </row>
    <row r="293" spans="1:27" s="138" customFormat="1" ht="13.5" customHeight="1">
      <c r="A293" s="208" t="s">
        <v>79</v>
      </c>
      <c r="B293" s="211" t="s">
        <v>39</v>
      </c>
      <c r="C293" s="212" t="s">
        <v>40</v>
      </c>
      <c r="D293" s="74"/>
      <c r="E293" s="164"/>
      <c r="F293" s="164"/>
      <c r="G293" s="75"/>
      <c r="H293" s="75"/>
      <c r="I293" s="75"/>
      <c r="J293" s="75"/>
      <c r="K293" s="75"/>
      <c r="L293" s="75"/>
      <c r="M293" s="75"/>
      <c r="N293" s="75"/>
      <c r="O293" s="165">
        <f t="shared" si="56"/>
        <v>0</v>
      </c>
      <c r="P293" s="166">
        <f t="shared" si="57"/>
        <v>0</v>
      </c>
      <c r="Q293" s="177"/>
      <c r="R293" s="177"/>
      <c r="S293" s="177"/>
      <c r="T293" s="177"/>
      <c r="U293" s="178"/>
      <c r="V293" s="178"/>
      <c r="W293" s="178"/>
      <c r="X293" s="177"/>
      <c r="Y293" s="162">
        <f>SUM(Q293:X293)</f>
        <v>0</v>
      </c>
      <c r="Z293" s="162">
        <f>+O293+Y293</f>
        <v>0</v>
      </c>
      <c r="AA293" s="175">
        <f>+D293-Z293</f>
        <v>0</v>
      </c>
    </row>
    <row r="294" spans="1:27" s="138" customFormat="1" ht="13.5" customHeight="1">
      <c r="A294" s="208" t="s">
        <v>79</v>
      </c>
      <c r="B294" s="211" t="s">
        <v>41</v>
      </c>
      <c r="C294" s="212" t="s">
        <v>42</v>
      </c>
      <c r="D294" s="74"/>
      <c r="E294" s="164"/>
      <c r="F294" s="164"/>
      <c r="G294" s="75"/>
      <c r="H294" s="75"/>
      <c r="I294" s="75"/>
      <c r="J294" s="75"/>
      <c r="K294" s="75"/>
      <c r="L294" s="75"/>
      <c r="M294" s="75"/>
      <c r="N294" s="75"/>
      <c r="O294" s="165">
        <f t="shared" si="56"/>
        <v>0</v>
      </c>
      <c r="P294" s="166">
        <f t="shared" si="57"/>
        <v>0</v>
      </c>
      <c r="Q294" s="164"/>
      <c r="R294" s="164"/>
      <c r="S294" s="164"/>
      <c r="T294" s="164"/>
      <c r="U294" s="167">
        <v>0</v>
      </c>
      <c r="V294" s="167">
        <v>0</v>
      </c>
      <c r="W294" s="167"/>
      <c r="X294" s="164"/>
      <c r="Y294" s="162">
        <f>SUM(Q294:X294)</f>
        <v>0</v>
      </c>
      <c r="Z294" s="162">
        <f>+O294+Y294</f>
        <v>0</v>
      </c>
      <c r="AA294" s="175">
        <f>+D294-Z294</f>
        <v>0</v>
      </c>
    </row>
    <row r="295" spans="1:27" s="138" customFormat="1" ht="13.5" customHeight="1">
      <c r="A295" s="208" t="s">
        <v>79</v>
      </c>
      <c r="B295" s="211" t="s">
        <v>43</v>
      </c>
      <c r="C295" s="212" t="s">
        <v>44</v>
      </c>
      <c r="D295" s="74"/>
      <c r="E295" s="164"/>
      <c r="F295" s="164"/>
      <c r="G295" s="76"/>
      <c r="H295" s="76"/>
      <c r="I295" s="76"/>
      <c r="J295" s="76"/>
      <c r="K295" s="76"/>
      <c r="L295" s="76"/>
      <c r="M295" s="76"/>
      <c r="N295" s="76"/>
      <c r="O295" s="165">
        <f t="shared" si="56"/>
        <v>0</v>
      </c>
      <c r="P295" s="166">
        <f t="shared" si="57"/>
        <v>0</v>
      </c>
      <c r="Q295" s="164"/>
      <c r="R295" s="164"/>
      <c r="S295" s="164"/>
      <c r="T295" s="164"/>
      <c r="U295" s="167">
        <v>0</v>
      </c>
      <c r="V295" s="167">
        <v>0</v>
      </c>
      <c r="W295" s="167"/>
      <c r="X295" s="164"/>
      <c r="Y295" s="162">
        <f>SUM(Q295:X295)</f>
        <v>0</v>
      </c>
      <c r="Z295" s="162">
        <f>+O295+Y295</f>
        <v>0</v>
      </c>
      <c r="AA295" s="175">
        <f>+D295-Z295</f>
        <v>0</v>
      </c>
    </row>
    <row r="296" spans="1:27" s="138" customFormat="1" ht="13.5" customHeight="1">
      <c r="A296" s="208" t="s">
        <v>79</v>
      </c>
      <c r="B296" s="211" t="s">
        <v>45</v>
      </c>
      <c r="C296" s="212" t="s">
        <v>46</v>
      </c>
      <c r="D296" s="74"/>
      <c r="E296" s="164"/>
      <c r="F296" s="164"/>
      <c r="G296" s="76"/>
      <c r="H296" s="76"/>
      <c r="I296" s="76"/>
      <c r="J296" s="76"/>
      <c r="K296" s="76"/>
      <c r="L296" s="76"/>
      <c r="M296" s="76"/>
      <c r="N296" s="76"/>
      <c r="O296" s="165">
        <f t="shared" si="56"/>
        <v>0</v>
      </c>
      <c r="P296" s="166">
        <f t="shared" si="57"/>
        <v>0</v>
      </c>
      <c r="Q296" s="164"/>
      <c r="R296" s="164"/>
      <c r="S296" s="164"/>
      <c r="T296" s="164"/>
      <c r="U296" s="167">
        <v>0</v>
      </c>
      <c r="V296" s="167">
        <v>0</v>
      </c>
      <c r="W296" s="167"/>
      <c r="X296" s="164"/>
      <c r="Y296" s="162">
        <f>SUM(Q296:X296)</f>
        <v>0</v>
      </c>
      <c r="Z296" s="162">
        <f>+O296+Y296</f>
        <v>0</v>
      </c>
      <c r="AA296" s="175">
        <f>+D296-Z296</f>
        <v>0</v>
      </c>
    </row>
    <row r="297" spans="1:27" s="138" customFormat="1" ht="13.5" customHeight="1">
      <c r="A297" s="208" t="s">
        <v>79</v>
      </c>
      <c r="B297" s="211" t="s">
        <v>47</v>
      </c>
      <c r="C297" s="212" t="s">
        <v>48</v>
      </c>
      <c r="D297" s="74"/>
      <c r="E297" s="164"/>
      <c r="F297" s="164"/>
      <c r="G297" s="75"/>
      <c r="H297" s="76"/>
      <c r="I297" s="76"/>
      <c r="J297" s="76"/>
      <c r="K297" s="76"/>
      <c r="L297" s="76"/>
      <c r="M297" s="76"/>
      <c r="N297" s="76"/>
      <c r="O297" s="165">
        <f t="shared" si="56"/>
        <v>0</v>
      </c>
      <c r="P297" s="166">
        <f t="shared" si="57"/>
        <v>0</v>
      </c>
      <c r="Q297" s="164"/>
      <c r="R297" s="164"/>
      <c r="S297" s="164"/>
      <c r="T297" s="164"/>
      <c r="U297" s="167">
        <v>0</v>
      </c>
      <c r="V297" s="167">
        <v>0</v>
      </c>
      <c r="W297" s="167"/>
      <c r="X297" s="164"/>
      <c r="Y297" s="162">
        <f>SUM(Q297:X297)</f>
        <v>0</v>
      </c>
      <c r="Z297" s="162">
        <f>+O297+Y297</f>
        <v>0</v>
      </c>
      <c r="AA297" s="175">
        <f>+D297-Z297</f>
        <v>0</v>
      </c>
    </row>
    <row r="298" spans="1:27" s="138" customFormat="1" ht="13.5" customHeight="1">
      <c r="A298" s="208" t="s">
        <v>79</v>
      </c>
      <c r="B298" s="211" t="s">
        <v>49</v>
      </c>
      <c r="C298" s="212" t="s">
        <v>50</v>
      </c>
      <c r="D298" s="74"/>
      <c r="E298" s="164"/>
      <c r="F298" s="164"/>
      <c r="G298" s="76"/>
      <c r="H298" s="76"/>
      <c r="I298" s="76"/>
      <c r="J298" s="76"/>
      <c r="K298" s="76"/>
      <c r="L298" s="76"/>
      <c r="M298" s="76"/>
      <c r="N298" s="76"/>
      <c r="O298" s="165">
        <f t="shared" si="56"/>
        <v>0</v>
      </c>
      <c r="P298" s="166">
        <f t="shared" si="57"/>
        <v>0</v>
      </c>
      <c r="Q298" s="164"/>
      <c r="R298" s="164"/>
      <c r="S298" s="164"/>
      <c r="T298" s="164"/>
      <c r="U298" s="167">
        <v>0</v>
      </c>
      <c r="V298" s="167">
        <v>0</v>
      </c>
      <c r="W298" s="167"/>
      <c r="X298" s="164"/>
      <c r="Y298" s="162">
        <f>SUM(Q298:X298)</f>
        <v>0</v>
      </c>
      <c r="Z298" s="162">
        <f>+O298+Y298</f>
        <v>0</v>
      </c>
      <c r="AA298" s="175">
        <f>+D298-Z298</f>
        <v>0</v>
      </c>
    </row>
    <row r="299" spans="1:27" s="138" customFormat="1" ht="13.5" customHeight="1">
      <c r="A299" s="208" t="s">
        <v>79</v>
      </c>
      <c r="B299" s="204" t="s">
        <v>51</v>
      </c>
      <c r="C299" s="196" t="s">
        <v>52</v>
      </c>
      <c r="D299" s="67"/>
      <c r="E299" s="139"/>
      <c r="F299" s="139"/>
      <c r="G299" s="69"/>
      <c r="H299" s="69"/>
      <c r="I299" s="69"/>
      <c r="J299" s="69"/>
      <c r="K299" s="69"/>
      <c r="L299" s="69"/>
      <c r="M299" s="69"/>
      <c r="N299" s="69"/>
      <c r="O299" s="140">
        <f t="shared" si="56"/>
        <v>0</v>
      </c>
      <c r="P299" s="141">
        <f t="shared" si="57"/>
        <v>0</v>
      </c>
      <c r="Q299" s="139"/>
      <c r="R299" s="139"/>
      <c r="S299" s="139"/>
      <c r="T299" s="139"/>
      <c r="U299" s="142">
        <v>0</v>
      </c>
      <c r="V299" s="142">
        <v>0</v>
      </c>
      <c r="W299" s="142"/>
      <c r="X299" s="139"/>
      <c r="Y299" s="136">
        <f>SUM(Q299:X299)</f>
        <v>0</v>
      </c>
      <c r="Z299" s="136">
        <f>+O299+Y299</f>
        <v>0</v>
      </c>
      <c r="AA299" s="137">
        <f>+D299-Z299</f>
        <v>0</v>
      </c>
    </row>
    <row r="300" spans="1:27" s="138" customFormat="1" ht="13.5" customHeight="1">
      <c r="A300" s="208" t="s">
        <v>79</v>
      </c>
      <c r="B300" s="211" t="s">
        <v>53</v>
      </c>
      <c r="C300" s="212" t="s">
        <v>54</v>
      </c>
      <c r="D300" s="74"/>
      <c r="E300" s="164"/>
      <c r="F300" s="164"/>
      <c r="G300" s="76"/>
      <c r="H300" s="76"/>
      <c r="I300" s="76"/>
      <c r="J300" s="76"/>
      <c r="K300" s="76"/>
      <c r="L300" s="76"/>
      <c r="M300" s="76"/>
      <c r="N300" s="76"/>
      <c r="O300" s="165">
        <f t="shared" si="56"/>
        <v>0</v>
      </c>
      <c r="P300" s="166">
        <f t="shared" si="57"/>
        <v>0</v>
      </c>
      <c r="Q300" s="164"/>
      <c r="R300" s="164"/>
      <c r="S300" s="164"/>
      <c r="T300" s="164"/>
      <c r="U300" s="167">
        <v>0</v>
      </c>
      <c r="V300" s="167">
        <v>0</v>
      </c>
      <c r="W300" s="167"/>
      <c r="X300" s="164"/>
      <c r="Y300" s="162">
        <f>SUM(Q300:X300)</f>
        <v>0</v>
      </c>
      <c r="Z300" s="162">
        <f>+O300+Y300</f>
        <v>0</v>
      </c>
      <c r="AA300" s="175">
        <f>+D300-Z300</f>
        <v>0</v>
      </c>
    </row>
    <row r="301" spans="1:27" s="138" customFormat="1" ht="13.5" customHeight="1">
      <c r="A301" s="208" t="s">
        <v>79</v>
      </c>
      <c r="B301" s="211" t="s">
        <v>55</v>
      </c>
      <c r="C301" s="212" t="s">
        <v>56</v>
      </c>
      <c r="D301" s="74"/>
      <c r="E301" s="164"/>
      <c r="F301" s="164"/>
      <c r="G301" s="75"/>
      <c r="H301" s="75"/>
      <c r="I301" s="75"/>
      <c r="J301" s="75"/>
      <c r="K301" s="75"/>
      <c r="L301" s="75"/>
      <c r="M301" s="75"/>
      <c r="N301" s="75"/>
      <c r="O301" s="165">
        <f t="shared" si="56"/>
        <v>0</v>
      </c>
      <c r="P301" s="166">
        <f t="shared" si="57"/>
        <v>0</v>
      </c>
      <c r="Q301" s="164"/>
      <c r="R301" s="164"/>
      <c r="S301" s="164"/>
      <c r="T301" s="164"/>
      <c r="U301" s="167">
        <v>0</v>
      </c>
      <c r="V301" s="167">
        <v>0</v>
      </c>
      <c r="W301" s="167"/>
      <c r="X301" s="164"/>
      <c r="Y301" s="162">
        <f>SUM(Q301:X301)</f>
        <v>0</v>
      </c>
      <c r="Z301" s="162">
        <f>+O301+Y301</f>
        <v>0</v>
      </c>
      <c r="AA301" s="175">
        <f>+D301-Z301</f>
        <v>0</v>
      </c>
    </row>
    <row r="302" spans="1:27" s="138" customFormat="1" ht="13.5" customHeight="1">
      <c r="A302" s="208" t="s">
        <v>79</v>
      </c>
      <c r="B302" s="204" t="s">
        <v>57</v>
      </c>
      <c r="C302" s="196" t="s">
        <v>58</v>
      </c>
      <c r="D302" s="67"/>
      <c r="E302" s="139"/>
      <c r="F302" s="139"/>
      <c r="G302" s="68"/>
      <c r="H302" s="68"/>
      <c r="I302" s="68"/>
      <c r="J302" s="68"/>
      <c r="K302" s="68"/>
      <c r="L302" s="68"/>
      <c r="M302" s="68"/>
      <c r="N302" s="68"/>
      <c r="O302" s="140">
        <f t="shared" si="56"/>
        <v>0</v>
      </c>
      <c r="P302" s="141">
        <f t="shared" si="57"/>
        <v>0</v>
      </c>
      <c r="Q302" s="139"/>
      <c r="R302" s="139"/>
      <c r="S302" s="139"/>
      <c r="T302" s="139"/>
      <c r="U302" s="142">
        <v>0</v>
      </c>
      <c r="V302" s="142">
        <v>0</v>
      </c>
      <c r="W302" s="142"/>
      <c r="X302" s="139"/>
      <c r="Y302" s="136">
        <f>SUM(Q302:X302)</f>
        <v>0</v>
      </c>
      <c r="Z302" s="136">
        <f>+O302+Y302</f>
        <v>0</v>
      </c>
      <c r="AA302" s="137">
        <f>+D302-Z302</f>
        <v>0</v>
      </c>
    </row>
    <row r="303" spans="1:27" s="138" customFormat="1" ht="13.5" customHeight="1">
      <c r="A303" s="208" t="s">
        <v>79</v>
      </c>
      <c r="B303" s="213" t="s">
        <v>59</v>
      </c>
      <c r="C303" s="214" t="s">
        <v>60</v>
      </c>
      <c r="D303" s="77"/>
      <c r="E303" s="168"/>
      <c r="F303" s="168"/>
      <c r="G303" s="78"/>
      <c r="H303" s="78"/>
      <c r="I303" s="78"/>
      <c r="J303" s="78"/>
      <c r="K303" s="78"/>
      <c r="L303" s="78"/>
      <c r="M303" s="78"/>
      <c r="N303" s="78"/>
      <c r="O303" s="169">
        <f t="shared" si="56"/>
        <v>0</v>
      </c>
      <c r="P303" s="170">
        <f t="shared" si="57"/>
        <v>0</v>
      </c>
      <c r="Q303" s="168"/>
      <c r="R303" s="168"/>
      <c r="S303" s="168"/>
      <c r="T303" s="168"/>
      <c r="U303" s="171">
        <v>0</v>
      </c>
      <c r="V303" s="171">
        <v>0</v>
      </c>
      <c r="W303" s="171"/>
      <c r="X303" s="168"/>
      <c r="Y303" s="162">
        <f>SUM(Q303:X303)</f>
        <v>0</v>
      </c>
      <c r="Z303" s="162">
        <f>+O303+Y303</f>
        <v>0</v>
      </c>
      <c r="AA303" s="176">
        <f>+D303-Z303</f>
        <v>0</v>
      </c>
    </row>
    <row r="304" spans="1:27" s="108" customFormat="1" ht="13.5" customHeight="1">
      <c r="A304" s="193" t="s">
        <v>80</v>
      </c>
      <c r="B304" s="199"/>
      <c r="C304" s="200"/>
      <c r="D304" s="129">
        <f t="shared" ref="D304:N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:L304" si="65">SUBTOTAL(9,H305:H320)</f>
        <v>0</v>
      </c>
      <c r="I304" s="130">
        <f t="shared" si="65"/>
        <v>0</v>
      </c>
      <c r="J304" s="130">
        <f t="shared" si="65"/>
        <v>0</v>
      </c>
      <c r="K304" s="130">
        <f t="shared" si="65"/>
        <v>0</v>
      </c>
      <c r="L304" s="130">
        <f t="shared" si="65"/>
        <v>0</v>
      </c>
      <c r="M304" s="130">
        <f t="shared" si="64"/>
        <v>0</v>
      </c>
      <c r="N304" s="130">
        <f t="shared" si="64"/>
        <v>0</v>
      </c>
      <c r="O304" s="107">
        <f t="shared" si="56"/>
        <v>0</v>
      </c>
      <c r="P304" s="107">
        <f t="shared" si="57"/>
        <v>0</v>
      </c>
      <c r="Q304" s="130">
        <f t="shared" ref="Q304:X304" si="66">SUBTOTAL(9,Q305:Q320)</f>
        <v>0</v>
      </c>
      <c r="R304" s="130">
        <f t="shared" si="66"/>
        <v>0</v>
      </c>
      <c r="S304" s="130">
        <f t="shared" si="66"/>
        <v>0</v>
      </c>
      <c r="T304" s="130">
        <f t="shared" si="66"/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SUM(Q304:X304)</f>
        <v>0</v>
      </c>
      <c r="Z304" s="56">
        <f>+O304+Y304</f>
        <v>0</v>
      </c>
      <c r="AA304" s="131">
        <f>+D304-Z304</f>
        <v>0</v>
      </c>
    </row>
    <row r="305" spans="1:27" s="138" customFormat="1" ht="13.5" customHeight="1">
      <c r="A305" s="201" t="s">
        <v>80</v>
      </c>
      <c r="B305" s="202" t="s">
        <v>29</v>
      </c>
      <c r="C305" s="203" t="s">
        <v>30</v>
      </c>
      <c r="D305" s="65"/>
      <c r="E305" s="132"/>
      <c r="F305" s="132"/>
      <c r="G305" s="66"/>
      <c r="H305" s="66"/>
      <c r="I305" s="66"/>
      <c r="J305" s="66"/>
      <c r="K305" s="66"/>
      <c r="L305" s="66"/>
      <c r="M305" s="66"/>
      <c r="N305" s="66"/>
      <c r="O305" s="133">
        <f t="shared" si="56"/>
        <v>0</v>
      </c>
      <c r="P305" s="134">
        <f t="shared" si="57"/>
        <v>0</v>
      </c>
      <c r="Q305" s="132"/>
      <c r="R305" s="132"/>
      <c r="S305" s="132"/>
      <c r="T305" s="132"/>
      <c r="U305" s="135">
        <v>0</v>
      </c>
      <c r="V305" s="135">
        <v>0</v>
      </c>
      <c r="W305" s="135"/>
      <c r="X305" s="132"/>
      <c r="Y305" s="136">
        <f>SUM(Q305:X305)</f>
        <v>0</v>
      </c>
      <c r="Z305" s="136">
        <f>+O305+Y305</f>
        <v>0</v>
      </c>
      <c r="AA305" s="137">
        <f>+D305-Z305</f>
        <v>0</v>
      </c>
    </row>
    <row r="306" spans="1:27" s="138" customFormat="1" ht="13.5" customHeight="1">
      <c r="A306" s="201" t="s">
        <v>80</v>
      </c>
      <c r="B306" s="204" t="s">
        <v>31</v>
      </c>
      <c r="C306" s="196" t="s">
        <v>32</v>
      </c>
      <c r="D306" s="67"/>
      <c r="E306" s="139"/>
      <c r="F306" s="139"/>
      <c r="G306" s="68"/>
      <c r="H306" s="68"/>
      <c r="I306" s="68"/>
      <c r="J306" s="68"/>
      <c r="K306" s="68"/>
      <c r="L306" s="68"/>
      <c r="M306" s="68"/>
      <c r="N306" s="68"/>
      <c r="O306" s="140">
        <f t="shared" si="56"/>
        <v>0</v>
      </c>
      <c r="P306" s="141">
        <f t="shared" si="57"/>
        <v>0</v>
      </c>
      <c r="Q306" s="139"/>
      <c r="R306" s="139"/>
      <c r="S306" s="139"/>
      <c r="T306" s="139"/>
      <c r="U306" s="142">
        <v>0</v>
      </c>
      <c r="V306" s="142">
        <v>0</v>
      </c>
      <c r="W306" s="142"/>
      <c r="X306" s="139"/>
      <c r="Y306" s="136">
        <f>SUM(Q306:X306)</f>
        <v>0</v>
      </c>
      <c r="Z306" s="136">
        <f>+O306+Y306</f>
        <v>0</v>
      </c>
      <c r="AA306" s="137">
        <f>+D306-Z306</f>
        <v>0</v>
      </c>
    </row>
    <row r="307" spans="1:27" s="138" customFormat="1" ht="13.5" customHeight="1">
      <c r="A307" s="201" t="s">
        <v>80</v>
      </c>
      <c r="B307" s="204" t="s">
        <v>33</v>
      </c>
      <c r="C307" s="196" t="s">
        <v>34</v>
      </c>
      <c r="D307" s="67"/>
      <c r="E307" s="139"/>
      <c r="F307" s="139"/>
      <c r="G307" s="68"/>
      <c r="H307" s="68"/>
      <c r="I307" s="68"/>
      <c r="J307" s="68"/>
      <c r="K307" s="68"/>
      <c r="L307" s="68"/>
      <c r="M307" s="68"/>
      <c r="N307" s="68"/>
      <c r="O307" s="140">
        <f t="shared" si="56"/>
        <v>0</v>
      </c>
      <c r="P307" s="141">
        <f t="shared" si="57"/>
        <v>0</v>
      </c>
      <c r="Q307" s="139"/>
      <c r="R307" s="139"/>
      <c r="S307" s="139"/>
      <c r="T307" s="139"/>
      <c r="U307" s="142">
        <v>0</v>
      </c>
      <c r="V307" s="142">
        <v>0</v>
      </c>
      <c r="W307" s="142"/>
      <c r="X307" s="139"/>
      <c r="Y307" s="136">
        <f>SUM(Q307:X307)</f>
        <v>0</v>
      </c>
      <c r="Z307" s="136">
        <f>+O307+Y307</f>
        <v>0</v>
      </c>
      <c r="AA307" s="137">
        <f>+D307-Z307</f>
        <v>0</v>
      </c>
    </row>
    <row r="308" spans="1:27" s="138" customFormat="1" ht="13.5" customHeight="1">
      <c r="A308" s="201" t="s">
        <v>80</v>
      </c>
      <c r="B308" s="204" t="s">
        <v>35</v>
      </c>
      <c r="C308" s="196" t="s">
        <v>36</v>
      </c>
      <c r="D308" s="67"/>
      <c r="E308" s="139"/>
      <c r="F308" s="139"/>
      <c r="G308" s="68"/>
      <c r="H308" s="68"/>
      <c r="I308" s="68"/>
      <c r="J308" s="68"/>
      <c r="K308" s="68"/>
      <c r="L308" s="68"/>
      <c r="M308" s="68"/>
      <c r="N308" s="68"/>
      <c r="O308" s="140">
        <f t="shared" si="56"/>
        <v>0</v>
      </c>
      <c r="P308" s="141">
        <f t="shared" si="57"/>
        <v>0</v>
      </c>
      <c r="Q308" s="139"/>
      <c r="R308" s="139"/>
      <c r="S308" s="139"/>
      <c r="T308" s="139"/>
      <c r="U308" s="142">
        <v>0</v>
      </c>
      <c r="V308" s="142">
        <v>0</v>
      </c>
      <c r="W308" s="142"/>
      <c r="X308" s="139"/>
      <c r="Y308" s="136">
        <f>SUM(Q308:X308)</f>
        <v>0</v>
      </c>
      <c r="Z308" s="136">
        <f>+O308+Y308</f>
        <v>0</v>
      </c>
      <c r="AA308" s="137">
        <f>+D308-Z308</f>
        <v>0</v>
      </c>
    </row>
    <row r="309" spans="1:27" s="138" customFormat="1" ht="13.5" customHeight="1">
      <c r="A309" s="201" t="s">
        <v>80</v>
      </c>
      <c r="B309" s="204" t="s">
        <v>37</v>
      </c>
      <c r="C309" s="196" t="s">
        <v>38</v>
      </c>
      <c r="D309" s="67"/>
      <c r="E309" s="139"/>
      <c r="F309" s="139"/>
      <c r="G309" s="68"/>
      <c r="H309" s="68"/>
      <c r="I309" s="68"/>
      <c r="J309" s="68"/>
      <c r="K309" s="68"/>
      <c r="L309" s="68"/>
      <c r="M309" s="68"/>
      <c r="N309" s="68"/>
      <c r="O309" s="140">
        <f t="shared" si="56"/>
        <v>0</v>
      </c>
      <c r="P309" s="141">
        <f t="shared" si="57"/>
        <v>0</v>
      </c>
      <c r="Q309" s="139"/>
      <c r="R309" s="139"/>
      <c r="S309" s="139"/>
      <c r="T309" s="139"/>
      <c r="U309" s="142">
        <v>0</v>
      </c>
      <c r="V309" s="142">
        <v>0</v>
      </c>
      <c r="W309" s="142"/>
      <c r="X309" s="139"/>
      <c r="Y309" s="136">
        <f>SUM(Q309:X309)</f>
        <v>0</v>
      </c>
      <c r="Z309" s="136">
        <f>+O309+Y309</f>
        <v>0</v>
      </c>
      <c r="AA309" s="137">
        <f>+D309-Z309</f>
        <v>0</v>
      </c>
    </row>
    <row r="310" spans="1:27" s="138" customFormat="1" ht="13.5" customHeight="1">
      <c r="A310" s="201" t="s">
        <v>80</v>
      </c>
      <c r="B310" s="204" t="s">
        <v>39</v>
      </c>
      <c r="C310" s="196" t="s">
        <v>40</v>
      </c>
      <c r="D310" s="67"/>
      <c r="E310" s="139"/>
      <c r="F310" s="139"/>
      <c r="G310" s="68"/>
      <c r="H310" s="68"/>
      <c r="I310" s="68"/>
      <c r="J310" s="68"/>
      <c r="K310" s="68"/>
      <c r="L310" s="68"/>
      <c r="M310" s="68"/>
      <c r="N310" s="68"/>
      <c r="O310" s="140">
        <f t="shared" si="56"/>
        <v>0</v>
      </c>
      <c r="P310" s="141">
        <f t="shared" si="57"/>
        <v>0</v>
      </c>
      <c r="Q310" s="139"/>
      <c r="R310" s="139"/>
      <c r="S310" s="139"/>
      <c r="T310" s="139"/>
      <c r="U310" s="142">
        <v>0</v>
      </c>
      <c r="V310" s="142">
        <v>0</v>
      </c>
      <c r="W310" s="142"/>
      <c r="X310" s="139"/>
      <c r="Y310" s="136">
        <f>SUM(Q310:X310)</f>
        <v>0</v>
      </c>
      <c r="Z310" s="136">
        <f>+O310+Y310</f>
        <v>0</v>
      </c>
      <c r="AA310" s="137">
        <f>+D310-Z310</f>
        <v>0</v>
      </c>
    </row>
    <row r="311" spans="1:27" s="138" customFormat="1" ht="13.5" customHeight="1">
      <c r="A311" s="201" t="s">
        <v>80</v>
      </c>
      <c r="B311" s="204" t="s">
        <v>41</v>
      </c>
      <c r="C311" s="196" t="s">
        <v>42</v>
      </c>
      <c r="D311" s="67"/>
      <c r="E311" s="139"/>
      <c r="F311" s="139"/>
      <c r="G311" s="68"/>
      <c r="H311" s="68"/>
      <c r="I311" s="68"/>
      <c r="J311" s="68"/>
      <c r="K311" s="68"/>
      <c r="L311" s="68"/>
      <c r="M311" s="68"/>
      <c r="N311" s="68"/>
      <c r="O311" s="140">
        <f t="shared" si="56"/>
        <v>0</v>
      </c>
      <c r="P311" s="141">
        <f t="shared" si="57"/>
        <v>0</v>
      </c>
      <c r="Q311" s="139"/>
      <c r="R311" s="139"/>
      <c r="S311" s="139"/>
      <c r="T311" s="139"/>
      <c r="U311" s="142">
        <v>0</v>
      </c>
      <c r="V311" s="142">
        <v>0</v>
      </c>
      <c r="W311" s="142"/>
      <c r="X311" s="139"/>
      <c r="Y311" s="136">
        <f>SUM(Q311:X311)</f>
        <v>0</v>
      </c>
      <c r="Z311" s="136">
        <f>+O311+Y311</f>
        <v>0</v>
      </c>
      <c r="AA311" s="137">
        <f>+D311-Z311</f>
        <v>0</v>
      </c>
    </row>
    <row r="312" spans="1:27" s="138" customFormat="1" ht="13.5" customHeight="1">
      <c r="A312" s="201" t="s">
        <v>80</v>
      </c>
      <c r="B312" s="204" t="s">
        <v>43</v>
      </c>
      <c r="C312" s="196" t="s">
        <v>44</v>
      </c>
      <c r="D312" s="67"/>
      <c r="E312" s="139"/>
      <c r="F312" s="139"/>
      <c r="G312" s="69"/>
      <c r="H312" s="69"/>
      <c r="I312" s="69"/>
      <c r="J312" s="69"/>
      <c r="K312" s="69"/>
      <c r="L312" s="69"/>
      <c r="M312" s="69"/>
      <c r="N312" s="69"/>
      <c r="O312" s="140">
        <f t="shared" si="56"/>
        <v>0</v>
      </c>
      <c r="P312" s="141">
        <f t="shared" si="57"/>
        <v>0</v>
      </c>
      <c r="Q312" s="139"/>
      <c r="R312" s="139"/>
      <c r="S312" s="139"/>
      <c r="T312" s="139"/>
      <c r="U312" s="142">
        <v>0</v>
      </c>
      <c r="V312" s="142">
        <v>0</v>
      </c>
      <c r="W312" s="142"/>
      <c r="X312" s="139"/>
      <c r="Y312" s="136">
        <f>SUM(Q312:X312)</f>
        <v>0</v>
      </c>
      <c r="Z312" s="136">
        <f>+O312+Y312</f>
        <v>0</v>
      </c>
      <c r="AA312" s="137">
        <f>+D312-Z312</f>
        <v>0</v>
      </c>
    </row>
    <row r="313" spans="1:27" s="138" customFormat="1" ht="13.5" customHeight="1">
      <c r="A313" s="201" t="s">
        <v>80</v>
      </c>
      <c r="B313" s="204" t="s">
        <v>45</v>
      </c>
      <c r="C313" s="196" t="s">
        <v>46</v>
      </c>
      <c r="D313" s="67"/>
      <c r="E313" s="139"/>
      <c r="F313" s="139"/>
      <c r="G313" s="69"/>
      <c r="H313" s="69"/>
      <c r="I313" s="69"/>
      <c r="J313" s="69"/>
      <c r="K313" s="69"/>
      <c r="L313" s="69"/>
      <c r="M313" s="69"/>
      <c r="N313" s="69"/>
      <c r="O313" s="140">
        <f t="shared" si="56"/>
        <v>0</v>
      </c>
      <c r="P313" s="141">
        <f t="shared" si="57"/>
        <v>0</v>
      </c>
      <c r="Q313" s="139"/>
      <c r="R313" s="139"/>
      <c r="S313" s="139"/>
      <c r="T313" s="139"/>
      <c r="U313" s="142">
        <v>0</v>
      </c>
      <c r="V313" s="142">
        <v>0</v>
      </c>
      <c r="W313" s="142"/>
      <c r="X313" s="139"/>
      <c r="Y313" s="136">
        <f>SUM(Q313:X313)</f>
        <v>0</v>
      </c>
      <c r="Z313" s="136">
        <f>+O313+Y313</f>
        <v>0</v>
      </c>
      <c r="AA313" s="137">
        <f>+D313-Z313</f>
        <v>0</v>
      </c>
    </row>
    <row r="314" spans="1:27" s="138" customFormat="1" ht="13.5" customHeight="1">
      <c r="A314" s="201" t="s">
        <v>80</v>
      </c>
      <c r="B314" s="204" t="s">
        <v>47</v>
      </c>
      <c r="C314" s="196" t="s">
        <v>48</v>
      </c>
      <c r="D314" s="67"/>
      <c r="E314" s="139"/>
      <c r="F314" s="139"/>
      <c r="G314" s="68"/>
      <c r="H314" s="69"/>
      <c r="I314" s="69"/>
      <c r="J314" s="69"/>
      <c r="K314" s="69"/>
      <c r="L314" s="69"/>
      <c r="M314" s="69"/>
      <c r="N314" s="69"/>
      <c r="O314" s="140">
        <f t="shared" si="56"/>
        <v>0</v>
      </c>
      <c r="P314" s="141">
        <f t="shared" si="57"/>
        <v>0</v>
      </c>
      <c r="Q314" s="139"/>
      <c r="R314" s="139"/>
      <c r="S314" s="139"/>
      <c r="T314" s="139"/>
      <c r="U314" s="142">
        <v>0</v>
      </c>
      <c r="V314" s="142">
        <v>0</v>
      </c>
      <c r="W314" s="142"/>
      <c r="X314" s="139"/>
      <c r="Y314" s="136">
        <f>SUM(Q314:X314)</f>
        <v>0</v>
      </c>
      <c r="Z314" s="136">
        <f>+O314+Y314</f>
        <v>0</v>
      </c>
      <c r="AA314" s="137">
        <f>+D314-Z314</f>
        <v>0</v>
      </c>
    </row>
    <row r="315" spans="1:27" s="138" customFormat="1" ht="13.5" customHeight="1">
      <c r="A315" s="201" t="s">
        <v>80</v>
      </c>
      <c r="B315" s="204" t="s">
        <v>49</v>
      </c>
      <c r="C315" s="196" t="s">
        <v>50</v>
      </c>
      <c r="D315" s="67"/>
      <c r="E315" s="139"/>
      <c r="F315" s="139"/>
      <c r="G315" s="69"/>
      <c r="H315" s="69"/>
      <c r="I315" s="69"/>
      <c r="J315" s="69"/>
      <c r="K315" s="69"/>
      <c r="L315" s="69"/>
      <c r="M315" s="69"/>
      <c r="N315" s="69"/>
      <c r="O315" s="140">
        <f t="shared" si="56"/>
        <v>0</v>
      </c>
      <c r="P315" s="141">
        <f t="shared" si="57"/>
        <v>0</v>
      </c>
      <c r="Q315" s="139"/>
      <c r="R315" s="139"/>
      <c r="S315" s="139"/>
      <c r="T315" s="139"/>
      <c r="U315" s="142">
        <v>0</v>
      </c>
      <c r="V315" s="142">
        <v>0</v>
      </c>
      <c r="W315" s="142"/>
      <c r="X315" s="139"/>
      <c r="Y315" s="136">
        <f>SUM(Q315:X315)</f>
        <v>0</v>
      </c>
      <c r="Z315" s="136">
        <f>+O315+Y315</f>
        <v>0</v>
      </c>
      <c r="AA315" s="137">
        <f>+D315-Z315</f>
        <v>0</v>
      </c>
    </row>
    <row r="316" spans="1:27" s="138" customFormat="1" ht="13.5" customHeight="1">
      <c r="A316" s="201" t="s">
        <v>80</v>
      </c>
      <c r="B316" s="204" t="s">
        <v>51</v>
      </c>
      <c r="C316" s="196" t="s">
        <v>52</v>
      </c>
      <c r="D316" s="67"/>
      <c r="E316" s="139"/>
      <c r="F316" s="139"/>
      <c r="G316" s="69"/>
      <c r="H316" s="69"/>
      <c r="I316" s="69"/>
      <c r="J316" s="69"/>
      <c r="K316" s="69"/>
      <c r="L316" s="69"/>
      <c r="M316" s="69"/>
      <c r="N316" s="69"/>
      <c r="O316" s="140">
        <f t="shared" si="56"/>
        <v>0</v>
      </c>
      <c r="P316" s="141">
        <f t="shared" si="57"/>
        <v>0</v>
      </c>
      <c r="Q316" s="139"/>
      <c r="R316" s="139"/>
      <c r="S316" s="139"/>
      <c r="T316" s="139"/>
      <c r="U316" s="142">
        <v>0</v>
      </c>
      <c r="V316" s="142">
        <v>0</v>
      </c>
      <c r="W316" s="142"/>
      <c r="X316" s="139"/>
      <c r="Y316" s="136">
        <f>SUM(Q316:X316)</f>
        <v>0</v>
      </c>
      <c r="Z316" s="136">
        <f>+O316+Y316</f>
        <v>0</v>
      </c>
      <c r="AA316" s="137">
        <f>+D316-Z316</f>
        <v>0</v>
      </c>
    </row>
    <row r="317" spans="1:27" s="138" customFormat="1" ht="13.5" customHeight="1">
      <c r="A317" s="201" t="s">
        <v>80</v>
      </c>
      <c r="B317" s="204" t="s">
        <v>53</v>
      </c>
      <c r="C317" s="196" t="s">
        <v>54</v>
      </c>
      <c r="D317" s="67"/>
      <c r="E317" s="139"/>
      <c r="F317" s="139"/>
      <c r="G317" s="69"/>
      <c r="H317" s="69"/>
      <c r="I317" s="69"/>
      <c r="J317" s="69"/>
      <c r="K317" s="69"/>
      <c r="L317" s="69"/>
      <c r="M317" s="69"/>
      <c r="N317" s="69"/>
      <c r="O317" s="140">
        <f t="shared" si="56"/>
        <v>0</v>
      </c>
      <c r="P317" s="141">
        <f t="shared" si="57"/>
        <v>0</v>
      </c>
      <c r="Q317" s="139"/>
      <c r="R317" s="139"/>
      <c r="S317" s="139"/>
      <c r="T317" s="139"/>
      <c r="U317" s="142">
        <v>0</v>
      </c>
      <c r="V317" s="142">
        <v>0</v>
      </c>
      <c r="W317" s="142"/>
      <c r="X317" s="139"/>
      <c r="Y317" s="136">
        <f>SUM(Q317:X317)</f>
        <v>0</v>
      </c>
      <c r="Z317" s="136">
        <f>+O317+Y317</f>
        <v>0</v>
      </c>
      <c r="AA317" s="137">
        <f>+D317-Z317</f>
        <v>0</v>
      </c>
    </row>
    <row r="318" spans="1:27" s="138" customFormat="1" ht="13.5" customHeight="1">
      <c r="A318" s="201" t="s">
        <v>80</v>
      </c>
      <c r="B318" s="204" t="s">
        <v>55</v>
      </c>
      <c r="C318" s="196" t="s">
        <v>56</v>
      </c>
      <c r="D318" s="67"/>
      <c r="E318" s="139"/>
      <c r="F318" s="139"/>
      <c r="G318" s="68"/>
      <c r="H318" s="68"/>
      <c r="I318" s="68"/>
      <c r="J318" s="68"/>
      <c r="K318" s="68"/>
      <c r="L318" s="68"/>
      <c r="M318" s="68"/>
      <c r="N318" s="68"/>
      <c r="O318" s="140">
        <f t="shared" si="56"/>
        <v>0</v>
      </c>
      <c r="P318" s="141">
        <f t="shared" si="57"/>
        <v>0</v>
      </c>
      <c r="Q318" s="139"/>
      <c r="R318" s="139"/>
      <c r="S318" s="139"/>
      <c r="T318" s="139"/>
      <c r="U318" s="142">
        <v>0</v>
      </c>
      <c r="V318" s="142">
        <v>0</v>
      </c>
      <c r="W318" s="142"/>
      <c r="X318" s="139"/>
      <c r="Y318" s="136">
        <f>SUM(Q318:X318)</f>
        <v>0</v>
      </c>
      <c r="Z318" s="136">
        <f>+O318+Y318</f>
        <v>0</v>
      </c>
      <c r="AA318" s="137">
        <f>+D318-Z318</f>
        <v>0</v>
      </c>
    </row>
    <row r="319" spans="1:27" s="138" customFormat="1" ht="13.5" customHeight="1">
      <c r="A319" s="201" t="s">
        <v>80</v>
      </c>
      <c r="B319" s="204" t="s">
        <v>57</v>
      </c>
      <c r="C319" s="196" t="s">
        <v>58</v>
      </c>
      <c r="D319" s="67"/>
      <c r="E319" s="139"/>
      <c r="F319" s="139"/>
      <c r="G319" s="68"/>
      <c r="H319" s="68"/>
      <c r="I319" s="68"/>
      <c r="J319" s="68"/>
      <c r="K319" s="68"/>
      <c r="L319" s="68"/>
      <c r="M319" s="68"/>
      <c r="N319" s="68"/>
      <c r="O319" s="140">
        <f t="shared" si="56"/>
        <v>0</v>
      </c>
      <c r="P319" s="141">
        <f t="shared" si="57"/>
        <v>0</v>
      </c>
      <c r="Q319" s="139"/>
      <c r="R319" s="139"/>
      <c r="S319" s="139"/>
      <c r="T319" s="139"/>
      <c r="U319" s="142">
        <v>0</v>
      </c>
      <c r="V319" s="142">
        <v>0</v>
      </c>
      <c r="W319" s="142"/>
      <c r="X319" s="139"/>
      <c r="Y319" s="136">
        <f>SUM(Q319:X319)</f>
        <v>0</v>
      </c>
      <c r="Z319" s="136">
        <f>+O319+Y319</f>
        <v>0</v>
      </c>
      <c r="AA319" s="137">
        <f>+D319-Z319</f>
        <v>0</v>
      </c>
    </row>
    <row r="320" spans="1:27" s="138" customFormat="1" ht="13.5" customHeight="1">
      <c r="A320" s="201" t="s">
        <v>80</v>
      </c>
      <c r="B320" s="205" t="s">
        <v>59</v>
      </c>
      <c r="C320" s="198" t="s">
        <v>60</v>
      </c>
      <c r="D320" s="70"/>
      <c r="E320" s="143"/>
      <c r="F320" s="143"/>
      <c r="G320" s="71"/>
      <c r="H320" s="71"/>
      <c r="I320" s="71"/>
      <c r="J320" s="71"/>
      <c r="K320" s="71"/>
      <c r="L320" s="71"/>
      <c r="M320" s="71"/>
      <c r="N320" s="71"/>
      <c r="O320" s="144">
        <f t="shared" si="56"/>
        <v>0</v>
      </c>
      <c r="P320" s="145">
        <f t="shared" si="57"/>
        <v>0</v>
      </c>
      <c r="Q320" s="143"/>
      <c r="R320" s="143"/>
      <c r="S320" s="143"/>
      <c r="T320" s="143"/>
      <c r="U320" s="146">
        <v>0</v>
      </c>
      <c r="V320" s="146">
        <v>0</v>
      </c>
      <c r="W320" s="146"/>
      <c r="X320" s="143"/>
      <c r="Y320" s="136">
        <f>SUM(Q320:X320)</f>
        <v>0</v>
      </c>
      <c r="Z320" s="136">
        <f>+O320+Y320</f>
        <v>0</v>
      </c>
      <c r="AA320" s="137">
        <f>+D320-Z320</f>
        <v>0</v>
      </c>
    </row>
    <row r="321" spans="1:27" s="108" customFormat="1" ht="13.5" customHeight="1">
      <c r="A321" s="193" t="s">
        <v>81</v>
      </c>
      <c r="B321" s="199"/>
      <c r="C321" s="200"/>
      <c r="D321" s="129">
        <f t="shared" ref="D321:N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:L321" si="68">SUBTOTAL(9,H322:H337)</f>
        <v>0</v>
      </c>
      <c r="I321" s="130">
        <f t="shared" si="68"/>
        <v>0</v>
      </c>
      <c r="J321" s="130">
        <f t="shared" si="68"/>
        <v>0</v>
      </c>
      <c r="K321" s="130">
        <f t="shared" si="68"/>
        <v>0</v>
      </c>
      <c r="L321" s="130">
        <f t="shared" si="68"/>
        <v>0</v>
      </c>
      <c r="M321" s="130">
        <f t="shared" si="67"/>
        <v>0</v>
      </c>
      <c r="N321" s="130">
        <f t="shared" si="67"/>
        <v>0</v>
      </c>
      <c r="O321" s="107">
        <f t="shared" si="56"/>
        <v>0</v>
      </c>
      <c r="P321" s="107">
        <f t="shared" si="57"/>
        <v>0</v>
      </c>
      <c r="Q321" s="130">
        <f t="shared" ref="Q321:X321" si="69">SUBTOTAL(9,Q322:Q337)</f>
        <v>0</v>
      </c>
      <c r="R321" s="130">
        <f t="shared" si="69"/>
        <v>0</v>
      </c>
      <c r="S321" s="130">
        <f t="shared" si="69"/>
        <v>0</v>
      </c>
      <c r="T321" s="130">
        <f t="shared" si="69"/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SUM(Q321:X321)</f>
        <v>0</v>
      </c>
      <c r="Z321" s="56">
        <f>+O321+Y321</f>
        <v>0</v>
      </c>
      <c r="AA321" s="131">
        <f>+D321-Z321</f>
        <v>0</v>
      </c>
    </row>
    <row r="322" spans="1:27" s="138" customFormat="1" ht="13.5" customHeight="1">
      <c r="A322" s="201" t="s">
        <v>81</v>
      </c>
      <c r="B322" s="202" t="s">
        <v>29</v>
      </c>
      <c r="C322" s="203" t="s">
        <v>30</v>
      </c>
      <c r="D322" s="65"/>
      <c r="E322" s="132"/>
      <c r="F322" s="132"/>
      <c r="G322" s="66"/>
      <c r="H322" s="66"/>
      <c r="I322" s="66"/>
      <c r="J322" s="66"/>
      <c r="K322" s="66"/>
      <c r="L322" s="66"/>
      <c r="M322" s="66"/>
      <c r="N322" s="66"/>
      <c r="O322" s="133">
        <f t="shared" si="56"/>
        <v>0</v>
      </c>
      <c r="P322" s="134">
        <f t="shared" si="57"/>
        <v>0</v>
      </c>
      <c r="Q322" s="132"/>
      <c r="R322" s="132"/>
      <c r="S322" s="132"/>
      <c r="T322" s="132"/>
      <c r="U322" s="135">
        <v>0</v>
      </c>
      <c r="V322" s="135">
        <v>0</v>
      </c>
      <c r="W322" s="135"/>
      <c r="X322" s="132"/>
      <c r="Y322" s="136">
        <f>SUM(Q322:X322)</f>
        <v>0</v>
      </c>
      <c r="Z322" s="136">
        <f>+O322+Y322</f>
        <v>0</v>
      </c>
      <c r="AA322" s="137">
        <f>+D322-Z322</f>
        <v>0</v>
      </c>
    </row>
    <row r="323" spans="1:27" s="138" customFormat="1" ht="13.5" customHeight="1">
      <c r="A323" s="201" t="s">
        <v>81</v>
      </c>
      <c r="B323" s="204" t="s">
        <v>31</v>
      </c>
      <c r="C323" s="196" t="s">
        <v>32</v>
      </c>
      <c r="D323" s="67"/>
      <c r="E323" s="139"/>
      <c r="F323" s="139"/>
      <c r="G323" s="68"/>
      <c r="H323" s="68"/>
      <c r="I323" s="68"/>
      <c r="J323" s="68"/>
      <c r="K323" s="68"/>
      <c r="L323" s="68"/>
      <c r="M323" s="68"/>
      <c r="N323" s="68"/>
      <c r="O323" s="140">
        <f t="shared" si="56"/>
        <v>0</v>
      </c>
      <c r="P323" s="141">
        <f t="shared" si="57"/>
        <v>0</v>
      </c>
      <c r="Q323" s="139"/>
      <c r="R323" s="139"/>
      <c r="S323" s="139"/>
      <c r="T323" s="139"/>
      <c r="U323" s="142">
        <v>0</v>
      </c>
      <c r="V323" s="142">
        <v>0</v>
      </c>
      <c r="W323" s="142"/>
      <c r="X323" s="139"/>
      <c r="Y323" s="136">
        <f>SUM(Q323:X323)</f>
        <v>0</v>
      </c>
      <c r="Z323" s="136">
        <f>+O323+Y323</f>
        <v>0</v>
      </c>
      <c r="AA323" s="137">
        <f>+D323-Z323</f>
        <v>0</v>
      </c>
    </row>
    <row r="324" spans="1:27" s="138" customFormat="1" ht="13.5" customHeight="1">
      <c r="A324" s="201" t="s">
        <v>81</v>
      </c>
      <c r="B324" s="204" t="s">
        <v>33</v>
      </c>
      <c r="C324" s="196" t="s">
        <v>34</v>
      </c>
      <c r="D324" s="67"/>
      <c r="E324" s="139"/>
      <c r="F324" s="139"/>
      <c r="G324" s="68"/>
      <c r="H324" s="68"/>
      <c r="I324" s="68"/>
      <c r="J324" s="68"/>
      <c r="K324" s="68"/>
      <c r="L324" s="68"/>
      <c r="M324" s="68"/>
      <c r="N324" s="68"/>
      <c r="O324" s="140">
        <f t="shared" si="56"/>
        <v>0</v>
      </c>
      <c r="P324" s="141">
        <f t="shared" si="57"/>
        <v>0</v>
      </c>
      <c r="Q324" s="139"/>
      <c r="R324" s="139"/>
      <c r="S324" s="139"/>
      <c r="T324" s="139"/>
      <c r="U324" s="142">
        <v>0</v>
      </c>
      <c r="V324" s="142">
        <v>0</v>
      </c>
      <c r="W324" s="142"/>
      <c r="X324" s="139"/>
      <c r="Y324" s="136">
        <f>SUM(Q324:X324)</f>
        <v>0</v>
      </c>
      <c r="Z324" s="136">
        <f>+O324+Y324</f>
        <v>0</v>
      </c>
      <c r="AA324" s="137">
        <f>+D324-Z324</f>
        <v>0</v>
      </c>
    </row>
    <row r="325" spans="1:27" s="138" customFormat="1" ht="13.5" customHeight="1">
      <c r="A325" s="201" t="s">
        <v>81</v>
      </c>
      <c r="B325" s="204" t="s">
        <v>35</v>
      </c>
      <c r="C325" s="196" t="s">
        <v>36</v>
      </c>
      <c r="D325" s="67"/>
      <c r="E325" s="139"/>
      <c r="F325" s="139"/>
      <c r="G325" s="68"/>
      <c r="H325" s="68"/>
      <c r="I325" s="68"/>
      <c r="J325" s="68"/>
      <c r="K325" s="68"/>
      <c r="L325" s="68"/>
      <c r="M325" s="68"/>
      <c r="N325" s="68"/>
      <c r="O325" s="140">
        <f t="shared" si="56"/>
        <v>0</v>
      </c>
      <c r="P325" s="141">
        <f t="shared" si="57"/>
        <v>0</v>
      </c>
      <c r="Q325" s="139"/>
      <c r="R325" s="139"/>
      <c r="S325" s="139"/>
      <c r="T325" s="139"/>
      <c r="U325" s="142">
        <v>0</v>
      </c>
      <c r="V325" s="142">
        <v>0</v>
      </c>
      <c r="W325" s="142"/>
      <c r="X325" s="139"/>
      <c r="Y325" s="136">
        <f>SUM(Q325:X325)</f>
        <v>0</v>
      </c>
      <c r="Z325" s="136">
        <f>+O325+Y325</f>
        <v>0</v>
      </c>
      <c r="AA325" s="137">
        <f>+D325-Z325</f>
        <v>0</v>
      </c>
    </row>
    <row r="326" spans="1:27" s="138" customFormat="1" ht="13.5" customHeight="1">
      <c r="A326" s="201" t="s">
        <v>81</v>
      </c>
      <c r="B326" s="204" t="s">
        <v>37</v>
      </c>
      <c r="C326" s="196" t="s">
        <v>38</v>
      </c>
      <c r="D326" s="67"/>
      <c r="E326" s="139"/>
      <c r="F326" s="139"/>
      <c r="G326" s="68"/>
      <c r="H326" s="68"/>
      <c r="I326" s="68"/>
      <c r="J326" s="68"/>
      <c r="K326" s="68"/>
      <c r="L326" s="68"/>
      <c r="M326" s="68"/>
      <c r="N326" s="68"/>
      <c r="O326" s="140">
        <f t="shared" ref="O326:O338" si="70">SUM(G326:N326)</f>
        <v>0</v>
      </c>
      <c r="P326" s="141">
        <f t="shared" ref="P326:P337" si="71">D326-O326</f>
        <v>0</v>
      </c>
      <c r="Q326" s="139"/>
      <c r="R326" s="139"/>
      <c r="S326" s="139"/>
      <c r="T326" s="139"/>
      <c r="U326" s="142">
        <v>0</v>
      </c>
      <c r="V326" s="142">
        <v>0</v>
      </c>
      <c r="W326" s="142"/>
      <c r="X326" s="139"/>
      <c r="Y326" s="136">
        <f>SUM(Q326:X326)</f>
        <v>0</v>
      </c>
      <c r="Z326" s="136">
        <f>+O326+Y326</f>
        <v>0</v>
      </c>
      <c r="AA326" s="137">
        <f>+D326-Z326</f>
        <v>0</v>
      </c>
    </row>
    <row r="327" spans="1:27" s="138" customFormat="1" ht="13.5" customHeight="1">
      <c r="A327" s="201" t="s">
        <v>81</v>
      </c>
      <c r="B327" s="204" t="s">
        <v>39</v>
      </c>
      <c r="C327" s="196" t="s">
        <v>40</v>
      </c>
      <c r="D327" s="67"/>
      <c r="E327" s="139"/>
      <c r="F327" s="139"/>
      <c r="G327" s="68"/>
      <c r="H327" s="68"/>
      <c r="I327" s="68"/>
      <c r="J327" s="68"/>
      <c r="K327" s="68"/>
      <c r="L327" s="68"/>
      <c r="M327" s="68"/>
      <c r="N327" s="68"/>
      <c r="O327" s="140">
        <f t="shared" si="70"/>
        <v>0</v>
      </c>
      <c r="P327" s="141">
        <f t="shared" si="71"/>
        <v>0</v>
      </c>
      <c r="Q327" s="139"/>
      <c r="R327" s="139"/>
      <c r="S327" s="139"/>
      <c r="T327" s="139"/>
      <c r="U327" s="142">
        <v>0</v>
      </c>
      <c r="V327" s="142">
        <v>0</v>
      </c>
      <c r="W327" s="142"/>
      <c r="X327" s="139"/>
      <c r="Y327" s="136">
        <f>SUM(Q327:X327)</f>
        <v>0</v>
      </c>
      <c r="Z327" s="136">
        <f>+O327+Y327</f>
        <v>0</v>
      </c>
      <c r="AA327" s="137">
        <f>+D327-Z327</f>
        <v>0</v>
      </c>
    </row>
    <row r="328" spans="1:27" s="138" customFormat="1" ht="13.5" customHeight="1">
      <c r="A328" s="201" t="s">
        <v>81</v>
      </c>
      <c r="B328" s="204" t="s">
        <v>41</v>
      </c>
      <c r="C328" s="196" t="s">
        <v>42</v>
      </c>
      <c r="D328" s="67"/>
      <c r="E328" s="139"/>
      <c r="F328" s="139"/>
      <c r="G328" s="68"/>
      <c r="H328" s="68"/>
      <c r="I328" s="68"/>
      <c r="J328" s="68"/>
      <c r="K328" s="68"/>
      <c r="L328" s="68"/>
      <c r="M328" s="68"/>
      <c r="N328" s="68"/>
      <c r="O328" s="140">
        <f t="shared" si="70"/>
        <v>0</v>
      </c>
      <c r="P328" s="141">
        <f t="shared" si="71"/>
        <v>0</v>
      </c>
      <c r="Q328" s="139"/>
      <c r="R328" s="139"/>
      <c r="S328" s="139"/>
      <c r="T328" s="139"/>
      <c r="U328" s="142">
        <v>0</v>
      </c>
      <c r="V328" s="142">
        <v>0</v>
      </c>
      <c r="W328" s="142"/>
      <c r="X328" s="139"/>
      <c r="Y328" s="136">
        <f>SUM(Q328:X328)</f>
        <v>0</v>
      </c>
      <c r="Z328" s="136">
        <f>+O328+Y328</f>
        <v>0</v>
      </c>
      <c r="AA328" s="137">
        <f>+D328-Z328</f>
        <v>0</v>
      </c>
    </row>
    <row r="329" spans="1:27" s="138" customFormat="1" ht="13.5" customHeight="1">
      <c r="A329" s="201" t="s">
        <v>81</v>
      </c>
      <c r="B329" s="204" t="s">
        <v>43</v>
      </c>
      <c r="C329" s="196" t="s">
        <v>44</v>
      </c>
      <c r="D329" s="67"/>
      <c r="E329" s="139"/>
      <c r="F329" s="139"/>
      <c r="G329" s="69"/>
      <c r="H329" s="69"/>
      <c r="I329" s="69"/>
      <c r="J329" s="69"/>
      <c r="K329" s="69"/>
      <c r="L329" s="69"/>
      <c r="M329" s="69"/>
      <c r="N329" s="69"/>
      <c r="O329" s="140">
        <f t="shared" si="70"/>
        <v>0</v>
      </c>
      <c r="P329" s="141">
        <f t="shared" si="71"/>
        <v>0</v>
      </c>
      <c r="Q329" s="139"/>
      <c r="R329" s="139"/>
      <c r="S329" s="139"/>
      <c r="T329" s="139"/>
      <c r="U329" s="142">
        <v>0</v>
      </c>
      <c r="V329" s="142">
        <v>0</v>
      </c>
      <c r="W329" s="142"/>
      <c r="X329" s="139"/>
      <c r="Y329" s="136">
        <f>SUM(Q329:X329)</f>
        <v>0</v>
      </c>
      <c r="Z329" s="136">
        <f>+O329+Y329</f>
        <v>0</v>
      </c>
      <c r="AA329" s="137">
        <f>+D329-Z329</f>
        <v>0</v>
      </c>
    </row>
    <row r="330" spans="1:27" s="138" customFormat="1" ht="13.5" customHeight="1">
      <c r="A330" s="201" t="s">
        <v>81</v>
      </c>
      <c r="B330" s="204" t="s">
        <v>45</v>
      </c>
      <c r="C330" s="196" t="s">
        <v>46</v>
      </c>
      <c r="D330" s="67"/>
      <c r="E330" s="139"/>
      <c r="F330" s="139"/>
      <c r="G330" s="69"/>
      <c r="H330" s="69"/>
      <c r="I330" s="69"/>
      <c r="J330" s="69"/>
      <c r="K330" s="69"/>
      <c r="L330" s="69"/>
      <c r="M330" s="69"/>
      <c r="N330" s="69"/>
      <c r="O330" s="140">
        <f t="shared" si="70"/>
        <v>0</v>
      </c>
      <c r="P330" s="141">
        <f t="shared" si="71"/>
        <v>0</v>
      </c>
      <c r="Q330" s="139"/>
      <c r="R330" s="139"/>
      <c r="S330" s="139"/>
      <c r="T330" s="139"/>
      <c r="U330" s="142">
        <v>0</v>
      </c>
      <c r="V330" s="142">
        <v>0</v>
      </c>
      <c r="W330" s="142"/>
      <c r="X330" s="139"/>
      <c r="Y330" s="136">
        <f>SUM(Q330:X330)</f>
        <v>0</v>
      </c>
      <c r="Z330" s="136">
        <f>+O330+Y330</f>
        <v>0</v>
      </c>
      <c r="AA330" s="137">
        <f>+D330-Z330</f>
        <v>0</v>
      </c>
    </row>
    <row r="331" spans="1:27" s="138" customFormat="1" ht="13.5" customHeight="1">
      <c r="A331" s="201" t="s">
        <v>81</v>
      </c>
      <c r="B331" s="204" t="s">
        <v>47</v>
      </c>
      <c r="C331" s="196" t="s">
        <v>48</v>
      </c>
      <c r="D331" s="67"/>
      <c r="E331" s="139"/>
      <c r="F331" s="139"/>
      <c r="G331" s="68"/>
      <c r="H331" s="69"/>
      <c r="I331" s="69"/>
      <c r="J331" s="69"/>
      <c r="K331" s="69"/>
      <c r="L331" s="69"/>
      <c r="M331" s="69"/>
      <c r="N331" s="69"/>
      <c r="O331" s="140">
        <f t="shared" si="70"/>
        <v>0</v>
      </c>
      <c r="P331" s="141">
        <f t="shared" si="71"/>
        <v>0</v>
      </c>
      <c r="Q331" s="139"/>
      <c r="R331" s="139"/>
      <c r="S331" s="139"/>
      <c r="T331" s="139"/>
      <c r="U331" s="142">
        <v>0</v>
      </c>
      <c r="V331" s="142">
        <v>0</v>
      </c>
      <c r="W331" s="142"/>
      <c r="X331" s="139"/>
      <c r="Y331" s="136">
        <f>SUM(Q331:X331)</f>
        <v>0</v>
      </c>
      <c r="Z331" s="136">
        <f>+O331+Y331</f>
        <v>0</v>
      </c>
      <c r="AA331" s="137">
        <f>+D331-Z331</f>
        <v>0</v>
      </c>
    </row>
    <row r="332" spans="1:27" s="138" customFormat="1" ht="13.5" customHeight="1">
      <c r="A332" s="201" t="s">
        <v>81</v>
      </c>
      <c r="B332" s="204" t="s">
        <v>49</v>
      </c>
      <c r="C332" s="196" t="s">
        <v>50</v>
      </c>
      <c r="D332" s="67"/>
      <c r="E332" s="139"/>
      <c r="F332" s="139"/>
      <c r="G332" s="69"/>
      <c r="H332" s="69"/>
      <c r="I332" s="69"/>
      <c r="J332" s="69"/>
      <c r="K332" s="69"/>
      <c r="L332" s="69"/>
      <c r="M332" s="69"/>
      <c r="N332" s="69"/>
      <c r="O332" s="140">
        <f t="shared" si="70"/>
        <v>0</v>
      </c>
      <c r="P332" s="141">
        <f t="shared" si="71"/>
        <v>0</v>
      </c>
      <c r="Q332" s="139"/>
      <c r="R332" s="139"/>
      <c r="S332" s="139"/>
      <c r="T332" s="139"/>
      <c r="U332" s="142">
        <v>0</v>
      </c>
      <c r="V332" s="142">
        <v>0</v>
      </c>
      <c r="W332" s="142"/>
      <c r="X332" s="139"/>
      <c r="Y332" s="136">
        <f>SUM(Q332:X332)</f>
        <v>0</v>
      </c>
      <c r="Z332" s="136">
        <f>+O332+Y332</f>
        <v>0</v>
      </c>
      <c r="AA332" s="137">
        <f>+D332-Z332</f>
        <v>0</v>
      </c>
    </row>
    <row r="333" spans="1:27" s="138" customFormat="1" ht="13.5" customHeight="1">
      <c r="A333" s="201" t="s">
        <v>81</v>
      </c>
      <c r="B333" s="204" t="s">
        <v>51</v>
      </c>
      <c r="C333" s="196" t="s">
        <v>52</v>
      </c>
      <c r="D333" s="67"/>
      <c r="E333" s="139"/>
      <c r="F333" s="139"/>
      <c r="G333" s="69"/>
      <c r="H333" s="69"/>
      <c r="I333" s="69"/>
      <c r="J333" s="69"/>
      <c r="K333" s="69"/>
      <c r="L333" s="69"/>
      <c r="M333" s="69"/>
      <c r="N333" s="69"/>
      <c r="O333" s="140">
        <f t="shared" si="70"/>
        <v>0</v>
      </c>
      <c r="P333" s="141">
        <f t="shared" si="71"/>
        <v>0</v>
      </c>
      <c r="Q333" s="139"/>
      <c r="R333" s="139"/>
      <c r="S333" s="139"/>
      <c r="T333" s="139"/>
      <c r="U333" s="142">
        <v>0</v>
      </c>
      <c r="V333" s="142">
        <v>0</v>
      </c>
      <c r="W333" s="142"/>
      <c r="X333" s="139"/>
      <c r="Y333" s="136">
        <f>SUM(Q333:X333)</f>
        <v>0</v>
      </c>
      <c r="Z333" s="136">
        <f>+O333+Y333</f>
        <v>0</v>
      </c>
      <c r="AA333" s="137">
        <f>+D333-Z333</f>
        <v>0</v>
      </c>
    </row>
    <row r="334" spans="1:27" s="138" customFormat="1" ht="13.5" customHeight="1">
      <c r="A334" s="201" t="s">
        <v>81</v>
      </c>
      <c r="B334" s="204" t="s">
        <v>53</v>
      </c>
      <c r="C334" s="196" t="s">
        <v>54</v>
      </c>
      <c r="D334" s="67"/>
      <c r="E334" s="139"/>
      <c r="F334" s="139"/>
      <c r="G334" s="69"/>
      <c r="H334" s="69"/>
      <c r="I334" s="69"/>
      <c r="J334" s="69"/>
      <c r="K334" s="69"/>
      <c r="L334" s="69"/>
      <c r="M334" s="69"/>
      <c r="N334" s="69"/>
      <c r="O334" s="140">
        <f t="shared" si="70"/>
        <v>0</v>
      </c>
      <c r="P334" s="141">
        <f t="shared" si="71"/>
        <v>0</v>
      </c>
      <c r="Q334" s="139"/>
      <c r="R334" s="139"/>
      <c r="S334" s="139"/>
      <c r="T334" s="139"/>
      <c r="U334" s="142">
        <v>0</v>
      </c>
      <c r="V334" s="142">
        <v>0</v>
      </c>
      <c r="W334" s="142"/>
      <c r="X334" s="139"/>
      <c r="Y334" s="136">
        <f>SUM(Q334:X334)</f>
        <v>0</v>
      </c>
      <c r="Z334" s="136">
        <f>+O334+Y334</f>
        <v>0</v>
      </c>
      <c r="AA334" s="137">
        <f>+D334-Z334</f>
        <v>0</v>
      </c>
    </row>
    <row r="335" spans="1:27" s="138" customFormat="1" ht="13.5" customHeight="1">
      <c r="A335" s="201" t="s">
        <v>81</v>
      </c>
      <c r="B335" s="204" t="s">
        <v>55</v>
      </c>
      <c r="C335" s="196" t="s">
        <v>56</v>
      </c>
      <c r="D335" s="67"/>
      <c r="E335" s="139"/>
      <c r="F335" s="139"/>
      <c r="G335" s="68"/>
      <c r="H335" s="68"/>
      <c r="I335" s="68"/>
      <c r="J335" s="68"/>
      <c r="K335" s="68"/>
      <c r="L335" s="68"/>
      <c r="M335" s="68"/>
      <c r="N335" s="68"/>
      <c r="O335" s="140">
        <f t="shared" si="70"/>
        <v>0</v>
      </c>
      <c r="P335" s="141">
        <f t="shared" si="71"/>
        <v>0</v>
      </c>
      <c r="Q335" s="139"/>
      <c r="R335" s="139"/>
      <c r="S335" s="139"/>
      <c r="T335" s="139"/>
      <c r="U335" s="142">
        <v>0</v>
      </c>
      <c r="V335" s="142">
        <v>0</v>
      </c>
      <c r="W335" s="142"/>
      <c r="X335" s="139"/>
      <c r="Y335" s="136">
        <f>SUM(Q335:X335)</f>
        <v>0</v>
      </c>
      <c r="Z335" s="136">
        <f>+O335+Y335</f>
        <v>0</v>
      </c>
      <c r="AA335" s="137">
        <f>+D335-Z335</f>
        <v>0</v>
      </c>
    </row>
    <row r="336" spans="1:27" s="138" customFormat="1" ht="13.5" customHeight="1">
      <c r="A336" s="201" t="s">
        <v>81</v>
      </c>
      <c r="B336" s="204" t="s">
        <v>57</v>
      </c>
      <c r="C336" s="196" t="s">
        <v>58</v>
      </c>
      <c r="D336" s="67"/>
      <c r="E336" s="139"/>
      <c r="F336" s="139"/>
      <c r="G336" s="68"/>
      <c r="H336" s="68"/>
      <c r="I336" s="68"/>
      <c r="J336" s="68"/>
      <c r="K336" s="68"/>
      <c r="L336" s="68"/>
      <c r="M336" s="68"/>
      <c r="N336" s="68"/>
      <c r="O336" s="140">
        <f t="shared" si="70"/>
        <v>0</v>
      </c>
      <c r="P336" s="141">
        <f t="shared" si="71"/>
        <v>0</v>
      </c>
      <c r="Q336" s="139"/>
      <c r="R336" s="139"/>
      <c r="S336" s="139"/>
      <c r="T336" s="139"/>
      <c r="U336" s="142">
        <v>0</v>
      </c>
      <c r="V336" s="142">
        <v>0</v>
      </c>
      <c r="W336" s="142"/>
      <c r="X336" s="139"/>
      <c r="Y336" s="136">
        <f>SUM(Q336:X336)</f>
        <v>0</v>
      </c>
      <c r="Z336" s="136">
        <f>+O336+Y336</f>
        <v>0</v>
      </c>
      <c r="AA336" s="137">
        <f>+D336-Z336</f>
        <v>0</v>
      </c>
    </row>
    <row r="337" spans="1:27" s="138" customFormat="1" ht="13.5" customHeight="1">
      <c r="A337" s="201" t="s">
        <v>81</v>
      </c>
      <c r="B337" s="205" t="s">
        <v>59</v>
      </c>
      <c r="C337" s="198" t="s">
        <v>60</v>
      </c>
      <c r="D337" s="70"/>
      <c r="E337" s="143"/>
      <c r="F337" s="143"/>
      <c r="G337" s="71"/>
      <c r="H337" s="71"/>
      <c r="I337" s="71"/>
      <c r="J337" s="71"/>
      <c r="K337" s="71"/>
      <c r="L337" s="71"/>
      <c r="M337" s="71"/>
      <c r="N337" s="71"/>
      <c r="O337" s="144">
        <f t="shared" si="70"/>
        <v>0</v>
      </c>
      <c r="P337" s="145">
        <f t="shared" si="71"/>
        <v>0</v>
      </c>
      <c r="Q337" s="143"/>
      <c r="R337" s="143"/>
      <c r="S337" s="143"/>
      <c r="T337" s="143"/>
      <c r="U337" s="146">
        <v>0</v>
      </c>
      <c r="V337" s="146">
        <v>0</v>
      </c>
      <c r="W337" s="146"/>
      <c r="X337" s="143"/>
      <c r="Y337" s="136">
        <f>SUM(Q337:X337)</f>
        <v>0</v>
      </c>
      <c r="Z337" s="136">
        <f>+O337+Y337</f>
        <v>0</v>
      </c>
      <c r="AA337" s="137">
        <f>+D337-Z337</f>
        <v>0</v>
      </c>
    </row>
    <row r="338" spans="1:27" s="58" customFormat="1" ht="13.5" customHeight="1">
      <c r="A338" s="219" t="s">
        <v>82</v>
      </c>
      <c r="B338" s="220"/>
      <c r="C338" s="221"/>
      <c r="D338" s="54">
        <f t="shared" ref="D338:N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:L338" si="73">SUBTOTAL(9,H6:H337)</f>
        <v>0</v>
      </c>
      <c r="I338" s="54">
        <f t="shared" si="73"/>
        <v>0</v>
      </c>
      <c r="J338" s="54">
        <f t="shared" si="73"/>
        <v>0</v>
      </c>
      <c r="K338" s="54">
        <f t="shared" si="73"/>
        <v>0</v>
      </c>
      <c r="L338" s="54">
        <f t="shared" si="73"/>
        <v>0</v>
      </c>
      <c r="M338" s="54">
        <f t="shared" si="72"/>
        <v>0</v>
      </c>
      <c r="N338" s="54">
        <f t="shared" si="72"/>
        <v>0</v>
      </c>
      <c r="O338" s="55">
        <f t="shared" si="70"/>
        <v>0</v>
      </c>
      <c r="P338" s="55"/>
      <c r="Q338" s="54">
        <f t="shared" ref="Q338:X338" si="74">SUBTOTAL(9,Q6:Q337)</f>
        <v>0</v>
      </c>
      <c r="R338" s="54">
        <f t="shared" si="74"/>
        <v>0</v>
      </c>
      <c r="S338" s="54">
        <f t="shared" si="74"/>
        <v>0</v>
      </c>
      <c r="T338" s="54">
        <f t="shared" si="74"/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SUM(Q338:X338)</f>
        <v>0</v>
      </c>
      <c r="Z338" s="126">
        <f>+O338+Y338</f>
        <v>0</v>
      </c>
      <c r="AA338" s="127">
        <f>+D338-Z338</f>
        <v>0</v>
      </c>
    </row>
    <row r="340" spans="1:27">
      <c r="D340" s="29"/>
      <c r="E340" s="30"/>
      <c r="F340" s="31"/>
      <c r="O340" s="32"/>
      <c r="P340" s="33"/>
      <c r="AA340" s="32"/>
    </row>
    <row r="341" spans="1:27">
      <c r="D341" s="34"/>
      <c r="P341" s="35"/>
    </row>
    <row r="342" spans="1:27">
      <c r="D342" s="62"/>
      <c r="G342" s="63"/>
      <c r="H342" s="63"/>
      <c r="I342" s="63"/>
      <c r="J342" s="63"/>
      <c r="K342" s="63"/>
      <c r="L342" s="63"/>
      <c r="M342" s="63"/>
      <c r="N342" s="63"/>
      <c r="O342" s="63"/>
    </row>
    <row r="343" spans="1:27">
      <c r="D343" s="34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P4:P5"/>
    <mergeCell ref="Z4:Z5"/>
    <mergeCell ref="AA4:AA5"/>
    <mergeCell ref="A4:A5"/>
    <mergeCell ref="B4:B5"/>
    <mergeCell ref="C4:C5"/>
    <mergeCell ref="D4:D5"/>
    <mergeCell ref="E4:E5"/>
    <mergeCell ref="F4:F5"/>
    <mergeCell ref="Q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J9" sqref="J9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13" max="13" width="10" customWidth="1"/>
    <col min="15" max="15" width="0" hidden="1" customWidth="1"/>
    <col min="16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N1" s="1"/>
      <c r="O1" s="1"/>
      <c r="Z1" s="1"/>
    </row>
    <row r="2" spans="1:26">
      <c r="N2" s="1"/>
      <c r="O2" s="1"/>
      <c r="Z2" s="1"/>
    </row>
    <row r="3" spans="1:26" ht="33" customHeight="1">
      <c r="A3" s="228" t="s">
        <v>84</v>
      </c>
      <c r="B3" s="246"/>
      <c r="C3" s="232" t="s">
        <v>85</v>
      </c>
      <c r="D3" s="232" t="s">
        <v>5</v>
      </c>
      <c r="E3" s="232" t="s">
        <v>6</v>
      </c>
      <c r="F3" s="245" t="s">
        <v>7</v>
      </c>
      <c r="G3" s="241"/>
      <c r="H3" s="241"/>
      <c r="I3" s="241"/>
      <c r="J3" s="241"/>
      <c r="K3" s="241"/>
      <c r="L3" s="241"/>
      <c r="M3" s="241"/>
      <c r="N3" s="232" t="s">
        <v>82</v>
      </c>
      <c r="O3" s="224" t="s">
        <v>8</v>
      </c>
      <c r="P3" s="241"/>
      <c r="Q3" s="241"/>
      <c r="R3" s="241"/>
      <c r="S3" s="242"/>
      <c r="T3" s="236" t="s">
        <v>9</v>
      </c>
      <c r="U3" s="235"/>
      <c r="V3" s="238" t="s">
        <v>10</v>
      </c>
      <c r="W3" s="243" t="s">
        <v>11</v>
      </c>
      <c r="X3" s="232" t="s">
        <v>86</v>
      </c>
      <c r="Y3" s="232" t="s">
        <v>87</v>
      </c>
      <c r="Z3" s="232" t="s">
        <v>88</v>
      </c>
    </row>
    <row r="4" spans="1:26" ht="33" customHeight="1">
      <c r="A4" s="247"/>
      <c r="B4" s="248"/>
      <c r="C4" s="233"/>
      <c r="D4" s="233"/>
      <c r="E4" s="233"/>
      <c r="F4" s="83" t="s">
        <v>89</v>
      </c>
      <c r="G4" s="83" t="s">
        <v>90</v>
      </c>
      <c r="H4" s="218" t="s">
        <v>91</v>
      </c>
      <c r="I4" s="218" t="s">
        <v>92</v>
      </c>
      <c r="J4" s="218" t="s">
        <v>93</v>
      </c>
      <c r="K4" s="218" t="s">
        <v>94</v>
      </c>
      <c r="L4" s="218" t="s">
        <v>95</v>
      </c>
      <c r="M4" s="218" t="s">
        <v>96</v>
      </c>
      <c r="N4" s="240"/>
      <c r="O4" s="225"/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39"/>
      <c r="W4" s="244"/>
      <c r="X4" s="240"/>
      <c r="Y4" s="240"/>
      <c r="Z4" s="240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N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:K5" si="1">SUBTOTAL(9,G6:G22)</f>
        <v>0</v>
      </c>
      <c r="H5" s="85">
        <f t="shared" si="1"/>
        <v>0</v>
      </c>
      <c r="I5" s="85">
        <f t="shared" si="1"/>
        <v>0</v>
      </c>
      <c r="J5" s="85">
        <f t="shared" si="1"/>
        <v>0</v>
      </c>
      <c r="K5" s="85">
        <f t="shared" si="1"/>
        <v>0</v>
      </c>
      <c r="L5" s="85">
        <f t="shared" si="0"/>
        <v>0</v>
      </c>
      <c r="M5" s="85">
        <f t="shared" si="0"/>
        <v>0</v>
      </c>
      <c r="N5" s="85">
        <f t="shared" si="0"/>
        <v>0</v>
      </c>
      <c r="O5" s="64">
        <f t="shared" ref="O5:O36" si="2">C5-N5</f>
        <v>0</v>
      </c>
      <c r="P5" s="85">
        <f t="shared" ref="P5:Z5" si="3">SUBTOTAL(9,P6:P22)</f>
        <v>0</v>
      </c>
      <c r="Q5" s="85">
        <f t="shared" si="3"/>
        <v>0</v>
      </c>
      <c r="R5" s="85">
        <f t="shared" si="3"/>
        <v>0</v>
      </c>
      <c r="S5" s="85">
        <f t="shared" si="3"/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8">
        <f>'2.1meta'!K7+'2.1meta'!K24+'2.1meta'!K41+'2.1meta'!K58+'2.1meta'!K76+'2.1meta'!K93+'2.1meta'!K110+'2.1meta'!K127+'2.1meta'!K144+'2.1meta'!K161+'2.1meta'!K178+'2.1meta'!K288+'2.1meta'!K305+'2.1meta'!K322</f>
        <v>0</v>
      </c>
      <c r="K6" s="88">
        <f>'2.1meta'!L7+'2.1meta'!L24+'2.1meta'!L41+'2.1meta'!L58+'2.1meta'!L76+'2.1meta'!L93+'2.1meta'!L110+'2.1meta'!L127+'2.1meta'!L144+'2.1meta'!L161+'2.1meta'!L178+'2.1meta'!L288+'2.1meta'!L305+'2.1meta'!L322</f>
        <v>0</v>
      </c>
      <c r="L6" s="88">
        <f>'2.1meta'!M7+'2.1meta'!M24+'2.1meta'!M41+'2.1meta'!M58+'2.1meta'!M76+'2.1meta'!M93+'2.1meta'!M110+'2.1meta'!M127+'2.1meta'!M144+'2.1meta'!M161+'2.1meta'!M178+'2.1meta'!M288+'2.1meta'!M305+'2.1meta'!M322</f>
        <v>0</v>
      </c>
      <c r="M6" s="88">
        <f>'2.1meta'!N7+'2.1meta'!N24+'2.1meta'!N41+'2.1meta'!N58+'2.1meta'!N76+'2.1meta'!N93+'2.1meta'!N110+'2.1meta'!N127+'2.1meta'!N144+'2.1meta'!N161+'2.1meta'!N178+'2.1meta'!N288+'2.1meta'!N305+'2.1meta'!N322</f>
        <v>0</v>
      </c>
      <c r="N6" s="89">
        <f t="shared" ref="N6:N22" si="4">SUM(F6:M6)</f>
        <v>0</v>
      </c>
      <c r="O6" s="111">
        <f>C6-N6</f>
        <v>0</v>
      </c>
      <c r="P6" s="88">
        <f>'2.1meta'!Q7+'2.1meta'!Q24+'2.1meta'!Q41+'2.1meta'!Q58+'2.1meta'!Q76+'2.1meta'!Q93+'2.1meta'!Q110+'2.1meta'!Q127+'2.1meta'!Q144+'2.1meta'!Q161+'2.1meta'!Q178+'2.1meta'!Q288+'2.1meta'!Q305+'2.1meta'!Q322</f>
        <v>0</v>
      </c>
      <c r="Q6" s="88">
        <f>'2.1meta'!R7+'2.1meta'!R24+'2.1meta'!R41+'2.1meta'!R58+'2.1meta'!R76+'2.1meta'!R93+'2.1meta'!R110+'2.1meta'!R127+'2.1meta'!R144+'2.1meta'!R161+'2.1meta'!R178+'2.1meta'!R288+'2.1meta'!R305+'2.1meta'!R322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SUM(P6:W6)</f>
        <v>0</v>
      </c>
      <c r="Y6" s="91">
        <f>N6+X6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8">
        <f>'2.1meta'!K8+'2.1meta'!K25+'2.1meta'!K42+'2.1meta'!K59+'2.1meta'!K77+'2.1meta'!K94+'2.1meta'!K111+'2.1meta'!K128+'2.1meta'!K145+'2.1meta'!K162+'2.1meta'!K179+'2.1meta'!K289+'2.1meta'!K306+'2.1meta'!K323</f>
        <v>0</v>
      </c>
      <c r="K7" s="88">
        <f>'2.1meta'!L8+'2.1meta'!L25+'2.1meta'!L42+'2.1meta'!L59+'2.1meta'!L77+'2.1meta'!L94+'2.1meta'!L111+'2.1meta'!L128+'2.1meta'!L145+'2.1meta'!L162+'2.1meta'!L179+'2.1meta'!L289+'2.1meta'!L306+'2.1meta'!L323</f>
        <v>0</v>
      </c>
      <c r="L7" s="88">
        <f>'2.1meta'!M8+'2.1meta'!M25+'2.1meta'!M42+'2.1meta'!M59+'2.1meta'!M77+'2.1meta'!M94+'2.1meta'!M111+'2.1meta'!M128+'2.1meta'!M145+'2.1meta'!M162+'2.1meta'!M179+'2.1meta'!M289+'2.1meta'!M306+'2.1meta'!M323</f>
        <v>0</v>
      </c>
      <c r="M7" s="88">
        <f>'2.1meta'!N8+'2.1meta'!N25+'2.1meta'!N42+'2.1meta'!N59+'2.1meta'!N77+'2.1meta'!N94+'2.1meta'!N111+'2.1meta'!N128+'2.1meta'!N145+'2.1meta'!N162+'2.1meta'!N179+'2.1meta'!N289+'2.1meta'!N306+'2.1meta'!N323</f>
        <v>0</v>
      </c>
      <c r="N7" s="89">
        <f t="shared" si="4"/>
        <v>0</v>
      </c>
      <c r="O7" s="111">
        <f t="shared" si="2"/>
        <v>0</v>
      </c>
      <c r="P7" s="88">
        <f>'2.1meta'!Q8+'2.1meta'!Q25+'2.1meta'!Q42+'2.1meta'!Q59+'2.1meta'!Q77+'2.1meta'!Q94+'2.1meta'!Q111+'2.1meta'!Q128+'2.1meta'!Q145+'2.1meta'!Q162+'2.1meta'!Q179+'2.1meta'!Q289+'2.1meta'!Q306+'2.1meta'!Q323</f>
        <v>0</v>
      </c>
      <c r="Q7" s="88">
        <f>'2.1meta'!R8+'2.1meta'!R25+'2.1meta'!R42+'2.1meta'!R59+'2.1meta'!R77+'2.1meta'!R94+'2.1meta'!R111+'2.1meta'!R128+'2.1meta'!R145+'2.1meta'!R162+'2.1meta'!R179+'2.1meta'!R289+'2.1meta'!R306+'2.1meta'!R323</f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SUM(P7:W7)</f>
        <v>0</v>
      </c>
      <c r="Y7" s="91">
        <f>N7+X7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8">
        <f>'2.1meta'!K9+'2.1meta'!K26+'2.1meta'!K43+'2.1meta'!K60+'2.1meta'!K78+'2.1meta'!K95+'2.1meta'!K112+'2.1meta'!K129+'2.1meta'!K146+'2.1meta'!K163+'2.1meta'!K180+'2.1meta'!K290+'2.1meta'!K307+'2.1meta'!K324</f>
        <v>0</v>
      </c>
      <c r="K8" s="88">
        <f>'2.1meta'!L9+'2.1meta'!L26+'2.1meta'!L43+'2.1meta'!L60+'2.1meta'!L78+'2.1meta'!L95+'2.1meta'!L112+'2.1meta'!L129+'2.1meta'!L146+'2.1meta'!L163+'2.1meta'!L180+'2.1meta'!L290+'2.1meta'!L307+'2.1meta'!L324</f>
        <v>0</v>
      </c>
      <c r="L8" s="88">
        <f>'2.1meta'!M9+'2.1meta'!M26+'2.1meta'!M43+'2.1meta'!M60+'2.1meta'!M78+'2.1meta'!M95+'2.1meta'!M112+'2.1meta'!M129+'2.1meta'!M146+'2.1meta'!M163+'2.1meta'!M180+'2.1meta'!M290+'2.1meta'!M307+'2.1meta'!M324</f>
        <v>0</v>
      </c>
      <c r="M8" s="88">
        <f>'2.1meta'!N9+'2.1meta'!N26+'2.1meta'!N43+'2.1meta'!N60+'2.1meta'!N78+'2.1meta'!N95+'2.1meta'!N112+'2.1meta'!N129+'2.1meta'!N146+'2.1meta'!N163+'2.1meta'!N180+'2.1meta'!N290+'2.1meta'!N307+'2.1meta'!N324</f>
        <v>0</v>
      </c>
      <c r="N8" s="89">
        <f t="shared" si="4"/>
        <v>0</v>
      </c>
      <c r="O8" s="111">
        <f t="shared" si="2"/>
        <v>0</v>
      </c>
      <c r="P8" s="88">
        <f>'2.1meta'!Q9+'2.1meta'!Q26+'2.1meta'!Q43+'2.1meta'!Q60+'2.1meta'!Q78+'2.1meta'!Q95+'2.1meta'!Q112+'2.1meta'!Q129+'2.1meta'!Q146+'2.1meta'!Q163+'2.1meta'!Q180+'2.1meta'!Q290+'2.1meta'!Q307+'2.1meta'!Q324</f>
        <v>0</v>
      </c>
      <c r="Q8" s="88">
        <f>'2.1meta'!R9+'2.1meta'!R26+'2.1meta'!R43+'2.1meta'!R60+'2.1meta'!R78+'2.1meta'!R95+'2.1meta'!R112+'2.1meta'!R129+'2.1meta'!R146+'2.1meta'!R163+'2.1meta'!R180+'2.1meta'!R290+'2.1meta'!R307+'2.1meta'!R324</f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SUM(P8:W8)</f>
        <v>0</v>
      </c>
      <c r="Y8" s="91">
        <f>N8+X8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8">
        <f>'2.1meta'!K10+'2.1meta'!K27+'2.1meta'!K44+'2.1meta'!K61+'2.1meta'!K79+'2.1meta'!K96+'2.1meta'!K113+'2.1meta'!K130+'2.1meta'!K147+'2.1meta'!K164+'2.1meta'!K181+'2.1meta'!K291+'2.1meta'!K308+'2.1meta'!K325</f>
        <v>0</v>
      </c>
      <c r="K9" s="88">
        <f>'2.1meta'!L10+'2.1meta'!L27+'2.1meta'!L44+'2.1meta'!L61+'2.1meta'!L79+'2.1meta'!L96+'2.1meta'!L113+'2.1meta'!L130+'2.1meta'!L147+'2.1meta'!L164+'2.1meta'!L181+'2.1meta'!L291+'2.1meta'!L308+'2.1meta'!L325</f>
        <v>0</v>
      </c>
      <c r="L9" s="88">
        <f>'2.1meta'!M10+'2.1meta'!M27+'2.1meta'!M44+'2.1meta'!M61+'2.1meta'!M79+'2.1meta'!M96+'2.1meta'!M113+'2.1meta'!M130+'2.1meta'!M147+'2.1meta'!M164+'2.1meta'!M181+'2.1meta'!M291+'2.1meta'!M308+'2.1meta'!M325</f>
        <v>0</v>
      </c>
      <c r="M9" s="88">
        <f>'2.1meta'!N10+'2.1meta'!N27+'2.1meta'!N44+'2.1meta'!N61+'2.1meta'!N79+'2.1meta'!N96+'2.1meta'!N113+'2.1meta'!N130+'2.1meta'!N147+'2.1meta'!N164+'2.1meta'!N181+'2.1meta'!N291+'2.1meta'!N308+'2.1meta'!N325</f>
        <v>0</v>
      </c>
      <c r="N9" s="89">
        <f t="shared" si="4"/>
        <v>0</v>
      </c>
      <c r="O9" s="111">
        <f t="shared" si="2"/>
        <v>0</v>
      </c>
      <c r="P9" s="88">
        <f>'2.1meta'!Q10+'2.1meta'!Q27+'2.1meta'!Q44+'2.1meta'!Q61+'2.1meta'!Q79+'2.1meta'!Q96+'2.1meta'!Q113+'2.1meta'!Q130+'2.1meta'!Q147+'2.1meta'!Q164+'2.1meta'!Q181+'2.1meta'!Q291+'2.1meta'!Q308+'2.1meta'!Q325</f>
        <v>0</v>
      </c>
      <c r="Q9" s="88">
        <f>'2.1meta'!R10+'2.1meta'!R27+'2.1meta'!R44+'2.1meta'!R61+'2.1meta'!R79+'2.1meta'!R96+'2.1meta'!R113+'2.1meta'!R130+'2.1meta'!R147+'2.1meta'!R164+'2.1meta'!R181+'2.1meta'!R291+'2.1meta'!R308+'2.1meta'!R325</f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SUM(P9:W9)</f>
        <v>0</v>
      </c>
      <c r="Y9" s="91">
        <f>N9+X9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8">
        <f>'2.1meta'!K62</f>
        <v>0</v>
      </c>
      <c r="K10" s="88">
        <f>'2.1meta'!L62</f>
        <v>0</v>
      </c>
      <c r="L10" s="88">
        <f>'2.1meta'!M62</f>
        <v>0</v>
      </c>
      <c r="M10" s="88">
        <f>'2.1meta'!N62</f>
        <v>0</v>
      </c>
      <c r="N10" s="89">
        <f t="shared" si="4"/>
        <v>0</v>
      </c>
      <c r="O10" s="111">
        <f t="shared" si="2"/>
        <v>0</v>
      </c>
      <c r="P10" s="88">
        <f>'2.1meta'!Q62</f>
        <v>0</v>
      </c>
      <c r="Q10" s="88">
        <f>'2.1meta'!R62</f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SUM(P10:W10)</f>
        <v>0</v>
      </c>
      <c r="Y10" s="91">
        <f>N10+X10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8">
        <f>'2.1meta'!K11+'2.1meta'!K28+'2.1meta'!K45+'2.1meta'!K63+'2.1meta'!K80+'2.1meta'!K97+'2.1meta'!K114+'2.1meta'!K131+'2.1meta'!K148+'2.1meta'!K165+'2.1meta'!K182+'2.1meta'!K292+'2.1meta'!K309+'2.1meta'!K326</f>
        <v>0</v>
      </c>
      <c r="K11" s="88">
        <f>'2.1meta'!L11+'2.1meta'!L28+'2.1meta'!L45+'2.1meta'!L63+'2.1meta'!L80+'2.1meta'!L97+'2.1meta'!L114+'2.1meta'!L131+'2.1meta'!L148+'2.1meta'!L165+'2.1meta'!L182+'2.1meta'!L292+'2.1meta'!L309+'2.1meta'!L326</f>
        <v>0</v>
      </c>
      <c r="L11" s="88">
        <f>'2.1meta'!M11+'2.1meta'!M28+'2.1meta'!M45+'2.1meta'!M63+'2.1meta'!M80+'2.1meta'!M97+'2.1meta'!M114+'2.1meta'!M131+'2.1meta'!M148+'2.1meta'!M165+'2.1meta'!M182+'2.1meta'!M292+'2.1meta'!M309+'2.1meta'!M326</f>
        <v>0</v>
      </c>
      <c r="M11" s="88">
        <f>'2.1meta'!N11+'2.1meta'!N28+'2.1meta'!N45+'2.1meta'!N63+'2.1meta'!N80+'2.1meta'!N97+'2.1meta'!N114+'2.1meta'!N131+'2.1meta'!N148+'2.1meta'!N165+'2.1meta'!N182+'2.1meta'!N292+'2.1meta'!N309+'2.1meta'!N326</f>
        <v>0</v>
      </c>
      <c r="N11" s="89">
        <f t="shared" si="4"/>
        <v>0</v>
      </c>
      <c r="O11" s="111">
        <f t="shared" si="2"/>
        <v>0</v>
      </c>
      <c r="P11" s="88">
        <f>'2.1meta'!Q11+'2.1meta'!Q28+'2.1meta'!Q45+'2.1meta'!Q63+'2.1meta'!Q80+'2.1meta'!Q97+'2.1meta'!Q114+'2.1meta'!Q131+'2.1meta'!Q148+'2.1meta'!Q165+'2.1meta'!Q182+'2.1meta'!Q292+'2.1meta'!Q309+'2.1meta'!Q326</f>
        <v>0</v>
      </c>
      <c r="Q11" s="88">
        <f>'2.1meta'!R11+'2.1meta'!R28+'2.1meta'!R45+'2.1meta'!R63+'2.1meta'!R80+'2.1meta'!R97+'2.1meta'!R114+'2.1meta'!R131+'2.1meta'!R148+'2.1meta'!R165+'2.1meta'!R182+'2.1meta'!R292+'2.1meta'!R309+'2.1meta'!R326</f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SUM(P11:W11)</f>
        <v>0</v>
      </c>
      <c r="Y11" s="91">
        <f>N11+X11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8">
        <f>'2.1meta'!K12+'2.1meta'!K29+'2.1meta'!K46+'2.1meta'!K64+'2.1meta'!K81+'2.1meta'!K98+'2.1meta'!K115+'2.1meta'!K132+'2.1meta'!K149+'2.1meta'!K166+'2.1meta'!K183+'2.1meta'!K293+'2.1meta'!K310+'2.1meta'!K327</f>
        <v>0</v>
      </c>
      <c r="K12" s="88">
        <f>'2.1meta'!L12+'2.1meta'!L29+'2.1meta'!L46+'2.1meta'!L64+'2.1meta'!L81+'2.1meta'!L98+'2.1meta'!L115+'2.1meta'!L132+'2.1meta'!L149+'2.1meta'!L166+'2.1meta'!L183+'2.1meta'!L293+'2.1meta'!L310+'2.1meta'!L327</f>
        <v>0</v>
      </c>
      <c r="L12" s="88">
        <f>'2.1meta'!M12+'2.1meta'!M29+'2.1meta'!M46+'2.1meta'!M64+'2.1meta'!M81+'2.1meta'!M98+'2.1meta'!M115+'2.1meta'!M132+'2.1meta'!M149+'2.1meta'!M166+'2.1meta'!M183+'2.1meta'!M293+'2.1meta'!M310+'2.1meta'!M327</f>
        <v>0</v>
      </c>
      <c r="M12" s="88">
        <f>'2.1meta'!N12+'2.1meta'!N29+'2.1meta'!N46+'2.1meta'!N64+'2.1meta'!N81+'2.1meta'!N98+'2.1meta'!N115+'2.1meta'!N132+'2.1meta'!N149+'2.1meta'!N166+'2.1meta'!N183+'2.1meta'!N293+'2.1meta'!N310+'2.1meta'!N327</f>
        <v>0</v>
      </c>
      <c r="N12" s="89">
        <f t="shared" si="4"/>
        <v>0</v>
      </c>
      <c r="O12" s="111">
        <f t="shared" si="2"/>
        <v>0</v>
      </c>
      <c r="P12" s="88">
        <f>'2.1meta'!Q12+'2.1meta'!Q29+'2.1meta'!Q46+'2.1meta'!Q64+'2.1meta'!Q81+'2.1meta'!Q98+'2.1meta'!Q115+'2.1meta'!Q132+'2.1meta'!Q149+'2.1meta'!Q166+'2.1meta'!Q183+'2.1meta'!Q293+'2.1meta'!Q310+'2.1meta'!Q327</f>
        <v>0</v>
      </c>
      <c r="Q12" s="88">
        <f>'2.1meta'!R12+'2.1meta'!R29+'2.1meta'!R46+'2.1meta'!R64+'2.1meta'!R81+'2.1meta'!R98+'2.1meta'!R115+'2.1meta'!R132+'2.1meta'!R149+'2.1meta'!R166+'2.1meta'!R183+'2.1meta'!R293+'2.1meta'!R310+'2.1meta'!R327</f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SUM(P12:W12)</f>
        <v>0</v>
      </c>
      <c r="Y12" s="91">
        <f>N12+X12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8">
        <f>'2.1meta'!K13+'2.1meta'!K30+'2.1meta'!K47+'2.1meta'!K65+'2.1meta'!K82+'2.1meta'!K99+'2.1meta'!K116+'2.1meta'!K133+'2.1meta'!K150+'2.1meta'!K167+'2.1meta'!K184+'2.1meta'!K294+'2.1meta'!K311+'2.1meta'!K328</f>
        <v>0</v>
      </c>
      <c r="K13" s="88">
        <f>'2.1meta'!L13+'2.1meta'!L30+'2.1meta'!L47+'2.1meta'!L65+'2.1meta'!L82+'2.1meta'!L99+'2.1meta'!L116+'2.1meta'!L133+'2.1meta'!L150+'2.1meta'!L167+'2.1meta'!L184+'2.1meta'!L294+'2.1meta'!L311+'2.1meta'!L328</f>
        <v>0</v>
      </c>
      <c r="L13" s="88">
        <f>'2.1meta'!M13+'2.1meta'!M30+'2.1meta'!M47+'2.1meta'!M65+'2.1meta'!M82+'2.1meta'!M99+'2.1meta'!M116+'2.1meta'!M133+'2.1meta'!M150+'2.1meta'!M167+'2.1meta'!M184+'2.1meta'!M294+'2.1meta'!M311+'2.1meta'!M328</f>
        <v>0</v>
      </c>
      <c r="M13" s="88">
        <f>'2.1meta'!N13+'2.1meta'!N30+'2.1meta'!N47+'2.1meta'!N65+'2.1meta'!N82+'2.1meta'!N99+'2.1meta'!N116+'2.1meta'!N133+'2.1meta'!N150+'2.1meta'!N167+'2.1meta'!N184+'2.1meta'!N294+'2.1meta'!N311+'2.1meta'!N328</f>
        <v>0</v>
      </c>
      <c r="N13" s="89">
        <f t="shared" si="4"/>
        <v>0</v>
      </c>
      <c r="O13" s="111">
        <f t="shared" si="2"/>
        <v>0</v>
      </c>
      <c r="P13" s="88">
        <f>'2.1meta'!Q13+'2.1meta'!Q30+'2.1meta'!Q47+'2.1meta'!Q65+'2.1meta'!Q82+'2.1meta'!Q99+'2.1meta'!Q116+'2.1meta'!Q133+'2.1meta'!Q150+'2.1meta'!Q167+'2.1meta'!Q184+'2.1meta'!Q294+'2.1meta'!Q311+'2.1meta'!Q328</f>
        <v>0</v>
      </c>
      <c r="Q13" s="88">
        <f>'2.1meta'!R13+'2.1meta'!R30+'2.1meta'!R47+'2.1meta'!R65+'2.1meta'!R82+'2.1meta'!R99+'2.1meta'!R116+'2.1meta'!R133+'2.1meta'!R150+'2.1meta'!R167+'2.1meta'!R184+'2.1meta'!R294+'2.1meta'!R311+'2.1meta'!R328</f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SUM(P13:W13)</f>
        <v>0</v>
      </c>
      <c r="Y13" s="91">
        <f>N13+X13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8">
        <f>'2.1meta'!K14+'2.1meta'!K31+'2.1meta'!K48+'2.1meta'!K66+'2.1meta'!K83+'2.1meta'!K100+'2.1meta'!K117+'2.1meta'!K134+'2.1meta'!K151+'2.1meta'!K168+'2.1meta'!K185+'2.1meta'!K295+'2.1meta'!K312+'2.1meta'!K329</f>
        <v>0</v>
      </c>
      <c r="K14" s="88">
        <f>'2.1meta'!L14+'2.1meta'!L31+'2.1meta'!L48+'2.1meta'!L66+'2.1meta'!L83+'2.1meta'!L100+'2.1meta'!L117+'2.1meta'!L134+'2.1meta'!L151+'2.1meta'!L168+'2.1meta'!L185+'2.1meta'!L295+'2.1meta'!L312+'2.1meta'!L329</f>
        <v>0</v>
      </c>
      <c r="L14" s="88">
        <f>'2.1meta'!M14+'2.1meta'!M31+'2.1meta'!M48+'2.1meta'!M66+'2.1meta'!M83+'2.1meta'!M100+'2.1meta'!M117+'2.1meta'!M134+'2.1meta'!M151+'2.1meta'!M168+'2.1meta'!M185+'2.1meta'!M295+'2.1meta'!M312+'2.1meta'!M329</f>
        <v>0</v>
      </c>
      <c r="M14" s="88">
        <f>'2.1meta'!N14+'2.1meta'!N31+'2.1meta'!N48+'2.1meta'!N66+'2.1meta'!N83+'2.1meta'!N100+'2.1meta'!N117+'2.1meta'!N134+'2.1meta'!N151+'2.1meta'!N168+'2.1meta'!N185+'2.1meta'!N295+'2.1meta'!N312+'2.1meta'!N329</f>
        <v>0</v>
      </c>
      <c r="N14" s="89">
        <f t="shared" si="4"/>
        <v>0</v>
      </c>
      <c r="O14" s="111">
        <f t="shared" si="2"/>
        <v>0</v>
      </c>
      <c r="P14" s="88">
        <f>'2.1meta'!Q14+'2.1meta'!Q31+'2.1meta'!Q48+'2.1meta'!Q66+'2.1meta'!Q83+'2.1meta'!Q100+'2.1meta'!Q117+'2.1meta'!Q134+'2.1meta'!Q151+'2.1meta'!Q168+'2.1meta'!Q185+'2.1meta'!Q295+'2.1meta'!Q312+'2.1meta'!Q329</f>
        <v>0</v>
      </c>
      <c r="Q14" s="88">
        <f>'2.1meta'!R14+'2.1meta'!R31+'2.1meta'!R48+'2.1meta'!R66+'2.1meta'!R83+'2.1meta'!R100+'2.1meta'!R117+'2.1meta'!R134+'2.1meta'!R151+'2.1meta'!R168+'2.1meta'!R185+'2.1meta'!R295+'2.1meta'!R312+'2.1meta'!R329</f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SUM(P14:W14)</f>
        <v>0</v>
      </c>
      <c r="Y14" s="91">
        <f>N14+X14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8">
        <f>'2.1meta'!K15+'2.1meta'!K32+'2.1meta'!K49+'2.1meta'!K67+'2.1meta'!K84+'2.1meta'!K101+'2.1meta'!K118+'2.1meta'!K135+'2.1meta'!K152+'2.1meta'!K169+'2.1meta'!K186+'2.1meta'!K296+'2.1meta'!K313+'2.1meta'!K330</f>
        <v>0</v>
      </c>
      <c r="K15" s="88">
        <f>'2.1meta'!L15+'2.1meta'!L32+'2.1meta'!L49+'2.1meta'!L67+'2.1meta'!L84+'2.1meta'!L101+'2.1meta'!L118+'2.1meta'!L135+'2.1meta'!L152+'2.1meta'!L169+'2.1meta'!L186+'2.1meta'!L296+'2.1meta'!L313+'2.1meta'!L330</f>
        <v>0</v>
      </c>
      <c r="L15" s="88">
        <f>'2.1meta'!M15+'2.1meta'!M32+'2.1meta'!M49+'2.1meta'!M67+'2.1meta'!M84+'2.1meta'!M101+'2.1meta'!M118+'2.1meta'!M135+'2.1meta'!M152+'2.1meta'!M169+'2.1meta'!M186+'2.1meta'!M296+'2.1meta'!M313+'2.1meta'!M330</f>
        <v>0</v>
      </c>
      <c r="M15" s="88">
        <f>'2.1meta'!N15+'2.1meta'!N32+'2.1meta'!N49+'2.1meta'!N67+'2.1meta'!N84+'2.1meta'!N101+'2.1meta'!N118+'2.1meta'!N135+'2.1meta'!N152+'2.1meta'!N169+'2.1meta'!N186+'2.1meta'!N296+'2.1meta'!N313+'2.1meta'!N330</f>
        <v>0</v>
      </c>
      <c r="N15" s="89">
        <f t="shared" si="4"/>
        <v>0</v>
      </c>
      <c r="O15" s="111">
        <f t="shared" si="2"/>
        <v>0</v>
      </c>
      <c r="P15" s="88">
        <f>'2.1meta'!Q15+'2.1meta'!Q32+'2.1meta'!Q49+'2.1meta'!Q67+'2.1meta'!Q84+'2.1meta'!Q101+'2.1meta'!Q118+'2.1meta'!Q135+'2.1meta'!Q152+'2.1meta'!Q169+'2.1meta'!Q186+'2.1meta'!Q296+'2.1meta'!Q313+'2.1meta'!Q330</f>
        <v>0</v>
      </c>
      <c r="Q15" s="88">
        <f>'2.1meta'!R15+'2.1meta'!R32+'2.1meta'!R49+'2.1meta'!R67+'2.1meta'!R84+'2.1meta'!R101+'2.1meta'!R118+'2.1meta'!R135+'2.1meta'!R152+'2.1meta'!R169+'2.1meta'!R186+'2.1meta'!R296+'2.1meta'!R313+'2.1meta'!R330</f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SUM(P15:W15)</f>
        <v>0</v>
      </c>
      <c r="Y15" s="91">
        <f>N15+X15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8">
        <f>'2.1meta'!K16+'2.1meta'!K33+'2.1meta'!K50+'2.1meta'!K68+'2.1meta'!K85+'2.1meta'!K102+'2.1meta'!K119+'2.1meta'!K136+'2.1meta'!K153+'2.1meta'!K170+'2.1meta'!K187+'2.1meta'!K297+'2.1meta'!K314+'2.1meta'!K331</f>
        <v>0</v>
      </c>
      <c r="K16" s="88">
        <f>'2.1meta'!L16+'2.1meta'!L33+'2.1meta'!L50+'2.1meta'!L68+'2.1meta'!L85+'2.1meta'!L102+'2.1meta'!L119+'2.1meta'!L136+'2.1meta'!L153+'2.1meta'!L170+'2.1meta'!L187+'2.1meta'!L297+'2.1meta'!L314+'2.1meta'!L331</f>
        <v>0</v>
      </c>
      <c r="L16" s="88">
        <f>'2.1meta'!M16+'2.1meta'!M33+'2.1meta'!M50+'2.1meta'!M68+'2.1meta'!M85+'2.1meta'!M102+'2.1meta'!M119+'2.1meta'!M136+'2.1meta'!M153+'2.1meta'!M170+'2.1meta'!M187+'2.1meta'!M297+'2.1meta'!M314+'2.1meta'!M331</f>
        <v>0</v>
      </c>
      <c r="M16" s="88">
        <f>'2.1meta'!N16+'2.1meta'!N33+'2.1meta'!N50+'2.1meta'!N68+'2.1meta'!N85+'2.1meta'!N102+'2.1meta'!N119+'2.1meta'!N136+'2.1meta'!N153+'2.1meta'!N170+'2.1meta'!N187+'2.1meta'!N297+'2.1meta'!N314+'2.1meta'!N331</f>
        <v>0</v>
      </c>
      <c r="N16" s="89">
        <f t="shared" si="4"/>
        <v>0</v>
      </c>
      <c r="O16" s="111">
        <f t="shared" si="2"/>
        <v>0</v>
      </c>
      <c r="P16" s="88">
        <f>'2.1meta'!Q16+'2.1meta'!Q33+'2.1meta'!Q50+'2.1meta'!Q68+'2.1meta'!Q85+'2.1meta'!Q102+'2.1meta'!Q119+'2.1meta'!Q136+'2.1meta'!Q153+'2.1meta'!Q170+'2.1meta'!Q187+'2.1meta'!Q297+'2.1meta'!Q314+'2.1meta'!Q331</f>
        <v>0</v>
      </c>
      <c r="Q16" s="88">
        <f>'2.1meta'!R16+'2.1meta'!R33+'2.1meta'!R50+'2.1meta'!R68+'2.1meta'!R85+'2.1meta'!R102+'2.1meta'!R119+'2.1meta'!R136+'2.1meta'!R153+'2.1meta'!R170+'2.1meta'!R187+'2.1meta'!R297+'2.1meta'!R314+'2.1meta'!R331</f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SUM(P16:W16)</f>
        <v>0</v>
      </c>
      <c r="Y16" s="91">
        <f>N16+X16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8">
        <f>'2.1meta'!K17+'2.1meta'!K34+'2.1meta'!K51+'2.1meta'!K69+'2.1meta'!K86+'2.1meta'!K103+'2.1meta'!K120+'2.1meta'!K137+'2.1meta'!K154+'2.1meta'!K171+'2.1meta'!K188+'2.1meta'!K298+'2.1meta'!K315+'2.1meta'!K332</f>
        <v>0</v>
      </c>
      <c r="K17" s="88">
        <f>'2.1meta'!L17+'2.1meta'!L34+'2.1meta'!L51+'2.1meta'!L69+'2.1meta'!L86+'2.1meta'!L103+'2.1meta'!L120+'2.1meta'!L137+'2.1meta'!L154+'2.1meta'!L171+'2.1meta'!L188+'2.1meta'!L298+'2.1meta'!L315+'2.1meta'!L332</f>
        <v>0</v>
      </c>
      <c r="L17" s="88">
        <f>'2.1meta'!M17+'2.1meta'!M34+'2.1meta'!M51+'2.1meta'!M69+'2.1meta'!M86+'2.1meta'!M103+'2.1meta'!M120+'2.1meta'!M137+'2.1meta'!M154+'2.1meta'!M171+'2.1meta'!M188+'2.1meta'!M298+'2.1meta'!M315+'2.1meta'!M332</f>
        <v>0</v>
      </c>
      <c r="M17" s="88">
        <f>'2.1meta'!N17+'2.1meta'!N34+'2.1meta'!N51+'2.1meta'!N69+'2.1meta'!N86+'2.1meta'!N103+'2.1meta'!N120+'2.1meta'!N137+'2.1meta'!N154+'2.1meta'!N171+'2.1meta'!N188+'2.1meta'!N298+'2.1meta'!N315+'2.1meta'!N332</f>
        <v>0</v>
      </c>
      <c r="N17" s="89">
        <f t="shared" si="4"/>
        <v>0</v>
      </c>
      <c r="O17" s="111">
        <f t="shared" si="2"/>
        <v>0</v>
      </c>
      <c r="P17" s="88">
        <f>'2.1meta'!Q17+'2.1meta'!Q34+'2.1meta'!Q51+'2.1meta'!Q69+'2.1meta'!Q86+'2.1meta'!Q103+'2.1meta'!Q120+'2.1meta'!Q137+'2.1meta'!Q154+'2.1meta'!Q171+'2.1meta'!Q188+'2.1meta'!Q298+'2.1meta'!Q315+'2.1meta'!Q332</f>
        <v>0</v>
      </c>
      <c r="Q17" s="88">
        <f>'2.1meta'!R17+'2.1meta'!R34+'2.1meta'!R51+'2.1meta'!R69+'2.1meta'!R86+'2.1meta'!R103+'2.1meta'!R120+'2.1meta'!R137+'2.1meta'!R154+'2.1meta'!R171+'2.1meta'!R188+'2.1meta'!R298+'2.1meta'!R315+'2.1meta'!R332</f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SUM(P17:W17)</f>
        <v>0</v>
      </c>
      <c r="Y17" s="91">
        <f>N17+X17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8">
        <f>'2.1meta'!K18+'2.1meta'!K35+'2.1meta'!K52+'2.1meta'!K70+'2.1meta'!K87+'2.1meta'!K104+'2.1meta'!K121+'2.1meta'!K138+'2.1meta'!K155+'2.1meta'!K172+'2.1meta'!K189+'2.1meta'!K299+'2.1meta'!K316+'2.1meta'!K333</f>
        <v>0</v>
      </c>
      <c r="K18" s="88">
        <f>'2.1meta'!L18+'2.1meta'!L35+'2.1meta'!L52+'2.1meta'!L70+'2.1meta'!L87+'2.1meta'!L104+'2.1meta'!L121+'2.1meta'!L138+'2.1meta'!L155+'2.1meta'!L172+'2.1meta'!L189+'2.1meta'!L299+'2.1meta'!L316+'2.1meta'!L333</f>
        <v>0</v>
      </c>
      <c r="L18" s="88">
        <f>'2.1meta'!M18+'2.1meta'!M35+'2.1meta'!M52+'2.1meta'!M70+'2.1meta'!M87+'2.1meta'!M104+'2.1meta'!M121+'2.1meta'!M138+'2.1meta'!M155+'2.1meta'!M172+'2.1meta'!M189+'2.1meta'!M299+'2.1meta'!M316+'2.1meta'!M333</f>
        <v>0</v>
      </c>
      <c r="M18" s="88">
        <f>'2.1meta'!N18+'2.1meta'!N35+'2.1meta'!N52+'2.1meta'!N70+'2.1meta'!N87+'2.1meta'!N104+'2.1meta'!N121+'2.1meta'!N138+'2.1meta'!N155+'2.1meta'!N172+'2.1meta'!N189+'2.1meta'!N299+'2.1meta'!N316+'2.1meta'!N333</f>
        <v>0</v>
      </c>
      <c r="N18" s="89">
        <f t="shared" si="4"/>
        <v>0</v>
      </c>
      <c r="O18" s="111">
        <f t="shared" si="2"/>
        <v>0</v>
      </c>
      <c r="P18" s="88">
        <f>'2.1meta'!Q18+'2.1meta'!Q35+'2.1meta'!Q52+'2.1meta'!Q70+'2.1meta'!Q87+'2.1meta'!Q104+'2.1meta'!Q121+'2.1meta'!Q138+'2.1meta'!Q155+'2.1meta'!Q172+'2.1meta'!Q189+'2.1meta'!Q299+'2.1meta'!Q316+'2.1meta'!Q333</f>
        <v>0</v>
      </c>
      <c r="Q18" s="88">
        <f>'2.1meta'!R18+'2.1meta'!R35+'2.1meta'!R52+'2.1meta'!R70+'2.1meta'!R87+'2.1meta'!R104+'2.1meta'!R121+'2.1meta'!R138+'2.1meta'!R155+'2.1meta'!R172+'2.1meta'!R189+'2.1meta'!R299+'2.1meta'!R316+'2.1meta'!R333</f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SUM(P18:W18)</f>
        <v>0</v>
      </c>
      <c r="Y18" s="91">
        <f>N18+X18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8">
        <f>'2.1meta'!K19+'2.1meta'!K36+'2.1meta'!K53+'2.1meta'!K71+'2.1meta'!K88+'2.1meta'!K105+'2.1meta'!K122+'2.1meta'!K139+'2.1meta'!K156+'2.1meta'!K173+'2.1meta'!K190+'2.1meta'!K300+'2.1meta'!K317+'2.1meta'!K334</f>
        <v>0</v>
      </c>
      <c r="K19" s="88">
        <f>'2.1meta'!L19+'2.1meta'!L36+'2.1meta'!L53+'2.1meta'!L71+'2.1meta'!L88+'2.1meta'!L105+'2.1meta'!L122+'2.1meta'!L139+'2.1meta'!L156+'2.1meta'!L173+'2.1meta'!L190+'2.1meta'!L300+'2.1meta'!L317+'2.1meta'!L334</f>
        <v>0</v>
      </c>
      <c r="L19" s="88">
        <f>'2.1meta'!M19+'2.1meta'!M36+'2.1meta'!M53+'2.1meta'!M71+'2.1meta'!M88+'2.1meta'!M105+'2.1meta'!M122+'2.1meta'!M139+'2.1meta'!M156+'2.1meta'!M173+'2.1meta'!M190+'2.1meta'!M300+'2.1meta'!M317+'2.1meta'!M334</f>
        <v>0</v>
      </c>
      <c r="M19" s="88">
        <f>'2.1meta'!N19+'2.1meta'!N36+'2.1meta'!N53+'2.1meta'!N71+'2.1meta'!N88+'2.1meta'!N105+'2.1meta'!N122+'2.1meta'!N139+'2.1meta'!N156+'2.1meta'!N173+'2.1meta'!N190+'2.1meta'!N300+'2.1meta'!N317+'2.1meta'!N334</f>
        <v>0</v>
      </c>
      <c r="N19" s="89">
        <f t="shared" si="4"/>
        <v>0</v>
      </c>
      <c r="O19" s="111">
        <f t="shared" si="2"/>
        <v>0</v>
      </c>
      <c r="P19" s="88">
        <f>'2.1meta'!Q19+'2.1meta'!Q36+'2.1meta'!Q53+'2.1meta'!Q71+'2.1meta'!Q88+'2.1meta'!Q105+'2.1meta'!Q122+'2.1meta'!Q139+'2.1meta'!Q156+'2.1meta'!Q173+'2.1meta'!Q190+'2.1meta'!Q300+'2.1meta'!Q317+'2.1meta'!Q334</f>
        <v>0</v>
      </c>
      <c r="Q19" s="88">
        <f>'2.1meta'!R19+'2.1meta'!R36+'2.1meta'!R53+'2.1meta'!R71+'2.1meta'!R88+'2.1meta'!R105+'2.1meta'!R122+'2.1meta'!R139+'2.1meta'!R156+'2.1meta'!R173+'2.1meta'!R190+'2.1meta'!R300+'2.1meta'!R317+'2.1meta'!R334</f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SUM(P19:W19)</f>
        <v>0</v>
      </c>
      <c r="Y19" s="91">
        <f>N19+X19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8">
        <f>'2.1meta'!K20+'2.1meta'!K37+'2.1meta'!K54+'2.1meta'!K72+'2.1meta'!K89+'2.1meta'!K106+'2.1meta'!K123+'2.1meta'!K140+'2.1meta'!K157+'2.1meta'!K174+'2.1meta'!K191+'2.1meta'!K301+'2.1meta'!K318+'2.1meta'!K335</f>
        <v>0</v>
      </c>
      <c r="K20" s="88">
        <f>'2.1meta'!L20+'2.1meta'!L37+'2.1meta'!L54+'2.1meta'!L72+'2.1meta'!L89+'2.1meta'!L106+'2.1meta'!L123+'2.1meta'!L140+'2.1meta'!L157+'2.1meta'!L174+'2.1meta'!L191+'2.1meta'!L301+'2.1meta'!L318+'2.1meta'!L335</f>
        <v>0</v>
      </c>
      <c r="L20" s="88">
        <f>'2.1meta'!M20+'2.1meta'!M37+'2.1meta'!M54+'2.1meta'!M72+'2.1meta'!M89+'2.1meta'!M106+'2.1meta'!M123+'2.1meta'!M140+'2.1meta'!M157+'2.1meta'!M174+'2.1meta'!M191+'2.1meta'!M301+'2.1meta'!M318+'2.1meta'!M335</f>
        <v>0</v>
      </c>
      <c r="M20" s="88">
        <f>'2.1meta'!N20+'2.1meta'!N37+'2.1meta'!N54+'2.1meta'!N72+'2.1meta'!N89+'2.1meta'!N106+'2.1meta'!N123+'2.1meta'!N140+'2.1meta'!N157+'2.1meta'!N174+'2.1meta'!N191+'2.1meta'!N301+'2.1meta'!N318+'2.1meta'!N335</f>
        <v>0</v>
      </c>
      <c r="N20" s="89">
        <f t="shared" si="4"/>
        <v>0</v>
      </c>
      <c r="O20" s="111">
        <f t="shared" si="2"/>
        <v>0</v>
      </c>
      <c r="P20" s="88">
        <f>'2.1meta'!Q20+'2.1meta'!Q37+'2.1meta'!Q54+'2.1meta'!Q72+'2.1meta'!Q89+'2.1meta'!Q106+'2.1meta'!Q123+'2.1meta'!Q140+'2.1meta'!Q157+'2.1meta'!Q174+'2.1meta'!Q191+'2.1meta'!Q301+'2.1meta'!Q318+'2.1meta'!Q335</f>
        <v>0</v>
      </c>
      <c r="Q20" s="88">
        <f>'2.1meta'!R20+'2.1meta'!R37+'2.1meta'!R54+'2.1meta'!R72+'2.1meta'!R89+'2.1meta'!R106+'2.1meta'!R123+'2.1meta'!R140+'2.1meta'!R157+'2.1meta'!R174+'2.1meta'!R191+'2.1meta'!R301+'2.1meta'!R318+'2.1meta'!R335</f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SUM(P20:W20)</f>
        <v>0</v>
      </c>
      <c r="Y20" s="91">
        <f>N20+X20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8">
        <f>'2.1meta'!K21+'2.1meta'!K38+'2.1meta'!K55+'2.1meta'!K73+'2.1meta'!K90+'2.1meta'!K107+'2.1meta'!K124+'2.1meta'!K141+'2.1meta'!K158+'2.1meta'!K175+'2.1meta'!K192+'2.1meta'!K302+'2.1meta'!K319+'2.1meta'!K336</f>
        <v>0</v>
      </c>
      <c r="K21" s="88">
        <f>'2.1meta'!L21+'2.1meta'!L38+'2.1meta'!L55+'2.1meta'!L73+'2.1meta'!L90+'2.1meta'!L107+'2.1meta'!L124+'2.1meta'!L141+'2.1meta'!L158+'2.1meta'!L175+'2.1meta'!L192+'2.1meta'!L302+'2.1meta'!L319+'2.1meta'!L336</f>
        <v>0</v>
      </c>
      <c r="L21" s="88">
        <f>'2.1meta'!M21+'2.1meta'!M38+'2.1meta'!M55+'2.1meta'!M73+'2.1meta'!M90+'2.1meta'!M107+'2.1meta'!M124+'2.1meta'!M141+'2.1meta'!M158+'2.1meta'!M175+'2.1meta'!M192+'2.1meta'!M302+'2.1meta'!M319+'2.1meta'!M336</f>
        <v>0</v>
      </c>
      <c r="M21" s="88">
        <f>'2.1meta'!N21+'2.1meta'!N38+'2.1meta'!N55+'2.1meta'!N73+'2.1meta'!N90+'2.1meta'!N107+'2.1meta'!N124+'2.1meta'!N141+'2.1meta'!N158+'2.1meta'!N175+'2.1meta'!N192+'2.1meta'!N302+'2.1meta'!N319+'2.1meta'!N336</f>
        <v>0</v>
      </c>
      <c r="N21" s="89">
        <f t="shared" si="4"/>
        <v>0</v>
      </c>
      <c r="O21" s="111">
        <f t="shared" si="2"/>
        <v>0</v>
      </c>
      <c r="P21" s="88">
        <f>'2.1meta'!Q21+'2.1meta'!Q38+'2.1meta'!Q55+'2.1meta'!Q73+'2.1meta'!Q90+'2.1meta'!Q107+'2.1meta'!Q124+'2.1meta'!Q141+'2.1meta'!Q158+'2.1meta'!Q175+'2.1meta'!Q192+'2.1meta'!Q302+'2.1meta'!Q319+'2.1meta'!Q336</f>
        <v>0</v>
      </c>
      <c r="Q21" s="88">
        <f>'2.1meta'!R21+'2.1meta'!R38+'2.1meta'!R55+'2.1meta'!R73+'2.1meta'!R90+'2.1meta'!R107+'2.1meta'!R124+'2.1meta'!R141+'2.1meta'!R158+'2.1meta'!R175+'2.1meta'!R192+'2.1meta'!R302+'2.1meta'!R319+'2.1meta'!R336</f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SUM(P21:W21)</f>
        <v>0</v>
      </c>
      <c r="Y21" s="91">
        <f>N21+X21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8">
        <f>'2.1meta'!K22+'2.1meta'!K39+'2.1meta'!K56+'2.1meta'!K74+'2.1meta'!K91+'2.1meta'!K108+'2.1meta'!K125+'2.1meta'!K142+'2.1meta'!K159+'2.1meta'!K176+'2.1meta'!K193+'2.1meta'!K303+'2.1meta'!K320+'2.1meta'!K337</f>
        <v>0</v>
      </c>
      <c r="K22" s="88">
        <f>'2.1meta'!L22+'2.1meta'!L39+'2.1meta'!L56+'2.1meta'!L74+'2.1meta'!L91+'2.1meta'!L108+'2.1meta'!L125+'2.1meta'!L142+'2.1meta'!L159+'2.1meta'!L176+'2.1meta'!L193+'2.1meta'!L303+'2.1meta'!L320+'2.1meta'!L337</f>
        <v>0</v>
      </c>
      <c r="L22" s="88">
        <f>'2.1meta'!M22+'2.1meta'!M39+'2.1meta'!M56+'2.1meta'!M74+'2.1meta'!M91+'2.1meta'!M108+'2.1meta'!M125+'2.1meta'!M142+'2.1meta'!M159+'2.1meta'!M176+'2.1meta'!M193+'2.1meta'!M303+'2.1meta'!M320+'2.1meta'!M337</f>
        <v>0</v>
      </c>
      <c r="M22" s="88">
        <f>'2.1meta'!N22+'2.1meta'!N39+'2.1meta'!N56+'2.1meta'!N74+'2.1meta'!N91+'2.1meta'!N108+'2.1meta'!N125+'2.1meta'!N142+'2.1meta'!N159+'2.1meta'!N176+'2.1meta'!N193+'2.1meta'!N303+'2.1meta'!N320+'2.1meta'!N337</f>
        <v>0</v>
      </c>
      <c r="N22" s="89">
        <f t="shared" si="4"/>
        <v>0</v>
      </c>
      <c r="O22" s="111">
        <f t="shared" si="2"/>
        <v>0</v>
      </c>
      <c r="P22" s="88">
        <f>'2.1meta'!Q22+'2.1meta'!Q39+'2.1meta'!Q56+'2.1meta'!Q74+'2.1meta'!Q91+'2.1meta'!Q108+'2.1meta'!Q125+'2.1meta'!Q142+'2.1meta'!Q159+'2.1meta'!Q176+'2.1meta'!Q193+'2.1meta'!Q303+'2.1meta'!Q320+'2.1meta'!Q337</f>
        <v>0</v>
      </c>
      <c r="Q22" s="88">
        <f>'2.1meta'!R22+'2.1meta'!R39+'2.1meta'!R56+'2.1meta'!R74+'2.1meta'!R91+'2.1meta'!R108+'2.1meta'!R125+'2.1meta'!R142+'2.1meta'!R159+'2.1meta'!R176+'2.1meta'!R193+'2.1meta'!R303+'2.1meta'!R320+'2.1meta'!R337</f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SUM(P22:W22)</f>
        <v>0</v>
      </c>
      <c r="Y22" s="91">
        <f>N22+X22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 t="shared" ref="F23:N23" si="5">SUBTOTAL(9,F24:F37)</f>
        <v>0</v>
      </c>
      <c r="G23" s="85">
        <f t="shared" si="5"/>
        <v>0</v>
      </c>
      <c r="H23" s="85">
        <f t="shared" si="5"/>
        <v>0</v>
      </c>
      <c r="I23" s="85">
        <f t="shared" si="5"/>
        <v>0</v>
      </c>
      <c r="J23" s="85">
        <f t="shared" ref="J23:K23" si="6">SUBTOTAL(9,J24:J37)</f>
        <v>0</v>
      </c>
      <c r="K23" s="85">
        <f t="shared" si="6"/>
        <v>0</v>
      </c>
      <c r="L23" s="85">
        <f t="shared" si="5"/>
        <v>0</v>
      </c>
      <c r="M23" s="85">
        <f t="shared" si="5"/>
        <v>0</v>
      </c>
      <c r="N23" s="85">
        <f t="shared" si="5"/>
        <v>0</v>
      </c>
      <c r="O23" s="64">
        <f t="shared" si="2"/>
        <v>0</v>
      </c>
      <c r="P23" s="85">
        <f t="shared" ref="P23:Z23" si="7">SUBTOTAL(9,P24:P37)</f>
        <v>0</v>
      </c>
      <c r="Q23" s="85">
        <f t="shared" si="7"/>
        <v>0</v>
      </c>
      <c r="R23" s="85">
        <f t="shared" si="7"/>
        <v>0</v>
      </c>
      <c r="S23" s="85">
        <f t="shared" si="7"/>
        <v>0</v>
      </c>
      <c r="T23" s="85">
        <f t="shared" si="7"/>
        <v>0</v>
      </c>
      <c r="U23" s="85">
        <f t="shared" si="7"/>
        <v>0</v>
      </c>
      <c r="V23" s="85">
        <f t="shared" si="7"/>
        <v>0</v>
      </c>
      <c r="W23" s="85">
        <f t="shared" si="7"/>
        <v>0</v>
      </c>
      <c r="X23" s="85">
        <f t="shared" si="7"/>
        <v>0</v>
      </c>
      <c r="Y23" s="85">
        <f t="shared" si="7"/>
        <v>0</v>
      </c>
      <c r="Z23" s="99">
        <f t="shared" si="7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8">
        <f>'2.1meta'!K271</f>
        <v>0</v>
      </c>
      <c r="K24" s="88">
        <f>'2.1meta'!L271</f>
        <v>0</v>
      </c>
      <c r="L24" s="88">
        <f>'2.1meta'!M271</f>
        <v>0</v>
      </c>
      <c r="M24" s="88">
        <f>'2.1meta'!N271</f>
        <v>0</v>
      </c>
      <c r="N24" s="89">
        <f t="shared" ref="N24:N37" si="8">SUM(F24:M24)</f>
        <v>0</v>
      </c>
      <c r="O24" s="111">
        <f t="shared" si="2"/>
        <v>0</v>
      </c>
      <c r="P24" s="88">
        <f>'2.1meta'!Q271</f>
        <v>0</v>
      </c>
      <c r="Q24" s="88">
        <f>'2.1meta'!R271</f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SUM(P24:W24)</f>
        <v>0</v>
      </c>
      <c r="Y24" s="94">
        <f>N24+X24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8">
        <f>'2.1meta'!K272</f>
        <v>0</v>
      </c>
      <c r="K25" s="88">
        <f>'2.1meta'!L272</f>
        <v>0</v>
      </c>
      <c r="L25" s="88">
        <f>'2.1meta'!M272</f>
        <v>0</v>
      </c>
      <c r="M25" s="88">
        <f>'2.1meta'!N272</f>
        <v>0</v>
      </c>
      <c r="N25" s="89">
        <f t="shared" si="8"/>
        <v>0</v>
      </c>
      <c r="O25" s="111">
        <f t="shared" si="2"/>
        <v>0</v>
      </c>
      <c r="P25" s="88">
        <f>'2.1meta'!Q272</f>
        <v>0</v>
      </c>
      <c r="Q25" s="88">
        <f>'2.1meta'!R272</f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SUM(P25:W25)</f>
        <v>0</v>
      </c>
      <c r="Y25" s="94">
        <f>N25+X25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8">
        <f>'2.1meta'!K273</f>
        <v>0</v>
      </c>
      <c r="K26" s="88">
        <f>'2.1meta'!L273</f>
        <v>0</v>
      </c>
      <c r="L26" s="88">
        <f>'2.1meta'!M273</f>
        <v>0</v>
      </c>
      <c r="M26" s="88">
        <f>'2.1meta'!N273</f>
        <v>0</v>
      </c>
      <c r="N26" s="89">
        <f t="shared" si="8"/>
        <v>0</v>
      </c>
      <c r="O26" s="111">
        <f t="shared" si="2"/>
        <v>0</v>
      </c>
      <c r="P26" s="88">
        <f>'2.1meta'!Q273</f>
        <v>0</v>
      </c>
      <c r="Q26" s="88">
        <f>'2.1meta'!R273</f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SUM(P26:W26)</f>
        <v>0</v>
      </c>
      <c r="Y26" s="94">
        <f>N26+X26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8">
        <f>'2.1meta'!K274</f>
        <v>0</v>
      </c>
      <c r="K27" s="88">
        <f>'2.1meta'!L274</f>
        <v>0</v>
      </c>
      <c r="L27" s="88">
        <f>'2.1meta'!M274</f>
        <v>0</v>
      </c>
      <c r="M27" s="88">
        <f>'2.1meta'!N274</f>
        <v>0</v>
      </c>
      <c r="N27" s="89">
        <f t="shared" si="8"/>
        <v>0</v>
      </c>
      <c r="O27" s="111">
        <f t="shared" si="2"/>
        <v>0</v>
      </c>
      <c r="P27" s="88">
        <f>'2.1meta'!Q274</f>
        <v>0</v>
      </c>
      <c r="Q27" s="88">
        <f>'2.1meta'!R274</f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SUM(P27:W27)</f>
        <v>0</v>
      </c>
      <c r="Y27" s="94">
        <f>N27+X27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8">
        <f>'2.1meta'!K275</f>
        <v>0</v>
      </c>
      <c r="K28" s="88">
        <f>'2.1meta'!L275</f>
        <v>0</v>
      </c>
      <c r="L28" s="88">
        <f>'2.1meta'!M275</f>
        <v>0</v>
      </c>
      <c r="M28" s="88">
        <f>'2.1meta'!N275</f>
        <v>0</v>
      </c>
      <c r="N28" s="89">
        <f t="shared" si="8"/>
        <v>0</v>
      </c>
      <c r="O28" s="111">
        <f t="shared" si="2"/>
        <v>0</v>
      </c>
      <c r="P28" s="88">
        <f>'2.1meta'!Q275</f>
        <v>0</v>
      </c>
      <c r="Q28" s="88">
        <f>'2.1meta'!R275</f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SUM(P28:W28)</f>
        <v>0</v>
      </c>
      <c r="Y28" s="94">
        <f>N28+X28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8">
        <f>'2.1meta'!K276</f>
        <v>0</v>
      </c>
      <c r="K29" s="88">
        <f>'2.1meta'!L276</f>
        <v>0</v>
      </c>
      <c r="L29" s="88">
        <f>'2.1meta'!M276</f>
        <v>0</v>
      </c>
      <c r="M29" s="88">
        <f>'2.1meta'!N276</f>
        <v>0</v>
      </c>
      <c r="N29" s="89">
        <f t="shared" si="8"/>
        <v>0</v>
      </c>
      <c r="O29" s="111">
        <f t="shared" si="2"/>
        <v>0</v>
      </c>
      <c r="P29" s="88">
        <f>'2.1meta'!Q276</f>
        <v>0</v>
      </c>
      <c r="Q29" s="88">
        <f>'2.1meta'!R276</f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SUM(P29:W29)</f>
        <v>0</v>
      </c>
      <c r="Y29" s="94">
        <f>N29+X29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8">
        <f>'2.1meta'!K277</f>
        <v>0</v>
      </c>
      <c r="K30" s="88">
        <f>'2.1meta'!L277</f>
        <v>0</v>
      </c>
      <c r="L30" s="88">
        <f>'2.1meta'!M277</f>
        <v>0</v>
      </c>
      <c r="M30" s="88">
        <f>'2.1meta'!N277</f>
        <v>0</v>
      </c>
      <c r="N30" s="89">
        <f t="shared" si="8"/>
        <v>0</v>
      </c>
      <c r="O30" s="111">
        <f t="shared" si="2"/>
        <v>0</v>
      </c>
      <c r="P30" s="88">
        <f>'2.1meta'!Q277</f>
        <v>0</v>
      </c>
      <c r="Q30" s="88">
        <f>'2.1meta'!R277</f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SUM(P30:W30)</f>
        <v>0</v>
      </c>
      <c r="Y30" s="94">
        <f>N30+X30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8">
        <f>'2.1meta'!K278</f>
        <v>0</v>
      </c>
      <c r="K31" s="88">
        <f>'2.1meta'!L278</f>
        <v>0</v>
      </c>
      <c r="L31" s="88">
        <f>'2.1meta'!M278</f>
        <v>0</v>
      </c>
      <c r="M31" s="88">
        <f>'2.1meta'!N278</f>
        <v>0</v>
      </c>
      <c r="N31" s="89">
        <f t="shared" si="8"/>
        <v>0</v>
      </c>
      <c r="O31" s="111">
        <f t="shared" si="2"/>
        <v>0</v>
      </c>
      <c r="P31" s="88">
        <f>'2.1meta'!Q278</f>
        <v>0</v>
      </c>
      <c r="Q31" s="88">
        <f>'2.1meta'!R278</f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SUM(P31:W31)</f>
        <v>0</v>
      </c>
      <c r="Y31" s="94">
        <f>N31+X31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8">
        <f>'2.1meta'!K279</f>
        <v>0</v>
      </c>
      <c r="K32" s="88">
        <f>'2.1meta'!L279</f>
        <v>0</v>
      </c>
      <c r="L32" s="88">
        <f>'2.1meta'!M279</f>
        <v>0</v>
      </c>
      <c r="M32" s="88">
        <f>'2.1meta'!N279</f>
        <v>0</v>
      </c>
      <c r="N32" s="89">
        <f t="shared" si="8"/>
        <v>0</v>
      </c>
      <c r="O32" s="111">
        <f t="shared" si="2"/>
        <v>0</v>
      </c>
      <c r="P32" s="88">
        <f>'2.1meta'!Q279</f>
        <v>0</v>
      </c>
      <c r="Q32" s="88">
        <f>'2.1meta'!R279</f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SUM(P32:W32)</f>
        <v>0</v>
      </c>
      <c r="Y32" s="94">
        <f>N32+X32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8">
        <f>'2.1meta'!K280</f>
        <v>0</v>
      </c>
      <c r="K33" s="88">
        <f>'2.1meta'!L280</f>
        <v>0</v>
      </c>
      <c r="L33" s="88">
        <f>'2.1meta'!M280</f>
        <v>0</v>
      </c>
      <c r="M33" s="88">
        <f>'2.1meta'!N280</f>
        <v>0</v>
      </c>
      <c r="N33" s="89">
        <f t="shared" si="8"/>
        <v>0</v>
      </c>
      <c r="O33" s="111">
        <f t="shared" si="2"/>
        <v>0</v>
      </c>
      <c r="P33" s="88">
        <f>'2.1meta'!Q280</f>
        <v>0</v>
      </c>
      <c r="Q33" s="88">
        <f>'2.1meta'!R280</f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SUM(P33:W33)</f>
        <v>0</v>
      </c>
      <c r="Y33" s="94">
        <f>N33+X33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8">
        <f>'2.1meta'!K281</f>
        <v>0</v>
      </c>
      <c r="K34" s="88">
        <f>'2.1meta'!L281</f>
        <v>0</v>
      </c>
      <c r="L34" s="88">
        <f>'2.1meta'!M281</f>
        <v>0</v>
      </c>
      <c r="M34" s="88">
        <f>'2.1meta'!N281</f>
        <v>0</v>
      </c>
      <c r="N34" s="89">
        <f t="shared" si="8"/>
        <v>0</v>
      </c>
      <c r="O34" s="111">
        <f t="shared" si="2"/>
        <v>0</v>
      </c>
      <c r="P34" s="88">
        <f>'2.1meta'!Q281</f>
        <v>0</v>
      </c>
      <c r="Q34" s="88">
        <f>'2.1meta'!R281</f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SUM(P34:W34)</f>
        <v>0</v>
      </c>
      <c r="Y34" s="94">
        <f>N34+X34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8">
        <f>'2.1meta'!K283</f>
        <v>0</v>
      </c>
      <c r="K35" s="88">
        <f>'2.1meta'!L283</f>
        <v>0</v>
      </c>
      <c r="L35" s="88">
        <f>'2.1meta'!M283</f>
        <v>0</v>
      </c>
      <c r="M35" s="88">
        <f>'2.1meta'!N283</f>
        <v>0</v>
      </c>
      <c r="N35" s="89">
        <f t="shared" si="8"/>
        <v>0</v>
      </c>
      <c r="O35" s="111">
        <f t="shared" si="2"/>
        <v>0</v>
      </c>
      <c r="P35" s="88">
        <f>'2.1meta'!Q283</f>
        <v>0</v>
      </c>
      <c r="Q35" s="88">
        <f>'2.1meta'!R283</f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SUM(P35:W35)</f>
        <v>0</v>
      </c>
      <c r="Y35" s="94">
        <f>N35+X35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8">
        <f>'2.1meta'!K284</f>
        <v>0</v>
      </c>
      <c r="K36" s="88">
        <f>'2.1meta'!L284</f>
        <v>0</v>
      </c>
      <c r="L36" s="88">
        <f>'2.1meta'!M284</f>
        <v>0</v>
      </c>
      <c r="M36" s="88">
        <f>'2.1meta'!N284</f>
        <v>0</v>
      </c>
      <c r="N36" s="89">
        <f t="shared" si="8"/>
        <v>0</v>
      </c>
      <c r="O36" s="111">
        <f t="shared" si="2"/>
        <v>0</v>
      </c>
      <c r="P36" s="88">
        <f>'2.1meta'!Q284</f>
        <v>0</v>
      </c>
      <c r="Q36" s="88">
        <f>'2.1meta'!R284</f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SUM(P36:W36)</f>
        <v>0</v>
      </c>
      <c r="Y36" s="94">
        <f>N36+X36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8">
        <f>'2.1meta'!K286</f>
        <v>0</v>
      </c>
      <c r="K37" s="88">
        <f>'2.1meta'!L286</f>
        <v>0</v>
      </c>
      <c r="L37" s="88">
        <f>'2.1meta'!M286</f>
        <v>0</v>
      </c>
      <c r="M37" s="88">
        <f>'2.1meta'!N286</f>
        <v>0</v>
      </c>
      <c r="N37" s="89">
        <f t="shared" si="8"/>
        <v>0</v>
      </c>
      <c r="O37" s="111">
        <f t="shared" ref="O37:O67" si="9">C37-N37</f>
        <v>0</v>
      </c>
      <c r="P37" s="88">
        <f>'2.1meta'!Q286</f>
        <v>0</v>
      </c>
      <c r="Q37" s="88">
        <f>'2.1meta'!R286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SUM(P37:W37)</f>
        <v>0</v>
      </c>
      <c r="Y37" s="94">
        <f>N37+X37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 t="shared" ref="F38:N38" si="10">SUBTOTAL(9,F39:F50)</f>
        <v>0</v>
      </c>
      <c r="G38" s="85">
        <f t="shared" si="10"/>
        <v>0</v>
      </c>
      <c r="H38" s="85">
        <f t="shared" si="10"/>
        <v>0</v>
      </c>
      <c r="I38" s="85">
        <f t="shared" si="10"/>
        <v>0</v>
      </c>
      <c r="J38" s="85">
        <f t="shared" ref="J38:K38" si="11">SUBTOTAL(9,J39:J50)</f>
        <v>0</v>
      </c>
      <c r="K38" s="85">
        <f t="shared" si="11"/>
        <v>0</v>
      </c>
      <c r="L38" s="85">
        <f t="shared" si="10"/>
        <v>0</v>
      </c>
      <c r="M38" s="85">
        <f t="shared" si="10"/>
        <v>0</v>
      </c>
      <c r="N38" s="85">
        <f t="shared" si="10"/>
        <v>0</v>
      </c>
      <c r="O38" s="64">
        <f t="shared" si="9"/>
        <v>0</v>
      </c>
      <c r="P38" s="85">
        <f t="shared" ref="P38:Z38" si="12">SUBTOTAL(9,P39:P50)</f>
        <v>0</v>
      </c>
      <c r="Q38" s="85">
        <f t="shared" si="12"/>
        <v>0</v>
      </c>
      <c r="R38" s="85">
        <f t="shared" si="12"/>
        <v>0</v>
      </c>
      <c r="S38" s="85">
        <f t="shared" si="12"/>
        <v>0</v>
      </c>
      <c r="T38" s="85">
        <f t="shared" si="12"/>
        <v>0</v>
      </c>
      <c r="U38" s="85">
        <f t="shared" si="12"/>
        <v>0</v>
      </c>
      <c r="V38" s="85">
        <f t="shared" si="12"/>
        <v>0</v>
      </c>
      <c r="W38" s="85">
        <f t="shared" si="12"/>
        <v>0</v>
      </c>
      <c r="X38" s="85">
        <f t="shared" si="12"/>
        <v>0</v>
      </c>
      <c r="Y38" s="85">
        <f t="shared" si="12"/>
        <v>0</v>
      </c>
      <c r="Z38" s="99">
        <f t="shared" si="12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8">
        <f>'2.1meta'!K195+'2.1meta'!K212</f>
        <v>0</v>
      </c>
      <c r="K39" s="88">
        <f>'2.1meta'!L195+'2.1meta'!L212</f>
        <v>0</v>
      </c>
      <c r="L39" s="88">
        <f>'2.1meta'!M195+'2.1meta'!M212</f>
        <v>0</v>
      </c>
      <c r="M39" s="88">
        <f>'2.1meta'!N195+'2.1meta'!N212</f>
        <v>0</v>
      </c>
      <c r="N39" s="89">
        <f t="shared" ref="N39:N50" si="13">SUM(F39:M39)</f>
        <v>0</v>
      </c>
      <c r="O39" s="111">
        <f t="shared" si="9"/>
        <v>0</v>
      </c>
      <c r="P39" s="88">
        <f>'2.1meta'!Q195+'2.1meta'!Q212</f>
        <v>0</v>
      </c>
      <c r="Q39" s="88">
        <f>'2.1meta'!R195+'2.1meta'!R212</f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SUM(P39:W39)</f>
        <v>0</v>
      </c>
      <c r="Y39" s="94">
        <f>N39+X39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8">
        <f>'2.1meta'!K196+'2.1meta'!K213</f>
        <v>0</v>
      </c>
      <c r="K40" s="88">
        <f>'2.1meta'!L196+'2.1meta'!L213</f>
        <v>0</v>
      </c>
      <c r="L40" s="88">
        <f>'2.1meta'!M196+'2.1meta'!M213</f>
        <v>0</v>
      </c>
      <c r="M40" s="88">
        <f>'2.1meta'!N196+'2.1meta'!N213</f>
        <v>0</v>
      </c>
      <c r="N40" s="89">
        <f t="shared" si="13"/>
        <v>0</v>
      </c>
      <c r="O40" s="111">
        <f t="shared" si="9"/>
        <v>0</v>
      </c>
      <c r="P40" s="88">
        <f>'2.1meta'!Q196+'2.1meta'!Q213</f>
        <v>0</v>
      </c>
      <c r="Q40" s="88">
        <f>'2.1meta'!R196+'2.1meta'!R213</f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SUM(P40:W40)</f>
        <v>0</v>
      </c>
      <c r="Y40" s="94">
        <f>N40+X40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8">
        <f>'2.1meta'!K197+'2.1meta'!K214</f>
        <v>0</v>
      </c>
      <c r="K41" s="88">
        <f>'2.1meta'!L197+'2.1meta'!L214</f>
        <v>0</v>
      </c>
      <c r="L41" s="88">
        <f>'2.1meta'!M197+'2.1meta'!M214</f>
        <v>0</v>
      </c>
      <c r="M41" s="88">
        <f>'2.1meta'!N197+'2.1meta'!N214</f>
        <v>0</v>
      </c>
      <c r="N41" s="89">
        <f t="shared" si="13"/>
        <v>0</v>
      </c>
      <c r="O41" s="111">
        <f t="shared" si="9"/>
        <v>0</v>
      </c>
      <c r="P41" s="88">
        <f>'2.1meta'!Q197+'2.1meta'!Q214</f>
        <v>0</v>
      </c>
      <c r="Q41" s="88">
        <f>'2.1meta'!R197+'2.1meta'!R214</f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SUM(P41:W41)</f>
        <v>0</v>
      </c>
      <c r="Y41" s="94">
        <f>N41+X41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8">
        <f>'2.1meta'!K198+'2.1meta'!K215</f>
        <v>0</v>
      </c>
      <c r="K42" s="88">
        <f>'2.1meta'!L198+'2.1meta'!L215</f>
        <v>0</v>
      </c>
      <c r="L42" s="88">
        <f>'2.1meta'!M198+'2.1meta'!M215</f>
        <v>0</v>
      </c>
      <c r="M42" s="88">
        <f>'2.1meta'!N198+'2.1meta'!N215</f>
        <v>0</v>
      </c>
      <c r="N42" s="89">
        <f t="shared" si="13"/>
        <v>0</v>
      </c>
      <c r="O42" s="111">
        <f t="shared" si="9"/>
        <v>0</v>
      </c>
      <c r="P42" s="88">
        <f>'2.1meta'!Q198+'2.1meta'!Q215</f>
        <v>0</v>
      </c>
      <c r="Q42" s="88">
        <f>'2.1meta'!R198+'2.1meta'!R215</f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SUM(P42:W42)</f>
        <v>0</v>
      </c>
      <c r="Y42" s="94">
        <f>N42+X42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8">
        <f>'2.1meta'!K202+'2.1meta'!K219</f>
        <v>0</v>
      </c>
      <c r="K43" s="88">
        <f>'2.1meta'!L202+'2.1meta'!L219</f>
        <v>0</v>
      </c>
      <c r="L43" s="88">
        <f>'2.1meta'!M202+'2.1meta'!M219</f>
        <v>0</v>
      </c>
      <c r="M43" s="88">
        <f>'2.1meta'!N202+'2.1meta'!N219</f>
        <v>0</v>
      </c>
      <c r="N43" s="89">
        <f t="shared" si="13"/>
        <v>0</v>
      </c>
      <c r="O43" s="111">
        <f t="shared" si="9"/>
        <v>0</v>
      </c>
      <c r="P43" s="88">
        <f>'2.1meta'!Q202+'2.1meta'!Q219</f>
        <v>0</v>
      </c>
      <c r="Q43" s="88">
        <f>'2.1meta'!R202+'2.1meta'!R219</f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SUM(P43:W43)</f>
        <v>0</v>
      </c>
      <c r="Y43" s="94">
        <f>N43+X43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8">
        <f>'2.1meta'!K203+'2.1meta'!K220</f>
        <v>0</v>
      </c>
      <c r="K44" s="88">
        <f>'2.1meta'!L203+'2.1meta'!L220</f>
        <v>0</v>
      </c>
      <c r="L44" s="88">
        <f>'2.1meta'!M203+'2.1meta'!M220</f>
        <v>0</v>
      </c>
      <c r="M44" s="88">
        <f>'2.1meta'!N203+'2.1meta'!N220</f>
        <v>0</v>
      </c>
      <c r="N44" s="89">
        <f t="shared" si="13"/>
        <v>0</v>
      </c>
      <c r="O44" s="111">
        <f t="shared" si="9"/>
        <v>0</v>
      </c>
      <c r="P44" s="88">
        <f>'2.1meta'!Q203+'2.1meta'!Q220</f>
        <v>0</v>
      </c>
      <c r="Q44" s="88">
        <f>'2.1meta'!R203+'2.1meta'!R220</f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SUM(P44:W44)</f>
        <v>0</v>
      </c>
      <c r="Y44" s="94">
        <f>N44+X44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8">
        <f>'2.1meta'!K204+'2.1meta'!K221</f>
        <v>0</v>
      </c>
      <c r="K45" s="88">
        <f>'2.1meta'!L204+'2.1meta'!L221</f>
        <v>0</v>
      </c>
      <c r="L45" s="88">
        <f>'2.1meta'!M204+'2.1meta'!M221</f>
        <v>0</v>
      </c>
      <c r="M45" s="88">
        <f>'2.1meta'!N204+'2.1meta'!N221</f>
        <v>0</v>
      </c>
      <c r="N45" s="89">
        <f t="shared" si="13"/>
        <v>0</v>
      </c>
      <c r="O45" s="111">
        <f t="shared" si="9"/>
        <v>0</v>
      </c>
      <c r="P45" s="88">
        <f>'2.1meta'!Q204+'2.1meta'!Q221</f>
        <v>0</v>
      </c>
      <c r="Q45" s="88">
        <f>'2.1meta'!R204+'2.1meta'!R221</f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SUM(P45:W45)</f>
        <v>0</v>
      </c>
      <c r="Y45" s="94">
        <f>N45+X45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8">
        <f>'2.1meta'!K205+'2.1meta'!K222</f>
        <v>0</v>
      </c>
      <c r="K46" s="88">
        <f>'2.1meta'!L205+'2.1meta'!L222</f>
        <v>0</v>
      </c>
      <c r="L46" s="88">
        <f>'2.1meta'!M205+'2.1meta'!M222</f>
        <v>0</v>
      </c>
      <c r="M46" s="88">
        <f>'2.1meta'!N205+'2.1meta'!N222</f>
        <v>0</v>
      </c>
      <c r="N46" s="89">
        <f t="shared" si="13"/>
        <v>0</v>
      </c>
      <c r="O46" s="111">
        <f t="shared" si="9"/>
        <v>0</v>
      </c>
      <c r="P46" s="88">
        <f>'2.1meta'!Q205+'2.1meta'!Q222</f>
        <v>0</v>
      </c>
      <c r="Q46" s="88">
        <f>'2.1meta'!R205+'2.1meta'!R222</f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SUM(P46:W46)</f>
        <v>0</v>
      </c>
      <c r="Y46" s="94">
        <f>N46+X46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8">
        <f>'2.1meta'!K206+'2.1meta'!K223</f>
        <v>0</v>
      </c>
      <c r="K47" s="88">
        <f>'2.1meta'!L206+'2.1meta'!L223</f>
        <v>0</v>
      </c>
      <c r="L47" s="88">
        <f>'2.1meta'!M206+'2.1meta'!M223</f>
        <v>0</v>
      </c>
      <c r="M47" s="88">
        <f>'2.1meta'!N206+'2.1meta'!N223</f>
        <v>0</v>
      </c>
      <c r="N47" s="89">
        <f t="shared" si="13"/>
        <v>0</v>
      </c>
      <c r="O47" s="111">
        <f t="shared" si="9"/>
        <v>0</v>
      </c>
      <c r="P47" s="88">
        <f>'2.1meta'!Q206+'2.1meta'!Q223</f>
        <v>0</v>
      </c>
      <c r="Q47" s="88">
        <f>'2.1meta'!R206+'2.1meta'!R223</f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SUM(P47:W47)</f>
        <v>0</v>
      </c>
      <c r="Y47" s="94">
        <f>N47+X47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8">
        <f>'2.1meta'!K207+'2.1meta'!K224</f>
        <v>0</v>
      </c>
      <c r="K48" s="88">
        <f>'2.1meta'!L207+'2.1meta'!L224</f>
        <v>0</v>
      </c>
      <c r="L48" s="88">
        <f>'2.1meta'!M207+'2.1meta'!M224</f>
        <v>0</v>
      </c>
      <c r="M48" s="88">
        <f>'2.1meta'!N207+'2.1meta'!N224</f>
        <v>0</v>
      </c>
      <c r="N48" s="89">
        <f t="shared" si="13"/>
        <v>0</v>
      </c>
      <c r="O48" s="111">
        <f t="shared" si="9"/>
        <v>0</v>
      </c>
      <c r="P48" s="88">
        <f>'2.1meta'!Q207+'2.1meta'!Q224</f>
        <v>0</v>
      </c>
      <c r="Q48" s="88">
        <f>'2.1meta'!R207+'2.1meta'!R224</f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SUM(P48:W48)</f>
        <v>0</v>
      </c>
      <c r="Y48" s="94">
        <f>N48+X48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8">
        <f>'2.1meta'!K208+'2.1meta'!K225</f>
        <v>0</v>
      </c>
      <c r="K49" s="88">
        <f>'2.1meta'!L208+'2.1meta'!L225</f>
        <v>0</v>
      </c>
      <c r="L49" s="88">
        <f>'2.1meta'!M208+'2.1meta'!M225</f>
        <v>0</v>
      </c>
      <c r="M49" s="88">
        <f>'2.1meta'!N208+'2.1meta'!N225</f>
        <v>0</v>
      </c>
      <c r="N49" s="89">
        <f t="shared" si="13"/>
        <v>0</v>
      </c>
      <c r="O49" s="111">
        <f t="shared" si="9"/>
        <v>0</v>
      </c>
      <c r="P49" s="88">
        <f>'2.1meta'!Q208+'2.1meta'!Q225</f>
        <v>0</v>
      </c>
      <c r="Q49" s="88">
        <f>'2.1meta'!R208+'2.1meta'!R225</f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SUM(P49:W49)</f>
        <v>0</v>
      </c>
      <c r="Y49" s="94">
        <f>N49+X49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8">
        <f>'2.1meta'!K210+'2.1meta'!K227</f>
        <v>0</v>
      </c>
      <c r="K50" s="88">
        <f>'2.1meta'!L210+'2.1meta'!L227</f>
        <v>0</v>
      </c>
      <c r="L50" s="88">
        <f>'2.1meta'!M210+'2.1meta'!M227</f>
        <v>0</v>
      </c>
      <c r="M50" s="88">
        <f>'2.1meta'!N210+'2.1meta'!N227</f>
        <v>0</v>
      </c>
      <c r="N50" s="89">
        <f t="shared" si="13"/>
        <v>0</v>
      </c>
      <c r="O50" s="111">
        <f t="shared" si="9"/>
        <v>0</v>
      </c>
      <c r="P50" s="88">
        <f>'2.1meta'!Q210+'2.1meta'!Q227</f>
        <v>0</v>
      </c>
      <c r="Q50" s="88">
        <f>'2.1meta'!R210+'2.1meta'!R227</f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SUM(P50:W50)</f>
        <v>0</v>
      </c>
      <c r="Y50" s="94">
        <f>N50+X50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 t="shared" ref="F51:N51" si="14">SUBTOTAL(9,F52:F66)</f>
        <v>0</v>
      </c>
      <c r="G51" s="85">
        <f t="shared" si="14"/>
        <v>0</v>
      </c>
      <c r="H51" s="85">
        <f t="shared" si="14"/>
        <v>0</v>
      </c>
      <c r="I51" s="85">
        <f t="shared" si="14"/>
        <v>0</v>
      </c>
      <c r="J51" s="85">
        <f t="shared" ref="J51:K51" si="15">SUBTOTAL(9,J52:J66)</f>
        <v>0</v>
      </c>
      <c r="K51" s="85">
        <f t="shared" si="15"/>
        <v>0</v>
      </c>
      <c r="L51" s="85">
        <f t="shared" si="14"/>
        <v>0</v>
      </c>
      <c r="M51" s="85">
        <f t="shared" si="14"/>
        <v>0</v>
      </c>
      <c r="N51" s="85">
        <f t="shared" si="14"/>
        <v>0</v>
      </c>
      <c r="O51" s="64">
        <f t="shared" si="9"/>
        <v>0</v>
      </c>
      <c r="P51" s="85">
        <f t="shared" ref="P51:Z51" si="16">SUBTOTAL(9,P52:P66)</f>
        <v>0</v>
      </c>
      <c r="Q51" s="85">
        <f t="shared" si="16"/>
        <v>0</v>
      </c>
      <c r="R51" s="85">
        <f t="shared" si="16"/>
        <v>0</v>
      </c>
      <c r="S51" s="85">
        <f t="shared" si="16"/>
        <v>0</v>
      </c>
      <c r="T51" s="85">
        <f t="shared" si="16"/>
        <v>0</v>
      </c>
      <c r="U51" s="85">
        <f t="shared" si="16"/>
        <v>0</v>
      </c>
      <c r="V51" s="85">
        <f t="shared" si="16"/>
        <v>0</v>
      </c>
      <c r="W51" s="85">
        <f t="shared" si="16"/>
        <v>0</v>
      </c>
      <c r="X51" s="85">
        <f t="shared" si="16"/>
        <v>0</v>
      </c>
      <c r="Y51" s="85">
        <f t="shared" si="16"/>
        <v>0</v>
      </c>
      <c r="Z51" s="99">
        <f t="shared" si="16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8">
        <f>'2.1meta'!K237+'2.1meta'!K254</f>
        <v>0</v>
      </c>
      <c r="K52" s="88">
        <f>'2.1meta'!L237+'2.1meta'!L254</f>
        <v>0</v>
      </c>
      <c r="L52" s="88">
        <f>'2.1meta'!M237+'2.1meta'!M254</f>
        <v>0</v>
      </c>
      <c r="M52" s="88">
        <f>'2.1meta'!N237+'2.1meta'!N254</f>
        <v>0</v>
      </c>
      <c r="N52" s="89">
        <f t="shared" ref="N52:N66" si="17">SUM(F52:M52)</f>
        <v>0</v>
      </c>
      <c r="O52" s="111">
        <f t="shared" si="9"/>
        <v>0</v>
      </c>
      <c r="P52" s="88">
        <f>'2.1meta'!Q237+'2.1meta'!Q254</f>
        <v>0</v>
      </c>
      <c r="Q52" s="88">
        <f>'2.1meta'!R237+'2.1meta'!R254</f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SUM(P52:W52)</f>
        <v>0</v>
      </c>
      <c r="Y52" s="94">
        <f>N52+X52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8">
        <f>'2.1meta'!K238+'2.1meta'!K255</f>
        <v>0</v>
      </c>
      <c r="K53" s="88">
        <f>'2.1meta'!L238+'2.1meta'!L255</f>
        <v>0</v>
      </c>
      <c r="L53" s="88">
        <f>'2.1meta'!M238+'2.1meta'!M255</f>
        <v>0</v>
      </c>
      <c r="M53" s="88">
        <f>'2.1meta'!N238+'2.1meta'!N255</f>
        <v>0</v>
      </c>
      <c r="N53" s="89">
        <f t="shared" si="17"/>
        <v>0</v>
      </c>
      <c r="O53" s="111">
        <f t="shared" si="9"/>
        <v>0</v>
      </c>
      <c r="P53" s="88">
        <f>'2.1meta'!Q238+'2.1meta'!Q255</f>
        <v>0</v>
      </c>
      <c r="Q53" s="88">
        <f>'2.1meta'!R238+'2.1meta'!R255</f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SUM(P53:W53)</f>
        <v>0</v>
      </c>
      <c r="Y53" s="94">
        <f>N53+X53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8">
        <f>'2.1meta'!K239+'2.1meta'!K256</f>
        <v>0</v>
      </c>
      <c r="K54" s="88">
        <f>'2.1meta'!L239+'2.1meta'!L256</f>
        <v>0</v>
      </c>
      <c r="L54" s="88">
        <f>'2.1meta'!M239+'2.1meta'!M256</f>
        <v>0</v>
      </c>
      <c r="M54" s="88">
        <f>'2.1meta'!N239+'2.1meta'!N256</f>
        <v>0</v>
      </c>
      <c r="N54" s="89">
        <f t="shared" si="17"/>
        <v>0</v>
      </c>
      <c r="O54" s="111">
        <f t="shared" si="9"/>
        <v>0</v>
      </c>
      <c r="P54" s="88">
        <f>'2.1meta'!Q239+'2.1meta'!Q256</f>
        <v>0</v>
      </c>
      <c r="Q54" s="88">
        <f>'2.1meta'!R239+'2.1meta'!R256</f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SUM(P54:W54)</f>
        <v>0</v>
      </c>
      <c r="Y54" s="94">
        <f>N54+X54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8">
        <f>'2.1meta'!K240+'2.1meta'!K257</f>
        <v>0</v>
      </c>
      <c r="K55" s="88">
        <f>'2.1meta'!L240+'2.1meta'!L257</f>
        <v>0</v>
      </c>
      <c r="L55" s="88">
        <f>'2.1meta'!M240+'2.1meta'!M257</f>
        <v>0</v>
      </c>
      <c r="M55" s="88">
        <f>'2.1meta'!N240+'2.1meta'!N257</f>
        <v>0</v>
      </c>
      <c r="N55" s="89">
        <f t="shared" si="17"/>
        <v>0</v>
      </c>
      <c r="O55" s="111">
        <f t="shared" si="9"/>
        <v>0</v>
      </c>
      <c r="P55" s="88">
        <f>'2.1meta'!Q240+'2.1meta'!Q257</f>
        <v>0</v>
      </c>
      <c r="Q55" s="88">
        <f>'2.1meta'!R240+'2.1meta'!R257</f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SUM(P55:W55)</f>
        <v>0</v>
      </c>
      <c r="Y55" s="94">
        <f>N55+X55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8">
        <f>'2.1meta'!K229+'2.1meta'!K241+'2.1meta'!K258</f>
        <v>0</v>
      </c>
      <c r="K56" s="88">
        <f>'2.1meta'!L229+'2.1meta'!L241+'2.1meta'!L258</f>
        <v>0</v>
      </c>
      <c r="L56" s="88">
        <f>'2.1meta'!M229+'2.1meta'!M241+'2.1meta'!M258</f>
        <v>0</v>
      </c>
      <c r="M56" s="88">
        <f>'2.1meta'!N229+'2.1meta'!N241+'2.1meta'!N258</f>
        <v>0</v>
      </c>
      <c r="N56" s="89">
        <f t="shared" si="17"/>
        <v>0</v>
      </c>
      <c r="O56" s="111">
        <f t="shared" si="9"/>
        <v>0</v>
      </c>
      <c r="P56" s="88">
        <f>'2.1meta'!Q229+'2.1meta'!Q241+'2.1meta'!Q258</f>
        <v>0</v>
      </c>
      <c r="Q56" s="88">
        <f>'2.1meta'!R229+'2.1meta'!R241+'2.1meta'!R258</f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SUM(P56:W56)</f>
        <v>0</v>
      </c>
      <c r="Y56" s="94">
        <f>N56+X56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8">
        <f>'2.1meta'!K230+'2.1meta'!K242+'2.1meta'!K259</f>
        <v>0</v>
      </c>
      <c r="K57" s="88">
        <f>'2.1meta'!L230+'2.1meta'!L242+'2.1meta'!L259</f>
        <v>0</v>
      </c>
      <c r="L57" s="88">
        <f>'2.1meta'!M230+'2.1meta'!M242+'2.1meta'!M259</f>
        <v>0</v>
      </c>
      <c r="M57" s="88">
        <f>'2.1meta'!N230+'2.1meta'!N242+'2.1meta'!N259</f>
        <v>0</v>
      </c>
      <c r="N57" s="89">
        <f t="shared" si="17"/>
        <v>0</v>
      </c>
      <c r="O57" s="111">
        <f t="shared" si="9"/>
        <v>0</v>
      </c>
      <c r="P57" s="88">
        <f>'2.1meta'!Q230+'2.1meta'!Q242+'2.1meta'!Q259</f>
        <v>0</v>
      </c>
      <c r="Q57" s="88">
        <f>'2.1meta'!R230+'2.1meta'!R242+'2.1meta'!R259</f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SUM(P57:W57)</f>
        <v>0</v>
      </c>
      <c r="Y57" s="94">
        <f>N57+X57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8">
        <f>'2.1meta'!K231+'2.1meta'!K243+'2.1meta'!K260</f>
        <v>0</v>
      </c>
      <c r="K58" s="88">
        <f>'2.1meta'!L231+'2.1meta'!L243+'2.1meta'!L260</f>
        <v>0</v>
      </c>
      <c r="L58" s="88">
        <f>'2.1meta'!M231+'2.1meta'!M243+'2.1meta'!M260</f>
        <v>0</v>
      </c>
      <c r="M58" s="88">
        <f>'2.1meta'!N231+'2.1meta'!N243+'2.1meta'!N260</f>
        <v>0</v>
      </c>
      <c r="N58" s="89">
        <f t="shared" si="17"/>
        <v>0</v>
      </c>
      <c r="O58" s="111">
        <f t="shared" si="9"/>
        <v>0</v>
      </c>
      <c r="P58" s="88">
        <f>'2.1meta'!Q231+'2.1meta'!Q243+'2.1meta'!Q260</f>
        <v>0</v>
      </c>
      <c r="Q58" s="88">
        <f>'2.1meta'!R231+'2.1meta'!R243+'2.1meta'!R260</f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SUM(P58:W58)</f>
        <v>0</v>
      </c>
      <c r="Y58" s="94">
        <f>N58+X58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8">
        <f>'2.1meta'!K244+'2.1meta'!K261</f>
        <v>0</v>
      </c>
      <c r="K59" s="88">
        <f>'2.1meta'!L244+'2.1meta'!L261</f>
        <v>0</v>
      </c>
      <c r="L59" s="88">
        <f>'2.1meta'!M244+'2.1meta'!M261</f>
        <v>0</v>
      </c>
      <c r="M59" s="88">
        <f>'2.1meta'!N244+'2.1meta'!N261</f>
        <v>0</v>
      </c>
      <c r="N59" s="89">
        <f t="shared" si="17"/>
        <v>0</v>
      </c>
      <c r="O59" s="111">
        <f t="shared" si="9"/>
        <v>0</v>
      </c>
      <c r="P59" s="88">
        <f>'2.1meta'!Q244+'2.1meta'!Q261</f>
        <v>0</v>
      </c>
      <c r="Q59" s="88">
        <f>'2.1meta'!R244+'2.1meta'!R261</f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SUM(P59:W59)</f>
        <v>0</v>
      </c>
      <c r="Y59" s="94">
        <f>N59+X59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8">
        <f>'2.1meta'!K232+'2.1meta'!K245+'2.1meta'!K262</f>
        <v>0</v>
      </c>
      <c r="K60" s="88">
        <f>'2.1meta'!L232+'2.1meta'!L245+'2.1meta'!L262</f>
        <v>0</v>
      </c>
      <c r="L60" s="88">
        <f>'2.1meta'!M232+'2.1meta'!M245+'2.1meta'!M262</f>
        <v>0</v>
      </c>
      <c r="M60" s="88">
        <f>'2.1meta'!N232+'2.1meta'!N245+'2.1meta'!N262</f>
        <v>0</v>
      </c>
      <c r="N60" s="89">
        <f t="shared" si="17"/>
        <v>0</v>
      </c>
      <c r="O60" s="111">
        <f t="shared" si="9"/>
        <v>0</v>
      </c>
      <c r="P60" s="88">
        <f>'2.1meta'!Q232+'2.1meta'!Q245+'2.1meta'!Q262</f>
        <v>0</v>
      </c>
      <c r="Q60" s="88">
        <f>'2.1meta'!R232+'2.1meta'!R245+'2.1meta'!R262</f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SUM(P60:W60)</f>
        <v>0</v>
      </c>
      <c r="Y60" s="94">
        <f>N60+X60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8">
        <f>'2.1meta'!K233+'2.1meta'!K246+'2.1meta'!K263</f>
        <v>0</v>
      </c>
      <c r="K61" s="88">
        <f>'2.1meta'!L233+'2.1meta'!L246+'2.1meta'!L263</f>
        <v>0</v>
      </c>
      <c r="L61" s="88">
        <f>'2.1meta'!M233+'2.1meta'!M246+'2.1meta'!M263</f>
        <v>0</v>
      </c>
      <c r="M61" s="88">
        <f>'2.1meta'!N233+'2.1meta'!N246+'2.1meta'!N263</f>
        <v>0</v>
      </c>
      <c r="N61" s="89">
        <f t="shared" si="17"/>
        <v>0</v>
      </c>
      <c r="O61" s="111">
        <f t="shared" si="9"/>
        <v>0</v>
      </c>
      <c r="P61" s="88">
        <f>'2.1meta'!Q233+'2.1meta'!Q246+'2.1meta'!Q263</f>
        <v>0</v>
      </c>
      <c r="Q61" s="88">
        <f>'2.1meta'!R233+'2.1meta'!R246+'2.1meta'!R263</f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SUM(P61:W61)</f>
        <v>0</v>
      </c>
      <c r="Y61" s="94">
        <f>N61+X61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8">
        <f>'2.1meta'!K247+'2.1meta'!K264</f>
        <v>0</v>
      </c>
      <c r="K62" s="88">
        <f>'2.1meta'!L247+'2.1meta'!L264</f>
        <v>0</v>
      </c>
      <c r="L62" s="88">
        <f>'2.1meta'!M247+'2.1meta'!M264</f>
        <v>0</v>
      </c>
      <c r="M62" s="88">
        <f>'2.1meta'!N247+'2.1meta'!N264</f>
        <v>0</v>
      </c>
      <c r="N62" s="89">
        <f t="shared" si="17"/>
        <v>0</v>
      </c>
      <c r="O62" s="111">
        <f t="shared" si="9"/>
        <v>0</v>
      </c>
      <c r="P62" s="88">
        <f>'2.1meta'!Q247+'2.1meta'!Q264</f>
        <v>0</v>
      </c>
      <c r="Q62" s="88">
        <f>'2.1meta'!R247+'2.1meta'!R264</f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SUM(P62:W62)</f>
        <v>0</v>
      </c>
      <c r="Y62" s="94">
        <f>N62+X62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8">
        <f>'2.1meta'!K249+'2.1meta'!K266</f>
        <v>0</v>
      </c>
      <c r="K63" s="88">
        <f>'2.1meta'!L249+'2.1meta'!L266</f>
        <v>0</v>
      </c>
      <c r="L63" s="88">
        <f>'2.1meta'!M249+'2.1meta'!M266</f>
        <v>0</v>
      </c>
      <c r="M63" s="88">
        <f>'2.1meta'!N249+'2.1meta'!N266</f>
        <v>0</v>
      </c>
      <c r="N63" s="89">
        <f t="shared" si="17"/>
        <v>0</v>
      </c>
      <c r="O63" s="111">
        <f t="shared" si="9"/>
        <v>0</v>
      </c>
      <c r="P63" s="88">
        <f>'2.1meta'!Q249+'2.1meta'!Q266</f>
        <v>0</v>
      </c>
      <c r="Q63" s="88">
        <f>'2.1meta'!R249+'2.1meta'!R266</f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SUM(P63:W63)</f>
        <v>0</v>
      </c>
      <c r="Y63" s="94">
        <f>N63+X63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8">
        <f>'2.1meta'!K234+'2.1meta'!K250+'2.1meta'!K267</f>
        <v>0</v>
      </c>
      <c r="K64" s="88">
        <f>'2.1meta'!L234+'2.1meta'!L250+'2.1meta'!L267</f>
        <v>0</v>
      </c>
      <c r="L64" s="88">
        <f>'2.1meta'!M234+'2.1meta'!M250+'2.1meta'!M267</f>
        <v>0</v>
      </c>
      <c r="M64" s="88">
        <f>'2.1meta'!N234+'2.1meta'!N250+'2.1meta'!N267</f>
        <v>0</v>
      </c>
      <c r="N64" s="89">
        <f t="shared" si="17"/>
        <v>0</v>
      </c>
      <c r="O64" s="111">
        <f t="shared" si="9"/>
        <v>0</v>
      </c>
      <c r="P64" s="88">
        <f>'2.1meta'!Q234+'2.1meta'!Q250+'2.1meta'!Q267</f>
        <v>0</v>
      </c>
      <c r="Q64" s="88">
        <f>'2.1meta'!R234+'2.1meta'!R250+'2.1meta'!R267</f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SUM(P64:W64)</f>
        <v>0</v>
      </c>
      <c r="Y64" s="94">
        <f>N64+X64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8">
        <f>'2.1meta'!K251+'2.1meta'!K268</f>
        <v>0</v>
      </c>
      <c r="K65" s="88">
        <f>'2.1meta'!L251+'2.1meta'!L268</f>
        <v>0</v>
      </c>
      <c r="L65" s="88">
        <f>'2.1meta'!M251+'2.1meta'!M268</f>
        <v>0</v>
      </c>
      <c r="M65" s="88">
        <f>'2.1meta'!N251+'2.1meta'!N268</f>
        <v>0</v>
      </c>
      <c r="N65" s="89">
        <f t="shared" si="17"/>
        <v>0</v>
      </c>
      <c r="O65" s="111">
        <f t="shared" si="9"/>
        <v>0</v>
      </c>
      <c r="P65" s="88">
        <f>'2.1meta'!Q251+'2.1meta'!Q268</f>
        <v>0</v>
      </c>
      <c r="Q65" s="88">
        <f>'2.1meta'!R251+'2.1meta'!R268</f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SUM(P65:W65)</f>
        <v>0</v>
      </c>
      <c r="Y65" s="94">
        <f>N65+X65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8">
        <f>'2.1meta'!K235+'2.1meta'!K252+'2.1meta'!K269</f>
        <v>0</v>
      </c>
      <c r="K66" s="88">
        <f>'2.1meta'!L235+'2.1meta'!L252+'2.1meta'!L269</f>
        <v>0</v>
      </c>
      <c r="L66" s="88">
        <f>'2.1meta'!M235+'2.1meta'!M252+'2.1meta'!M269</f>
        <v>0</v>
      </c>
      <c r="M66" s="88">
        <f>'2.1meta'!N235+'2.1meta'!N252+'2.1meta'!N269</f>
        <v>0</v>
      </c>
      <c r="N66" s="89">
        <f t="shared" si="17"/>
        <v>0</v>
      </c>
      <c r="O66" s="111">
        <f t="shared" si="9"/>
        <v>0</v>
      </c>
      <c r="P66" s="88">
        <f>'2.1meta'!Q235+'2.1meta'!Q252+'2.1meta'!Q269</f>
        <v>0</v>
      </c>
      <c r="Q66" s="88">
        <f>'2.1meta'!R235+'2.1meta'!R252+'2.1meta'!R269</f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SUM(P66:W66)</f>
        <v>0</v>
      </c>
      <c r="Y66" s="94">
        <f>N66+X66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 t="shared" ref="F67:N67" si="18">SUBTOTAL(9,F5:F66)</f>
        <v>0</v>
      </c>
      <c r="G67" s="103">
        <f t="shared" si="18"/>
        <v>0</v>
      </c>
      <c r="H67" s="103">
        <f t="shared" si="18"/>
        <v>0</v>
      </c>
      <c r="I67" s="103">
        <f t="shared" si="18"/>
        <v>0</v>
      </c>
      <c r="J67" s="103">
        <f t="shared" ref="J67:K67" si="19">SUBTOTAL(9,J5:J66)</f>
        <v>0</v>
      </c>
      <c r="K67" s="103">
        <f t="shared" si="19"/>
        <v>0</v>
      </c>
      <c r="L67" s="103">
        <f t="shared" si="18"/>
        <v>0</v>
      </c>
      <c r="M67" s="103">
        <f t="shared" si="18"/>
        <v>0</v>
      </c>
      <c r="N67" s="103">
        <f t="shared" si="18"/>
        <v>0</v>
      </c>
      <c r="O67" s="64">
        <f t="shared" si="9"/>
        <v>0</v>
      </c>
      <c r="P67" s="103">
        <f t="shared" ref="P67:Z67" si="20">SUBTOTAL(9,P5:P66)</f>
        <v>0</v>
      </c>
      <c r="Q67" s="103">
        <f t="shared" si="20"/>
        <v>0</v>
      </c>
      <c r="R67" s="103">
        <f t="shared" si="20"/>
        <v>0</v>
      </c>
      <c r="S67" s="103">
        <f t="shared" si="20"/>
        <v>0</v>
      </c>
      <c r="T67" s="103">
        <f t="shared" si="20"/>
        <v>0</v>
      </c>
      <c r="U67" s="103">
        <f t="shared" si="20"/>
        <v>0</v>
      </c>
      <c r="V67" s="103">
        <f t="shared" si="20"/>
        <v>0</v>
      </c>
      <c r="W67" s="103">
        <f t="shared" si="20"/>
        <v>0</v>
      </c>
      <c r="X67" s="103">
        <f t="shared" si="20"/>
        <v>0</v>
      </c>
      <c r="Y67" s="104">
        <f t="shared" si="20"/>
        <v>0</v>
      </c>
      <c r="Z67" s="105">
        <f t="shared" si="20"/>
        <v>0</v>
      </c>
    </row>
    <row r="69" spans="1:26">
      <c r="C69" s="106"/>
      <c r="D69" s="106"/>
      <c r="E69" s="106"/>
      <c r="N69" s="32"/>
      <c r="O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A3:B4"/>
    <mergeCell ref="C3:C4"/>
    <mergeCell ref="N3:N4"/>
    <mergeCell ref="X3:X4"/>
    <mergeCell ref="Y3:Y4"/>
    <mergeCell ref="Z3:Z4"/>
    <mergeCell ref="D3:D4"/>
    <mergeCell ref="E3:E4"/>
    <mergeCell ref="P3:S3"/>
    <mergeCell ref="T3:U3"/>
    <mergeCell ref="V3:V4"/>
    <mergeCell ref="W3:W4"/>
    <mergeCell ref="F3:M3"/>
    <mergeCell ref="O3:O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J7" sqref="J7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12" width="11.140625" customWidth="1"/>
    <col min="13" max="13" width="10.42578125" customWidth="1"/>
    <col min="15" max="15" width="0" hidden="1" customWidth="1"/>
    <col min="16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N1" s="1"/>
      <c r="O1" s="1"/>
      <c r="Z1" s="1"/>
    </row>
    <row r="2" spans="1:26">
      <c r="N2" s="1"/>
      <c r="O2" s="1"/>
      <c r="Z2" s="1"/>
    </row>
    <row r="3" spans="1:26" ht="27.75" customHeight="1">
      <c r="A3" s="228" t="s">
        <v>84</v>
      </c>
      <c r="B3" s="246"/>
      <c r="C3" s="232" t="s">
        <v>85</v>
      </c>
      <c r="D3" s="232" t="s">
        <v>5</v>
      </c>
      <c r="E3" s="232" t="s">
        <v>6</v>
      </c>
      <c r="F3" s="245" t="s">
        <v>7</v>
      </c>
      <c r="G3" s="241"/>
      <c r="H3" s="241"/>
      <c r="I3" s="241"/>
      <c r="J3" s="241"/>
      <c r="K3" s="241"/>
      <c r="L3" s="241"/>
      <c r="M3" s="241"/>
      <c r="N3" s="232" t="s">
        <v>82</v>
      </c>
      <c r="O3" s="224" t="s">
        <v>8</v>
      </c>
      <c r="P3" s="241"/>
      <c r="Q3" s="241"/>
      <c r="R3" s="241"/>
      <c r="S3" s="242"/>
      <c r="T3" s="236" t="s">
        <v>9</v>
      </c>
      <c r="U3" s="235"/>
      <c r="V3" s="238" t="s">
        <v>10</v>
      </c>
      <c r="W3" s="237" t="s">
        <v>11</v>
      </c>
      <c r="X3" s="232" t="s">
        <v>86</v>
      </c>
      <c r="Y3" s="232" t="s">
        <v>87</v>
      </c>
      <c r="Z3" s="232" t="s">
        <v>88</v>
      </c>
    </row>
    <row r="4" spans="1:26" ht="33" customHeight="1">
      <c r="A4" s="247"/>
      <c r="B4" s="248"/>
      <c r="C4" s="233"/>
      <c r="D4" s="233"/>
      <c r="E4" s="233"/>
      <c r="F4" s="83" t="s">
        <v>89</v>
      </c>
      <c r="G4" s="83" t="s">
        <v>90</v>
      </c>
      <c r="H4" s="218" t="s">
        <v>91</v>
      </c>
      <c r="I4" s="218" t="s">
        <v>92</v>
      </c>
      <c r="J4" s="218" t="s">
        <v>93</v>
      </c>
      <c r="K4" s="218" t="s">
        <v>94</v>
      </c>
      <c r="L4" s="218" t="s">
        <v>95</v>
      </c>
      <c r="M4" s="218" t="s">
        <v>96</v>
      </c>
      <c r="N4" s="240"/>
      <c r="O4" s="225"/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39"/>
      <c r="W4" s="237"/>
      <c r="X4" s="240"/>
      <c r="Y4" s="240"/>
      <c r="Z4" s="240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8">
        <f>'2.1meta'!K7+'2.1meta'!K24+'2.1meta'!K41+'2.1meta'!K58+'2.1meta'!K76+'2.1meta'!K93+'2.1meta'!K110+'2.1meta'!K127+'2.1meta'!K144+'2.1meta'!K161++'2.1meta'!K178+'2.1meta'!K195+'2.1meta'!K212+'2.1meta'!K237+'2.1meta'!K254+'2.1meta'!K271+'2.1meta'!K288+'2.1meta'!K305+'2.1meta'!K322</f>
        <v>0</v>
      </c>
      <c r="K5" s="88">
        <f>'2.1meta'!L7+'2.1meta'!L24+'2.1meta'!L41+'2.1meta'!L58+'2.1meta'!L76+'2.1meta'!L93+'2.1meta'!L110+'2.1meta'!L127+'2.1meta'!L144+'2.1meta'!L161++'2.1meta'!L178+'2.1meta'!L195+'2.1meta'!L212+'2.1meta'!L237+'2.1meta'!L254+'2.1meta'!L271+'2.1meta'!L288+'2.1meta'!L305+'2.1meta'!L322</f>
        <v>0</v>
      </c>
      <c r="L5" s="88">
        <f>'2.1meta'!M7+'2.1meta'!M24+'2.1meta'!M41+'2.1meta'!M58+'2.1meta'!M76+'2.1meta'!M93+'2.1meta'!M110+'2.1meta'!M127+'2.1meta'!M144+'2.1meta'!M161++'2.1meta'!M178+'2.1meta'!M195+'2.1meta'!M212+'2.1meta'!M237+'2.1meta'!M254+'2.1meta'!M271+'2.1meta'!M288+'2.1meta'!M305+'2.1meta'!M322</f>
        <v>0</v>
      </c>
      <c r="M5" s="88">
        <f>'2.1meta'!N7+'2.1meta'!N24+'2.1meta'!N41+'2.1meta'!N58+'2.1meta'!N76+'2.1meta'!N93+'2.1meta'!N110+'2.1meta'!N127+'2.1meta'!N144+'2.1meta'!N161++'2.1meta'!N178+'2.1meta'!N195+'2.1meta'!N212+'2.1meta'!N237+'2.1meta'!N254+'2.1meta'!N271+'2.1meta'!N288+'2.1meta'!N305+'2.1meta'!N322</f>
        <v>0</v>
      </c>
      <c r="N5" s="89">
        <f t="shared" ref="N5:N21" si="0">SUM(F5:M5)</f>
        <v>0</v>
      </c>
      <c r="O5" s="111">
        <f t="shared" ref="O5:O22" si="1">C5-N5</f>
        <v>0</v>
      </c>
      <c r="P5" s="88">
        <f>'2.1meta'!Q7+'2.1meta'!Q24+'2.1meta'!Q41+'2.1meta'!Q58+'2.1meta'!Q76+'2.1meta'!Q93+'2.1meta'!Q110+'2.1meta'!Q127+'2.1meta'!Q144+'2.1meta'!Q161++'2.1meta'!Q178+'2.1meta'!Q195+'2.1meta'!Q212+'2.1meta'!Q237+'2.1meta'!Q254+'2.1meta'!Q271+'2.1meta'!Q288+'2.1meta'!Q305+'2.1meta'!Q322</f>
        <v>0</v>
      </c>
      <c r="Q5" s="88">
        <f>'2.1meta'!R7+'2.1meta'!R24+'2.1meta'!R41+'2.1meta'!R58+'2.1meta'!R76+'2.1meta'!R93+'2.1meta'!R110+'2.1meta'!R127+'2.1meta'!R144+'2.1meta'!R161++'2.1meta'!R178+'2.1meta'!R195+'2.1meta'!R212+'2.1meta'!R237+'2.1meta'!R254+'2.1meta'!R271+'2.1meta'!R288+'2.1meta'!R305+'2.1meta'!R322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SUM(P5:W5)</f>
        <v>0</v>
      </c>
      <c r="Y5" s="91">
        <f>N5+X5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8">
        <f>'2.1meta'!K8+'2.1meta'!K25+'2.1meta'!K42+'2.1meta'!K59+'2.1meta'!K77+'2.1meta'!K94+'2.1meta'!K111+'2.1meta'!K128+'2.1meta'!K145+'2.1meta'!K162++'2.1meta'!K179+'2.1meta'!K196+'2.1meta'!K213+'2.1meta'!K238+'2.1meta'!K255+'2.1meta'!K272+'2.1meta'!K289+'2.1meta'!K306+'2.1meta'!K323</f>
        <v>0</v>
      </c>
      <c r="K6" s="88">
        <f>'2.1meta'!L8+'2.1meta'!L25+'2.1meta'!L42+'2.1meta'!L59+'2.1meta'!L77+'2.1meta'!L94+'2.1meta'!L111+'2.1meta'!L128+'2.1meta'!L145+'2.1meta'!L162++'2.1meta'!L179+'2.1meta'!L196+'2.1meta'!L213+'2.1meta'!L238+'2.1meta'!L255+'2.1meta'!L272+'2.1meta'!L289+'2.1meta'!L306+'2.1meta'!L323</f>
        <v>0</v>
      </c>
      <c r="L6" s="88">
        <f>'2.1meta'!M8+'2.1meta'!M25+'2.1meta'!M42+'2.1meta'!M59+'2.1meta'!M77+'2.1meta'!M94+'2.1meta'!M111+'2.1meta'!M128+'2.1meta'!M145+'2.1meta'!M162++'2.1meta'!M179+'2.1meta'!M196+'2.1meta'!M213+'2.1meta'!M238+'2.1meta'!M255+'2.1meta'!M272+'2.1meta'!M289+'2.1meta'!M306+'2.1meta'!M323</f>
        <v>0</v>
      </c>
      <c r="M6" s="88">
        <f>'2.1meta'!N8+'2.1meta'!N25+'2.1meta'!N42+'2.1meta'!N59+'2.1meta'!N77+'2.1meta'!N94+'2.1meta'!N111+'2.1meta'!N128+'2.1meta'!N145+'2.1meta'!N162++'2.1meta'!N179+'2.1meta'!N196+'2.1meta'!N213+'2.1meta'!N238+'2.1meta'!N255+'2.1meta'!N272+'2.1meta'!N289+'2.1meta'!N306+'2.1meta'!N323</f>
        <v>0</v>
      </c>
      <c r="N6" s="89">
        <f t="shared" si="0"/>
        <v>0</v>
      </c>
      <c r="O6" s="111">
        <f t="shared" si="1"/>
        <v>0</v>
      </c>
      <c r="P6" s="88">
        <f>'2.1meta'!Q8+'2.1meta'!Q25+'2.1meta'!Q42+'2.1meta'!Q59+'2.1meta'!Q77+'2.1meta'!Q94+'2.1meta'!Q111+'2.1meta'!Q128+'2.1meta'!Q145+'2.1meta'!Q162++'2.1meta'!Q179+'2.1meta'!Q196+'2.1meta'!Q213+'2.1meta'!Q238+'2.1meta'!Q255+'2.1meta'!Q272+'2.1meta'!Q289+'2.1meta'!Q306+'2.1meta'!Q323</f>
        <v>0</v>
      </c>
      <c r="Q6" s="88">
        <f>'2.1meta'!R8+'2.1meta'!R25+'2.1meta'!R42+'2.1meta'!R59+'2.1meta'!R77+'2.1meta'!R94+'2.1meta'!R111+'2.1meta'!R128+'2.1meta'!R145+'2.1meta'!R162++'2.1meta'!R179+'2.1meta'!R196+'2.1meta'!R213+'2.1meta'!R238+'2.1meta'!R255+'2.1meta'!R272+'2.1meta'!R289+'2.1meta'!R306+'2.1meta'!R323</f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SUM(P6:W6)</f>
        <v>0</v>
      </c>
      <c r="Y6" s="91">
        <f>N6+X6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8">
        <f>'2.1meta'!K9+'2.1meta'!K26+'2.1meta'!K43+'2.1meta'!K60+'2.1meta'!K78+'2.1meta'!K95+'2.1meta'!K112+'2.1meta'!K129+'2.1meta'!K146+'2.1meta'!K163+'2.1meta'!K180+'2.1meta'!K197+'2.1meta'!K214+'2.1meta'!K239+'2.1meta'!K256+'2.1meta'!K273+'2.1meta'!K290+'2.1meta'!K307+'2.1meta'!K324</f>
        <v>0</v>
      </c>
      <c r="K7" s="88">
        <f>'2.1meta'!L9+'2.1meta'!L26+'2.1meta'!L43+'2.1meta'!L60+'2.1meta'!L78+'2.1meta'!L95+'2.1meta'!L112+'2.1meta'!L129+'2.1meta'!L146+'2.1meta'!L163+'2.1meta'!L180+'2.1meta'!L197+'2.1meta'!L214+'2.1meta'!L239+'2.1meta'!L256+'2.1meta'!L273+'2.1meta'!L290+'2.1meta'!L307+'2.1meta'!L324</f>
        <v>0</v>
      </c>
      <c r="L7" s="88">
        <f>'2.1meta'!M9+'2.1meta'!M26+'2.1meta'!M43+'2.1meta'!M60+'2.1meta'!M78+'2.1meta'!M95+'2.1meta'!M112+'2.1meta'!M129+'2.1meta'!M146+'2.1meta'!M163+'2.1meta'!M180+'2.1meta'!M197+'2.1meta'!M214+'2.1meta'!M239+'2.1meta'!M256+'2.1meta'!M273+'2.1meta'!M290+'2.1meta'!M307+'2.1meta'!M324</f>
        <v>0</v>
      </c>
      <c r="M7" s="88">
        <f>'2.1meta'!N9+'2.1meta'!N26+'2.1meta'!N43+'2.1meta'!N60+'2.1meta'!N78+'2.1meta'!N95+'2.1meta'!N112+'2.1meta'!N129+'2.1meta'!N146+'2.1meta'!N163+'2.1meta'!N180+'2.1meta'!N197+'2.1meta'!N214+'2.1meta'!N239+'2.1meta'!N256+'2.1meta'!N273+'2.1meta'!N290+'2.1meta'!N307+'2.1meta'!N324</f>
        <v>0</v>
      </c>
      <c r="N7" s="89">
        <f t="shared" si="0"/>
        <v>0</v>
      </c>
      <c r="O7" s="111">
        <f t="shared" si="1"/>
        <v>0</v>
      </c>
      <c r="P7" s="88">
        <f>'2.1meta'!Q9+'2.1meta'!Q26+'2.1meta'!Q43+'2.1meta'!Q60+'2.1meta'!Q78+'2.1meta'!Q95+'2.1meta'!Q112+'2.1meta'!Q129+'2.1meta'!Q146+'2.1meta'!Q163+'2.1meta'!Q180+'2.1meta'!Q197+'2.1meta'!Q214+'2.1meta'!Q239+'2.1meta'!Q256+'2.1meta'!Q273+'2.1meta'!Q290+'2.1meta'!Q307+'2.1meta'!Q324</f>
        <v>0</v>
      </c>
      <c r="Q7" s="88">
        <f>'2.1meta'!R9+'2.1meta'!R26+'2.1meta'!R43+'2.1meta'!R60+'2.1meta'!R78+'2.1meta'!R95+'2.1meta'!R112+'2.1meta'!R129+'2.1meta'!R146+'2.1meta'!R163+'2.1meta'!R180+'2.1meta'!R197+'2.1meta'!R214+'2.1meta'!R239+'2.1meta'!R256+'2.1meta'!R273+'2.1meta'!R290+'2.1meta'!R307+'2.1meta'!R324</f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SUM(P7:W7)</f>
        <v>0</v>
      </c>
      <c r="Y7" s="91">
        <f>N7+X7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8">
        <f>'2.1meta'!K10+'2.1meta'!K27+'2.1meta'!K44+'2.1meta'!K61+'2.1meta'!K79+'2.1meta'!K96+'2.1meta'!K113+'2.1meta'!K130+'2.1meta'!K147+'2.1meta'!K164++'2.1meta'!K181+'2.1meta'!K198+'2.1meta'!K215+'2.1meta'!K240+'2.1meta'!K257+'2.1meta'!K274+'2.1meta'!K291+'2.1meta'!K308+'2.1meta'!K325</f>
        <v>0</v>
      </c>
      <c r="K8" s="88">
        <f>'2.1meta'!L10+'2.1meta'!L27+'2.1meta'!L44+'2.1meta'!L61+'2.1meta'!L79+'2.1meta'!L96+'2.1meta'!L113+'2.1meta'!L130+'2.1meta'!L147+'2.1meta'!L164++'2.1meta'!L181+'2.1meta'!L198+'2.1meta'!L215+'2.1meta'!L240+'2.1meta'!L257+'2.1meta'!L274+'2.1meta'!L291+'2.1meta'!L308+'2.1meta'!L325</f>
        <v>0</v>
      </c>
      <c r="L8" s="88">
        <f>'2.1meta'!M10+'2.1meta'!M27+'2.1meta'!M44+'2.1meta'!M61+'2.1meta'!M79+'2.1meta'!M96+'2.1meta'!M113+'2.1meta'!M130+'2.1meta'!M147+'2.1meta'!M164++'2.1meta'!M181+'2.1meta'!M198+'2.1meta'!M215+'2.1meta'!M240+'2.1meta'!M257+'2.1meta'!M274+'2.1meta'!M291+'2.1meta'!M308+'2.1meta'!M325</f>
        <v>0</v>
      </c>
      <c r="M8" s="88">
        <f>'2.1meta'!N10+'2.1meta'!N27+'2.1meta'!N44+'2.1meta'!N61+'2.1meta'!N79+'2.1meta'!N96+'2.1meta'!N113+'2.1meta'!N130+'2.1meta'!N147+'2.1meta'!N164++'2.1meta'!N181+'2.1meta'!N198+'2.1meta'!N215+'2.1meta'!N240+'2.1meta'!N257+'2.1meta'!N274+'2.1meta'!N291+'2.1meta'!N308+'2.1meta'!N325</f>
        <v>0</v>
      </c>
      <c r="N8" s="89">
        <f t="shared" si="0"/>
        <v>0</v>
      </c>
      <c r="O8" s="111">
        <f t="shared" si="1"/>
        <v>0</v>
      </c>
      <c r="P8" s="88">
        <f>'2.1meta'!Q10+'2.1meta'!Q27+'2.1meta'!Q44+'2.1meta'!Q61+'2.1meta'!Q79+'2.1meta'!Q96+'2.1meta'!Q113+'2.1meta'!Q130+'2.1meta'!Q147+'2.1meta'!Q164++'2.1meta'!Q181+'2.1meta'!Q198+'2.1meta'!Q215+'2.1meta'!Q240+'2.1meta'!Q257+'2.1meta'!Q274+'2.1meta'!Q291+'2.1meta'!Q308+'2.1meta'!Q325</f>
        <v>0</v>
      </c>
      <c r="Q8" s="88">
        <f>'2.1meta'!R10+'2.1meta'!R27+'2.1meta'!R44+'2.1meta'!R61+'2.1meta'!R79+'2.1meta'!R96+'2.1meta'!R113+'2.1meta'!R130+'2.1meta'!R147+'2.1meta'!R164++'2.1meta'!R181+'2.1meta'!R198+'2.1meta'!R215+'2.1meta'!R240+'2.1meta'!R257+'2.1meta'!R274+'2.1meta'!R291+'2.1meta'!R308+'2.1meta'!R325</f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SUM(P8:W8)</f>
        <v>0</v>
      </c>
      <c r="Y8" s="91">
        <f>N8+X8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8">
        <f>'2.1meta'!K62</f>
        <v>0</v>
      </c>
      <c r="K9" s="88">
        <f>'2.1meta'!L62</f>
        <v>0</v>
      </c>
      <c r="L9" s="88">
        <f>'2.1meta'!M62</f>
        <v>0</v>
      </c>
      <c r="M9" s="88">
        <f>'2.1meta'!N62</f>
        <v>0</v>
      </c>
      <c r="N9" s="89">
        <f t="shared" si="0"/>
        <v>0</v>
      </c>
      <c r="O9" s="111">
        <f t="shared" si="1"/>
        <v>0</v>
      </c>
      <c r="P9" s="88">
        <f>'2.1meta'!Q62</f>
        <v>0</v>
      </c>
      <c r="Q9" s="88">
        <f>'2.1meta'!R62</f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SUM(P9:W9)</f>
        <v>0</v>
      </c>
      <c r="Y9" s="91">
        <f>N9+X9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8">
        <f>'2.1meta'!K11+'2.1meta'!K28+'2.1meta'!K45+'2.1meta'!K63+'2.1meta'!K80+'2.1meta'!K97+'2.1meta'!K114+'2.1meta'!K131+'2.1meta'!K148+'2.1meta'!K165+'2.1meta'!K182+'2.1meta'!K199+'2.1meta'!K216+'2.1meta'!K229+'2.1meta'!K241+'2.1meta'!K258+'2.1meta'!K275+'2.1meta'!K292+'2.1meta'!K309+'2.1meta'!K326</f>
        <v>0</v>
      </c>
      <c r="K10" s="88">
        <f>'2.1meta'!L11+'2.1meta'!L28+'2.1meta'!L45+'2.1meta'!L63+'2.1meta'!L80+'2.1meta'!L97+'2.1meta'!L114+'2.1meta'!L131+'2.1meta'!L148+'2.1meta'!L165+'2.1meta'!L182+'2.1meta'!L199+'2.1meta'!L216+'2.1meta'!L229+'2.1meta'!L241+'2.1meta'!L258+'2.1meta'!L275+'2.1meta'!L292+'2.1meta'!L309+'2.1meta'!L326</f>
        <v>0</v>
      </c>
      <c r="L10" s="88">
        <f>'2.1meta'!M11+'2.1meta'!M28+'2.1meta'!M45+'2.1meta'!M63+'2.1meta'!M80+'2.1meta'!M97+'2.1meta'!M114+'2.1meta'!M131+'2.1meta'!M148+'2.1meta'!M165+'2.1meta'!M182+'2.1meta'!M199+'2.1meta'!M216+'2.1meta'!M229+'2.1meta'!M241+'2.1meta'!M258+'2.1meta'!M275+'2.1meta'!M292+'2.1meta'!M309+'2.1meta'!M326</f>
        <v>0</v>
      </c>
      <c r="M10" s="88">
        <f>'2.1meta'!N11+'2.1meta'!N28+'2.1meta'!N45+'2.1meta'!N63+'2.1meta'!N80+'2.1meta'!N97+'2.1meta'!N114+'2.1meta'!N131+'2.1meta'!N148+'2.1meta'!N165+'2.1meta'!N182+'2.1meta'!N199+'2.1meta'!N216+'2.1meta'!N229+'2.1meta'!N241+'2.1meta'!N258+'2.1meta'!N275+'2.1meta'!N292+'2.1meta'!N309+'2.1meta'!N326</f>
        <v>0</v>
      </c>
      <c r="N10" s="89">
        <f t="shared" si="0"/>
        <v>0</v>
      </c>
      <c r="O10" s="111">
        <f t="shared" si="1"/>
        <v>0</v>
      </c>
      <c r="P10" s="88">
        <f>'2.1meta'!Q11+'2.1meta'!Q28+'2.1meta'!Q45+'2.1meta'!Q63+'2.1meta'!Q80+'2.1meta'!Q97+'2.1meta'!Q114+'2.1meta'!Q131+'2.1meta'!Q148+'2.1meta'!Q165+'2.1meta'!Q182+'2.1meta'!Q199+'2.1meta'!Q216+'2.1meta'!Q229+'2.1meta'!Q241+'2.1meta'!Q258+'2.1meta'!Q275+'2.1meta'!Q292+'2.1meta'!Q309+'2.1meta'!Q326</f>
        <v>0</v>
      </c>
      <c r="Q10" s="88">
        <f>'2.1meta'!R11+'2.1meta'!R28+'2.1meta'!R45+'2.1meta'!R63+'2.1meta'!R80+'2.1meta'!R97+'2.1meta'!R114+'2.1meta'!R131+'2.1meta'!R148+'2.1meta'!R165+'2.1meta'!R182+'2.1meta'!R199+'2.1meta'!R216+'2.1meta'!R229+'2.1meta'!R241+'2.1meta'!R258+'2.1meta'!R275+'2.1meta'!R292+'2.1meta'!R309+'2.1meta'!R326</f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SUM(P10:W10)</f>
        <v>0</v>
      </c>
      <c r="Y10" s="91">
        <f>N10+X10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8">
        <f>'2.1meta'!K12+'2.1meta'!K29+'2.1meta'!K46+'2.1meta'!K64+'2.1meta'!K81+'2.1meta'!K98+'2.1meta'!K115+'2.1meta'!K132+'2.1meta'!K149+'2.1meta'!K166+'2.1meta'!K183+'2.1meta'!K200+'2.1meta'!K217+'2.1meta'!K230+'2.1meta'!K242+'2.1meta'!K259+'2.1meta'!K276+'2.1meta'!K293+'2.1meta'!K310+'2.1meta'!K327</f>
        <v>0</v>
      </c>
      <c r="K11" s="88">
        <f>'2.1meta'!L12+'2.1meta'!L29+'2.1meta'!L46+'2.1meta'!L64+'2.1meta'!L81+'2.1meta'!L98+'2.1meta'!L115+'2.1meta'!L132+'2.1meta'!L149+'2.1meta'!L166+'2.1meta'!L183+'2.1meta'!L200+'2.1meta'!L217+'2.1meta'!L230+'2.1meta'!L242+'2.1meta'!L259+'2.1meta'!L276+'2.1meta'!L293+'2.1meta'!L310+'2.1meta'!L327</f>
        <v>0</v>
      </c>
      <c r="L11" s="88">
        <f>'2.1meta'!M12+'2.1meta'!M29+'2.1meta'!M46+'2.1meta'!M64+'2.1meta'!M81+'2.1meta'!M98+'2.1meta'!M115+'2.1meta'!M132+'2.1meta'!M149+'2.1meta'!M166+'2.1meta'!M183+'2.1meta'!M200+'2.1meta'!M217+'2.1meta'!M230+'2.1meta'!M242+'2.1meta'!M259+'2.1meta'!M276+'2.1meta'!M293+'2.1meta'!M310+'2.1meta'!M327</f>
        <v>0</v>
      </c>
      <c r="M11" s="88">
        <f>'2.1meta'!N12+'2.1meta'!N29+'2.1meta'!N46+'2.1meta'!N64+'2.1meta'!N81+'2.1meta'!N98+'2.1meta'!N115+'2.1meta'!N132+'2.1meta'!N149+'2.1meta'!N166+'2.1meta'!N183+'2.1meta'!N200+'2.1meta'!N217+'2.1meta'!N230+'2.1meta'!N242+'2.1meta'!N259+'2.1meta'!N276+'2.1meta'!N293+'2.1meta'!N310+'2.1meta'!N327</f>
        <v>0</v>
      </c>
      <c r="N11" s="89">
        <f t="shared" si="0"/>
        <v>0</v>
      </c>
      <c r="O11" s="111">
        <f t="shared" si="1"/>
        <v>0</v>
      </c>
      <c r="P11" s="88">
        <f>'2.1meta'!Q12+'2.1meta'!Q29+'2.1meta'!Q46+'2.1meta'!Q64+'2.1meta'!Q81+'2.1meta'!Q98+'2.1meta'!Q115+'2.1meta'!Q132+'2.1meta'!Q149+'2.1meta'!Q166+'2.1meta'!Q183+'2.1meta'!Q200+'2.1meta'!Q217+'2.1meta'!Q230+'2.1meta'!Q242+'2.1meta'!Q259+'2.1meta'!Q276+'2.1meta'!Q293+'2.1meta'!Q310+'2.1meta'!Q327</f>
        <v>0</v>
      </c>
      <c r="Q11" s="88">
        <f>'2.1meta'!R12+'2.1meta'!R29+'2.1meta'!R46+'2.1meta'!R64+'2.1meta'!R81+'2.1meta'!R98+'2.1meta'!R115+'2.1meta'!R132+'2.1meta'!R149+'2.1meta'!R166+'2.1meta'!R183+'2.1meta'!R200+'2.1meta'!R217+'2.1meta'!R230+'2.1meta'!R242+'2.1meta'!R259+'2.1meta'!R276+'2.1meta'!R293+'2.1meta'!R310+'2.1meta'!R327</f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SUM(P11:W11)</f>
        <v>0</v>
      </c>
      <c r="Y11" s="91">
        <f>N11+X11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8">
        <f>'2.1meta'!K13+'2.1meta'!K30+'2.1meta'!K47+'2.1meta'!K65+'2.1meta'!K82+'2.1meta'!K99+'2.1meta'!K116+'2.1meta'!K133+'2.1meta'!K150+'2.1meta'!K167+'2.1meta'!K184+'2.1meta'!K201+'2.1meta'!K218+'2.1meta'!K231+'2.1meta'!K243+'2.1meta'!K260+'2.1meta'!K277+'2.1meta'!K294+'2.1meta'!K311+'2.1meta'!K328</f>
        <v>0</v>
      </c>
      <c r="K12" s="88">
        <f>'2.1meta'!L13+'2.1meta'!L30+'2.1meta'!L47+'2.1meta'!L65+'2.1meta'!L82+'2.1meta'!L99+'2.1meta'!L116+'2.1meta'!L133+'2.1meta'!L150+'2.1meta'!L167+'2.1meta'!L184+'2.1meta'!L201+'2.1meta'!L218+'2.1meta'!L231+'2.1meta'!L243+'2.1meta'!L260+'2.1meta'!L277+'2.1meta'!L294+'2.1meta'!L311+'2.1meta'!L328</f>
        <v>0</v>
      </c>
      <c r="L12" s="88">
        <f>'2.1meta'!M13+'2.1meta'!M30+'2.1meta'!M47+'2.1meta'!M65+'2.1meta'!M82+'2.1meta'!M99+'2.1meta'!M116+'2.1meta'!M133+'2.1meta'!M150+'2.1meta'!M167+'2.1meta'!M184+'2.1meta'!M201+'2.1meta'!M218+'2.1meta'!M231+'2.1meta'!M243+'2.1meta'!M260+'2.1meta'!M277+'2.1meta'!M294+'2.1meta'!M311+'2.1meta'!M328</f>
        <v>0</v>
      </c>
      <c r="M12" s="88">
        <f>'2.1meta'!N13+'2.1meta'!N30+'2.1meta'!N47+'2.1meta'!N65+'2.1meta'!N82+'2.1meta'!N99+'2.1meta'!N116+'2.1meta'!N133+'2.1meta'!N150+'2.1meta'!N167+'2.1meta'!N184+'2.1meta'!N201+'2.1meta'!N218+'2.1meta'!N231+'2.1meta'!N243+'2.1meta'!N260+'2.1meta'!N277+'2.1meta'!N294+'2.1meta'!N311+'2.1meta'!N328</f>
        <v>0</v>
      </c>
      <c r="N12" s="89">
        <f t="shared" si="0"/>
        <v>0</v>
      </c>
      <c r="O12" s="111">
        <f t="shared" si="1"/>
        <v>0</v>
      </c>
      <c r="P12" s="88">
        <f>'2.1meta'!Q13+'2.1meta'!Q30+'2.1meta'!Q47+'2.1meta'!Q65+'2.1meta'!Q82+'2.1meta'!Q99+'2.1meta'!Q116+'2.1meta'!Q133+'2.1meta'!Q150+'2.1meta'!Q167+'2.1meta'!Q184+'2.1meta'!Q201+'2.1meta'!Q218+'2.1meta'!Q231+'2.1meta'!Q243+'2.1meta'!Q260+'2.1meta'!Q277+'2.1meta'!Q294+'2.1meta'!Q311+'2.1meta'!Q328</f>
        <v>0</v>
      </c>
      <c r="Q12" s="88">
        <f>'2.1meta'!R13+'2.1meta'!R30+'2.1meta'!R47+'2.1meta'!R65+'2.1meta'!R82+'2.1meta'!R99+'2.1meta'!R116+'2.1meta'!R133+'2.1meta'!R150+'2.1meta'!R167+'2.1meta'!R184+'2.1meta'!R201+'2.1meta'!R218+'2.1meta'!R231+'2.1meta'!R243+'2.1meta'!R260+'2.1meta'!R277+'2.1meta'!R294+'2.1meta'!R311+'2.1meta'!R328</f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SUM(P12:W12)</f>
        <v>0</v>
      </c>
      <c r="Y12" s="91">
        <f>N12+X12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8">
        <f>'2.1meta'!K14+'2.1meta'!K31+'2.1meta'!K48+'2.1meta'!K66+'2.1meta'!K83+'2.1meta'!K100+'2.1meta'!K117+'2.1meta'!K134+'2.1meta'!K151+'2.1meta'!K168+'2.1meta'!K185+'2.1meta'!K202+'2.1meta'!K219+'2.1meta'!K244+'2.1meta'!K261+'2.1meta'!K278+'2.1meta'!K295+'2.1meta'!K312+'2.1meta'!K329</f>
        <v>0</v>
      </c>
      <c r="K13" s="88">
        <f>'2.1meta'!L14+'2.1meta'!L31+'2.1meta'!L48+'2.1meta'!L66+'2.1meta'!L83+'2.1meta'!L100+'2.1meta'!L117+'2.1meta'!L134+'2.1meta'!L151+'2.1meta'!L168+'2.1meta'!L185+'2.1meta'!L202+'2.1meta'!L219+'2.1meta'!L244+'2.1meta'!L261+'2.1meta'!L278+'2.1meta'!L295+'2.1meta'!L312+'2.1meta'!L329</f>
        <v>0</v>
      </c>
      <c r="L13" s="88">
        <f>'2.1meta'!M14+'2.1meta'!M31+'2.1meta'!M48+'2.1meta'!M66+'2.1meta'!M83+'2.1meta'!M100+'2.1meta'!M117+'2.1meta'!M134+'2.1meta'!M151+'2.1meta'!M168+'2.1meta'!M185+'2.1meta'!M202+'2.1meta'!M219+'2.1meta'!M244+'2.1meta'!M261+'2.1meta'!M278+'2.1meta'!M295+'2.1meta'!M312+'2.1meta'!M329</f>
        <v>0</v>
      </c>
      <c r="M13" s="88">
        <f>'2.1meta'!N14+'2.1meta'!N31+'2.1meta'!N48+'2.1meta'!N66+'2.1meta'!N83+'2.1meta'!N100+'2.1meta'!N117+'2.1meta'!N134+'2.1meta'!N151+'2.1meta'!N168+'2.1meta'!N185+'2.1meta'!N202+'2.1meta'!N219+'2.1meta'!N244+'2.1meta'!N261+'2.1meta'!N278+'2.1meta'!N295+'2.1meta'!N312+'2.1meta'!N329</f>
        <v>0</v>
      </c>
      <c r="N13" s="89">
        <f t="shared" si="0"/>
        <v>0</v>
      </c>
      <c r="O13" s="111">
        <f t="shared" si="1"/>
        <v>0</v>
      </c>
      <c r="P13" s="88">
        <f>'2.1meta'!Q14+'2.1meta'!Q31+'2.1meta'!Q48+'2.1meta'!Q66+'2.1meta'!Q83+'2.1meta'!Q100+'2.1meta'!Q117+'2.1meta'!Q134+'2.1meta'!Q151+'2.1meta'!Q168+'2.1meta'!Q185+'2.1meta'!Q202+'2.1meta'!Q219+'2.1meta'!Q244+'2.1meta'!Q261+'2.1meta'!Q278+'2.1meta'!Q295+'2.1meta'!Q312+'2.1meta'!Q329</f>
        <v>0</v>
      </c>
      <c r="Q13" s="88">
        <f>'2.1meta'!R14+'2.1meta'!R31+'2.1meta'!R48+'2.1meta'!R66+'2.1meta'!R83+'2.1meta'!R100+'2.1meta'!R117+'2.1meta'!R134+'2.1meta'!R151+'2.1meta'!R168+'2.1meta'!R185+'2.1meta'!R202+'2.1meta'!R219+'2.1meta'!R244+'2.1meta'!R261+'2.1meta'!R278+'2.1meta'!R295+'2.1meta'!R312+'2.1meta'!R329</f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SUM(P13:W13)</f>
        <v>0</v>
      </c>
      <c r="Y13" s="91">
        <f>N13+X13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8">
        <f>'2.1meta'!K15+'2.1meta'!K32+'2.1meta'!K49+'2.1meta'!K67+'2.1meta'!K84+'2.1meta'!K101+'2.1meta'!K118+'2.1meta'!K135+'2.1meta'!K152+'2.1meta'!K169+'2.1meta'!K186+'2.1meta'!K203+'2.1meta'!K220+'2.1meta'!K232+'2.1meta'!K245+'2.1meta'!K262+'2.1meta'!K279+'2.1meta'!K296+'2.1meta'!K313+'2.1meta'!K330</f>
        <v>0</v>
      </c>
      <c r="K14" s="88">
        <f>'2.1meta'!L15+'2.1meta'!L32+'2.1meta'!L49+'2.1meta'!L67+'2.1meta'!L84+'2.1meta'!L101+'2.1meta'!L118+'2.1meta'!L135+'2.1meta'!L152+'2.1meta'!L169+'2.1meta'!L186+'2.1meta'!L203+'2.1meta'!L220+'2.1meta'!L232+'2.1meta'!L245+'2.1meta'!L262+'2.1meta'!L279+'2.1meta'!L296+'2.1meta'!L313+'2.1meta'!L330</f>
        <v>0</v>
      </c>
      <c r="L14" s="88">
        <f>'2.1meta'!M15+'2.1meta'!M32+'2.1meta'!M49+'2.1meta'!M67+'2.1meta'!M84+'2.1meta'!M101+'2.1meta'!M118+'2.1meta'!M135+'2.1meta'!M152+'2.1meta'!M169+'2.1meta'!M186+'2.1meta'!M203+'2.1meta'!M220+'2.1meta'!M232+'2.1meta'!M245+'2.1meta'!M262+'2.1meta'!M279+'2.1meta'!M296+'2.1meta'!M313+'2.1meta'!M330</f>
        <v>0</v>
      </c>
      <c r="M14" s="88">
        <f>'2.1meta'!N15+'2.1meta'!N32+'2.1meta'!N49+'2.1meta'!N67+'2.1meta'!N84+'2.1meta'!N101+'2.1meta'!N118+'2.1meta'!N135+'2.1meta'!N152+'2.1meta'!N169+'2.1meta'!N186+'2.1meta'!N203+'2.1meta'!N220+'2.1meta'!N232+'2.1meta'!N245+'2.1meta'!N262+'2.1meta'!N279+'2.1meta'!N296+'2.1meta'!N313+'2.1meta'!N330</f>
        <v>0</v>
      </c>
      <c r="N14" s="89">
        <f t="shared" si="0"/>
        <v>0</v>
      </c>
      <c r="O14" s="111">
        <f t="shared" si="1"/>
        <v>0</v>
      </c>
      <c r="P14" s="88">
        <f>'2.1meta'!Q15+'2.1meta'!Q32+'2.1meta'!Q49+'2.1meta'!Q67+'2.1meta'!Q84+'2.1meta'!Q101+'2.1meta'!Q118+'2.1meta'!Q135+'2.1meta'!Q152+'2.1meta'!Q169+'2.1meta'!Q186+'2.1meta'!Q203+'2.1meta'!Q220+'2.1meta'!Q232+'2.1meta'!Q245+'2.1meta'!Q262+'2.1meta'!Q279+'2.1meta'!Q296+'2.1meta'!Q313+'2.1meta'!Q330</f>
        <v>0</v>
      </c>
      <c r="Q14" s="88">
        <f>'2.1meta'!R15+'2.1meta'!R32+'2.1meta'!R49+'2.1meta'!R67+'2.1meta'!R84+'2.1meta'!R101+'2.1meta'!R118+'2.1meta'!R135+'2.1meta'!R152+'2.1meta'!R169+'2.1meta'!R186+'2.1meta'!R203+'2.1meta'!R220+'2.1meta'!R232+'2.1meta'!R245+'2.1meta'!R262+'2.1meta'!R279+'2.1meta'!R296+'2.1meta'!R313+'2.1meta'!R330</f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SUM(P14:W14)</f>
        <v>0</v>
      </c>
      <c r="Y14" s="91">
        <f>N14+X14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8">
        <f>'2.1meta'!K16+'2.1meta'!K33+'2.1meta'!K50+'2.1meta'!K68+'2.1meta'!K85+'2.1meta'!K102+'2.1meta'!K119+'2.1meta'!K136+'2.1meta'!K153+'2.1meta'!K170+'2.1meta'!K187+'2.1meta'!K204+'2.1meta'!K221+'2.1meta'!K233+'2.1meta'!K246+'2.1meta'!K263+'2.1meta'!K280+'2.1meta'!K297+'2.1meta'!K314+'2.1meta'!K331</f>
        <v>0</v>
      </c>
      <c r="K15" s="88">
        <f>'2.1meta'!L16+'2.1meta'!L33+'2.1meta'!L50+'2.1meta'!L68+'2.1meta'!L85+'2.1meta'!L102+'2.1meta'!L119+'2.1meta'!L136+'2.1meta'!L153+'2.1meta'!L170+'2.1meta'!L187+'2.1meta'!L204+'2.1meta'!L221+'2.1meta'!L233+'2.1meta'!L246+'2.1meta'!L263+'2.1meta'!L280+'2.1meta'!L297+'2.1meta'!L314+'2.1meta'!L331</f>
        <v>0</v>
      </c>
      <c r="L15" s="88">
        <f>'2.1meta'!M16+'2.1meta'!M33+'2.1meta'!M50+'2.1meta'!M68+'2.1meta'!M85+'2.1meta'!M102+'2.1meta'!M119+'2.1meta'!M136+'2.1meta'!M153+'2.1meta'!M170+'2.1meta'!M187+'2.1meta'!M204+'2.1meta'!M221+'2.1meta'!M233+'2.1meta'!M246+'2.1meta'!M263+'2.1meta'!M280+'2.1meta'!M297+'2.1meta'!M314+'2.1meta'!M331</f>
        <v>0</v>
      </c>
      <c r="M15" s="88">
        <f>'2.1meta'!N16+'2.1meta'!N33+'2.1meta'!N50+'2.1meta'!N68+'2.1meta'!N85+'2.1meta'!N102+'2.1meta'!N119+'2.1meta'!N136+'2.1meta'!N153+'2.1meta'!N170+'2.1meta'!N187+'2.1meta'!N204+'2.1meta'!N221+'2.1meta'!N233+'2.1meta'!N246+'2.1meta'!N263+'2.1meta'!N280+'2.1meta'!N297+'2.1meta'!N314+'2.1meta'!N331</f>
        <v>0</v>
      </c>
      <c r="N15" s="89">
        <f t="shared" si="0"/>
        <v>0</v>
      </c>
      <c r="O15" s="111">
        <f t="shared" si="1"/>
        <v>0</v>
      </c>
      <c r="P15" s="88">
        <f>'2.1meta'!Q16+'2.1meta'!Q33+'2.1meta'!Q50+'2.1meta'!Q68+'2.1meta'!Q85+'2.1meta'!Q102+'2.1meta'!Q119+'2.1meta'!Q136+'2.1meta'!Q153+'2.1meta'!Q170+'2.1meta'!Q187+'2.1meta'!Q204+'2.1meta'!Q221+'2.1meta'!Q233+'2.1meta'!Q246+'2.1meta'!Q263+'2.1meta'!Q280+'2.1meta'!Q297+'2.1meta'!Q314+'2.1meta'!Q331</f>
        <v>0</v>
      </c>
      <c r="Q15" s="88">
        <f>'2.1meta'!R16+'2.1meta'!R33+'2.1meta'!R50+'2.1meta'!R68+'2.1meta'!R85+'2.1meta'!R102+'2.1meta'!R119+'2.1meta'!R136+'2.1meta'!R153+'2.1meta'!R170+'2.1meta'!R187+'2.1meta'!R204+'2.1meta'!R221+'2.1meta'!R233+'2.1meta'!R246+'2.1meta'!R263+'2.1meta'!R280+'2.1meta'!R297+'2.1meta'!R314+'2.1meta'!R331</f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SUM(P15:W15)</f>
        <v>0</v>
      </c>
      <c r="Y15" s="91">
        <f>N15+X15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8">
        <f>'2.1meta'!K17+'2.1meta'!K34+'2.1meta'!K51+'2.1meta'!K69+'2.1meta'!K86+'2.1meta'!K103+'2.1meta'!K120+'2.1meta'!K137+'2.1meta'!K154+'2.1meta'!K171++'2.1meta'!K188+'2.1meta'!K205+'2.1meta'!K222+'2.1meta'!K247+'2.1meta'!K264+'2.1meta'!K281+'2.1meta'!K298+'2.1meta'!K315+'2.1meta'!K332</f>
        <v>0</v>
      </c>
      <c r="K16" s="88">
        <f>'2.1meta'!L17+'2.1meta'!L34+'2.1meta'!L51+'2.1meta'!L69+'2.1meta'!L86+'2.1meta'!L103+'2.1meta'!L120+'2.1meta'!L137+'2.1meta'!L154+'2.1meta'!L171++'2.1meta'!L188+'2.1meta'!L205+'2.1meta'!L222+'2.1meta'!L247+'2.1meta'!L264+'2.1meta'!L281+'2.1meta'!L298+'2.1meta'!L315+'2.1meta'!L332</f>
        <v>0</v>
      </c>
      <c r="L16" s="88">
        <f>'2.1meta'!M17+'2.1meta'!M34+'2.1meta'!M51+'2.1meta'!M69+'2.1meta'!M86+'2.1meta'!M103+'2.1meta'!M120+'2.1meta'!M137+'2.1meta'!M154+'2.1meta'!M171++'2.1meta'!M188+'2.1meta'!M205+'2.1meta'!M222+'2.1meta'!M247+'2.1meta'!M264+'2.1meta'!M281+'2.1meta'!M298+'2.1meta'!M315+'2.1meta'!M332</f>
        <v>0</v>
      </c>
      <c r="M16" s="88">
        <f>'2.1meta'!N17+'2.1meta'!N34+'2.1meta'!N51+'2.1meta'!N69+'2.1meta'!N86+'2.1meta'!N103+'2.1meta'!N120+'2.1meta'!N137+'2.1meta'!N154+'2.1meta'!N171++'2.1meta'!N188+'2.1meta'!N205+'2.1meta'!N222+'2.1meta'!N247+'2.1meta'!N264+'2.1meta'!N281+'2.1meta'!N298+'2.1meta'!N315+'2.1meta'!N332</f>
        <v>0</v>
      </c>
      <c r="N16" s="89">
        <f t="shared" si="0"/>
        <v>0</v>
      </c>
      <c r="O16" s="111">
        <f t="shared" si="1"/>
        <v>0</v>
      </c>
      <c r="P16" s="88">
        <f>'2.1meta'!Q17+'2.1meta'!Q34+'2.1meta'!Q51+'2.1meta'!Q69+'2.1meta'!Q86+'2.1meta'!Q103+'2.1meta'!Q120+'2.1meta'!Q137+'2.1meta'!Q154+'2.1meta'!Q171++'2.1meta'!Q188+'2.1meta'!Q205+'2.1meta'!Q222+'2.1meta'!Q247+'2.1meta'!Q264+'2.1meta'!Q281+'2.1meta'!Q298+'2.1meta'!Q315+'2.1meta'!Q332</f>
        <v>0</v>
      </c>
      <c r="Q16" s="88">
        <f>'2.1meta'!R17+'2.1meta'!R34+'2.1meta'!R51+'2.1meta'!R69+'2.1meta'!R86+'2.1meta'!R103+'2.1meta'!R120+'2.1meta'!R137+'2.1meta'!R154+'2.1meta'!R171++'2.1meta'!R188+'2.1meta'!R205+'2.1meta'!R222+'2.1meta'!R247+'2.1meta'!R264+'2.1meta'!R281+'2.1meta'!R298+'2.1meta'!R315+'2.1meta'!R332</f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SUM(P16:W16)</f>
        <v>0</v>
      </c>
      <c r="Y16" s="91">
        <f>N16+X16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8">
        <f>'2.1meta'!K18+'2.1meta'!K35+'2.1meta'!K52+'2.1meta'!K70+'2.1meta'!K87+'2.1meta'!K104+'2.1meta'!K121+'2.1meta'!K138+'2.1meta'!K155+'2.1meta'!K172+'2.1meta'!K189+'2.1meta'!K206+'2.1meta'!K223+'2.1meta'!K248+'2.1meta'!K265+'2.1meta'!K282+'2.1meta'!K299+'2.1meta'!K316+'2.1meta'!K333</f>
        <v>0</v>
      </c>
      <c r="K17" s="88">
        <f>'2.1meta'!L18+'2.1meta'!L35+'2.1meta'!L52+'2.1meta'!L70+'2.1meta'!L87+'2.1meta'!L104+'2.1meta'!L121+'2.1meta'!L138+'2.1meta'!L155+'2.1meta'!L172+'2.1meta'!L189+'2.1meta'!L206+'2.1meta'!L223+'2.1meta'!L248+'2.1meta'!L265+'2.1meta'!L282+'2.1meta'!L299+'2.1meta'!L316+'2.1meta'!L333</f>
        <v>0</v>
      </c>
      <c r="L17" s="88">
        <f>'2.1meta'!M18+'2.1meta'!M35+'2.1meta'!M52+'2.1meta'!M70+'2.1meta'!M87+'2.1meta'!M104+'2.1meta'!M121+'2.1meta'!M138+'2.1meta'!M155+'2.1meta'!M172+'2.1meta'!M189+'2.1meta'!M206+'2.1meta'!M223+'2.1meta'!M248+'2.1meta'!M265+'2.1meta'!M282+'2.1meta'!M299+'2.1meta'!M316+'2.1meta'!M333</f>
        <v>0</v>
      </c>
      <c r="M17" s="88">
        <f>'2.1meta'!N18+'2.1meta'!N35+'2.1meta'!N52+'2.1meta'!N70+'2.1meta'!N87+'2.1meta'!N104+'2.1meta'!N121+'2.1meta'!N138+'2.1meta'!N155+'2.1meta'!N172+'2.1meta'!N189+'2.1meta'!N206+'2.1meta'!N223+'2.1meta'!N248+'2.1meta'!N265+'2.1meta'!N282+'2.1meta'!N299+'2.1meta'!N316+'2.1meta'!N333</f>
        <v>0</v>
      </c>
      <c r="N17" s="89">
        <f t="shared" si="0"/>
        <v>0</v>
      </c>
      <c r="O17" s="111">
        <f t="shared" si="1"/>
        <v>0</v>
      </c>
      <c r="P17" s="88">
        <f>'2.1meta'!Q18+'2.1meta'!Q35+'2.1meta'!Q52+'2.1meta'!Q70+'2.1meta'!Q87+'2.1meta'!Q104+'2.1meta'!Q121+'2.1meta'!Q138+'2.1meta'!Q155+'2.1meta'!Q172+'2.1meta'!Q189+'2.1meta'!Q206+'2.1meta'!Q223+'2.1meta'!Q248+'2.1meta'!Q265+'2.1meta'!Q282+'2.1meta'!Q299+'2.1meta'!Q316+'2.1meta'!Q333</f>
        <v>0</v>
      </c>
      <c r="Q17" s="88">
        <f>'2.1meta'!R18+'2.1meta'!R35+'2.1meta'!R52+'2.1meta'!R70+'2.1meta'!R87+'2.1meta'!R104+'2.1meta'!R121+'2.1meta'!R138+'2.1meta'!R155+'2.1meta'!R172+'2.1meta'!R189+'2.1meta'!R206+'2.1meta'!R223+'2.1meta'!R248+'2.1meta'!R265+'2.1meta'!R282+'2.1meta'!R299+'2.1meta'!R316+'2.1meta'!R333</f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SUM(P17:W17)</f>
        <v>0</v>
      </c>
      <c r="Y17" s="91">
        <f>N17+X17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8">
        <f>'2.1meta'!K19+'2.1meta'!K36+'2.1meta'!K53+'2.1meta'!K71+'2.1meta'!K88+'2.1meta'!K105+'2.1meta'!K122+'2.1meta'!K139+'2.1meta'!K156+'2.1meta'!K173++'2.1meta'!K190+'2.1meta'!K207+'2.1meta'!K224+'2.1meta'!K249+'2.1meta'!K266+'2.1meta'!K283+'2.1meta'!K300+'2.1meta'!K317+'2.1meta'!K334</f>
        <v>0</v>
      </c>
      <c r="K18" s="88">
        <f>'2.1meta'!L19+'2.1meta'!L36+'2.1meta'!L53+'2.1meta'!L71+'2.1meta'!L88+'2.1meta'!L105+'2.1meta'!L122+'2.1meta'!L139+'2.1meta'!L156+'2.1meta'!L173++'2.1meta'!L190+'2.1meta'!L207+'2.1meta'!L224+'2.1meta'!L249+'2.1meta'!L266+'2.1meta'!L283+'2.1meta'!L300+'2.1meta'!L317+'2.1meta'!L334</f>
        <v>0</v>
      </c>
      <c r="L18" s="88">
        <f>'2.1meta'!M19+'2.1meta'!M36+'2.1meta'!M53+'2.1meta'!M71+'2.1meta'!M88+'2.1meta'!M105+'2.1meta'!M122+'2.1meta'!M139+'2.1meta'!M156+'2.1meta'!M173++'2.1meta'!M190+'2.1meta'!M207+'2.1meta'!M224+'2.1meta'!M249+'2.1meta'!M266+'2.1meta'!M283+'2.1meta'!M300+'2.1meta'!M317+'2.1meta'!M334</f>
        <v>0</v>
      </c>
      <c r="M18" s="88">
        <f>'2.1meta'!N19+'2.1meta'!N36+'2.1meta'!N53+'2.1meta'!N71+'2.1meta'!N88+'2.1meta'!N105+'2.1meta'!N122+'2.1meta'!N139+'2.1meta'!N156+'2.1meta'!N173++'2.1meta'!N190+'2.1meta'!N207+'2.1meta'!N224+'2.1meta'!N249+'2.1meta'!N266+'2.1meta'!N283+'2.1meta'!N300+'2.1meta'!N317+'2.1meta'!N334</f>
        <v>0</v>
      </c>
      <c r="N18" s="89">
        <f t="shared" si="0"/>
        <v>0</v>
      </c>
      <c r="O18" s="111">
        <f t="shared" si="1"/>
        <v>0</v>
      </c>
      <c r="P18" s="88">
        <f>'2.1meta'!Q19+'2.1meta'!Q36+'2.1meta'!Q53+'2.1meta'!Q71+'2.1meta'!Q88+'2.1meta'!Q105+'2.1meta'!Q122+'2.1meta'!Q139+'2.1meta'!Q156+'2.1meta'!Q173++'2.1meta'!Q190+'2.1meta'!Q207+'2.1meta'!Q224+'2.1meta'!Q249+'2.1meta'!Q266+'2.1meta'!Q283+'2.1meta'!Q300+'2.1meta'!Q317+'2.1meta'!Q334</f>
        <v>0</v>
      </c>
      <c r="Q18" s="88">
        <f>'2.1meta'!R19+'2.1meta'!R36+'2.1meta'!R53+'2.1meta'!R71+'2.1meta'!R88+'2.1meta'!R105+'2.1meta'!R122+'2.1meta'!R139+'2.1meta'!R156+'2.1meta'!R173++'2.1meta'!R190+'2.1meta'!R207+'2.1meta'!R224+'2.1meta'!R249+'2.1meta'!R266+'2.1meta'!R283+'2.1meta'!R300+'2.1meta'!R317+'2.1meta'!R334</f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SUM(P18:W18)</f>
        <v>0</v>
      </c>
      <c r="Y18" s="91">
        <f>N18+X18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8">
        <f>'2.1meta'!K20+'2.1meta'!K37+'2.1meta'!K54+'2.1meta'!K72+'2.1meta'!K89+'2.1meta'!K106+'2.1meta'!K123+'2.1meta'!K140+'2.1meta'!K157+'2.1meta'!K174+'2.1meta'!K191+'2.1meta'!K208+'2.1meta'!K225+'2.1meta'!K234+'2.1meta'!K250+'2.1meta'!K267+'2.1meta'!K284+'2.1meta'!K301+'2.1meta'!K318+'2.1meta'!K335</f>
        <v>0</v>
      </c>
      <c r="K19" s="88">
        <f>'2.1meta'!L20+'2.1meta'!L37+'2.1meta'!L54+'2.1meta'!L72+'2.1meta'!L89+'2.1meta'!L106+'2.1meta'!L123+'2.1meta'!L140+'2.1meta'!L157+'2.1meta'!L174+'2.1meta'!L191+'2.1meta'!L208+'2.1meta'!L225+'2.1meta'!L234+'2.1meta'!L250+'2.1meta'!L267+'2.1meta'!L284+'2.1meta'!L301+'2.1meta'!L318+'2.1meta'!L335</f>
        <v>0</v>
      </c>
      <c r="L19" s="88">
        <f>'2.1meta'!M20+'2.1meta'!M37+'2.1meta'!M54+'2.1meta'!M72+'2.1meta'!M89+'2.1meta'!M106+'2.1meta'!M123+'2.1meta'!M140+'2.1meta'!M157+'2.1meta'!M174+'2.1meta'!M191+'2.1meta'!M208+'2.1meta'!M225+'2.1meta'!M234+'2.1meta'!M250+'2.1meta'!M267+'2.1meta'!M284+'2.1meta'!M301+'2.1meta'!M318+'2.1meta'!M335</f>
        <v>0</v>
      </c>
      <c r="M19" s="88">
        <f>'2.1meta'!N20+'2.1meta'!N37+'2.1meta'!N54+'2.1meta'!N72+'2.1meta'!N89+'2.1meta'!N106+'2.1meta'!N123+'2.1meta'!N140+'2.1meta'!N157+'2.1meta'!N174+'2.1meta'!N191+'2.1meta'!N208+'2.1meta'!N225+'2.1meta'!N234+'2.1meta'!N250+'2.1meta'!N267+'2.1meta'!N284+'2.1meta'!N301+'2.1meta'!N318+'2.1meta'!N335</f>
        <v>0</v>
      </c>
      <c r="N19" s="89">
        <f t="shared" si="0"/>
        <v>0</v>
      </c>
      <c r="O19" s="111">
        <f t="shared" si="1"/>
        <v>0</v>
      </c>
      <c r="P19" s="88">
        <f>'2.1meta'!Q20+'2.1meta'!Q37+'2.1meta'!Q54+'2.1meta'!Q72+'2.1meta'!Q89+'2.1meta'!Q106+'2.1meta'!Q123+'2.1meta'!Q140+'2.1meta'!Q157+'2.1meta'!Q174+'2.1meta'!Q191+'2.1meta'!Q208+'2.1meta'!Q225+'2.1meta'!Q234+'2.1meta'!Q250+'2.1meta'!Q267+'2.1meta'!Q284+'2.1meta'!Q301+'2.1meta'!Q318+'2.1meta'!Q335</f>
        <v>0</v>
      </c>
      <c r="Q19" s="88">
        <f>'2.1meta'!R20+'2.1meta'!R37+'2.1meta'!R54+'2.1meta'!R72+'2.1meta'!R89+'2.1meta'!R106+'2.1meta'!R123+'2.1meta'!R140+'2.1meta'!R157+'2.1meta'!R174+'2.1meta'!R191+'2.1meta'!R208+'2.1meta'!R225+'2.1meta'!R234+'2.1meta'!R250+'2.1meta'!R267+'2.1meta'!R284+'2.1meta'!R301+'2.1meta'!R318+'2.1meta'!R335</f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SUM(P19:W19)</f>
        <v>0</v>
      </c>
      <c r="Y19" s="91">
        <f>N19+X19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8">
        <f>'2.1meta'!K21+'2.1meta'!K38+'2.1meta'!K55+'2.1meta'!K73+'2.1meta'!K90+'2.1meta'!K107+'2.1meta'!K124+'2.1meta'!K141+'2.1meta'!K158+'2.1meta'!K175+'2.1meta'!K192+'2.1meta'!K209+'2.1meta'!K226+'2.1meta'!K251+'2.1meta'!K268+'2.1meta'!K285+'2.1meta'!K302+'2.1meta'!K319+'2.1meta'!K336</f>
        <v>0</v>
      </c>
      <c r="K20" s="88">
        <f>'2.1meta'!L21+'2.1meta'!L38+'2.1meta'!L55+'2.1meta'!L73+'2.1meta'!L90+'2.1meta'!L107+'2.1meta'!L124+'2.1meta'!L141+'2.1meta'!L158+'2.1meta'!L175+'2.1meta'!L192+'2.1meta'!L209+'2.1meta'!L226+'2.1meta'!L251+'2.1meta'!L268+'2.1meta'!L285+'2.1meta'!L302+'2.1meta'!L319+'2.1meta'!L336</f>
        <v>0</v>
      </c>
      <c r="L20" s="88">
        <f>'2.1meta'!M21+'2.1meta'!M38+'2.1meta'!M55+'2.1meta'!M73+'2.1meta'!M90+'2.1meta'!M107+'2.1meta'!M124+'2.1meta'!M141+'2.1meta'!M158+'2.1meta'!M175+'2.1meta'!M192+'2.1meta'!M209+'2.1meta'!M226+'2.1meta'!M251+'2.1meta'!M268+'2.1meta'!M285+'2.1meta'!M302+'2.1meta'!M319+'2.1meta'!M336</f>
        <v>0</v>
      </c>
      <c r="M20" s="88">
        <f>'2.1meta'!N21+'2.1meta'!N38+'2.1meta'!N55+'2.1meta'!N73+'2.1meta'!N90+'2.1meta'!N107+'2.1meta'!N124+'2.1meta'!N141+'2.1meta'!N158+'2.1meta'!N175+'2.1meta'!N192+'2.1meta'!N209+'2.1meta'!N226+'2.1meta'!N251+'2.1meta'!N268+'2.1meta'!N285+'2.1meta'!N302+'2.1meta'!N319+'2.1meta'!N336</f>
        <v>0</v>
      </c>
      <c r="N20" s="89">
        <f t="shared" si="0"/>
        <v>0</v>
      </c>
      <c r="O20" s="111">
        <f t="shared" si="1"/>
        <v>0</v>
      </c>
      <c r="P20" s="88">
        <f>'2.1meta'!Q21+'2.1meta'!Q38+'2.1meta'!Q55+'2.1meta'!Q73+'2.1meta'!Q90+'2.1meta'!Q107+'2.1meta'!Q124+'2.1meta'!Q141+'2.1meta'!Q158+'2.1meta'!Q175+'2.1meta'!Q192+'2.1meta'!Q209+'2.1meta'!Q226+'2.1meta'!Q251+'2.1meta'!Q268+'2.1meta'!Q285+'2.1meta'!Q302+'2.1meta'!Q319+'2.1meta'!Q336</f>
        <v>0</v>
      </c>
      <c r="Q20" s="88">
        <f>'2.1meta'!R21+'2.1meta'!R38+'2.1meta'!R55+'2.1meta'!R73+'2.1meta'!R90+'2.1meta'!R107+'2.1meta'!R124+'2.1meta'!R141+'2.1meta'!R158+'2.1meta'!R175+'2.1meta'!R192+'2.1meta'!R209+'2.1meta'!R226+'2.1meta'!R251+'2.1meta'!R268+'2.1meta'!R285+'2.1meta'!R302+'2.1meta'!R319+'2.1meta'!R336</f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SUM(P20:W20)</f>
        <v>0</v>
      </c>
      <c r="Y20" s="91">
        <f>N20+X20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8">
        <f>'2.1meta'!K22+'2.1meta'!K39+'2.1meta'!K56+'2.1meta'!K74+'2.1meta'!K91+'2.1meta'!K108+'2.1meta'!K125+'2.1meta'!K142+'2.1meta'!K159+'2.1meta'!K176+'2.1meta'!K193+'2.1meta'!K210+'2.1meta'!K227+'2.1meta'!K235+'2.1meta'!K252+'2.1meta'!K269+'2.1meta'!K286+'2.1meta'!K303+'2.1meta'!K320+'2.1meta'!K337</f>
        <v>0</v>
      </c>
      <c r="K21" s="88">
        <f>'2.1meta'!L22+'2.1meta'!L39+'2.1meta'!L56+'2.1meta'!L74+'2.1meta'!L91+'2.1meta'!L108+'2.1meta'!L125+'2.1meta'!L142+'2.1meta'!L159+'2.1meta'!L176+'2.1meta'!L193+'2.1meta'!L210+'2.1meta'!L227+'2.1meta'!L235+'2.1meta'!L252+'2.1meta'!L269+'2.1meta'!L286+'2.1meta'!L303+'2.1meta'!L320+'2.1meta'!L337</f>
        <v>0</v>
      </c>
      <c r="L21" s="88">
        <f>'2.1meta'!M22+'2.1meta'!M39+'2.1meta'!M56+'2.1meta'!M74+'2.1meta'!M91+'2.1meta'!M108+'2.1meta'!M125+'2.1meta'!M142+'2.1meta'!M159+'2.1meta'!M176+'2.1meta'!M193+'2.1meta'!M210+'2.1meta'!M227+'2.1meta'!M235+'2.1meta'!M252+'2.1meta'!M269+'2.1meta'!M286+'2.1meta'!M303+'2.1meta'!M320+'2.1meta'!M337</f>
        <v>0</v>
      </c>
      <c r="M21" s="88">
        <f>'2.1meta'!N22+'2.1meta'!N39+'2.1meta'!N56+'2.1meta'!N74+'2.1meta'!N91+'2.1meta'!N108+'2.1meta'!N125+'2.1meta'!N142+'2.1meta'!N159+'2.1meta'!N176+'2.1meta'!N193+'2.1meta'!N210+'2.1meta'!N227+'2.1meta'!N235+'2.1meta'!N252+'2.1meta'!N269+'2.1meta'!N286+'2.1meta'!N303+'2.1meta'!N320+'2.1meta'!N337</f>
        <v>0</v>
      </c>
      <c r="N21" s="89">
        <f t="shared" si="0"/>
        <v>0</v>
      </c>
      <c r="O21" s="111">
        <f t="shared" si="1"/>
        <v>0</v>
      </c>
      <c r="P21" s="88">
        <f>'2.1meta'!Q22+'2.1meta'!Q39+'2.1meta'!Q56+'2.1meta'!Q74+'2.1meta'!Q91+'2.1meta'!Q108+'2.1meta'!Q125+'2.1meta'!Q142+'2.1meta'!Q159+'2.1meta'!Q176+'2.1meta'!Q193+'2.1meta'!Q210+'2.1meta'!Q227+'2.1meta'!Q235+'2.1meta'!Q252+'2.1meta'!Q269+'2.1meta'!Q286+'2.1meta'!Q303+'2.1meta'!Q320+'2.1meta'!Q337</f>
        <v>0</v>
      </c>
      <c r="Q21" s="88">
        <f>'2.1meta'!R22+'2.1meta'!R39+'2.1meta'!R56+'2.1meta'!R74+'2.1meta'!R91+'2.1meta'!R108+'2.1meta'!R125+'2.1meta'!R142+'2.1meta'!R159+'2.1meta'!R176+'2.1meta'!R193+'2.1meta'!R210+'2.1meta'!R227+'2.1meta'!R235+'2.1meta'!R252+'2.1meta'!R269+'2.1meta'!R286+'2.1meta'!R303+'2.1meta'!R320+'2.1meta'!R337</f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SUM(P21:W21)</f>
        <v>0</v>
      </c>
      <c r="Y21" s="91">
        <f>N21+X21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N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:K22" si="3">SUBTOTAL(9,G5:G21)</f>
        <v>0</v>
      </c>
      <c r="H22" s="103">
        <f t="shared" si="3"/>
        <v>0</v>
      </c>
      <c r="I22" s="103">
        <f t="shared" si="3"/>
        <v>0</v>
      </c>
      <c r="J22" s="103">
        <f t="shared" si="3"/>
        <v>0</v>
      </c>
      <c r="K22" s="103">
        <f t="shared" si="3"/>
        <v>0</v>
      </c>
      <c r="L22" s="103">
        <f t="shared" si="2"/>
        <v>0</v>
      </c>
      <c r="M22" s="103">
        <f t="shared" si="2"/>
        <v>0</v>
      </c>
      <c r="N22" s="103">
        <f t="shared" si="2"/>
        <v>0</v>
      </c>
      <c r="O22" s="64">
        <f t="shared" si="1"/>
        <v>0</v>
      </c>
      <c r="P22" s="103">
        <f t="shared" ref="P22:Z22" si="4">SUBTOTAL(9,P5:P21)</f>
        <v>0</v>
      </c>
      <c r="Q22" s="103">
        <f t="shared" si="4"/>
        <v>0</v>
      </c>
      <c r="R22" s="103">
        <f t="shared" si="4"/>
        <v>0</v>
      </c>
      <c r="S22" s="103">
        <f t="shared" si="4"/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N24" s="32"/>
      <c r="O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N3:N4"/>
    <mergeCell ref="A3:B4"/>
    <mergeCell ref="C3:C4"/>
    <mergeCell ref="D3:D4"/>
    <mergeCell ref="E3:E4"/>
    <mergeCell ref="F3:M3"/>
    <mergeCell ref="Y3:Y4"/>
    <mergeCell ref="Z3:Z4"/>
    <mergeCell ref="O3:O4"/>
    <mergeCell ref="P3:S3"/>
    <mergeCell ref="T3:U3"/>
    <mergeCell ref="V3:V4"/>
    <mergeCell ref="W3:W4"/>
    <mergeCell ref="X3:X4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49" t="s">
        <v>84</v>
      </c>
      <c r="B3" s="250"/>
      <c r="C3" s="232" t="s">
        <v>4</v>
      </c>
      <c r="D3" s="2" t="s">
        <v>7</v>
      </c>
      <c r="E3" s="2"/>
      <c r="F3" s="2"/>
      <c r="G3" s="2"/>
      <c r="H3" s="2"/>
      <c r="I3" s="2"/>
      <c r="J3" s="2"/>
      <c r="K3" s="224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2" t="s">
        <v>13</v>
      </c>
      <c r="U3" s="226" t="s">
        <v>14</v>
      </c>
    </row>
    <row r="4" spans="1:21" ht="33" customHeight="1">
      <c r="A4" s="251"/>
      <c r="B4" s="252"/>
      <c r="C4" s="233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5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3"/>
      <c r="U4" s="227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49" t="s">
        <v>84</v>
      </c>
      <c r="B26" s="250"/>
      <c r="C26" s="232" t="s">
        <v>4</v>
      </c>
      <c r="D26" s="2" t="s">
        <v>7</v>
      </c>
      <c r="E26" s="2"/>
      <c r="F26" s="2"/>
      <c r="G26" s="2"/>
      <c r="H26" s="2"/>
      <c r="I26" s="2"/>
      <c r="J26" s="2"/>
      <c r="K26" s="224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2" t="s">
        <v>13</v>
      </c>
      <c r="U26" s="226" t="s">
        <v>14</v>
      </c>
    </row>
    <row r="27" spans="1:21" ht="33" customHeight="1">
      <c r="A27" s="251"/>
      <c r="B27" s="252"/>
      <c r="C27" s="233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5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3"/>
      <c r="U27" s="227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49" t="s">
        <v>84</v>
      </c>
      <c r="B44" s="250"/>
      <c r="C44" s="232" t="s">
        <v>4</v>
      </c>
      <c r="D44" s="2" t="s">
        <v>7</v>
      </c>
      <c r="E44" s="2"/>
      <c r="F44" s="2"/>
      <c r="G44" s="2"/>
      <c r="H44" s="2"/>
      <c r="I44" s="2"/>
      <c r="J44" s="2"/>
      <c r="K44" s="224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2" t="s">
        <v>13</v>
      </c>
      <c r="U44" s="226" t="s">
        <v>14</v>
      </c>
    </row>
    <row r="45" spans="1:21" ht="25.5" customHeight="1">
      <c r="A45" s="251"/>
      <c r="B45" s="252"/>
      <c r="C45" s="233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5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3"/>
      <c r="U45" s="227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49" t="s">
        <v>84</v>
      </c>
      <c r="B51" s="250"/>
      <c r="C51" s="232" t="s">
        <v>4</v>
      </c>
      <c r="D51" s="2" t="s">
        <v>7</v>
      </c>
      <c r="E51" s="2"/>
      <c r="F51" s="2"/>
      <c r="G51" s="2"/>
      <c r="H51" s="2"/>
      <c r="I51" s="2"/>
      <c r="J51" s="2"/>
      <c r="K51" s="224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2" t="s">
        <v>13</v>
      </c>
      <c r="U51" s="226" t="s">
        <v>14</v>
      </c>
    </row>
    <row r="52" spans="1:21" ht="25.5" customHeight="1">
      <c r="A52" s="251"/>
      <c r="B52" s="252"/>
      <c r="C52" s="233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5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3"/>
      <c r="U52" s="227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26:B27"/>
    <mergeCell ref="C26:C27"/>
    <mergeCell ref="K26:K27"/>
    <mergeCell ref="T26:T27"/>
    <mergeCell ref="U26:U27"/>
    <mergeCell ref="A44:B45"/>
    <mergeCell ref="C44:C45"/>
    <mergeCell ref="K44:K45"/>
    <mergeCell ref="T44:T45"/>
    <mergeCell ref="U44:U45"/>
    <mergeCell ref="A3:B4"/>
    <mergeCell ref="C3:C4"/>
    <mergeCell ref="K3:K4"/>
    <mergeCell ref="T3:T4"/>
    <mergeCell ref="U3:U4"/>
    <mergeCell ref="A51:B52"/>
    <mergeCell ref="C51:C52"/>
    <mergeCell ref="K51:K52"/>
    <mergeCell ref="T51:T52"/>
    <mergeCell ref="U51:U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49" t="s">
        <v>84</v>
      </c>
      <c r="B2" s="250"/>
      <c r="C2" s="232" t="s">
        <v>4</v>
      </c>
      <c r="D2" s="2" t="s">
        <v>7</v>
      </c>
      <c r="E2" s="2"/>
      <c r="F2" s="2"/>
      <c r="G2" s="2"/>
      <c r="H2" s="2"/>
      <c r="I2" s="2"/>
      <c r="J2" s="2"/>
      <c r="K2" s="224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2" t="s">
        <v>13</v>
      </c>
      <c r="U2" s="226" t="s">
        <v>14</v>
      </c>
    </row>
    <row r="3" spans="1:21" ht="33" customHeight="1">
      <c r="A3" s="251"/>
      <c r="B3" s="252"/>
      <c r="C3" s="233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5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3"/>
      <c r="U3" s="227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2022-04-11T15:37:01Z</dcterms:modified>
  <cp:category/>
</cp:coreProperties>
</file>