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 activeTab="1"/>
  </bookViews>
  <sheets>
    <sheet name="Activos" sheetId="1" r:id="rId1"/>
    <sheet name="Baja" sheetId="2" r:id="rId2"/>
  </sheets>
  <definedNames>
    <definedName name="_xlnm._FilterDatabase" localSheetId="0" hidden="1">Activos!$A$4:$L$390</definedName>
    <definedName name="_xlnm._FilterDatabase" localSheetId="1" hidden="1">Baja!$A$4:$M$27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6" i="2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8"/>
  <c r="M29"/>
  <c r="M30"/>
  <c r="M31"/>
  <c r="M32"/>
  <c r="M33"/>
  <c r="M34"/>
  <c r="M35"/>
  <c r="M36"/>
  <c r="M37"/>
  <c r="M38"/>
  <c r="M39"/>
  <c r="M40"/>
  <c r="M42"/>
  <c r="M43"/>
  <c r="M44"/>
  <c r="M45"/>
  <c r="M46"/>
  <c r="M47"/>
  <c r="M48"/>
  <c r="M49"/>
  <c r="M50"/>
  <c r="M51"/>
  <c r="M52"/>
  <c r="M53"/>
  <c r="M55"/>
  <c r="M56"/>
  <c r="M57"/>
  <c r="M58"/>
  <c r="M59"/>
  <c r="M60"/>
  <c r="M61"/>
  <c r="M62"/>
  <c r="M63"/>
  <c r="M64"/>
  <c r="M65"/>
  <c r="M66"/>
  <c r="M67"/>
  <c r="M68"/>
  <c r="M69"/>
  <c r="P27"/>
  <c r="P41"/>
  <c r="P54"/>
  <c r="P70"/>
  <c r="P71"/>
  <c r="P72"/>
  <c r="P73"/>
  <c r="P74"/>
  <c r="P75"/>
  <c r="P76"/>
  <c r="P77"/>
  <c r="P78"/>
  <c r="P79"/>
  <c r="P80"/>
  <c r="P81"/>
  <c r="P82"/>
  <c r="N77" i="1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74"/>
  <c r="N75"/>
  <c r="N76"/>
  <c r="N6"/>
  <c r="N7"/>
  <c r="N8"/>
  <c r="N9"/>
  <c r="N10"/>
  <c r="N11"/>
  <c r="N12"/>
  <c r="N13"/>
  <c r="N14"/>
  <c r="N15"/>
  <c r="N16"/>
  <c r="N17"/>
  <c r="N18"/>
  <c r="N19"/>
  <c r="N20"/>
  <c r="N21"/>
  <c r="N22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5"/>
  <c r="J398"/>
  <c r="K398"/>
  <c r="L398"/>
  <c r="M398"/>
  <c r="N398"/>
  <c r="O398"/>
  <c r="P398"/>
  <c r="Q398"/>
  <c r="R398"/>
  <c r="G398"/>
  <c r="H398"/>
  <c r="I398"/>
  <c r="P56" i="2" l="1"/>
  <c r="L354" i="1" l="1"/>
  <c r="N354" s="1"/>
  <c r="P68" i="2" l="1"/>
  <c r="P67"/>
  <c r="P66"/>
  <c r="P48"/>
  <c r="P63"/>
  <c r="P64"/>
  <c r="P62"/>
  <c r="P61"/>
  <c r="P42"/>
  <c r="P32"/>
  <c r="P23"/>
  <c r="P22"/>
  <c r="P21"/>
  <c r="P19"/>
  <c r="P14"/>
  <c r="P15"/>
  <c r="P16"/>
  <c r="P17"/>
  <c r="P18"/>
  <c r="P13"/>
  <c r="P12"/>
  <c r="P11"/>
  <c r="P20"/>
  <c r="P24"/>
  <c r="P25"/>
  <c r="P26"/>
  <c r="P10"/>
  <c r="L23" i="1" l="1"/>
  <c r="N23" s="1"/>
  <c r="P53" i="2" l="1"/>
  <c r="P52"/>
  <c r="P69"/>
  <c r="P51"/>
  <c r="P50"/>
  <c r="P49"/>
  <c r="P65"/>
  <c r="P47"/>
  <c r="P46"/>
  <c r="P45"/>
  <c r="P60"/>
  <c r="P44"/>
  <c r="P59"/>
  <c r="P43"/>
  <c r="P58"/>
  <c r="P57"/>
  <c r="P55"/>
  <c r="P6" l="1"/>
  <c r="P7"/>
  <c r="P8"/>
  <c r="P9"/>
  <c r="P28"/>
  <c r="P29"/>
  <c r="P30"/>
  <c r="P31"/>
  <c r="P33"/>
  <c r="P34"/>
  <c r="P35"/>
  <c r="P36"/>
  <c r="P37"/>
  <c r="P38"/>
  <c r="P39"/>
  <c r="P40"/>
  <c r="M5"/>
  <c r="P5" s="1"/>
</calcChain>
</file>

<file path=xl/sharedStrings.xml><?xml version="1.0" encoding="utf-8"?>
<sst xmlns="http://schemas.openxmlformats.org/spreadsheetml/2006/main" count="2607" uniqueCount="1209">
  <si>
    <t>DNI</t>
  </si>
  <si>
    <t>APELLIDOS Y NOMBRE(S)</t>
  </si>
  <si>
    <t>CARGO/NIVEL</t>
  </si>
  <si>
    <t>REG. LABORAL</t>
  </si>
  <si>
    <t>CONDICIÓN</t>
  </si>
  <si>
    <t>F.INGRESO</t>
  </si>
  <si>
    <t>CESE</t>
  </si>
  <si>
    <t>SETIEMBRE
2020</t>
  </si>
  <si>
    <t>OCTUBRE
2020</t>
  </si>
  <si>
    <t>NOVIEMBRE
2020</t>
  </si>
  <si>
    <t>DICIEMBRE
2020</t>
  </si>
  <si>
    <t>29280700</t>
  </si>
  <si>
    <t>ABRIGO LUQUE, GLORIA DERYS</t>
  </si>
  <si>
    <t>TECNICO  EN ABOGACIA II</t>
  </si>
  <si>
    <t>ACTIVO</t>
  </si>
  <si>
    <t>29292131</t>
  </si>
  <si>
    <t>ADRIAZOLA CORRALES, ANTONIO ALBERTO</t>
  </si>
  <si>
    <t>TECNICO ADMINISTRATIVO I</t>
  </si>
  <si>
    <t>29297092</t>
  </si>
  <si>
    <t>AIMITUMA LUNA, GERMAN</t>
  </si>
  <si>
    <t>GARNICA ESPEZUA, AMANCIA CLORINDA</t>
  </si>
  <si>
    <t>29230374</t>
  </si>
  <si>
    <t>LOPEZ GUTIERREZ, JULEMY ROSA</t>
  </si>
  <si>
    <t>30405468</t>
  </si>
  <si>
    <t>RAMOS CHIQUE, LEONIDAS TITO</t>
  </si>
  <si>
    <t>29292120</t>
  </si>
  <si>
    <t>SOTILLO O'HARA, JUAN DARIO</t>
  </si>
  <si>
    <t>73144555</t>
  </si>
  <si>
    <t>AGUILAR CALLATA, CARLOS ENRIQUE</t>
  </si>
  <si>
    <t>ASIST. ADM. (NOTIFICADOR)</t>
  </si>
  <si>
    <t>29562446</t>
  </si>
  <si>
    <t>ALI GOMEZ, VIDAL ELOY</t>
  </si>
  <si>
    <t>30858138</t>
  </si>
  <si>
    <t>ALVARADO PAYIHUANCA, ZENAIDA GRISEL</t>
  </si>
  <si>
    <t>ASIST.FUNC.FISCAL</t>
  </si>
  <si>
    <t>40307448</t>
  </si>
  <si>
    <t>ALVAREZ TINAGEROS, KAROL LIZBETH</t>
  </si>
  <si>
    <t>PSICOLOGO</t>
  </si>
  <si>
    <t>INACTIVO</t>
  </si>
  <si>
    <t>-</t>
  </si>
  <si>
    <t>42597694</t>
  </si>
  <si>
    <t>ANCO LANDA, JORGE LUIS</t>
  </si>
  <si>
    <t>74122066</t>
  </si>
  <si>
    <t>APAZA CHAMBI, LINDA GIANNINA</t>
  </si>
  <si>
    <t>29635792</t>
  </si>
  <si>
    <t>APAZA RANILLA, RENZO VIDAL</t>
  </si>
  <si>
    <t>47251302</t>
  </si>
  <si>
    <t>ARANCIBIA PINEDA, HELEN</t>
  </si>
  <si>
    <t>46725206</t>
  </si>
  <si>
    <t>ARAPA CANO, WILLIAN FREDDY</t>
  </si>
  <si>
    <t>ARCE CAYRO, PAUL CARLOS</t>
  </si>
  <si>
    <t>ASISTENTE ADMINISTRATIVO.</t>
  </si>
  <si>
    <t>46550902</t>
  </si>
  <si>
    <t>45835994</t>
  </si>
  <si>
    <t>ARCE SONCO, DANILA</t>
  </si>
  <si>
    <t>29242682</t>
  </si>
  <si>
    <t>ARCOS NAQUIRA, MARIA ELENA</t>
  </si>
  <si>
    <t>ARENAS PEREZ, PAUL</t>
  </si>
  <si>
    <t>46706142</t>
  </si>
  <si>
    <t>ARIAS MEDINA, MARIA DEL PILAR</t>
  </si>
  <si>
    <t>ANALISTA</t>
  </si>
  <si>
    <t>29662228</t>
  </si>
  <si>
    <t>ARIAS YLAQUITA, JUDIHT</t>
  </si>
  <si>
    <t>AYALA AGUILAR, FANNY YVONNE</t>
  </si>
  <si>
    <t>29733993</t>
  </si>
  <si>
    <t>BARLETTI HERRERA, VANESSA ALEJANDRA</t>
  </si>
  <si>
    <t>46754642</t>
  </si>
  <si>
    <t>BARRIENTOS RIVERA, FERNANDO LUIS JESUS</t>
  </si>
  <si>
    <t>29733965</t>
  </si>
  <si>
    <t>BARRIGA MENDOZA, ZOILA JENNY</t>
  </si>
  <si>
    <t>GERENTE</t>
  </si>
  <si>
    <t>29645921</t>
  </si>
  <si>
    <t>BEDOYA BARRIGA, JUAN PABLO</t>
  </si>
  <si>
    <t>ASIST. ADM.(CONDUCTOR)</t>
  </si>
  <si>
    <t>29567404</t>
  </si>
  <si>
    <t>BENIQUE QUISPE, VICTOR RONALD</t>
  </si>
  <si>
    <t>29517340</t>
  </si>
  <si>
    <t>ESPECIALISTA ADM.</t>
  </si>
  <si>
    <t>41521077</t>
  </si>
  <si>
    <t>BUTRON VELARDE, HUGO FELIX</t>
  </si>
  <si>
    <t>41741088</t>
  </si>
  <si>
    <t>CABRERA MENDOZA, DENNIS LUIS</t>
  </si>
  <si>
    <t>46267300</t>
  </si>
  <si>
    <t>CACERES YNCA, ALEXANDER ENRIQUE</t>
  </si>
  <si>
    <t>43660293</t>
  </si>
  <si>
    <t>CALDERON APAZA, JAVIER</t>
  </si>
  <si>
    <t>29645880</t>
  </si>
  <si>
    <t>CANALES MEZA, HOLGER ALFREDO</t>
  </si>
  <si>
    <t>40746883</t>
  </si>
  <si>
    <t>CARBAJAL ANCHAPURI, CAROLINA</t>
  </si>
  <si>
    <t>41312250</t>
  </si>
  <si>
    <t>CARCASI TITO, LUDWING</t>
  </si>
  <si>
    <t>41877073</t>
  </si>
  <si>
    <t>45634285</t>
  </si>
  <si>
    <t>CARDENAS CACERES, SARA ROSAURA</t>
  </si>
  <si>
    <t>42512427</t>
  </si>
  <si>
    <t>CASILLAS RODRIGUEZ, MARIBEL YESENIA</t>
  </si>
  <si>
    <t>42262801</t>
  </si>
  <si>
    <t>CASTILLO RUIZ, KAROLL MILAGROS</t>
  </si>
  <si>
    <t>29626660</t>
  </si>
  <si>
    <t>CATERIANO VERA, YESICA MARLENE</t>
  </si>
  <si>
    <t>40027546</t>
  </si>
  <si>
    <t>CAYTANO VALDEZ, SANTOS JESUS</t>
  </si>
  <si>
    <t>80025565</t>
  </si>
  <si>
    <t>71939136</t>
  </si>
  <si>
    <t>CHACO CCALLOMAMANI, CLAUDIA IZUMI</t>
  </si>
  <si>
    <t>29654423</t>
  </si>
  <si>
    <t>CHAMBI HUAYTA, JAVIER ORLANDO</t>
  </si>
  <si>
    <t>40724553</t>
  </si>
  <si>
    <t>CHANINI GARATE, NORMA LUZ</t>
  </si>
  <si>
    <t>47790136</t>
  </si>
  <si>
    <t>CHAPA LOPEZ, NAISHA YANIRETH</t>
  </si>
  <si>
    <t>46425298</t>
  </si>
  <si>
    <t>CHARCA ZAIRA, SANDRA INES</t>
  </si>
  <si>
    <t>46342360</t>
  </si>
  <si>
    <t>CHAVEZ HUAYCHO, EDWIN ALONSO</t>
  </si>
  <si>
    <t>40752677</t>
  </si>
  <si>
    <t>CHAVEZ MAMANI, VERONICA LUCIA</t>
  </si>
  <si>
    <t>40541589</t>
  </si>
  <si>
    <t>CHAVEZ MEDINA, FABRIZIO</t>
  </si>
  <si>
    <t>48786995</t>
  </si>
  <si>
    <t>CHAVEZ VALDIVIA, HEIDY MARISOL</t>
  </si>
  <si>
    <t>40788304</t>
  </si>
  <si>
    <t>CHIPANA CALCINA, JENNY ELIZABETH</t>
  </si>
  <si>
    <t>29607819</t>
  </si>
  <si>
    <t>CHIPANA MENDOZA, WILLIAM MARCELO</t>
  </si>
  <si>
    <t>29295602</t>
  </si>
  <si>
    <t>CHIRINOS GALLEGOS, FERNANDO JORGE</t>
  </si>
  <si>
    <t>46227359</t>
  </si>
  <si>
    <t>CHIRINOS OCAMPO, MARIA DEL CARMEN</t>
  </si>
  <si>
    <t>46875324</t>
  </si>
  <si>
    <t>CHIRINOS PINTO, JORGE LUIS</t>
  </si>
  <si>
    <t>29698287</t>
  </si>
  <si>
    <t>CHOQUE CHOQUE, VALENTIN</t>
  </si>
  <si>
    <t>41868135</t>
  </si>
  <si>
    <t>CHOQUE MAMANI, JAVIER</t>
  </si>
  <si>
    <t>70105112</t>
  </si>
  <si>
    <t>COAGUILA ALEGRE, PATRICIA ALEJANDRA</t>
  </si>
  <si>
    <t>40600636</t>
  </si>
  <si>
    <t>COAGUILA MAMANI, CELESTINO JUSTO</t>
  </si>
  <si>
    <t>29722649</t>
  </si>
  <si>
    <t>CONDORI PACOMPIA, ANGEL SERAFIN</t>
  </si>
  <si>
    <t>JEFE</t>
  </si>
  <si>
    <t>42752116</t>
  </si>
  <si>
    <t>CONDORI QUISPE, JUAN CARLOS</t>
  </si>
  <si>
    <t>71601034</t>
  </si>
  <si>
    <t>CONTRERAS GRADOS, JAVIER MANUEL</t>
  </si>
  <si>
    <t>30480892</t>
  </si>
  <si>
    <t>CONTRERAS ROSAS, LUZ MARINA</t>
  </si>
  <si>
    <t>AUXILIAR</t>
  </si>
  <si>
    <t>40737115</t>
  </si>
  <si>
    <t>CORDOVA YUCRA, ELIZABETH MARIA</t>
  </si>
  <si>
    <t>29425479</t>
  </si>
  <si>
    <t>CORIMANYA LAZARO, JOSE LUIS JUAN</t>
  </si>
  <si>
    <t>29680743</t>
  </si>
  <si>
    <t>CORNEJO MAMANI, MARIO HERNAN</t>
  </si>
  <si>
    <t>29735188</t>
  </si>
  <si>
    <t>CORNEJO MEDINA, JAEMY MAYRA</t>
  </si>
  <si>
    <t>40679820</t>
  </si>
  <si>
    <t>CRUZ CHIQUI, NELLY MYRIAM</t>
  </si>
  <si>
    <t>43710282</t>
  </si>
  <si>
    <t>CUELA CANAZA, JOHANNA CANDY</t>
  </si>
  <si>
    <t>45481219</t>
  </si>
  <si>
    <t>CUELA TAPIA, EDUARDO LUIS</t>
  </si>
  <si>
    <t>45003820</t>
  </si>
  <si>
    <t>CUEVA VILLAFUERTE, DARWIN ALEX</t>
  </si>
  <si>
    <t>29427619</t>
  </si>
  <si>
    <t>CUTIPA VARA, WILLIAMS ROGELIO</t>
  </si>
  <si>
    <t>DE LA TORRE LUNA, LIZBET PAOLA</t>
  </si>
  <si>
    <t>29226809</t>
  </si>
  <si>
    <t>DEL ARROYO CARNERO, YDELSA MARIA ANTONIETA</t>
  </si>
  <si>
    <t>25793579</t>
  </si>
  <si>
    <t>DEL PINO BELLINA, PATRICIA VERONIKHA</t>
  </si>
  <si>
    <t>71331533</t>
  </si>
  <si>
    <t>DEL PINO TICONA, JOSE HOOBERTS</t>
  </si>
  <si>
    <t>24664636</t>
  </si>
  <si>
    <t>DELGADO CCANA, LOURDES</t>
  </si>
  <si>
    <t>DELGADO CUADROS, WILBERT</t>
  </si>
  <si>
    <t>41362673</t>
  </si>
  <si>
    <t>DELGADO GONZALES, KATHERINE BELISA</t>
  </si>
  <si>
    <t>72044225</t>
  </si>
  <si>
    <t>DIAZ BELTRAN, TASSIA SHARON</t>
  </si>
  <si>
    <t>41828958</t>
  </si>
  <si>
    <t>DIAZ CCASSA, PATRICIA MILAGROS</t>
  </si>
  <si>
    <t>46186411</t>
  </si>
  <si>
    <t>DIAZ DIAZ, JOSIHARA</t>
  </si>
  <si>
    <t>47750771</t>
  </si>
  <si>
    <t>DIOSES RIVERA, LIA YOHANA</t>
  </si>
  <si>
    <t>OPERADOR ADMINISTRATIVO</t>
  </si>
  <si>
    <t>41618864</t>
  </si>
  <si>
    <t>ECHEVARRIA RIVERA, ENMANUELL MODESTO</t>
  </si>
  <si>
    <t>41313770</t>
  </si>
  <si>
    <t>ENCALADA CARPIO, JOSE MAX</t>
  </si>
  <si>
    <t>45394542</t>
  </si>
  <si>
    <t>ESCALANTE CONDORI, CARLOS ELIAS</t>
  </si>
  <si>
    <t>41403576</t>
  </si>
  <si>
    <t>ESCAPA TORRES, SINAHYDA DEL CARMEN</t>
  </si>
  <si>
    <t>40802698</t>
  </si>
  <si>
    <t>ESPINOZA QUISPE, FLOR ELIZABETH</t>
  </si>
  <si>
    <t>44940824</t>
  </si>
  <si>
    <t>ESPIRILLA SULLA, KATTY LUCERO</t>
  </si>
  <si>
    <t>29566489</t>
  </si>
  <si>
    <t>FAJARDO VILCA, MARCO ANTONIO</t>
  </si>
  <si>
    <t>43889287</t>
  </si>
  <si>
    <t>FARFAN AISA, OLINDA</t>
  </si>
  <si>
    <t>42464902</t>
  </si>
  <si>
    <t>29721586</t>
  </si>
  <si>
    <t>FLORES PADILLA, BENITO CHRISTIAN</t>
  </si>
  <si>
    <t>29439146</t>
  </si>
  <si>
    <t>FLORES QUISPE, BETTY ROSALINDA</t>
  </si>
  <si>
    <t>70352417</t>
  </si>
  <si>
    <t>03/11/0220</t>
  </si>
  <si>
    <t>45352164</t>
  </si>
  <si>
    <t>GOMEZ CACERES, YESENIA LENDY</t>
  </si>
  <si>
    <t>ABOGADO</t>
  </si>
  <si>
    <t>42118015</t>
  </si>
  <si>
    <t>71306907</t>
  </si>
  <si>
    <t>GOMEZ RODRIGUEZ, GABRIELA CAROLINA</t>
  </si>
  <si>
    <t>45220995</t>
  </si>
  <si>
    <t>GUEVARA CARRILLO, DENNIS ORLANDO</t>
  </si>
  <si>
    <t>29417109</t>
  </si>
  <si>
    <t>GUILLEN RONDON DE DELGADO, MONICA MARY</t>
  </si>
  <si>
    <t>40424780</t>
  </si>
  <si>
    <t>GUTIERREZ RAMOS, JOSE ARTURO</t>
  </si>
  <si>
    <t>41129833</t>
  </si>
  <si>
    <t>GUTIERREZ TOLEDO, MARIA DEL CARMEN</t>
  </si>
  <si>
    <t>30824480</t>
  </si>
  <si>
    <t>GUZMAN ZEVALLOS, MARIELA SABINA</t>
  </si>
  <si>
    <t>42580901</t>
  </si>
  <si>
    <t>HANCCO LAURA, ORLANDO</t>
  </si>
  <si>
    <t>47073619</t>
  </si>
  <si>
    <t>HANCCO RAMOS, PATRICK JARED</t>
  </si>
  <si>
    <t>29727183</t>
  </si>
  <si>
    <t>HERMOZA YTO, JUAN CARLOS</t>
  </si>
  <si>
    <t>30832624</t>
  </si>
  <si>
    <t>HUALPA ARAOZ, LUIS WALTER</t>
  </si>
  <si>
    <t>29373727</t>
  </si>
  <si>
    <t>47788775</t>
  </si>
  <si>
    <t>HUAMANI ARIAS, CESAR BENJAMIN</t>
  </si>
  <si>
    <t>29458888</t>
  </si>
  <si>
    <t>HUAMANI QUISPE, LEONIDAS GERARDO</t>
  </si>
  <si>
    <t>45632792</t>
  </si>
  <si>
    <t>HUARACHA CABRERA, GABY ELY</t>
  </si>
  <si>
    <t>44106691</t>
  </si>
  <si>
    <t>HUARACHI COACALLA, ALDO ANTONIO</t>
  </si>
  <si>
    <t>73424308</t>
  </si>
  <si>
    <t>HUARCA MERMA, ROSSINALDO ABELARDO</t>
  </si>
  <si>
    <t>45212763</t>
  </si>
  <si>
    <t>29582676</t>
  </si>
  <si>
    <t>IDME ZEGARRA, JUAN DE DIOS</t>
  </si>
  <si>
    <t>42737822</t>
  </si>
  <si>
    <t>INCA RAMOS, CARMEN</t>
  </si>
  <si>
    <t>47237791</t>
  </si>
  <si>
    <t>JOVE CARCAUSTO, JUAN CARLOS</t>
  </si>
  <si>
    <t>41723117</t>
  </si>
  <si>
    <t>JUSTO CALLACONDO, WILBER LEONCIO</t>
  </si>
  <si>
    <t>40603426</t>
  </si>
  <si>
    <t>LAMA CALLE, KARLA ZULEMA</t>
  </si>
  <si>
    <t>40534572</t>
  </si>
  <si>
    <t>LASTEROS APAZA, ALEXANDER</t>
  </si>
  <si>
    <t>40713228</t>
  </si>
  <si>
    <t>LAURENTE COAQUIRA, SILVIA VERONICA</t>
  </si>
  <si>
    <t>29721866</t>
  </si>
  <si>
    <t>LAZO FLORES, ESTEFANY ROCIO</t>
  </si>
  <si>
    <t>42274941</t>
  </si>
  <si>
    <t>LINARES GARCIA, GERARDO CESAR</t>
  </si>
  <si>
    <t>29458734</t>
  </si>
  <si>
    <t>LIPA SALAS, BEATRIZ</t>
  </si>
  <si>
    <t>43316537</t>
  </si>
  <si>
    <t>LIZARRAGA SILVA, NADIA EUDOCIA</t>
  </si>
  <si>
    <t>43985387</t>
  </si>
  <si>
    <t>LOVATON LAURA, MILAGROS MARGOT</t>
  </si>
  <si>
    <t>29716339</t>
  </si>
  <si>
    <t>LUNA ECHANDIA, STEFANY GINA</t>
  </si>
  <si>
    <t>43180040</t>
  </si>
  <si>
    <t>MACEDO FERREL, GISELLE RUTH</t>
  </si>
  <si>
    <t>44812526</t>
  </si>
  <si>
    <t>MACHACA ABANTO, JUAN VICTOR</t>
  </si>
  <si>
    <t>48021922</t>
  </si>
  <si>
    <t>MALAGA VILCA, THALIA</t>
  </si>
  <si>
    <t>42263391</t>
  </si>
  <si>
    <t>MAMANI SANCHEZ, CARLOS ALBERTO</t>
  </si>
  <si>
    <t>45622348</t>
  </si>
  <si>
    <t>MAMANI TIPULA, WALTER ALFREDO</t>
  </si>
  <si>
    <t>43142843</t>
  </si>
  <si>
    <t>MAMANI YDME, DAVID SERAFIN</t>
  </si>
  <si>
    <t>46754616</t>
  </si>
  <si>
    <t>MANCHEGO PARILLO, MARIONY MICHELLE</t>
  </si>
  <si>
    <t>29643067</t>
  </si>
  <si>
    <t>MANCILLA MERMA, JUAN CARLOS</t>
  </si>
  <si>
    <t>45451782</t>
  </si>
  <si>
    <t>MANRIQUE MURILLO, ROSARIO KARINA</t>
  </si>
  <si>
    <t>45196323</t>
  </si>
  <si>
    <t>MANRIQUE TORRES, CLAUDIA ALEJANDRA</t>
  </si>
  <si>
    <t>43197926</t>
  </si>
  <si>
    <t>MAQQUERA HUALLPA, FLORENTINO</t>
  </si>
  <si>
    <t>42582716</t>
  </si>
  <si>
    <t>MARQUINA LIMA, NATALI</t>
  </si>
  <si>
    <t>29551667</t>
  </si>
  <si>
    <t>MARTINEZ ARDILES, DANNY OSCAR</t>
  </si>
  <si>
    <t>45367380</t>
  </si>
  <si>
    <t>MAYANGA PUMA, JOAN NATALY</t>
  </si>
  <si>
    <t>45250496</t>
  </si>
  <si>
    <t>MAYTA VARGAS, DARWIN JHON</t>
  </si>
  <si>
    <t>29597448</t>
  </si>
  <si>
    <t>MEDINA GOYTENDIA, GONZALO MARTIN</t>
  </si>
  <si>
    <t>29649420</t>
  </si>
  <si>
    <t>MEDINA HUARHUACHI, LUPE MARIELA</t>
  </si>
  <si>
    <t>29433300</t>
  </si>
  <si>
    <t>MELGAR CARPIO, RONNY ALFREDO</t>
  </si>
  <si>
    <t>40816124</t>
  </si>
  <si>
    <t>MIRANDA LOPEZ, PERCY MANUEL</t>
  </si>
  <si>
    <t>29537013</t>
  </si>
  <si>
    <t>MONROY ORTIZ, ROXANA YALY</t>
  </si>
  <si>
    <t>45775483</t>
  </si>
  <si>
    <t>MONROY VERGARA, ABDUL RASSIR</t>
  </si>
  <si>
    <t>70243542</t>
  </si>
  <si>
    <t>MONTES DE OCA HIDALGO, KARINA DEL PILAR</t>
  </si>
  <si>
    <t>47519053</t>
  </si>
  <si>
    <t>MONTES DE OCA QUINTO, WENDY YASSU</t>
  </si>
  <si>
    <t>46175326</t>
  </si>
  <si>
    <t>MONTOYA SUDARIO, CHRISTY ELIZABETH</t>
  </si>
  <si>
    <t>44884092</t>
  </si>
  <si>
    <t>MORA SALAZAR, VALERIE LEN</t>
  </si>
  <si>
    <t>41533734</t>
  </si>
  <si>
    <t>MOSTAJO DIAZ, CLAUDIA MARIBEL</t>
  </si>
  <si>
    <t>43398919</t>
  </si>
  <si>
    <t>MUJICA JIMENEZ, ELIZABETH MARGARITA</t>
  </si>
  <si>
    <t>29371114</t>
  </si>
  <si>
    <t>NAJARRO ZEVALLOS, MARIVEL PAQUITA</t>
  </si>
  <si>
    <t>47257186</t>
  </si>
  <si>
    <t>NAQUICHE AREVALO, RONY REIVI</t>
  </si>
  <si>
    <t>70516064</t>
  </si>
  <si>
    <t>NINA CUSI, KATHERINE MARIEL</t>
  </si>
  <si>
    <t>46558759</t>
  </si>
  <si>
    <t>NINASIVINCHA MONROY, ERICKA LISBETH</t>
  </si>
  <si>
    <t>04642381</t>
  </si>
  <si>
    <t>45305342</t>
  </si>
  <si>
    <t>PALMA FERNANDEZ, JUANITA MARGOT</t>
  </si>
  <si>
    <t>04642851</t>
  </si>
  <si>
    <t>PALOMINO FLOR, MARIA CRISTINA ESTELA</t>
  </si>
  <si>
    <t>40676669</t>
  </si>
  <si>
    <t>PALOMINO ZEGARRA, ESBETH ANGELICA</t>
  </si>
  <si>
    <t>41829957</t>
  </si>
  <si>
    <t>PAREDES CARDENAS, PATRICIA AMADA</t>
  </si>
  <si>
    <t>29531412</t>
  </si>
  <si>
    <t>PAREDES VILLANUEVA, MAGNOLY ARLETH</t>
  </si>
  <si>
    <t>42760713</t>
  </si>
  <si>
    <t>PARI CHIPANA, HENRY JULIAN</t>
  </si>
  <si>
    <t>40035349</t>
  </si>
  <si>
    <t>PARICAHUA GOMEZ, CHRISTIAN</t>
  </si>
  <si>
    <t>45663318</t>
  </si>
  <si>
    <t>43898865</t>
  </si>
  <si>
    <t>PERALTA LLAYQUI, MARIA TERESA</t>
  </si>
  <si>
    <t>42615969</t>
  </si>
  <si>
    <t>POCCO OCHOA, VICTOR DONNIE MARTIN</t>
  </si>
  <si>
    <t>44043326</t>
  </si>
  <si>
    <t>PORTUGAL UCHASARA, MARCO ANTONIO</t>
  </si>
  <si>
    <t>29575675</t>
  </si>
  <si>
    <t>PRADO CHIRINOS, JUDITH MILAGROS</t>
  </si>
  <si>
    <t>41190365</t>
  </si>
  <si>
    <t>QUICO CALSINA, ERNESTO FREDDY</t>
  </si>
  <si>
    <t>40125483</t>
  </si>
  <si>
    <t>QUISPE CUTIPE, LINA JUANA</t>
  </si>
  <si>
    <t>QUISPE MAMANI, ZENEIDA</t>
  </si>
  <si>
    <t>45799853</t>
  </si>
  <si>
    <t>RAMIREZ CALDERON, MICHAEL</t>
  </si>
  <si>
    <t>47490741</t>
  </si>
  <si>
    <t>RAMOS CALDERON, MARIA DEL CARMEN</t>
  </si>
  <si>
    <t>40150755</t>
  </si>
  <si>
    <t>RAMOS MAMANI, GIOVANNA CECILIA</t>
  </si>
  <si>
    <t>29663985</t>
  </si>
  <si>
    <t>RAMOS PERALTILLA, PATRICIA JACKELINE</t>
  </si>
  <si>
    <t>40522981</t>
  </si>
  <si>
    <t>RAMOS QUISPE, GRETA ELENA</t>
  </si>
  <si>
    <t>41167327</t>
  </si>
  <si>
    <t>RAMOS RAMIREZ, ANA MARIA BELIA</t>
  </si>
  <si>
    <t>43133013</t>
  </si>
  <si>
    <t>RAMOS RIVERA, NORMA VERONICA</t>
  </si>
  <si>
    <t>29712821</t>
  </si>
  <si>
    <t>RAMOS UCEDO, SANTIAGO EUGENIO</t>
  </si>
  <si>
    <t>30844334</t>
  </si>
  <si>
    <t>RIVAS TITO, PANTALEON LORENZO</t>
  </si>
  <si>
    <t>41583054</t>
  </si>
  <si>
    <t>RIVERO SANCHEZ, MARCO ANTONIO</t>
  </si>
  <si>
    <t>29315957</t>
  </si>
  <si>
    <t>RODRIGUEZ ARIAS, OSCAR ALVARO</t>
  </si>
  <si>
    <t>29642776</t>
  </si>
  <si>
    <t>RODRIGUEZ DIAZ, BRENDA LIZETT</t>
  </si>
  <si>
    <t>41535997</t>
  </si>
  <si>
    <t>RODRIGUEZ PORTUGAL, DANITSA LISET</t>
  </si>
  <si>
    <t>43160593</t>
  </si>
  <si>
    <t>RODRIGUEZ TALAVERA, FIORELLA BRIGETTE</t>
  </si>
  <si>
    <t>40617820</t>
  </si>
  <si>
    <t>ROJAS RIVERO, AMERICA</t>
  </si>
  <si>
    <t>29297770</t>
  </si>
  <si>
    <t>29601954</t>
  </si>
  <si>
    <t>ROMERO SANCHEZ, KELLY AMALIA</t>
  </si>
  <si>
    <t>29223839</t>
  </si>
  <si>
    <t>RUELAS APAZA, SANTIAGO DANIEL</t>
  </si>
  <si>
    <t>29651771</t>
  </si>
  <si>
    <t>SALAS GONZALES, DILMAN MARCELO</t>
  </si>
  <si>
    <t>45418683</t>
  </si>
  <si>
    <t>SALAS QUINTO, RONALD JOSE</t>
  </si>
  <si>
    <t>46562425</t>
  </si>
  <si>
    <t>SALAS TAPIA, ALVARO ADRIAN</t>
  </si>
  <si>
    <t>29628629</t>
  </si>
  <si>
    <t>SALAZAR LLERENA, JOSE ANTONIO</t>
  </si>
  <si>
    <t>29541564</t>
  </si>
  <si>
    <t>SALAZAR VERA, JAVIER HIPOLITO</t>
  </si>
  <si>
    <t>47249279</t>
  </si>
  <si>
    <t>SALHUA HUAMANI, BETTY REBECA</t>
  </si>
  <si>
    <t>40870728</t>
  </si>
  <si>
    <t>SALINAS TORRES, FIOLINA CANDY</t>
  </si>
  <si>
    <t>41904346</t>
  </si>
  <si>
    <t>SANCHEZ VARGAS, JHONY ELMER</t>
  </si>
  <si>
    <t>45037930</t>
  </si>
  <si>
    <t>SANCHEZ VELARDE, ALISON ABIGAIL</t>
  </si>
  <si>
    <t>44837673</t>
  </si>
  <si>
    <t>SANCHEZ YUJRA, EDGARD SIXTO</t>
  </si>
  <si>
    <t>40549650</t>
  </si>
  <si>
    <t>SANTA CRUZ CARDENAS, GRETA</t>
  </si>
  <si>
    <t>29594102</t>
  </si>
  <si>
    <t>SCHAFER ZEGARRA, GABRIELA AMPARO</t>
  </si>
  <si>
    <t>40152606</t>
  </si>
  <si>
    <t>SILVA ORTIZ, HEBERD YUL</t>
  </si>
  <si>
    <t>29212366</t>
  </si>
  <si>
    <t>SOTO GONZALES, MANUEL ANGEL</t>
  </si>
  <si>
    <t>40718169</t>
  </si>
  <si>
    <t>SOTOMAYOR ARIAS, ROSEMARY JACLYN</t>
  </si>
  <si>
    <t>29726358</t>
  </si>
  <si>
    <t>SUCASAIRE CONDORI, NANCY MATILDE</t>
  </si>
  <si>
    <t>29645532</t>
  </si>
  <si>
    <t>SUPO HUARACHI, ALICIA ROCIO</t>
  </si>
  <si>
    <t>73022774</t>
  </si>
  <si>
    <t>TANCO MIRANDA, OLJER ANTONIO</t>
  </si>
  <si>
    <t>42662742</t>
  </si>
  <si>
    <t>TERNERO ALVAREZ, ELFER RAMIRO</t>
  </si>
  <si>
    <t>40418547</t>
  </si>
  <si>
    <t>TICONA ROJAS, ELIZABETH JUANA</t>
  </si>
  <si>
    <t>80623339</t>
  </si>
  <si>
    <t>TICONA SALAZAR, LUDGARDO ABEL</t>
  </si>
  <si>
    <t>29611187</t>
  </si>
  <si>
    <t>TORRES FERNANDEZ, CESAR AUGUSTO</t>
  </si>
  <si>
    <t>47615745</t>
  </si>
  <si>
    <t>TORRES PERALTA, YOSINETTE MARI</t>
  </si>
  <si>
    <t>24704906</t>
  </si>
  <si>
    <t>TORRES TAPIA, JULIO CESAR</t>
  </si>
  <si>
    <t>41424438</t>
  </si>
  <si>
    <t>29647364</t>
  </si>
  <si>
    <t>VALDIVIA GARCIA, SANDER VICTOR</t>
  </si>
  <si>
    <t>28298187</t>
  </si>
  <si>
    <t>VARA CERCEDA, ABAD LUIS</t>
  </si>
  <si>
    <t>40392272</t>
  </si>
  <si>
    <t>VASQUEZ PAUCA, MARIO JOSE</t>
  </si>
  <si>
    <t>73238657</t>
  </si>
  <si>
    <t>29644257</t>
  </si>
  <si>
    <t>VELARDE CABRERA, EDDY TYRONE</t>
  </si>
  <si>
    <t>47150505</t>
  </si>
  <si>
    <t>VELASQUEZ BENITEZ, JESUS EDUARDO</t>
  </si>
  <si>
    <t>00465086</t>
  </si>
  <si>
    <t>VELAZCO MIRABAL, RADO ULISES</t>
  </si>
  <si>
    <t>40203280</t>
  </si>
  <si>
    <t>VIDANGOS DIAZ, VICTOR CRISTIAN</t>
  </si>
  <si>
    <t>72455388</t>
  </si>
  <si>
    <t>VILCA HUAMAN, NADELLY MILAGROS</t>
  </si>
  <si>
    <t>29572275</t>
  </si>
  <si>
    <t>VILCHEZ ZEVALLOS, ANDRES VALENTIN</t>
  </si>
  <si>
    <t>40572157</t>
  </si>
  <si>
    <t>VILLALTA MIRANDA, SHEYLA MABEL</t>
  </si>
  <si>
    <t>43122494</t>
  </si>
  <si>
    <t>VILLANUEVA ORE, NANCY ELIZABETH</t>
  </si>
  <si>
    <t>41491510</t>
  </si>
  <si>
    <t>VILLAZON FLORES, LOURDES MARIEL</t>
  </si>
  <si>
    <t>29627090</t>
  </si>
  <si>
    <t>ZEBALLOS CAYTANO, WILBER ALFONSO</t>
  </si>
  <si>
    <t>29300989</t>
  </si>
  <si>
    <t>ZEGARRA ALLASY, PERCY GREGORIO</t>
  </si>
  <si>
    <t>43292086</t>
  </si>
  <si>
    <t>ZEGARRA JUAREZ, CYNTHIA VANESSA</t>
  </si>
  <si>
    <t>29257791</t>
  </si>
  <si>
    <t>SUBGERENTE</t>
  </si>
  <si>
    <t>47050168</t>
  </si>
  <si>
    <t>41004443</t>
  </si>
  <si>
    <t>AGUAYO QUISPE DE CORNEJO, AMPARITO MILAGROS</t>
  </si>
  <si>
    <t>71457631</t>
  </si>
  <si>
    <t>ALVAREZ ALFARO, ANA LUCIA</t>
  </si>
  <si>
    <t>42510204</t>
  </si>
  <si>
    <t>AMBOR GUEVARA, MIGUEL ANGEL</t>
  </si>
  <si>
    <t>43192806</t>
  </si>
  <si>
    <t>APAZA MANGO, MARIA ANGELICA</t>
  </si>
  <si>
    <t>41623726</t>
  </si>
  <si>
    <t>APAZA PEREZ, MAGDA</t>
  </si>
  <si>
    <t>70171765</t>
  </si>
  <si>
    <t>APAZA RIVERA, MARCELA ESPERANZA</t>
  </si>
  <si>
    <t>29215455</t>
  </si>
  <si>
    <t>ARTEAGA PALACIOS, VICTOR HUGO</t>
  </si>
  <si>
    <t>29368791</t>
  </si>
  <si>
    <t>47268976</t>
  </si>
  <si>
    <t>40747359</t>
  </si>
  <si>
    <t>BELLIDO MARROQUIN, MERY OFELIA</t>
  </si>
  <si>
    <t>76797329</t>
  </si>
  <si>
    <t>CABANA HUAYHUA, JORGE LUIS</t>
  </si>
  <si>
    <t>46760503</t>
  </si>
  <si>
    <t>CACERES MIRANDA, KATHERINE JUSTINA</t>
  </si>
  <si>
    <t>45542113</t>
  </si>
  <si>
    <t>CAIRO HUARACA, LIZBETH DANESSA</t>
  </si>
  <si>
    <t>72148804</t>
  </si>
  <si>
    <t>CARPIO ALARCON, JOSE GERALDO</t>
  </si>
  <si>
    <t>30863450</t>
  </si>
  <si>
    <t>CARPIO APAZA, ROBERTO CARLOS</t>
  </si>
  <si>
    <t>46670783</t>
  </si>
  <si>
    <t>CASAPERALTA CHOQUE, VALERIE ISABEL</t>
  </si>
  <si>
    <t>45782934</t>
  </si>
  <si>
    <t>CAYLLAHUA GOMEZ, ANA YOSSELIN</t>
  </si>
  <si>
    <t>71731433</t>
  </si>
  <si>
    <t>CAYRO ROZAN, YNGRID DENISSE</t>
  </si>
  <si>
    <t>47311648</t>
  </si>
  <si>
    <t>CCARITA FLORES, LIZBETH MARLENY</t>
  </si>
  <si>
    <t>29636295</t>
  </si>
  <si>
    <t>CHAVEZ MACHUCA, LUZ MARIA</t>
  </si>
  <si>
    <t>46016566</t>
  </si>
  <si>
    <t>CHIPANA SULCA, ROSALIA ROXANA</t>
  </si>
  <si>
    <t>44179802</t>
  </si>
  <si>
    <t>CHIRINOS MEGO, ROBERTO CARLOS</t>
  </si>
  <si>
    <t>71644798</t>
  </si>
  <si>
    <t>CJUNO MENDOZA, TATIANA ZULEMA</t>
  </si>
  <si>
    <t>75366479</t>
  </si>
  <si>
    <t>47062285</t>
  </si>
  <si>
    <t>CONDO MAMANI, JOHNNY FELIX</t>
  </si>
  <si>
    <t>29667406</t>
  </si>
  <si>
    <t>CONDORI CCARI, RENE EULOGIO</t>
  </si>
  <si>
    <t>23865871</t>
  </si>
  <si>
    <t>CONTRERAS AGUIRRE, GREGORIO ANDRES</t>
  </si>
  <si>
    <t>PERITO</t>
  </si>
  <si>
    <t>43710284</t>
  </si>
  <si>
    <t>CORDOVA APAZA, NADIA MILAGROS</t>
  </si>
  <si>
    <t>30674693</t>
  </si>
  <si>
    <t>DAVALOS POLANCO, SERGIO MOISES</t>
  </si>
  <si>
    <t>45367391</t>
  </si>
  <si>
    <t>DELGADO SOTO, GISSELA MAGALY</t>
  </si>
  <si>
    <t>30647737</t>
  </si>
  <si>
    <t>DELGADO VILCAHUAMAN, FREDY WALTER</t>
  </si>
  <si>
    <t>44168731</t>
  </si>
  <si>
    <t>DONGO CONCHA, FELIX HUMBERTO</t>
  </si>
  <si>
    <t>46585722</t>
  </si>
  <si>
    <t>ESQUIVEL MACHACA, BORIS ROMARIO</t>
  </si>
  <si>
    <t>29581537</t>
  </si>
  <si>
    <t>ESQUIVEL MESCCO, LILIAN SOFIA</t>
  </si>
  <si>
    <t>72184706</t>
  </si>
  <si>
    <t>FALCON BELLIDO, SUSY YUDI</t>
  </si>
  <si>
    <t>41504530</t>
  </si>
  <si>
    <t>FERNANDEZ FLORES, MILTON</t>
  </si>
  <si>
    <t>45016922</t>
  </si>
  <si>
    <t>FLORES CACERES, DOMINGO CARLOS</t>
  </si>
  <si>
    <t>41704850</t>
  </si>
  <si>
    <t>FLORES CONGONA, CARLOS FRANCISCO</t>
  </si>
  <si>
    <t>72919424</t>
  </si>
  <si>
    <t>FLORES VARGAS, SERGIO STIVEN</t>
  </si>
  <si>
    <t>30563802</t>
  </si>
  <si>
    <t>FLORES VILCA, OLGER CIRO</t>
  </si>
  <si>
    <t>42520005</t>
  </si>
  <si>
    <t>GARCIA JURADO, MARGARITA</t>
  </si>
  <si>
    <t>45394538</t>
  </si>
  <si>
    <t>GONZALES CORNEJO, DAYANA JOSEFINA</t>
  </si>
  <si>
    <t>40089013</t>
  </si>
  <si>
    <t>GUARDIA PALACIOS, EMILIANO LUIS</t>
  </si>
  <si>
    <t>43530870</t>
  </si>
  <si>
    <t>GUERREROS VILLAFUERTE, ALAN</t>
  </si>
  <si>
    <t>47609313</t>
  </si>
  <si>
    <t>GUTIERREZ CACERES, ELVIRA EDITH</t>
  </si>
  <si>
    <t>44505275</t>
  </si>
  <si>
    <t>HERRERA CAYLLAHUA, MIRIAM HILDA</t>
  </si>
  <si>
    <t>46188094</t>
  </si>
  <si>
    <t>48371777</t>
  </si>
  <si>
    <t>HILACONDO CONDO, KATY KIARA</t>
  </si>
  <si>
    <t>29725477</t>
  </si>
  <si>
    <t>HUACO GUTIERREZ, ALEXANDER LUCIO</t>
  </si>
  <si>
    <t>46812015</t>
  </si>
  <si>
    <t>HUAHUAMULLO CONDORI, JUAN CARLOS</t>
  </si>
  <si>
    <t>72650917</t>
  </si>
  <si>
    <t>HUALLPA MAMANI, SHAMANTHA BECA</t>
  </si>
  <si>
    <t>70198861</t>
  </si>
  <si>
    <t>HUALLPARIMACHI GUZMAN, STEPHANIE CYNTHIA</t>
  </si>
  <si>
    <t>70361660</t>
  </si>
  <si>
    <t>HUAMANI AGUIRRE, ALEX JORGE</t>
  </si>
  <si>
    <t>29445854</t>
  </si>
  <si>
    <t>JUAREZ ANCI, JESUS HERNAN</t>
  </si>
  <si>
    <t>44765888</t>
  </si>
  <si>
    <t>LAZO IQUIRA, BRUCE</t>
  </si>
  <si>
    <t>29612228</t>
  </si>
  <si>
    <t>LIPA HUAMANI, JHON HUGO</t>
  </si>
  <si>
    <t>40657253</t>
  </si>
  <si>
    <t>LIZARRAGA APAZA, LILIANA LISSETTH</t>
  </si>
  <si>
    <t>30831402</t>
  </si>
  <si>
    <t>MAMANI HUALLPA, DIONICIO</t>
  </si>
  <si>
    <t>47971230</t>
  </si>
  <si>
    <t>MAMANI HUAMANI, MADELAINE ROSA</t>
  </si>
  <si>
    <t>29515405</t>
  </si>
  <si>
    <t>MARRON NOGUERA, MARLENI ZULEMA</t>
  </si>
  <si>
    <t>71080265</t>
  </si>
  <si>
    <t>MARROQUIN RODRIGUEZ, DYAN</t>
  </si>
  <si>
    <t>45656719</t>
  </si>
  <si>
    <t>MELO ZEVALLOS, NARDY ROSA</t>
  </si>
  <si>
    <t>40053669</t>
  </si>
  <si>
    <t>MENDEZ ABARCA, JORGE LUIS</t>
  </si>
  <si>
    <t>41441842</t>
  </si>
  <si>
    <t>MENDOZA BUSTAMANTE, ALVARO WESTON</t>
  </si>
  <si>
    <t>29415161</t>
  </si>
  <si>
    <t>MESIAS BARRIGA, GIANCARLO</t>
  </si>
  <si>
    <t>MEZA ROMERO, JORGE MAXIMO</t>
  </si>
  <si>
    <t>ASIST. ADM.(NOTIFICADOR)</t>
  </si>
  <si>
    <t>44179744</t>
  </si>
  <si>
    <t>MORALES SOTO, SANDRA LUCIA</t>
  </si>
  <si>
    <t>44871615</t>
  </si>
  <si>
    <t>44224613</t>
  </si>
  <si>
    <t>NOA MENDOZA, NATHALY VIRGINIA</t>
  </si>
  <si>
    <t>46198666</t>
  </si>
  <si>
    <t>71461421</t>
  </si>
  <si>
    <t>OJEDA HUANCA, CLAUDIA</t>
  </si>
  <si>
    <t>47772667</t>
  </si>
  <si>
    <t>ORTEGA QUISPE, MILTON</t>
  </si>
  <si>
    <t>71737284</t>
  </si>
  <si>
    <t>PACHECO GALDOS, BRENDA CAROLINA</t>
  </si>
  <si>
    <t>72478698</t>
  </si>
  <si>
    <t>PACHECO RAMOS, KATHERINE YSELA</t>
  </si>
  <si>
    <t>43196088</t>
  </si>
  <si>
    <t>PANTALEON CCOA, EDWIN DENNIS</t>
  </si>
  <si>
    <t>70946971</t>
  </si>
  <si>
    <t>PARRILLO TICONA, ROCIO DEL PILAR</t>
  </si>
  <si>
    <t>46244680</t>
  </si>
  <si>
    <t>41906958</t>
  </si>
  <si>
    <t>PEREYRA PUMA, ROGER</t>
  </si>
  <si>
    <t>40746889</t>
  </si>
  <si>
    <t>PILCO BECERRA, FLOR DE MARIA</t>
  </si>
  <si>
    <t>44486500</t>
  </si>
  <si>
    <t>PINTO HERRERA, DANY</t>
  </si>
  <si>
    <t>29597535</t>
  </si>
  <si>
    <t>PINTO SALAS, PATRICIA LORENA</t>
  </si>
  <si>
    <t>72524242</t>
  </si>
  <si>
    <t>PONCE TICONA, JIMENA OLENKA</t>
  </si>
  <si>
    <t>46799857</t>
  </si>
  <si>
    <t>PRADO CRUZ, MILVIA</t>
  </si>
  <si>
    <t>42050026</t>
  </si>
  <si>
    <t>42397097</t>
  </si>
  <si>
    <t>QUILLE CHUQUIPALLA, GONZALO DANIEL</t>
  </si>
  <si>
    <t>42249208</t>
  </si>
  <si>
    <t>QUISPE CUEVAS, FLOR MARINA GLORIA</t>
  </si>
  <si>
    <t>29735628</t>
  </si>
  <si>
    <t>QUISPE GUZMAN, JAIME RICHARD</t>
  </si>
  <si>
    <t>41297719</t>
  </si>
  <si>
    <t>RAMIREZ SILVA, MIREYA AMANDA</t>
  </si>
  <si>
    <t>00435633</t>
  </si>
  <si>
    <t>RAMOS RAMOS, HUBER</t>
  </si>
  <si>
    <t>70927675</t>
  </si>
  <si>
    <t>RAMOS ZAPANA, MARY EMILY</t>
  </si>
  <si>
    <t>29563581</t>
  </si>
  <si>
    <t>RETAMOZO ZEGARRA, PEDRO LUIS</t>
  </si>
  <si>
    <t>45600418</t>
  </si>
  <si>
    <t>RIEGA MENDOZA, PILAR MILAGROS</t>
  </si>
  <si>
    <t>30760356</t>
  </si>
  <si>
    <t>RIOS QUISPE, HERMOGENES</t>
  </si>
  <si>
    <t>29565543</t>
  </si>
  <si>
    <t>RODRIGUEZ VILCA, RONALD PASTOR</t>
  </si>
  <si>
    <t>30560663</t>
  </si>
  <si>
    <t>ROJAS CALLA, EDUARDO CESAR</t>
  </si>
  <si>
    <t>45110604</t>
  </si>
  <si>
    <t>ROJAS FERNANDEZ, CANDELARIA LUCILA ROSARIO</t>
  </si>
  <si>
    <t>44750684</t>
  </si>
  <si>
    <t>SANJINES HUALLPA, MARY LUZ</t>
  </si>
  <si>
    <t>44036143</t>
  </si>
  <si>
    <t>SILVA VARGAS, MARIA DEL CARMEN</t>
  </si>
  <si>
    <t>40539636</t>
  </si>
  <si>
    <t>SUAREZ ULHUA, MARIA ISABEL</t>
  </si>
  <si>
    <t>47012642</t>
  </si>
  <si>
    <t>SUEROS MEJIA, MILAGROS</t>
  </si>
  <si>
    <t>00515269</t>
  </si>
  <si>
    <t>TELLEZ CUSICANQUI, ZELMAR JAVIER</t>
  </si>
  <si>
    <t>42157743</t>
  </si>
  <si>
    <t>TIZNADO YDME, JORGE ROBERTO</t>
  </si>
  <si>
    <t>74225045</t>
  </si>
  <si>
    <t>72865731</t>
  </si>
  <si>
    <t>USCAMAYTA QUISPE, JIMENA</t>
  </si>
  <si>
    <t>73629529</t>
  </si>
  <si>
    <t>VALDEZ HUAHUALA, FIORELLA MARISELL</t>
  </si>
  <si>
    <t>44657955</t>
  </si>
  <si>
    <t>VALDEZ MEZA, CARMEN ROSA</t>
  </si>
  <si>
    <t>46339473</t>
  </si>
  <si>
    <t>VALDIVIA CALDERON, DIANA LADY</t>
  </si>
  <si>
    <t>40597582</t>
  </si>
  <si>
    <t>43045437</t>
  </si>
  <si>
    <t>VARGAS VIZA, DIANA CAROLINA</t>
  </si>
  <si>
    <t>46057841</t>
  </si>
  <si>
    <t>VASQUEZ ARIVILCA, MILAGROS GABRIELA</t>
  </si>
  <si>
    <t>45207839</t>
  </si>
  <si>
    <t>41035401</t>
  </si>
  <si>
    <t>VILCA HUACOTO, RUSBY LILA</t>
  </si>
  <si>
    <t>46487403</t>
  </si>
  <si>
    <t>VILCA ZELA, JORGE VIDALES</t>
  </si>
  <si>
    <t>29673171</t>
  </si>
  <si>
    <t>VILCA ZEVALLOS, MARILU ROSARIO</t>
  </si>
  <si>
    <t>09114020</t>
  </si>
  <si>
    <t>VILCHEZ MONTOYA, ELADIO JAVIER</t>
  </si>
  <si>
    <t>29412097</t>
  </si>
  <si>
    <t>VIZCARRA CENTTY, NARVI VERONICA</t>
  </si>
  <si>
    <t>29721772</t>
  </si>
  <si>
    <t>YATO LOPEZ, MARIA GRACIELA</t>
  </si>
  <si>
    <t>41001091</t>
  </si>
  <si>
    <t>ZACONET VELIZ, JOSE MIGUEL</t>
  </si>
  <si>
    <t>29608886</t>
  </si>
  <si>
    <t>ZAVALA DELGADO, ENRIQUE MARCOS</t>
  </si>
  <si>
    <t>29645119</t>
  </si>
  <si>
    <t>ZEGARRA FERNANDEZ, YOLANDA JESUS</t>
  </si>
  <si>
    <t>TOTAL</t>
  </si>
  <si>
    <t>ADMINISTRADOR</t>
  </si>
  <si>
    <t>70946026</t>
  </si>
  <si>
    <t>71409444</t>
  </si>
  <si>
    <t>BASCONSUELOS ZEGARRA, JORGE LUIS</t>
  </si>
  <si>
    <t>29713300</t>
  </si>
  <si>
    <t>CCAMA TURPO, OCTAVIO GUMERCINDO</t>
  </si>
  <si>
    <t>77472981</t>
  </si>
  <si>
    <t>HUANCO UGARTE, ANA TEREZA</t>
  </si>
  <si>
    <t>72155159</t>
  </si>
  <si>
    <t>QUIQUISOLA VIZA, KEY MISHEL</t>
  </si>
  <si>
    <t>74909984</t>
  </si>
  <si>
    <t>CALLE GUTIERREZ, YNGRID ELIZABETH</t>
  </si>
  <si>
    <t>46558285</t>
  </si>
  <si>
    <t>CHAMPI MAMANI, APOLINAR</t>
  </si>
  <si>
    <t>41813001</t>
  </si>
  <si>
    <t>DOLMOS BECERRA, CARMEN MARLA</t>
  </si>
  <si>
    <t>29534766</t>
  </si>
  <si>
    <t>GOMEZ VILDOZO, ROGUER EDWIN</t>
  </si>
  <si>
    <t>72778236</t>
  </si>
  <si>
    <t>HUALLPA QUINO, KEVIN ARNOLD</t>
  </si>
  <si>
    <t>02306619</t>
  </si>
  <si>
    <t>LUZA JUSTO, EDITH ROCIO</t>
  </si>
  <si>
    <t>72260350</t>
  </si>
  <si>
    <t>MARMANILLO MAGALLANES, JONATHAN JOEL</t>
  </si>
  <si>
    <t>72371725</t>
  </si>
  <si>
    <t>71795193</t>
  </si>
  <si>
    <t>43504696</t>
  </si>
  <si>
    <t>PINTO OLAZABAL, ALISON KAREN</t>
  </si>
  <si>
    <t>29422624</t>
  </si>
  <si>
    <t>SALAMANCA PINTO, ZOILA ADA</t>
  </si>
  <si>
    <t>41552030</t>
  </si>
  <si>
    <t>SONCCO CARSALES, FELIPE BERNARDINO</t>
  </si>
  <si>
    <t>46754641</t>
  </si>
  <si>
    <t>TICONA LUQUE, DIEGO ARMANDO</t>
  </si>
  <si>
    <t>72114224</t>
  </si>
  <si>
    <t>TORRES VENTURA, BRICEYDA ANALI</t>
  </si>
  <si>
    <t>46282844</t>
  </si>
  <si>
    <t>VASQUEZ ARAPA, ANTONIETA LUISA</t>
  </si>
  <si>
    <t>77382091</t>
  </si>
  <si>
    <t>78009545</t>
  </si>
  <si>
    <t>MOLLOHUANCA AQUINO, YENIFER</t>
  </si>
  <si>
    <t>43132514</t>
  </si>
  <si>
    <t>TORRES SUMARI, GABRIELA MERCEDES</t>
  </si>
  <si>
    <t>72111480</t>
  </si>
  <si>
    <t>TURPO CHAVEZ, ESTEFANY MISHEL</t>
  </si>
  <si>
    <t>43281093</t>
  </si>
  <si>
    <t>COAGUILA COLQUE, JACQUELINE ROXANA</t>
  </si>
  <si>
    <t>48334908</t>
  </si>
  <si>
    <t>CUTISACA ITO, HEYDI WADY</t>
  </si>
  <si>
    <t>72189804</t>
  </si>
  <si>
    <t>HUAYTA GOMEZ, CARLOS LEONARDO</t>
  </si>
  <si>
    <t>47339100</t>
  </si>
  <si>
    <t>29602438</t>
  </si>
  <si>
    <t>VENTURA GUTIERREZ, NORMA BEATRIZ</t>
  </si>
  <si>
    <t>44400015</t>
  </si>
  <si>
    <t>TICONA HURTADO, SHIRLEY GABRIELA</t>
  </si>
  <si>
    <t>42609901</t>
  </si>
  <si>
    <t>QUENTA PACO, JUAN ERASMO</t>
  </si>
  <si>
    <t>41600980</t>
  </si>
  <si>
    <t>ARACA ASTORGA, YELYBEL NADIA</t>
  </si>
  <si>
    <t>72539125</t>
  </si>
  <si>
    <t xml:space="preserve">PINTO PORTILLA, SILENY ROSARIO </t>
  </si>
  <si>
    <t>75901924</t>
  </si>
  <si>
    <t>MARIN PARICAHUA, CARLA LORENA</t>
  </si>
  <si>
    <t>70267213</t>
  </si>
  <si>
    <t>VELASQUEZ AZA, GIULIANA YESITH</t>
  </si>
  <si>
    <t>ASISTENTE EN FUNCION FISCAL</t>
  </si>
  <si>
    <t>74026775</t>
  </si>
  <si>
    <t>AGUILAR VEGA, KATE STEPHANIE</t>
  </si>
  <si>
    <t>HUAYHUA MIRANDA, SANDRA ALEXIS</t>
  </si>
  <si>
    <t>47212736</t>
  </si>
  <si>
    <t>ESCOBEDO MONRROY, SBANYA YAHAIRA</t>
  </si>
  <si>
    <t>73445205</t>
  </si>
  <si>
    <t>SOLIS VELASQUEZ, ALEJANDRA ISABEL</t>
  </si>
  <si>
    <t>GUTIERREZ GUTIERREZ, DERLLY ALEXANDRA</t>
  </si>
  <si>
    <t>42911222</t>
  </si>
  <si>
    <t>MEDICO OCUPACIONAL</t>
  </si>
  <si>
    <t>71060730</t>
  </si>
  <si>
    <t>44781750</t>
  </si>
  <si>
    <t>TORREBLANCA GOMEZ, CATHERINE SALOMÉ</t>
  </si>
  <si>
    <t>MERIDA VILCAPAZA, SALLY</t>
  </si>
  <si>
    <t>NUÑEZ GALLEGOS, LEONEL DUVERLY</t>
  </si>
  <si>
    <t>NUÑEZ MANZANO, VANESSA FLOR DE MARIA</t>
  </si>
  <si>
    <t>PARIZACA ASCUÑA, ROSS JAKELINE</t>
  </si>
  <si>
    <t>PEQQUEÑA MERMA, RANDOL NICOLAY</t>
  </si>
  <si>
    <t>PUENTE DE LA VEGA PEÑALOZA, ROSSMERY</t>
  </si>
  <si>
    <t>TREVIÑO TORRES, VICTOR HUGO</t>
  </si>
  <si>
    <t>VALENCIA NUÑEZ, MICHAEL LUIS</t>
  </si>
  <si>
    <t>VEGA ZUÑIGA, YAMILET JESSENIA</t>
  </si>
  <si>
    <t>VELA NUÑEZ, HUGO FIDEL</t>
  </si>
  <si>
    <t>ZUÑIGA HUANCA, ALEXANDER LEONARDO</t>
  </si>
  <si>
    <t>ZUÑIGA RONDON, GUILLERMO VICENTE</t>
  </si>
  <si>
    <t>ZUNIGA ACUÑA, TERRY GUILLERMO</t>
  </si>
  <si>
    <t>BRICEÑO NEYRA, ALONSO ADALBERTO</t>
  </si>
  <si>
    <t>CARDENAS ARBAÑIL, YAHAMMIR WILLIAM</t>
  </si>
  <si>
    <t>CCOA QUIÑONES, ROBERTO</t>
  </si>
  <si>
    <t>COAQUIRA NUÑONCA, ROCIO MILAGROS</t>
  </si>
  <si>
    <t>GOMEZ MENDOZA, YAISIÑO DONATO</t>
  </si>
  <si>
    <t>HERRERA ZUÑIGA, GLORIA ANGELICA</t>
  </si>
  <si>
    <t>MUÑOZ ROJAS, PAOLA ANDREA</t>
  </si>
  <si>
    <t>PEÑA TRUJILLO, KAREN ESTEFANI</t>
  </si>
  <si>
    <t>45984857</t>
  </si>
  <si>
    <t>44659143</t>
  </si>
  <si>
    <t>41999518</t>
  </si>
  <si>
    <t>47168757</t>
  </si>
  <si>
    <t>29591140</t>
  </si>
  <si>
    <t>30857065</t>
  </si>
  <si>
    <t>29541717</t>
  </si>
  <si>
    <t>29722160</t>
  </si>
  <si>
    <t>42390734</t>
  </si>
  <si>
    <t>24888351</t>
  </si>
  <si>
    <t>02967793</t>
  </si>
  <si>
    <t>29672034</t>
  </si>
  <si>
    <t>714:14</t>
  </si>
  <si>
    <t>851:44</t>
  </si>
  <si>
    <t>167:36</t>
  </si>
  <si>
    <t>878:32</t>
  </si>
  <si>
    <t>633:56</t>
  </si>
  <si>
    <t>777:52</t>
  </si>
  <si>
    <t>355:34</t>
  </si>
  <si>
    <t>458:47</t>
  </si>
  <si>
    <t>870:30</t>
  </si>
  <si>
    <t>168:15</t>
  </si>
  <si>
    <t>612:36</t>
  </si>
  <si>
    <t>684:03</t>
  </si>
  <si>
    <t>803:41</t>
  </si>
  <si>
    <t>856:58</t>
  </si>
  <si>
    <t>598:50</t>
  </si>
  <si>
    <t>886:32</t>
  </si>
  <si>
    <t>888:10</t>
  </si>
  <si>
    <t>713:37</t>
  </si>
  <si>
    <t>422:02</t>
  </si>
  <si>
    <t>886:55</t>
  </si>
  <si>
    <t>744:26</t>
  </si>
  <si>
    <t>875:05</t>
  </si>
  <si>
    <t>484:32</t>
  </si>
  <si>
    <t>556:48</t>
  </si>
  <si>
    <t>289:47</t>
  </si>
  <si>
    <t>381:24</t>
  </si>
  <si>
    <t>745:35</t>
  </si>
  <si>
    <t>503:17</t>
  </si>
  <si>
    <t>6:26</t>
  </si>
  <si>
    <t>717:45</t>
  </si>
  <si>
    <t>766:08</t>
  </si>
  <si>
    <t>883:33</t>
  </si>
  <si>
    <t>808:30</t>
  </si>
  <si>
    <t>743:09</t>
  </si>
  <si>
    <t>762:36</t>
  </si>
  <si>
    <t>734:59</t>
  </si>
  <si>
    <t>593:14</t>
  </si>
  <si>
    <t>672:29</t>
  </si>
  <si>
    <t>246:26</t>
  </si>
  <si>
    <t>408:57</t>
  </si>
  <si>
    <t>911:19</t>
  </si>
  <si>
    <t>869:10</t>
  </si>
  <si>
    <t>831:40</t>
  </si>
  <si>
    <t>238:52</t>
  </si>
  <si>
    <t>725:48</t>
  </si>
  <si>
    <t>824:37</t>
  </si>
  <si>
    <t>23:57</t>
  </si>
  <si>
    <t>885:18</t>
  </si>
  <si>
    <t>53:59</t>
  </si>
  <si>
    <t>553:41</t>
  </si>
  <si>
    <t>413:59</t>
  </si>
  <si>
    <t>533:21</t>
  </si>
  <si>
    <t>748:20</t>
  </si>
  <si>
    <t>901:05</t>
  </si>
  <si>
    <t>885:50</t>
  </si>
  <si>
    <t>683:03</t>
  </si>
  <si>
    <t>770:08</t>
  </si>
  <si>
    <t>745:42</t>
  </si>
  <si>
    <t>306:12</t>
  </si>
  <si>
    <t>659:51</t>
  </si>
  <si>
    <t>889:02</t>
  </si>
  <si>
    <t>816:10</t>
  </si>
  <si>
    <t>607:58</t>
  </si>
  <si>
    <t>842:53</t>
  </si>
  <si>
    <t>372:53</t>
  </si>
  <si>
    <t>757:30</t>
  </si>
  <si>
    <t>413:30</t>
  </si>
  <si>
    <t>629:47</t>
  </si>
  <si>
    <t>425:43</t>
  </si>
  <si>
    <t>728:06</t>
  </si>
  <si>
    <t>491:36</t>
  </si>
  <si>
    <t>382:59</t>
  </si>
  <si>
    <t>417:32</t>
  </si>
  <si>
    <t>746:55</t>
  </si>
  <si>
    <t>529:24</t>
  </si>
  <si>
    <t>133:13</t>
  </si>
  <si>
    <t>279:01</t>
  </si>
  <si>
    <t>528:12</t>
  </si>
  <si>
    <t>831:18</t>
  </si>
  <si>
    <t>765:01</t>
  </si>
  <si>
    <t>783:28</t>
  </si>
  <si>
    <t>333:03</t>
  </si>
  <si>
    <t>224:52</t>
  </si>
  <si>
    <t>761:28</t>
  </si>
  <si>
    <t>715:43</t>
  </si>
  <si>
    <t>911:04</t>
  </si>
  <si>
    <t>880:43</t>
  </si>
  <si>
    <t>854:14</t>
  </si>
  <si>
    <t>812:05</t>
  </si>
  <si>
    <t>748:21</t>
  </si>
  <si>
    <t>781:00</t>
  </si>
  <si>
    <t>531:33</t>
  </si>
  <si>
    <t>874:59</t>
  </si>
  <si>
    <t>914:48</t>
  </si>
  <si>
    <t>816:11</t>
  </si>
  <si>
    <t>649:40</t>
  </si>
  <si>
    <t>381:36</t>
  </si>
  <si>
    <t>674:59</t>
  </si>
  <si>
    <t>912:40</t>
  </si>
  <si>
    <t>727:01</t>
  </si>
  <si>
    <t>542:58</t>
  </si>
  <si>
    <t>655:09</t>
  </si>
  <si>
    <t>734:50</t>
  </si>
  <si>
    <t>652:06</t>
  </si>
  <si>
    <t>682:05</t>
  </si>
  <si>
    <t>832:14</t>
  </si>
  <si>
    <t>21:43</t>
  </si>
  <si>
    <t>257:35</t>
  </si>
  <si>
    <t>790:41</t>
  </si>
  <si>
    <t>926:11</t>
  </si>
  <si>
    <t>568:56</t>
  </si>
  <si>
    <t>654:02</t>
  </si>
  <si>
    <t>77:47</t>
  </si>
  <si>
    <t>541:33</t>
  </si>
  <si>
    <t>133:37</t>
  </si>
  <si>
    <t>946:06</t>
  </si>
  <si>
    <t>311:20</t>
  </si>
  <si>
    <t>723:54</t>
  </si>
  <si>
    <t>225:18</t>
  </si>
  <si>
    <t>459:53</t>
  </si>
  <si>
    <t>782:22</t>
  </si>
  <si>
    <t>276:33</t>
  </si>
  <si>
    <t>568:52</t>
  </si>
  <si>
    <t>391:00</t>
  </si>
  <si>
    <t>234:18</t>
  </si>
  <si>
    <t>284:17</t>
  </si>
  <si>
    <t>410:59</t>
  </si>
  <si>
    <t>631:14</t>
  </si>
  <si>
    <t>887:49</t>
  </si>
  <si>
    <t>787:51</t>
  </si>
  <si>
    <t>754:53</t>
  </si>
  <si>
    <t>624:31</t>
  </si>
  <si>
    <t>112:13</t>
  </si>
  <si>
    <t>743:20</t>
  </si>
  <si>
    <t>599:30</t>
  </si>
  <si>
    <t>338:07</t>
  </si>
  <si>
    <t>184:47</t>
  </si>
  <si>
    <t>794:30</t>
  </si>
  <si>
    <t>810:58</t>
  </si>
  <si>
    <t>888:22</t>
  </si>
  <si>
    <t>792:45</t>
  </si>
  <si>
    <t>767:51</t>
  </si>
  <si>
    <t>441:23</t>
  </si>
  <si>
    <t>736:04</t>
  </si>
  <si>
    <t>914:04</t>
  </si>
  <si>
    <t>900:03</t>
  </si>
  <si>
    <t>316:58</t>
  </si>
  <si>
    <t>356:42</t>
  </si>
  <si>
    <t>561:57</t>
  </si>
  <si>
    <t>898:51</t>
  </si>
  <si>
    <t>592:18</t>
  </si>
  <si>
    <t>641:03</t>
  </si>
  <si>
    <t>821:42</t>
  </si>
  <si>
    <t>910:46</t>
  </si>
  <si>
    <t>678:33</t>
  </si>
  <si>
    <t>778:26</t>
  </si>
  <si>
    <t>370:13</t>
  </si>
  <si>
    <t>905:08</t>
  </si>
  <si>
    <t>788:20</t>
  </si>
  <si>
    <t>288:20</t>
  </si>
  <si>
    <t>862:41</t>
  </si>
  <si>
    <t>750:02</t>
  </si>
  <si>
    <t>893:02</t>
  </si>
  <si>
    <t>644:26</t>
  </si>
  <si>
    <t>321:05</t>
  </si>
  <si>
    <t>680:43</t>
  </si>
  <si>
    <t>946:15</t>
  </si>
  <si>
    <t>534:15</t>
  </si>
  <si>
    <t>915:54</t>
  </si>
  <si>
    <t>859:29</t>
  </si>
  <si>
    <t>567:04</t>
  </si>
  <si>
    <t>662:27</t>
  </si>
  <si>
    <t>444:19</t>
  </si>
  <si>
    <t>645:47</t>
  </si>
  <si>
    <t>341:15</t>
  </si>
  <si>
    <t>585:28</t>
  </si>
  <si>
    <t>842:25</t>
  </si>
  <si>
    <t>803:10</t>
  </si>
  <si>
    <t>652:52</t>
  </si>
  <si>
    <t>787:49</t>
  </si>
  <si>
    <t>101:01</t>
  </si>
  <si>
    <t>393:58</t>
  </si>
  <si>
    <t>460:41</t>
  </si>
  <si>
    <t>850:37</t>
  </si>
  <si>
    <t>375:21</t>
  </si>
  <si>
    <t>914:44</t>
  </si>
  <si>
    <t>719:14</t>
  </si>
  <si>
    <t>26:05</t>
  </si>
  <si>
    <t>778:25</t>
  </si>
  <si>
    <t>499:43</t>
  </si>
  <si>
    <t>645:01</t>
  </si>
  <si>
    <t>614:32</t>
  </si>
  <si>
    <t>854:11</t>
  </si>
  <si>
    <t>762:57</t>
  </si>
  <si>
    <t>295:57</t>
  </si>
  <si>
    <t>51:56</t>
  </si>
  <si>
    <t>825:19</t>
  </si>
  <si>
    <t>312:31</t>
  </si>
  <si>
    <t>357:51</t>
  </si>
  <si>
    <t>193:05</t>
  </si>
  <si>
    <t>754:52</t>
  </si>
  <si>
    <t>861:37</t>
  </si>
  <si>
    <t>696:20</t>
  </si>
  <si>
    <t>400:50</t>
  </si>
  <si>
    <t>164:30</t>
  </si>
  <si>
    <t>716:36</t>
  </si>
  <si>
    <t>538:46</t>
  </si>
  <si>
    <t>146:33</t>
  </si>
  <si>
    <t>671:23</t>
  </si>
  <si>
    <t>898:55</t>
  </si>
  <si>
    <t>636:39</t>
  </si>
  <si>
    <t>945:01</t>
  </si>
  <si>
    <t>815:31</t>
  </si>
  <si>
    <t>671:42</t>
  </si>
  <si>
    <t>PEÑALVA ZUÑIGA, BRYAN FABRICIO</t>
  </si>
  <si>
    <t>2428802</t>
  </si>
  <si>
    <t>2297515</t>
  </si>
  <si>
    <t>1767889</t>
  </si>
  <si>
    <t>1327246</t>
  </si>
  <si>
    <t>ARI LIMACHE, ERIKA ALEJANDRA</t>
  </si>
  <si>
    <t>FISCAL ADJUNTO PROVINCIAL DESDE 23/12/2020</t>
  </si>
  <si>
    <t>FISCAL ADJUNTO PROVINCIAL DESDE 29/12/2020</t>
  </si>
  <si>
    <t>FISCAL ADJUNTO PROVINCIAL DESDE 18/02/2021</t>
  </si>
  <si>
    <t>OBSERVACIONES</t>
  </si>
  <si>
    <t>PERIODO DE CUARENTENA
2020</t>
  </si>
  <si>
    <t>ALVAREZ URRUTIA, RUTH</t>
  </si>
  <si>
    <t>CONDORI MAQUE, LEYNIE ROSSI LUZ</t>
  </si>
  <si>
    <t>CORDOVA QUENTA, JAQUELINE</t>
  </si>
  <si>
    <t>CORREA PEREYRA, RUBI YADIRA</t>
  </si>
  <si>
    <t>FERNANDEZ ALCCAHUAMAN M</t>
  </si>
  <si>
    <t>FUENTES HAÑARI, ELMER CEFERINO</t>
  </si>
  <si>
    <t>GARCIA CARLOS, LUCERITO MIRELLA</t>
  </si>
  <si>
    <t>HUAMAN NOVA, OSCAR WALTER GUILLERMO</t>
  </si>
  <si>
    <t>HUAYTA QUISPE MARITZA R</t>
  </si>
  <si>
    <t>QUINO FALCÓN PIERINA ALINA</t>
  </si>
  <si>
    <t>ROMERO BUENO, PERCY ISMAEL</t>
  </si>
  <si>
    <t>SALAS FLORES EDDER YAFE</t>
  </si>
  <si>
    <t>SALAS PEREZ KATIA ROCIO</t>
  </si>
  <si>
    <t>URETA BARREDA FELIPE RO</t>
  </si>
  <si>
    <t>ZUÑIGA GOMEZ BETTY SHIR</t>
  </si>
  <si>
    <t>BELLIDO CHIPANA, MARTHA CORALI</t>
  </si>
  <si>
    <t>BARREDA CENTTY DE HASE</t>
  </si>
  <si>
    <t>TOTAL DE HORAS NO LABORADOS AL 31.12.2021</t>
  </si>
  <si>
    <t>46400591</t>
  </si>
  <si>
    <t>GAMA DEL CARPIO, YESSENIA LUCERO</t>
  </si>
  <si>
    <t>74347270</t>
  </si>
  <si>
    <t>NEYRA MORALES, JERSSON LUIS</t>
  </si>
  <si>
    <t>OROSCO CASTILLO, CHAVELY</t>
  </si>
  <si>
    <t>QUISPE CHURATA, JOSELYN</t>
  </si>
  <si>
    <t>71787667</t>
  </si>
  <si>
    <t xml:space="preserve">RODRIGUEZ ROQUE, PIERINA JOSELYN </t>
  </si>
  <si>
    <t>SONCCO CHAMBI, MARIBEL</t>
  </si>
  <si>
    <t>VALDIVIA PALOMINO MARIA FERNANDA</t>
  </si>
  <si>
    <t>ARACCA PACARA, NOEMI ROCIO</t>
  </si>
  <si>
    <t>HUALLPA LEYVA ROCIO FABIOLA</t>
  </si>
  <si>
    <t>PACORI CAYO, MAGALI</t>
  </si>
  <si>
    <t>TITO GUTIERREZ, MARIA ALEXANDRA</t>
  </si>
  <si>
    <t>41451860</t>
  </si>
  <si>
    <t>SUAREZ YUPANQUI, FLOR DE MARIA</t>
  </si>
  <si>
    <t>ALVAREZ CONDORI, FELIX MAXIMO</t>
  </si>
  <si>
    <t>JEFE DE AREA</t>
  </si>
  <si>
    <t>BARREDA MAYHUA, JESUS MANUEL</t>
  </si>
  <si>
    <t>MARTINEZ APAZA, FLORSKA REBECA</t>
  </si>
  <si>
    <t>SUSANIBAR ROSAS, RONNY REINEIRO</t>
  </si>
  <si>
    <t>FISCAL ADJUNTO PROVINCIAL DESDE 21/05/2021</t>
  </si>
  <si>
    <t>CARDENAS CARDENAS, LUIS ANGEL GREGORY</t>
  </si>
  <si>
    <t>CHECA TACO, BERTIN ANTONIO</t>
  </si>
  <si>
    <t>CHUCUYA BEJAR, EFRAIN GONZALO</t>
  </si>
  <si>
    <t>GALVEZ CACERES, CESAR VLADIMIR</t>
  </si>
  <si>
    <t>MELO SARCCO, ROLANDO</t>
  </si>
  <si>
    <t>OTAZÚ HEREDIA, MAXIMO FLORENCIO</t>
  </si>
  <si>
    <t>PINTO DIAZ, ZEZE CESAR</t>
  </si>
  <si>
    <t>QUISPE MAMANI, PAMELA CRISTINA</t>
  </si>
  <si>
    <t>SALAZAR FRANCO, KESNER KEITH</t>
  </si>
  <si>
    <t>VALDIVIA VIZCARRA, PAOLA LISETTE</t>
  </si>
  <si>
    <t>ALVARADO YUCRA, MILAGROS CHASKA</t>
  </si>
  <si>
    <t>ARTEAGA QUISPE, ADDERLY</t>
  </si>
  <si>
    <t>FLORES AMAMBAL, LUIS CARLOS</t>
  </si>
  <si>
    <t>LUQUE JUAREZ, BIRGINT BETSY</t>
  </si>
  <si>
    <t>02436193</t>
  </si>
  <si>
    <t>MAYTA CCAMA, CRISTINA</t>
  </si>
  <si>
    <t>ASISTENTE ADMINISTRATIVO (NOTIFICADOR)</t>
  </si>
  <si>
    <t>MEDINA PACHECO, ALIUSKA MARY</t>
  </si>
  <si>
    <t>MENDOZA USQUIZA, MARIA LILIANA</t>
  </si>
  <si>
    <t>PAIRA DAMIAN, JEAN ANTHONY</t>
  </si>
  <si>
    <t>43299585</t>
  </si>
  <si>
    <t>FLORES HUACAN, MARILIN YENNIFER</t>
  </si>
  <si>
    <t>GIL FUENTES, MANUEL ALEJANDRO</t>
  </si>
  <si>
    <t>ASIS.ADM.</t>
  </si>
  <si>
    <t>MORENO ARIAS RENNIER ALVARO</t>
  </si>
  <si>
    <t xml:space="preserve">GERENTE </t>
  </si>
  <si>
    <t>ROJAS EQUIAPAZA, BETTY ROSAURA</t>
  </si>
  <si>
    <t>VALDIVIA GUERRA, MARIAGRACIA MILAGROS</t>
  </si>
  <si>
    <t>CACERES MAMANI, LILIA ANGELA</t>
  </si>
  <si>
    <t>41668466</t>
  </si>
  <si>
    <t>PUMA PUMA, ELIZABETH</t>
  </si>
  <si>
    <t>41310803</t>
  </si>
  <si>
    <t>ROSAS CORIHUAMAN, HARRY LINSON</t>
  </si>
  <si>
    <t>72895953</t>
  </si>
  <si>
    <t>CHAVEZ FLORES, ALBERTO MARTIN</t>
  </si>
  <si>
    <t>41465621</t>
  </si>
  <si>
    <t xml:space="preserve">GAMERO MALDONADO, JOHAN ERICK </t>
  </si>
  <si>
    <t>PALMADERA ITURRIZAGA, MARIA ELENA AGUSTINA</t>
  </si>
  <si>
    <t>44944113</t>
  </si>
  <si>
    <t>QUISPE MACHICADO, GERBER</t>
  </si>
  <si>
    <t>45239563</t>
  </si>
  <si>
    <t>QUISPE VILCAPAZA, ANTHONY WILBER</t>
  </si>
  <si>
    <t>ULLOA TORRES, JULIO JONATHAN</t>
  </si>
  <si>
    <t>URQUIZO VIZCARRA, MARIO FABRICIO</t>
  </si>
  <si>
    <t>75838314</t>
  </si>
  <si>
    <t>VALDERA PISCOYA, JOSE TADEO</t>
  </si>
  <si>
    <t>IDROGO DIAZ, PILAR DEL ROCIO</t>
  </si>
  <si>
    <t>AUXILIAR ADMINISTRATIVO</t>
  </si>
  <si>
    <t>CARDENAS RODRIGUEZ, SUSANA MARGORIE</t>
  </si>
  <si>
    <t>48466678</t>
  </si>
  <si>
    <t>CONDORI DE LA CRUZ, JUAN EULOGIO MANOLO</t>
  </si>
  <si>
    <t>LEON DIAZ, EDWIN EDER</t>
  </si>
  <si>
    <t>QUISPE LARICO, JULIO CESAR</t>
  </si>
  <si>
    <t>ESPECIAL. ADM.</t>
  </si>
  <si>
    <t>SALAS ESTRADA, EDWAR</t>
  </si>
  <si>
    <t>09864801</t>
  </si>
  <si>
    <t>74042280</t>
  </si>
  <si>
    <t xml:space="preserve">VILLEGAS RODRIGUEZ ANDREA ELENA </t>
  </si>
  <si>
    <t>41323593</t>
  </si>
  <si>
    <t>73252101</t>
  </si>
  <si>
    <t>42844204</t>
  </si>
  <si>
    <t>72578141</t>
  </si>
  <si>
    <t>46081982</t>
  </si>
  <si>
    <t>70915812</t>
  </si>
  <si>
    <t>74140110</t>
  </si>
  <si>
    <t>70059859</t>
  </si>
  <si>
    <t>72302739</t>
  </si>
  <si>
    <t>72638242</t>
  </si>
  <si>
    <t>47667708</t>
  </si>
  <si>
    <t>74285165</t>
  </si>
  <si>
    <t>72191453</t>
  </si>
  <si>
    <t>48582912</t>
  </si>
  <si>
    <t>29210290</t>
  </si>
  <si>
    <t>29709217</t>
  </si>
  <si>
    <t>29644003</t>
  </si>
  <si>
    <t>29618628</t>
  </si>
  <si>
    <t>76950807</t>
  </si>
  <si>
    <t>42033303</t>
  </si>
  <si>
    <t>45026632</t>
  </si>
  <si>
    <t>44892064</t>
  </si>
  <si>
    <t>42816742</t>
  </si>
  <si>
    <t>41313742</t>
  </si>
  <si>
    <t>72892602</t>
  </si>
  <si>
    <t>72942147</t>
  </si>
  <si>
    <t>45464404</t>
  </si>
  <si>
    <t>46370614</t>
  </si>
  <si>
    <t>43225084</t>
  </si>
  <si>
    <t>70581956</t>
  </si>
  <si>
    <t>47944723</t>
  </si>
  <si>
    <t>10870143</t>
  </si>
  <si>
    <t>72966033</t>
  </si>
  <si>
    <t>71063433</t>
  </si>
  <si>
    <t>44107225</t>
  </si>
  <si>
    <t>46241752</t>
  </si>
  <si>
    <t>70496319</t>
  </si>
  <si>
    <t>40642403</t>
  </si>
  <si>
    <t>46373087</t>
  </si>
  <si>
    <t>42911959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</si>
  <si>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</si>
  <si>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</si>
  <si>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</si>
  <si>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</si>
  <si>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</si>
  <si>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</si>
  <si>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</si>
  <si>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</si>
  <si>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</si>
  <si>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</si>
  <si>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</si>
  <si>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</si>
  <si>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LCGH SUJETO A COMPENSACIÓN - 2021</t>
  </si>
  <si>
    <t>HORAS DE TRABAJO NO LABORADAS AL 31-12-2021</t>
  </si>
  <si>
    <t>HORAS DE TRABAJO NO LABORADAS AL 31-12-2021 PERSONAL INACTIVO</t>
  </si>
  <si>
    <t>MINUTOS</t>
  </si>
  <si>
    <t>REMUNERACION</t>
  </si>
  <si>
    <t>MONTO X MINUTO</t>
  </si>
  <si>
    <t>TOTAL X HRS NO TRABAJADAS</t>
  </si>
</sst>
</file>

<file path=xl/styles.xml><?xml version="1.0" encoding="utf-8"?>
<styleSheet xmlns="http://schemas.openxmlformats.org/spreadsheetml/2006/main">
  <numFmts count="1">
    <numFmt numFmtId="164" formatCode="[h]:mm"/>
  </numFmts>
  <fonts count="3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rgb="FFFFFFFF"/>
      </patternFill>
    </fill>
    <fill>
      <patternFill patternType="solid">
        <fgColor rgb="FFBF9000"/>
        <bgColor rgb="FFFFFFFF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22" fillId="2" borderId="1" applyNumberFormat="0" applyFont="0" applyAlignment="0" applyProtection="0"/>
    <xf numFmtId="0" fontId="18" fillId="0" borderId="0"/>
    <xf numFmtId="0" fontId="26" fillId="0" borderId="0"/>
  </cellStyleXfs>
  <cellXfs count="132">
    <xf numFmtId="0" fontId="0" fillId="0" borderId="0" xfId="0"/>
    <xf numFmtId="0" fontId="18" fillId="0" borderId="0" xfId="2"/>
    <xf numFmtId="0" fontId="18" fillId="0" borderId="0" xfId="2" applyAlignment="1">
      <alignment horizontal="center"/>
    </xf>
    <xf numFmtId="0" fontId="17" fillId="0" borderId="0" xfId="2" applyFont="1"/>
    <xf numFmtId="0" fontId="25" fillId="0" borderId="0" xfId="0" applyFont="1"/>
    <xf numFmtId="0" fontId="21" fillId="6" borderId="0" xfId="2" applyFont="1" applyFill="1" applyAlignment="1">
      <alignment horizontal="center" vertical="center"/>
    </xf>
    <xf numFmtId="0" fontId="18" fillId="0" borderId="0" xfId="2" applyFill="1"/>
    <xf numFmtId="0" fontId="19" fillId="5" borderId="4" xfId="1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4" fontId="18" fillId="0" borderId="5" xfId="2" applyNumberFormat="1" applyBorder="1" applyAlignment="1">
      <alignment horizontal="center"/>
    </xf>
    <xf numFmtId="164" fontId="10" fillId="0" borderId="5" xfId="2" applyNumberFormat="1" applyFont="1" applyFill="1" applyBorder="1" applyAlignment="1">
      <alignment horizontal="center"/>
    </xf>
    <xf numFmtId="164" fontId="9" fillId="0" borderId="5" xfId="2" applyNumberFormat="1" applyFont="1" applyBorder="1" applyAlignment="1">
      <alignment horizontal="center"/>
    </xf>
    <xf numFmtId="164" fontId="8" fillId="0" borderId="5" xfId="2" applyNumberFormat="1" applyFont="1" applyBorder="1" applyAlignment="1">
      <alignment horizontal="center"/>
    </xf>
    <xf numFmtId="164" fontId="18" fillId="0" borderId="0" xfId="2" applyNumberFormat="1" applyFill="1" applyAlignment="1">
      <alignment horizontal="center"/>
    </xf>
    <xf numFmtId="164" fontId="18" fillId="7" borderId="0" xfId="2" applyNumberFormat="1" applyFill="1"/>
    <xf numFmtId="164" fontId="18" fillId="0" borderId="0" xfId="2" applyNumberFormat="1" applyFill="1"/>
    <xf numFmtId="49" fontId="23" fillId="4" borderId="4" xfId="0" applyNumberFormat="1" applyFont="1" applyFill="1" applyBorder="1" applyAlignment="1">
      <alignment vertical="center"/>
    </xf>
    <xf numFmtId="0" fontId="23" fillId="4" borderId="4" xfId="2" applyFont="1" applyFill="1" applyBorder="1" applyAlignment="1">
      <alignment vertical="center" wrapText="1"/>
    </xf>
    <xf numFmtId="0" fontId="23" fillId="4" borderId="4" xfId="2" applyFont="1" applyFill="1" applyBorder="1" applyAlignment="1">
      <alignment horizontal="center" vertical="center" wrapText="1"/>
    </xf>
    <xf numFmtId="164" fontId="19" fillId="5" borderId="4" xfId="1" applyNumberFormat="1" applyFont="1" applyFill="1" applyBorder="1" applyAlignment="1">
      <alignment horizontal="center" vertical="center" wrapText="1"/>
    </xf>
    <xf numFmtId="49" fontId="17" fillId="0" borderId="5" xfId="2" applyNumberFormat="1" applyFont="1" applyFill="1" applyBorder="1"/>
    <xf numFmtId="0" fontId="17" fillId="0" borderId="5" xfId="2" applyFont="1" applyFill="1" applyBorder="1"/>
    <xf numFmtId="0" fontId="24" fillId="0" borderId="5" xfId="2" applyFont="1" applyFill="1" applyBorder="1"/>
    <xf numFmtId="0" fontId="24" fillId="0" borderId="5" xfId="2" applyFont="1" applyFill="1" applyBorder="1" applyAlignment="1">
      <alignment horizontal="center"/>
    </xf>
    <xf numFmtId="0" fontId="24" fillId="0" borderId="5" xfId="2" applyFont="1" applyFill="1" applyBorder="1" applyAlignment="1">
      <alignment horizontal="center" wrapText="1"/>
    </xf>
    <xf numFmtId="14" fontId="24" fillId="0" borderId="5" xfId="2" applyNumberFormat="1" applyFont="1" applyFill="1" applyBorder="1" applyAlignment="1">
      <alignment wrapText="1"/>
    </xf>
    <xf numFmtId="164" fontId="18" fillId="0" borderId="5" xfId="2" applyNumberFormat="1" applyFill="1" applyBorder="1" applyAlignment="1">
      <alignment horizontal="center"/>
    </xf>
    <xf numFmtId="164" fontId="18" fillId="0" borderId="5" xfId="2" applyNumberFormat="1" applyFill="1" applyBorder="1"/>
    <xf numFmtId="164" fontId="18" fillId="0" borderId="5" xfId="2" applyNumberFormat="1" applyBorder="1"/>
    <xf numFmtId="164" fontId="18" fillId="7" borderId="5" xfId="2" applyNumberFormat="1" applyFill="1" applyBorder="1"/>
    <xf numFmtId="0" fontId="13" fillId="0" borderId="5" xfId="2" applyFont="1" applyFill="1" applyBorder="1"/>
    <xf numFmtId="164" fontId="9" fillId="0" borderId="5" xfId="2" applyNumberFormat="1" applyFont="1" applyFill="1" applyBorder="1" applyAlignment="1">
      <alignment horizontal="center"/>
    </xf>
    <xf numFmtId="0" fontId="18" fillId="0" borderId="5" xfId="2" applyFill="1" applyBorder="1"/>
    <xf numFmtId="0" fontId="11" fillId="0" borderId="5" xfId="2" applyFont="1" applyFill="1" applyBorder="1"/>
    <xf numFmtId="49" fontId="24" fillId="0" borderId="5" xfId="2" applyNumberFormat="1" applyFont="1" applyFill="1" applyBorder="1" applyAlignment="1">
      <alignment wrapText="1"/>
    </xf>
    <xf numFmtId="164" fontId="8" fillId="0" borderId="5" xfId="2" applyNumberFormat="1" applyFont="1" applyFill="1" applyBorder="1"/>
    <xf numFmtId="0" fontId="12" fillId="0" borderId="5" xfId="2" applyFont="1" applyFill="1" applyBorder="1"/>
    <xf numFmtId="0" fontId="15" fillId="0" borderId="5" xfId="2" applyFont="1" applyFill="1" applyBorder="1"/>
    <xf numFmtId="0" fontId="20" fillId="0" borderId="5" xfId="2" applyFont="1" applyFill="1" applyBorder="1"/>
    <xf numFmtId="49" fontId="0" fillId="0" borderId="5" xfId="0" applyNumberFormat="1" applyFill="1" applyBorder="1"/>
    <xf numFmtId="49" fontId="9" fillId="0" borderId="5" xfId="2" applyNumberFormat="1" applyFont="1" applyFill="1" applyBorder="1"/>
    <xf numFmtId="164" fontId="8" fillId="0" borderId="5" xfId="2" applyNumberFormat="1" applyFont="1" applyFill="1" applyBorder="1" applyAlignment="1">
      <alignment horizontal="center"/>
    </xf>
    <xf numFmtId="164" fontId="6" fillId="0" borderId="5" xfId="2" applyNumberFormat="1" applyFont="1" applyFill="1" applyBorder="1" applyAlignment="1">
      <alignment horizontal="center"/>
    </xf>
    <xf numFmtId="164" fontId="8" fillId="0" borderId="5" xfId="2" applyNumberFormat="1" applyFont="1" applyBorder="1"/>
    <xf numFmtId="0" fontId="14" fillId="0" borderId="5" xfId="2" applyFont="1" applyFill="1" applyBorder="1"/>
    <xf numFmtId="1" fontId="17" fillId="0" borderId="5" xfId="2" applyNumberFormat="1" applyFont="1" applyFill="1" applyBorder="1"/>
    <xf numFmtId="164" fontId="11" fillId="0" borderId="5" xfId="2" applyNumberFormat="1" applyFont="1" applyFill="1" applyBorder="1" applyAlignment="1">
      <alignment horizontal="center"/>
    </xf>
    <xf numFmtId="164" fontId="6" fillId="0" borderId="5" xfId="2" applyNumberFormat="1" applyFont="1" applyBorder="1" applyAlignment="1">
      <alignment horizontal="center"/>
    </xf>
    <xf numFmtId="0" fontId="6" fillId="0" borderId="5" xfId="2" applyFont="1" applyFill="1" applyBorder="1"/>
    <xf numFmtId="49" fontId="5" fillId="0" borderId="5" xfId="2" applyNumberFormat="1" applyFont="1" applyFill="1" applyBorder="1"/>
    <xf numFmtId="0" fontId="5" fillId="0" borderId="5" xfId="2" applyFont="1" applyFill="1" applyBorder="1"/>
    <xf numFmtId="49" fontId="0" fillId="0" borderId="5" xfId="0" applyNumberFormat="1" applyBorder="1"/>
    <xf numFmtId="0" fontId="0" fillId="0" borderId="5" xfId="0" applyBorder="1"/>
    <xf numFmtId="0" fontId="24" fillId="3" borderId="5" xfId="2" applyFont="1" applyFill="1" applyBorder="1"/>
    <xf numFmtId="0" fontId="24" fillId="0" borderId="5" xfId="2" applyFont="1" applyBorder="1" applyAlignment="1">
      <alignment horizontal="center"/>
    </xf>
    <xf numFmtId="0" fontId="24" fillId="0" borderId="5" xfId="2" applyFont="1" applyBorder="1" applyAlignment="1">
      <alignment horizontal="center" wrapText="1"/>
    </xf>
    <xf numFmtId="49" fontId="24" fillId="0" borderId="5" xfId="2" applyNumberFormat="1" applyFont="1" applyBorder="1" applyAlignment="1">
      <alignment wrapText="1"/>
    </xf>
    <xf numFmtId="0" fontId="24" fillId="0" borderId="5" xfId="2" applyFont="1" applyBorder="1"/>
    <xf numFmtId="49" fontId="17" fillId="0" borderId="5" xfId="2" applyNumberFormat="1" applyFont="1" applyBorder="1"/>
    <xf numFmtId="0" fontId="17" fillId="0" borderId="5" xfId="2" applyFont="1" applyBorder="1"/>
    <xf numFmtId="14" fontId="13" fillId="0" borderId="5" xfId="2" applyNumberFormat="1" applyFont="1" applyFill="1" applyBorder="1"/>
    <xf numFmtId="0" fontId="16" fillId="0" borderId="5" xfId="2" applyFont="1" applyFill="1" applyBorder="1"/>
    <xf numFmtId="0" fontId="7" fillId="0" borderId="5" xfId="2" applyFont="1" applyFill="1" applyBorder="1"/>
    <xf numFmtId="0" fontId="7" fillId="0" borderId="5" xfId="2" applyFont="1" applyBorder="1"/>
    <xf numFmtId="0" fontId="6" fillId="0" borderId="5" xfId="2" applyFont="1" applyBorder="1"/>
    <xf numFmtId="164" fontId="0" fillId="0" borderId="5" xfId="0" applyNumberFormat="1" applyBorder="1"/>
    <xf numFmtId="14" fontId="17" fillId="0" borderId="5" xfId="2" applyNumberFormat="1" applyFont="1" applyFill="1" applyBorder="1"/>
    <xf numFmtId="14" fontId="18" fillId="0" borderId="5" xfId="2" applyNumberFormat="1" applyFill="1" applyBorder="1"/>
    <xf numFmtId="0" fontId="4" fillId="0" borderId="5" xfId="2" applyFont="1" applyFill="1" applyBorder="1"/>
    <xf numFmtId="0" fontId="18" fillId="0" borderId="5" xfId="2" applyBorder="1"/>
    <xf numFmtId="0" fontId="25" fillId="0" borderId="5" xfId="0" applyFont="1" applyBorder="1"/>
    <xf numFmtId="0" fontId="3" fillId="0" borderId="5" xfId="2" applyFont="1" applyFill="1" applyBorder="1"/>
    <xf numFmtId="0" fontId="18" fillId="0" borderId="0" xfId="2" applyAlignment="1">
      <alignment wrapText="1"/>
    </xf>
    <xf numFmtId="14" fontId="18" fillId="0" borderId="0" xfId="2" applyNumberFormat="1"/>
    <xf numFmtId="49" fontId="17" fillId="8" borderId="5" xfId="2" applyNumberFormat="1" applyFont="1" applyFill="1" applyBorder="1"/>
    <xf numFmtId="0" fontId="2" fillId="0" borderId="5" xfId="2" applyFont="1" applyFill="1" applyBorder="1"/>
    <xf numFmtId="49" fontId="24" fillId="8" borderId="5" xfId="2" applyNumberFormat="1" applyFont="1" applyFill="1" applyBorder="1" applyAlignment="1">
      <alignment wrapText="1"/>
    </xf>
    <xf numFmtId="0" fontId="1" fillId="0" borderId="0" xfId="2" applyFont="1"/>
    <xf numFmtId="49" fontId="1" fillId="0" borderId="0" xfId="2" applyNumberFormat="1" applyFont="1"/>
    <xf numFmtId="49" fontId="18" fillId="0" borderId="5" xfId="2" applyNumberFormat="1" applyFill="1" applyBorder="1"/>
    <xf numFmtId="49" fontId="18" fillId="8" borderId="0" xfId="2" applyNumberFormat="1" applyFill="1"/>
    <xf numFmtId="49" fontId="18" fillId="0" borderId="0" xfId="2" applyNumberFormat="1"/>
    <xf numFmtId="164" fontId="0" fillId="6" borderId="5" xfId="0" applyNumberFormat="1" applyFill="1" applyBorder="1" applyAlignment="1">
      <alignment horizontal="right"/>
    </xf>
    <xf numFmtId="164" fontId="18" fillId="6" borderId="5" xfId="2" applyNumberFormat="1" applyFill="1" applyBorder="1" applyAlignment="1">
      <alignment horizontal="right"/>
    </xf>
    <xf numFmtId="164" fontId="18" fillId="9" borderId="5" xfId="2" applyNumberFormat="1" applyFill="1" applyBorder="1" applyAlignment="1">
      <alignment horizontal="center" wrapText="1"/>
    </xf>
    <xf numFmtId="164" fontId="18" fillId="0" borderId="5" xfId="2" applyNumberFormat="1" applyFill="1" applyBorder="1" applyAlignment="1">
      <alignment horizontal="right"/>
    </xf>
    <xf numFmtId="46" fontId="18" fillId="0" borderId="0" xfId="2" applyNumberFormat="1" applyFill="1"/>
    <xf numFmtId="0" fontId="18" fillId="0" borderId="0" xfId="2" applyAlignment="1">
      <alignment horizontal="right" wrapText="1"/>
    </xf>
    <xf numFmtId="20" fontId="0" fillId="0" borderId="5" xfId="0" applyNumberFormat="1" applyBorder="1"/>
    <xf numFmtId="14" fontId="18" fillId="0" borderId="5" xfId="2" applyNumberFormat="1" applyBorder="1"/>
    <xf numFmtId="14" fontId="0" fillId="0" borderId="5" xfId="0" applyNumberFormat="1" applyBorder="1"/>
    <xf numFmtId="49" fontId="18" fillId="8" borderId="5" xfId="2" applyNumberFormat="1" applyFill="1" applyBorder="1"/>
    <xf numFmtId="0" fontId="18" fillId="0" borderId="5" xfId="2" applyBorder="1" applyAlignment="1">
      <alignment wrapText="1"/>
    </xf>
    <xf numFmtId="0" fontId="0" fillId="0" borderId="5" xfId="0" applyFill="1" applyBorder="1"/>
    <xf numFmtId="49" fontId="1" fillId="0" borderId="5" xfId="2" applyNumberFormat="1" applyFont="1" applyBorder="1"/>
    <xf numFmtId="0" fontId="1" fillId="0" borderId="5" xfId="2" applyFont="1" applyBorder="1"/>
    <xf numFmtId="49" fontId="0" fillId="0" borderId="8" xfId="0" applyNumberFormat="1" applyBorder="1"/>
    <xf numFmtId="0" fontId="0" fillId="0" borderId="8" xfId="0" applyBorder="1"/>
    <xf numFmtId="0" fontId="24" fillId="3" borderId="8" xfId="2" applyFont="1" applyFill="1" applyBorder="1"/>
    <xf numFmtId="0" fontId="24" fillId="0" borderId="8" xfId="2" applyFont="1" applyBorder="1" applyAlignment="1">
      <alignment horizontal="center"/>
    </xf>
    <xf numFmtId="0" fontId="24" fillId="0" borderId="8" xfId="2" applyFont="1" applyBorder="1" applyAlignment="1">
      <alignment horizontal="center" wrapText="1"/>
    </xf>
    <xf numFmtId="14" fontId="24" fillId="0" borderId="8" xfId="2" applyNumberFormat="1" applyFont="1" applyFill="1" applyBorder="1" applyAlignment="1">
      <alignment wrapText="1"/>
    </xf>
    <xf numFmtId="14" fontId="17" fillId="0" borderId="8" xfId="2" applyNumberFormat="1" applyFont="1" applyFill="1" applyBorder="1"/>
    <xf numFmtId="164" fontId="0" fillId="0" borderId="8" xfId="0" applyNumberFormat="1" applyBorder="1" applyAlignment="1">
      <alignment horizontal="center"/>
    </xf>
    <xf numFmtId="164" fontId="0" fillId="6" borderId="8" xfId="0" applyNumberFormat="1" applyFill="1" applyBorder="1" applyAlignment="1">
      <alignment horizontal="right"/>
    </xf>
    <xf numFmtId="20" fontId="0" fillId="0" borderId="8" xfId="0" applyNumberFormat="1" applyBorder="1"/>
    <xf numFmtId="49" fontId="23" fillId="4" borderId="7" xfId="0" applyNumberFormat="1" applyFont="1" applyFill="1" applyBorder="1" applyAlignment="1">
      <alignment vertical="center"/>
    </xf>
    <xf numFmtId="0" fontId="23" fillId="4" borderId="7" xfId="2" applyFont="1" applyFill="1" applyBorder="1" applyAlignment="1">
      <alignment vertical="center" wrapText="1"/>
    </xf>
    <xf numFmtId="0" fontId="23" fillId="4" borderId="7" xfId="2" applyFont="1" applyFill="1" applyBorder="1" applyAlignment="1">
      <alignment horizontal="center" vertical="center" wrapText="1"/>
    </xf>
    <xf numFmtId="0" fontId="21" fillId="4" borderId="7" xfId="2" applyFont="1" applyFill="1" applyBorder="1" applyAlignment="1">
      <alignment horizontal="center" vertical="center"/>
    </xf>
    <xf numFmtId="0" fontId="19" fillId="5" borderId="7" xfId="1" applyFont="1" applyFill="1" applyBorder="1" applyAlignment="1">
      <alignment horizontal="center" vertical="center" wrapText="1"/>
    </xf>
    <xf numFmtId="0" fontId="21" fillId="6" borderId="7" xfId="2" applyFont="1" applyFill="1" applyBorder="1" applyAlignment="1">
      <alignment horizontal="center" vertical="center"/>
    </xf>
    <xf numFmtId="164" fontId="18" fillId="9" borderId="7" xfId="2" applyNumberFormat="1" applyFill="1" applyBorder="1" applyAlignment="1">
      <alignment horizontal="center" wrapText="1"/>
    </xf>
    <xf numFmtId="164" fontId="18" fillId="10" borderId="5" xfId="2" applyNumberFormat="1" applyFill="1" applyBorder="1" applyAlignment="1">
      <alignment horizontal="right"/>
    </xf>
    <xf numFmtId="164" fontId="27" fillId="0" borderId="0" xfId="2" applyNumberFormat="1" applyFont="1" applyFill="1" applyAlignment="1">
      <alignment horizontal="center"/>
    </xf>
    <xf numFmtId="0" fontId="27" fillId="0" borderId="0" xfId="2" applyFont="1" applyFill="1"/>
    <xf numFmtId="0" fontId="27" fillId="0" borderId="0" xfId="2" applyFont="1" applyAlignment="1">
      <alignment horizontal="right" wrapText="1"/>
    </xf>
    <xf numFmtId="0" fontId="27" fillId="0" borderId="0" xfId="2" applyFont="1" applyAlignment="1">
      <alignment wrapText="1"/>
    </xf>
    <xf numFmtId="0" fontId="27" fillId="0" borderId="0" xfId="2" applyFont="1"/>
    <xf numFmtId="0" fontId="27" fillId="0" borderId="0" xfId="2" applyFont="1" applyAlignment="1">
      <alignment horizontal="center"/>
    </xf>
    <xf numFmtId="49" fontId="27" fillId="0" borderId="0" xfId="2" applyNumberFormat="1" applyFont="1" applyFill="1" applyAlignment="1">
      <alignment horizontal="center"/>
    </xf>
    <xf numFmtId="0" fontId="27" fillId="0" borderId="0" xfId="2" applyFont="1" applyFill="1" applyAlignment="1">
      <alignment horizontal="right"/>
    </xf>
    <xf numFmtId="0" fontId="28" fillId="0" borderId="5" xfId="2" applyFont="1" applyFill="1" applyBorder="1"/>
    <xf numFmtId="0" fontId="23" fillId="0" borderId="2" xfId="2" applyFont="1" applyFill="1" applyBorder="1" applyAlignment="1">
      <alignment horizontal="center" vertical="center" wrapText="1"/>
    </xf>
    <xf numFmtId="0" fontId="23" fillId="0" borderId="3" xfId="2" applyFont="1" applyFill="1" applyBorder="1" applyAlignment="1">
      <alignment horizontal="center" vertical="center" wrapText="1"/>
    </xf>
    <xf numFmtId="0" fontId="23" fillId="0" borderId="6" xfId="2" applyFont="1" applyFill="1" applyBorder="1" applyAlignment="1">
      <alignment horizontal="center" vertical="center" wrapText="1"/>
    </xf>
    <xf numFmtId="0" fontId="23" fillId="0" borderId="0" xfId="2" applyFont="1" applyFill="1" applyBorder="1" applyAlignment="1">
      <alignment horizontal="center" vertical="center" wrapText="1"/>
    </xf>
    <xf numFmtId="0" fontId="29" fillId="11" borderId="9" xfId="0" applyFont="1" applyFill="1" applyBorder="1" applyAlignment="1">
      <alignment horizontal="center" vertical="center" wrapText="1"/>
    </xf>
    <xf numFmtId="164" fontId="30" fillId="12" borderId="10" xfId="0" applyNumberFormat="1" applyFont="1" applyFill="1" applyBorder="1" applyAlignment="1">
      <alignment horizontal="center" wrapText="1"/>
    </xf>
    <xf numFmtId="164" fontId="0" fillId="10" borderId="8" xfId="0" applyNumberFormat="1" applyFill="1" applyBorder="1"/>
    <xf numFmtId="164" fontId="0" fillId="10" borderId="5" xfId="0" applyNumberFormat="1" applyFill="1" applyBorder="1"/>
  </cellXfs>
  <cellStyles count="4">
    <cellStyle name="Normal" xfId="0" builtinId="0"/>
    <cellStyle name="Normal 2" xfId="3"/>
    <cellStyle name="Normal 3" xfId="2"/>
    <cellStyle name="Notas" xfId="1" builtinId="1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08"/>
  <sheetViews>
    <sheetView topLeftCell="D1" zoomScale="80" zoomScaleNormal="80" workbookViewId="0">
      <selection activeCell="N8" sqref="N8"/>
    </sheetView>
  </sheetViews>
  <sheetFormatPr baseColWidth="10" defaultRowHeight="15"/>
  <cols>
    <col min="1" max="1" width="10.42578125" style="1" customWidth="1"/>
    <col min="2" max="2" width="44.28515625" style="1" customWidth="1"/>
    <col min="3" max="3" width="16.42578125" style="1" customWidth="1"/>
    <col min="4" max="4" width="10.140625" style="2" customWidth="1"/>
    <col min="5" max="5" width="8.85546875" style="2" customWidth="1"/>
    <col min="6" max="6" width="12.85546875" style="1" customWidth="1"/>
    <col min="7" max="7" width="19.140625" style="14" customWidth="1"/>
    <col min="8" max="12" width="13" style="6" customWidth="1"/>
    <col min="13" max="13" width="17.140625" style="88" customWidth="1"/>
    <col min="14" max="14" width="17.5703125" style="73" customWidth="1"/>
    <col min="15" max="18" width="17.5703125" style="1" customWidth="1"/>
    <col min="19" max="16384" width="11.42578125" style="1"/>
  </cols>
  <sheetData>
    <row r="1" spans="1:18" ht="33" customHeight="1">
      <c r="A1" s="124" t="s">
        <v>1203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8">
      <c r="A2" s="3"/>
    </row>
    <row r="3" spans="1:18">
      <c r="A3" s="3"/>
    </row>
    <row r="4" spans="1:18" ht="60">
      <c r="A4" s="17" t="s">
        <v>0</v>
      </c>
      <c r="B4" s="18" t="s">
        <v>1</v>
      </c>
      <c r="C4" s="18" t="s">
        <v>2</v>
      </c>
      <c r="D4" s="19" t="s">
        <v>3</v>
      </c>
      <c r="E4" s="19" t="s">
        <v>4</v>
      </c>
      <c r="F4" s="19" t="s">
        <v>5</v>
      </c>
      <c r="G4" s="20" t="s">
        <v>1051</v>
      </c>
      <c r="H4" s="7" t="s">
        <v>7</v>
      </c>
      <c r="I4" s="7" t="s">
        <v>8</v>
      </c>
      <c r="J4" s="7" t="s">
        <v>9</v>
      </c>
      <c r="K4" s="7" t="s">
        <v>10</v>
      </c>
      <c r="L4" s="5" t="s">
        <v>713</v>
      </c>
      <c r="M4" s="7" t="s">
        <v>1202</v>
      </c>
      <c r="N4" s="85" t="s">
        <v>1069</v>
      </c>
      <c r="O4" s="128" t="s">
        <v>1205</v>
      </c>
      <c r="P4" s="128" t="s">
        <v>1206</v>
      </c>
      <c r="Q4" s="128" t="s">
        <v>1207</v>
      </c>
      <c r="R4" s="129" t="s">
        <v>1208</v>
      </c>
    </row>
    <row r="5" spans="1:18">
      <c r="A5" s="21" t="s">
        <v>11</v>
      </c>
      <c r="B5" s="123" t="s">
        <v>12</v>
      </c>
      <c r="C5" s="23" t="s">
        <v>13</v>
      </c>
      <c r="D5" s="24">
        <v>276</v>
      </c>
      <c r="E5" s="25" t="s">
        <v>14</v>
      </c>
      <c r="F5" s="26">
        <v>31769</v>
      </c>
      <c r="G5" s="27">
        <v>38.333333333333336</v>
      </c>
      <c r="H5" s="28">
        <v>7.333333333333333</v>
      </c>
      <c r="I5" s="28">
        <v>7</v>
      </c>
      <c r="J5" s="29">
        <v>7</v>
      </c>
      <c r="K5" s="29">
        <v>7</v>
      </c>
      <c r="L5" s="30">
        <v>66.666666666666671</v>
      </c>
      <c r="M5" s="86">
        <v>55</v>
      </c>
      <c r="N5" s="114">
        <f>L5+M5</f>
        <v>121.66666666666667</v>
      </c>
    </row>
    <row r="6" spans="1:18">
      <c r="A6" s="21" t="s">
        <v>15</v>
      </c>
      <c r="B6" s="123" t="s">
        <v>16</v>
      </c>
      <c r="C6" s="23" t="s">
        <v>17</v>
      </c>
      <c r="D6" s="24">
        <v>276</v>
      </c>
      <c r="E6" s="25" t="s">
        <v>14</v>
      </c>
      <c r="F6" s="26">
        <v>41913</v>
      </c>
      <c r="G6" s="27" t="s">
        <v>827</v>
      </c>
      <c r="H6" s="28">
        <v>5.6979166666666661</v>
      </c>
      <c r="I6" s="28">
        <v>5.84375</v>
      </c>
      <c r="J6" s="29">
        <v>7</v>
      </c>
      <c r="K6" s="29">
        <v>7</v>
      </c>
      <c r="L6" s="15">
        <v>55.301388888888887</v>
      </c>
      <c r="M6" s="86">
        <v>55</v>
      </c>
      <c r="N6" s="114">
        <f t="shared" ref="N6:N69" si="0">L6+M6</f>
        <v>110.30138888888888</v>
      </c>
    </row>
    <row r="7" spans="1:18">
      <c r="A7" s="21" t="s">
        <v>483</v>
      </c>
      <c r="B7" s="22" t="s">
        <v>484</v>
      </c>
      <c r="C7" s="23" t="s">
        <v>51</v>
      </c>
      <c r="D7" s="24">
        <v>1057</v>
      </c>
      <c r="E7" s="25" t="s">
        <v>14</v>
      </c>
      <c r="F7" s="26">
        <v>42187</v>
      </c>
      <c r="G7" s="27" t="s">
        <v>828</v>
      </c>
      <c r="H7" s="28">
        <v>4.166666666666667</v>
      </c>
      <c r="I7" s="28">
        <v>1.0034722222222232</v>
      </c>
      <c r="J7" s="29">
        <v>1.8576388888888875</v>
      </c>
      <c r="K7" s="29">
        <v>2.5965277777777773</v>
      </c>
      <c r="L7" s="15">
        <v>45.113194444444446</v>
      </c>
      <c r="M7" s="86">
        <v>0</v>
      </c>
      <c r="N7" s="114">
        <f t="shared" si="0"/>
        <v>45.113194444444446</v>
      </c>
    </row>
    <row r="8" spans="1:18">
      <c r="A8" s="75" t="s">
        <v>27</v>
      </c>
      <c r="B8" s="22" t="s">
        <v>28</v>
      </c>
      <c r="C8" s="22" t="s">
        <v>51</v>
      </c>
      <c r="D8" s="24">
        <v>728</v>
      </c>
      <c r="E8" s="25" t="s">
        <v>14</v>
      </c>
      <c r="F8" s="26">
        <v>44285</v>
      </c>
      <c r="G8" s="27" t="s">
        <v>829</v>
      </c>
      <c r="H8" s="28">
        <v>1.844444444444445</v>
      </c>
      <c r="I8" s="28">
        <v>0</v>
      </c>
      <c r="J8" s="29">
        <v>3.5395833333333333</v>
      </c>
      <c r="K8" s="29">
        <v>0</v>
      </c>
      <c r="L8" s="15">
        <v>12.367361111111112</v>
      </c>
      <c r="M8" s="86">
        <v>0</v>
      </c>
      <c r="N8" s="114">
        <f t="shared" si="0"/>
        <v>12.367361111111112</v>
      </c>
    </row>
    <row r="9" spans="1:18">
      <c r="A9" s="21" t="s">
        <v>781</v>
      </c>
      <c r="B9" s="31" t="s">
        <v>782</v>
      </c>
      <c r="C9" s="23" t="s">
        <v>51</v>
      </c>
      <c r="D9" s="24">
        <v>1057</v>
      </c>
      <c r="E9" s="25" t="s">
        <v>14</v>
      </c>
      <c r="F9" s="26">
        <v>44181</v>
      </c>
      <c r="G9" s="11" t="s">
        <v>39</v>
      </c>
      <c r="H9" s="32" t="s">
        <v>39</v>
      </c>
      <c r="I9" s="32" t="s">
        <v>39</v>
      </c>
      <c r="J9" s="12" t="s">
        <v>39</v>
      </c>
      <c r="K9" s="29">
        <v>0</v>
      </c>
      <c r="L9" s="15">
        <v>0</v>
      </c>
      <c r="M9" s="86">
        <v>0</v>
      </c>
      <c r="N9" s="114">
        <f t="shared" si="0"/>
        <v>0</v>
      </c>
    </row>
    <row r="10" spans="1:18">
      <c r="A10" s="21" t="s">
        <v>18</v>
      </c>
      <c r="B10" s="22" t="s">
        <v>19</v>
      </c>
      <c r="C10" s="23" t="s">
        <v>13</v>
      </c>
      <c r="D10" s="24">
        <v>276</v>
      </c>
      <c r="E10" s="25" t="s">
        <v>14</v>
      </c>
      <c r="F10" s="26">
        <v>31603</v>
      </c>
      <c r="G10" s="27" t="s">
        <v>830</v>
      </c>
      <c r="H10" s="28">
        <v>4.166666666666667</v>
      </c>
      <c r="I10" s="28">
        <v>0</v>
      </c>
      <c r="J10" s="29">
        <v>0</v>
      </c>
      <c r="K10" s="29">
        <v>0</v>
      </c>
      <c r="L10" s="15">
        <v>40.772222222222219</v>
      </c>
      <c r="M10" s="86">
        <v>0</v>
      </c>
      <c r="N10" s="114">
        <f t="shared" si="0"/>
        <v>40.772222222222219</v>
      </c>
    </row>
    <row r="11" spans="1:18">
      <c r="A11" s="21" t="s">
        <v>30</v>
      </c>
      <c r="B11" s="22" t="s">
        <v>31</v>
      </c>
      <c r="C11" s="22" t="s">
        <v>51</v>
      </c>
      <c r="D11" s="24">
        <v>728</v>
      </c>
      <c r="E11" s="25" t="s">
        <v>14</v>
      </c>
      <c r="F11" s="26">
        <v>40099</v>
      </c>
      <c r="G11" s="27" t="s">
        <v>831</v>
      </c>
      <c r="H11" s="28">
        <v>4.166666666666667</v>
      </c>
      <c r="I11" s="28">
        <v>0</v>
      </c>
      <c r="J11" s="29">
        <v>0</v>
      </c>
      <c r="K11" s="29">
        <v>0</v>
      </c>
      <c r="L11" s="15">
        <v>30.580555555555556</v>
      </c>
      <c r="M11" s="86">
        <v>0</v>
      </c>
      <c r="N11" s="114">
        <f t="shared" si="0"/>
        <v>30.580555555555556</v>
      </c>
    </row>
    <row r="12" spans="1:18">
      <c r="A12" s="21" t="s">
        <v>32</v>
      </c>
      <c r="B12" s="22" t="s">
        <v>33</v>
      </c>
      <c r="C12" s="22" t="s">
        <v>34</v>
      </c>
      <c r="D12" s="24">
        <v>728</v>
      </c>
      <c r="E12" s="25" t="s">
        <v>14</v>
      </c>
      <c r="F12" s="26">
        <v>42864</v>
      </c>
      <c r="G12" s="27">
        <v>0</v>
      </c>
      <c r="H12" s="28">
        <v>2.4701388888888891</v>
      </c>
      <c r="I12" s="28">
        <v>2.5798611111111107</v>
      </c>
      <c r="J12" s="29">
        <v>3.8506944444444446</v>
      </c>
      <c r="K12" s="29">
        <v>0.56944444444444464</v>
      </c>
      <c r="L12" s="15">
        <v>9.47013888888889</v>
      </c>
      <c r="M12" s="86">
        <v>0</v>
      </c>
      <c r="N12" s="114">
        <f t="shared" si="0"/>
        <v>9.47013888888889</v>
      </c>
    </row>
    <row r="13" spans="1:18">
      <c r="A13" s="21" t="s">
        <v>485</v>
      </c>
      <c r="B13" s="31" t="s">
        <v>486</v>
      </c>
      <c r="C13" s="23" t="s">
        <v>34</v>
      </c>
      <c r="D13" s="24">
        <v>1057</v>
      </c>
      <c r="E13" s="25" t="s">
        <v>14</v>
      </c>
      <c r="F13" s="26">
        <v>44181</v>
      </c>
      <c r="G13" s="27" t="s">
        <v>832</v>
      </c>
      <c r="H13" s="28">
        <v>0</v>
      </c>
      <c r="I13" s="28">
        <v>2.4395833333333332</v>
      </c>
      <c r="J13" s="29">
        <v>1.5118055555555561</v>
      </c>
      <c r="K13" s="29">
        <v>0</v>
      </c>
      <c r="L13" s="15">
        <v>36.362499999999997</v>
      </c>
      <c r="M13" s="86">
        <v>0</v>
      </c>
      <c r="N13" s="114">
        <f t="shared" si="0"/>
        <v>36.362499999999997</v>
      </c>
    </row>
    <row r="14" spans="1:18">
      <c r="A14" s="21" t="s">
        <v>35</v>
      </c>
      <c r="B14" s="22" t="s">
        <v>36</v>
      </c>
      <c r="C14" s="22" t="s">
        <v>34</v>
      </c>
      <c r="D14" s="24">
        <v>728</v>
      </c>
      <c r="E14" s="25" t="s">
        <v>14</v>
      </c>
      <c r="F14" s="26">
        <v>40136</v>
      </c>
      <c r="G14" s="27" t="s">
        <v>833</v>
      </c>
      <c r="H14" s="28">
        <v>2.0604166666666668</v>
      </c>
      <c r="I14" s="28">
        <v>0</v>
      </c>
      <c r="J14" s="29">
        <v>3.8729166666666668</v>
      </c>
      <c r="K14" s="29">
        <v>0.21458333333333268</v>
      </c>
      <c r="L14" s="15">
        <v>20.963194444444444</v>
      </c>
      <c r="M14" s="86">
        <v>0</v>
      </c>
      <c r="N14" s="114">
        <f t="shared" si="0"/>
        <v>20.963194444444444</v>
      </c>
    </row>
    <row r="15" spans="1:18">
      <c r="A15" s="21" t="s">
        <v>487</v>
      </c>
      <c r="B15" s="22" t="s">
        <v>488</v>
      </c>
      <c r="C15" s="23" t="s">
        <v>51</v>
      </c>
      <c r="D15" s="24">
        <v>1057</v>
      </c>
      <c r="E15" s="25" t="s">
        <v>14</v>
      </c>
      <c r="F15" s="26">
        <v>43138</v>
      </c>
      <c r="G15" s="27" t="s">
        <v>834</v>
      </c>
      <c r="H15" s="28">
        <v>0</v>
      </c>
      <c r="I15" s="28">
        <v>0</v>
      </c>
      <c r="J15" s="29">
        <v>0</v>
      </c>
      <c r="K15" s="29">
        <v>0</v>
      </c>
      <c r="L15" s="15">
        <v>19.115972222222222</v>
      </c>
      <c r="M15" s="86">
        <v>0</v>
      </c>
      <c r="N15" s="114">
        <f t="shared" si="0"/>
        <v>19.115972222222222</v>
      </c>
    </row>
    <row r="16" spans="1:18" s="6" customFormat="1">
      <c r="A16" s="33" t="s">
        <v>815</v>
      </c>
      <c r="B16" s="34" t="s">
        <v>41</v>
      </c>
      <c r="C16" s="22" t="s">
        <v>51</v>
      </c>
      <c r="D16" s="24">
        <v>728</v>
      </c>
      <c r="E16" s="25" t="s">
        <v>14</v>
      </c>
      <c r="F16" s="26">
        <v>43570</v>
      </c>
      <c r="G16" s="27" t="s">
        <v>835</v>
      </c>
      <c r="H16" s="28">
        <v>4.166666666666667</v>
      </c>
      <c r="I16" s="28">
        <v>0</v>
      </c>
      <c r="J16" s="29">
        <v>0</v>
      </c>
      <c r="K16" s="29">
        <v>0</v>
      </c>
      <c r="L16" s="15">
        <v>40.4375</v>
      </c>
      <c r="M16" s="86">
        <v>0</v>
      </c>
      <c r="N16" s="114">
        <f t="shared" si="0"/>
        <v>40.4375</v>
      </c>
    </row>
    <row r="17" spans="1:14" s="6" customFormat="1">
      <c r="A17" s="33" t="s">
        <v>816</v>
      </c>
      <c r="B17" s="22" t="s">
        <v>43</v>
      </c>
      <c r="C17" s="22" t="s">
        <v>34</v>
      </c>
      <c r="D17" s="24">
        <v>728</v>
      </c>
      <c r="E17" s="25" t="s">
        <v>14</v>
      </c>
      <c r="F17" s="26">
        <v>42159</v>
      </c>
      <c r="G17" s="27">
        <v>29.166666666666668</v>
      </c>
      <c r="H17" s="28">
        <v>1.6666666666666667</v>
      </c>
      <c r="I17" s="28">
        <v>0</v>
      </c>
      <c r="J17" s="29">
        <v>0</v>
      </c>
      <c r="K17" s="29">
        <v>0</v>
      </c>
      <c r="L17" s="15">
        <v>30.833333333333336</v>
      </c>
      <c r="M17" s="86">
        <v>0</v>
      </c>
      <c r="N17" s="114">
        <f t="shared" si="0"/>
        <v>30.833333333333336</v>
      </c>
    </row>
    <row r="18" spans="1:14" s="6" customFormat="1">
      <c r="A18" s="21" t="s">
        <v>489</v>
      </c>
      <c r="B18" s="22" t="s">
        <v>490</v>
      </c>
      <c r="C18" s="23" t="s">
        <v>34</v>
      </c>
      <c r="D18" s="24">
        <v>1057</v>
      </c>
      <c r="E18" s="25" t="s">
        <v>14</v>
      </c>
      <c r="F18" s="26">
        <v>43759</v>
      </c>
      <c r="G18" s="27" t="s">
        <v>836</v>
      </c>
      <c r="H18" s="28">
        <v>0.89166666666666572</v>
      </c>
      <c r="I18" s="28">
        <v>1.2777777777777777</v>
      </c>
      <c r="J18" s="29">
        <v>0</v>
      </c>
      <c r="K18" s="29">
        <v>0</v>
      </c>
      <c r="L18" s="15">
        <v>9.1798611111111104</v>
      </c>
      <c r="M18" s="86">
        <v>0</v>
      </c>
      <c r="N18" s="114">
        <f t="shared" si="0"/>
        <v>9.1798611111111104</v>
      </c>
    </row>
    <row r="19" spans="1:14" s="6" customFormat="1">
      <c r="A19" s="21" t="s">
        <v>491</v>
      </c>
      <c r="B19" s="22" t="s">
        <v>492</v>
      </c>
      <c r="C19" s="23" t="s">
        <v>34</v>
      </c>
      <c r="D19" s="24">
        <v>1057</v>
      </c>
      <c r="E19" s="25" t="s">
        <v>14</v>
      </c>
      <c r="F19" s="26">
        <v>43794</v>
      </c>
      <c r="G19" s="27">
        <v>33.333333333333336</v>
      </c>
      <c r="H19" s="28">
        <v>0</v>
      </c>
      <c r="I19" s="28">
        <v>0</v>
      </c>
      <c r="J19" s="29">
        <v>0</v>
      </c>
      <c r="K19" s="29">
        <v>0</v>
      </c>
      <c r="L19" s="15">
        <v>33.333333333333336</v>
      </c>
      <c r="M19" s="86">
        <v>0</v>
      </c>
      <c r="N19" s="114">
        <f t="shared" si="0"/>
        <v>33.333333333333336</v>
      </c>
    </row>
    <row r="20" spans="1:14" s="6" customFormat="1">
      <c r="A20" s="35" t="s">
        <v>817</v>
      </c>
      <c r="B20" s="22" t="s">
        <v>45</v>
      </c>
      <c r="C20" s="22" t="s">
        <v>34</v>
      </c>
      <c r="D20" s="24">
        <v>728</v>
      </c>
      <c r="E20" s="25" t="s">
        <v>14</v>
      </c>
      <c r="F20" s="26">
        <v>43641</v>
      </c>
      <c r="G20" s="27" t="s">
        <v>837</v>
      </c>
      <c r="H20" s="28">
        <v>0</v>
      </c>
      <c r="I20" s="28">
        <v>0</v>
      </c>
      <c r="J20" s="29">
        <v>1.5777777777777784</v>
      </c>
      <c r="K20" s="29">
        <v>0</v>
      </c>
      <c r="L20" s="15">
        <v>27.102777777777781</v>
      </c>
      <c r="M20" s="86">
        <v>0</v>
      </c>
      <c r="N20" s="114">
        <f t="shared" si="0"/>
        <v>27.102777777777781</v>
      </c>
    </row>
    <row r="21" spans="1:14">
      <c r="A21" s="21" t="s">
        <v>493</v>
      </c>
      <c r="B21" s="22" t="s">
        <v>494</v>
      </c>
      <c r="C21" s="23" t="s">
        <v>34</v>
      </c>
      <c r="D21" s="24">
        <v>1057</v>
      </c>
      <c r="E21" s="25" t="s">
        <v>14</v>
      </c>
      <c r="F21" s="26">
        <v>43794</v>
      </c>
      <c r="G21" s="27">
        <v>38.333333333333336</v>
      </c>
      <c r="H21" s="28">
        <v>0</v>
      </c>
      <c r="I21" s="28">
        <v>0</v>
      </c>
      <c r="J21" s="29">
        <v>0</v>
      </c>
      <c r="K21" s="29">
        <v>0</v>
      </c>
      <c r="L21" s="15">
        <v>38.333333333333336</v>
      </c>
      <c r="M21" s="86">
        <v>0</v>
      </c>
      <c r="N21" s="114">
        <f t="shared" si="0"/>
        <v>38.333333333333336</v>
      </c>
    </row>
    <row r="22" spans="1:14">
      <c r="A22" s="21" t="s">
        <v>772</v>
      </c>
      <c r="B22" s="31" t="s">
        <v>773</v>
      </c>
      <c r="C22" s="23" t="s">
        <v>34</v>
      </c>
      <c r="D22" s="24">
        <v>1057</v>
      </c>
      <c r="E22" s="25" t="s">
        <v>14</v>
      </c>
      <c r="F22" s="26">
        <v>44181</v>
      </c>
      <c r="G22" s="11" t="s">
        <v>39</v>
      </c>
      <c r="H22" s="32" t="s">
        <v>39</v>
      </c>
      <c r="I22" s="32" t="s">
        <v>39</v>
      </c>
      <c r="J22" s="12" t="s">
        <v>39</v>
      </c>
      <c r="K22" s="29">
        <v>0</v>
      </c>
      <c r="L22" s="15">
        <v>0</v>
      </c>
      <c r="M22" s="86">
        <v>0</v>
      </c>
      <c r="N22" s="114">
        <f t="shared" si="0"/>
        <v>0</v>
      </c>
    </row>
    <row r="23" spans="1:14">
      <c r="A23" s="75" t="s">
        <v>715</v>
      </c>
      <c r="B23" s="76" t="s">
        <v>1080</v>
      </c>
      <c r="C23" s="23" t="s">
        <v>34</v>
      </c>
      <c r="D23" s="24">
        <v>728</v>
      </c>
      <c r="E23" s="25" t="s">
        <v>14</v>
      </c>
      <c r="F23" s="26">
        <v>44237</v>
      </c>
      <c r="G23" s="11" t="s">
        <v>39</v>
      </c>
      <c r="H23" s="28">
        <v>0</v>
      </c>
      <c r="I23" s="28">
        <v>0</v>
      </c>
      <c r="J23" s="29">
        <v>0</v>
      </c>
      <c r="K23" s="48" t="s">
        <v>39</v>
      </c>
      <c r="L23" s="30">
        <f>SUM(G23:K23)</f>
        <v>0</v>
      </c>
      <c r="M23" s="86">
        <v>0</v>
      </c>
      <c r="N23" s="114">
        <f t="shared" si="0"/>
        <v>0</v>
      </c>
    </row>
    <row r="24" spans="1:14" s="6" customFormat="1">
      <c r="A24" s="35" t="s">
        <v>818</v>
      </c>
      <c r="B24" s="34" t="s">
        <v>47</v>
      </c>
      <c r="C24" s="22" t="s">
        <v>34</v>
      </c>
      <c r="D24" s="24">
        <v>728</v>
      </c>
      <c r="E24" s="25" t="s">
        <v>14</v>
      </c>
      <c r="F24" s="26">
        <v>42619</v>
      </c>
      <c r="G24" s="27" t="s">
        <v>838</v>
      </c>
      <c r="H24" s="28">
        <v>1.5513888888888872</v>
      </c>
      <c r="I24" s="28">
        <v>1.2854166666666673</v>
      </c>
      <c r="J24" s="29">
        <v>0</v>
      </c>
      <c r="K24" s="29">
        <v>0.11805555555555713</v>
      </c>
      <c r="L24" s="15">
        <v>31.456944444444442</v>
      </c>
      <c r="M24" s="86">
        <v>0</v>
      </c>
      <c r="N24" s="114">
        <f t="shared" si="0"/>
        <v>31.456944444444442</v>
      </c>
    </row>
    <row r="25" spans="1:14" s="6" customFormat="1">
      <c r="A25" s="35" t="s">
        <v>819</v>
      </c>
      <c r="B25" s="22" t="s">
        <v>49</v>
      </c>
      <c r="C25" s="22" t="s">
        <v>51</v>
      </c>
      <c r="D25" s="24">
        <v>728</v>
      </c>
      <c r="E25" s="25" t="s">
        <v>14</v>
      </c>
      <c r="F25" s="26">
        <v>40063</v>
      </c>
      <c r="G25" s="27" t="s">
        <v>839</v>
      </c>
      <c r="H25" s="28">
        <v>3.9999999999999996</v>
      </c>
      <c r="I25" s="28">
        <v>0</v>
      </c>
      <c r="J25" s="29">
        <v>0</v>
      </c>
      <c r="K25" s="29">
        <v>0</v>
      </c>
      <c r="L25" s="15">
        <v>37.486805555555556</v>
      </c>
      <c r="M25" s="86">
        <v>0</v>
      </c>
      <c r="N25" s="114">
        <f t="shared" si="0"/>
        <v>37.486805555555556</v>
      </c>
    </row>
    <row r="26" spans="1:14" s="6" customFormat="1">
      <c r="A26" s="35" t="s">
        <v>820</v>
      </c>
      <c r="B26" s="22" t="s">
        <v>50</v>
      </c>
      <c r="C26" s="22" t="s">
        <v>51</v>
      </c>
      <c r="D26" s="24">
        <v>728</v>
      </c>
      <c r="E26" s="25" t="s">
        <v>14</v>
      </c>
      <c r="F26" s="26">
        <v>38908</v>
      </c>
      <c r="G26" s="27" t="s">
        <v>840</v>
      </c>
      <c r="H26" s="28">
        <v>1.6472222222222221</v>
      </c>
      <c r="I26" s="28">
        <v>2.5819444444444439</v>
      </c>
      <c r="J26" s="29">
        <v>1.5736111111111111</v>
      </c>
      <c r="K26" s="29">
        <v>3.2229166666666669</v>
      </c>
      <c r="L26" s="15">
        <v>44.732638888888886</v>
      </c>
      <c r="M26" s="86">
        <v>0</v>
      </c>
      <c r="N26" s="114">
        <f t="shared" si="0"/>
        <v>44.732638888888886</v>
      </c>
    </row>
    <row r="27" spans="1:14" s="6" customFormat="1">
      <c r="A27" s="35" t="s">
        <v>821</v>
      </c>
      <c r="B27" s="22" t="s">
        <v>54</v>
      </c>
      <c r="C27" s="23" t="s">
        <v>34</v>
      </c>
      <c r="D27" s="24">
        <v>728</v>
      </c>
      <c r="E27" s="25" t="s">
        <v>14</v>
      </c>
      <c r="F27" s="26">
        <v>37061</v>
      </c>
      <c r="G27" s="27" t="s">
        <v>841</v>
      </c>
      <c r="H27" s="28">
        <v>7.333333333333333</v>
      </c>
      <c r="I27" s="28">
        <v>2.0000000000000009</v>
      </c>
      <c r="J27" s="29">
        <v>3.3333333333333335</v>
      </c>
      <c r="K27" s="29">
        <v>3.3333333333333335</v>
      </c>
      <c r="L27" s="15">
        <v>40.951388888888886</v>
      </c>
      <c r="M27" s="86">
        <v>0</v>
      </c>
      <c r="N27" s="114">
        <f t="shared" si="0"/>
        <v>40.951388888888886</v>
      </c>
    </row>
    <row r="28" spans="1:14" s="6" customFormat="1">
      <c r="A28" s="35" t="s">
        <v>822</v>
      </c>
      <c r="B28" s="22" t="s">
        <v>56</v>
      </c>
      <c r="C28" s="23" t="s">
        <v>37</v>
      </c>
      <c r="D28" s="24">
        <v>728</v>
      </c>
      <c r="E28" s="25" t="s">
        <v>14</v>
      </c>
      <c r="F28" s="26">
        <v>39722</v>
      </c>
      <c r="G28" s="27" t="s">
        <v>842</v>
      </c>
      <c r="H28" s="28">
        <v>3.2201388888888891</v>
      </c>
      <c r="I28" s="28">
        <v>0</v>
      </c>
      <c r="J28" s="29">
        <v>0</v>
      </c>
      <c r="K28" s="29">
        <v>0</v>
      </c>
      <c r="L28" s="15">
        <v>40.15902777777778</v>
      </c>
      <c r="M28" s="86">
        <v>0</v>
      </c>
      <c r="N28" s="114">
        <f t="shared" si="0"/>
        <v>40.15902777777778</v>
      </c>
    </row>
    <row r="29" spans="1:14" s="6" customFormat="1">
      <c r="A29" s="35" t="s">
        <v>823</v>
      </c>
      <c r="B29" s="22" t="s">
        <v>57</v>
      </c>
      <c r="C29" s="23" t="s">
        <v>34</v>
      </c>
      <c r="D29" s="24">
        <v>728</v>
      </c>
      <c r="E29" s="25" t="s">
        <v>14</v>
      </c>
      <c r="F29" s="26">
        <v>40525</v>
      </c>
      <c r="G29" s="27">
        <v>38.333333333333336</v>
      </c>
      <c r="H29" s="28">
        <v>4.166666666666667</v>
      </c>
      <c r="I29" s="28">
        <v>0</v>
      </c>
      <c r="J29" s="29">
        <v>0</v>
      </c>
      <c r="K29" s="29">
        <v>0</v>
      </c>
      <c r="L29" s="15">
        <v>42.5</v>
      </c>
      <c r="M29" s="86">
        <v>0</v>
      </c>
      <c r="N29" s="114">
        <f t="shared" si="0"/>
        <v>42.5</v>
      </c>
    </row>
    <row r="30" spans="1:14" s="6" customFormat="1">
      <c r="A30" s="35" t="s">
        <v>824</v>
      </c>
      <c r="B30" s="22" t="s">
        <v>59</v>
      </c>
      <c r="C30" s="23" t="s">
        <v>60</v>
      </c>
      <c r="D30" s="24">
        <v>728</v>
      </c>
      <c r="E30" s="25" t="s">
        <v>14</v>
      </c>
      <c r="F30" s="26">
        <v>39813</v>
      </c>
      <c r="G30" s="27" t="s">
        <v>843</v>
      </c>
      <c r="H30" s="28">
        <v>4.7201388888888882</v>
      </c>
      <c r="I30" s="28">
        <v>0</v>
      </c>
      <c r="J30" s="29">
        <v>0</v>
      </c>
      <c r="K30" s="29">
        <v>0</v>
      </c>
      <c r="L30" s="15">
        <v>41.727083333333333</v>
      </c>
      <c r="M30" s="86">
        <v>0</v>
      </c>
      <c r="N30" s="114">
        <f t="shared" si="0"/>
        <v>41.727083333333333</v>
      </c>
    </row>
    <row r="31" spans="1:14">
      <c r="A31" s="21" t="s">
        <v>495</v>
      </c>
      <c r="B31" s="22" t="s">
        <v>496</v>
      </c>
      <c r="C31" s="23" t="s">
        <v>51</v>
      </c>
      <c r="D31" s="24">
        <v>1057</v>
      </c>
      <c r="E31" s="25" t="s">
        <v>14</v>
      </c>
      <c r="F31" s="26">
        <v>43784</v>
      </c>
      <c r="G31" s="27" t="s">
        <v>844</v>
      </c>
      <c r="H31" s="28">
        <v>0</v>
      </c>
      <c r="I31" s="28">
        <v>0</v>
      </c>
      <c r="J31" s="29">
        <v>0</v>
      </c>
      <c r="K31" s="29">
        <v>0</v>
      </c>
      <c r="L31" s="15">
        <v>29.734027777777779</v>
      </c>
      <c r="M31" s="86">
        <v>0</v>
      </c>
      <c r="N31" s="114">
        <f t="shared" si="0"/>
        <v>29.734027777777779</v>
      </c>
    </row>
    <row r="32" spans="1:14">
      <c r="A32" s="35" t="s">
        <v>40</v>
      </c>
      <c r="B32" s="23" t="s">
        <v>63</v>
      </c>
      <c r="C32" s="23" t="s">
        <v>34</v>
      </c>
      <c r="D32" s="24">
        <v>1057</v>
      </c>
      <c r="E32" s="25" t="s">
        <v>14</v>
      </c>
      <c r="F32" s="26">
        <v>44159</v>
      </c>
      <c r="G32" s="27">
        <v>0</v>
      </c>
      <c r="H32" s="36" t="s">
        <v>39</v>
      </c>
      <c r="I32" s="36" t="s">
        <v>39</v>
      </c>
      <c r="J32" s="29">
        <v>0</v>
      </c>
      <c r="K32" s="29">
        <v>0</v>
      </c>
      <c r="L32" s="15">
        <v>0</v>
      </c>
      <c r="M32" s="86">
        <v>0</v>
      </c>
      <c r="N32" s="114">
        <f t="shared" si="0"/>
        <v>0</v>
      </c>
    </row>
    <row r="33" spans="1:14">
      <c r="A33" s="21" t="s">
        <v>64</v>
      </c>
      <c r="B33" s="22" t="s">
        <v>65</v>
      </c>
      <c r="C33" s="23" t="s">
        <v>37</v>
      </c>
      <c r="D33" s="24">
        <v>728</v>
      </c>
      <c r="E33" s="25" t="s">
        <v>14</v>
      </c>
      <c r="F33" s="26">
        <v>39791</v>
      </c>
      <c r="G33" s="27">
        <v>38.333333333333336</v>
      </c>
      <c r="H33" s="28">
        <v>0</v>
      </c>
      <c r="I33" s="28">
        <v>0</v>
      </c>
      <c r="J33" s="29">
        <v>0</v>
      </c>
      <c r="K33" s="29">
        <v>0</v>
      </c>
      <c r="L33" s="15">
        <v>38.333333333333336</v>
      </c>
      <c r="M33" s="86">
        <v>0</v>
      </c>
      <c r="N33" s="114">
        <f t="shared" si="0"/>
        <v>38.333333333333336</v>
      </c>
    </row>
    <row r="34" spans="1:14">
      <c r="A34" s="21" t="s">
        <v>66</v>
      </c>
      <c r="B34" s="22" t="s">
        <v>67</v>
      </c>
      <c r="C34" s="23" t="s">
        <v>34</v>
      </c>
      <c r="D34" s="24">
        <v>728</v>
      </c>
      <c r="E34" s="25" t="s">
        <v>14</v>
      </c>
      <c r="F34" s="26">
        <v>43552</v>
      </c>
      <c r="G34" s="27">
        <v>7.291666666666667</v>
      </c>
      <c r="H34" s="28">
        <v>0</v>
      </c>
      <c r="I34" s="28">
        <v>0</v>
      </c>
      <c r="J34" s="29">
        <v>0</v>
      </c>
      <c r="K34" s="29">
        <v>0</v>
      </c>
      <c r="L34" s="15">
        <v>7.291666666666667</v>
      </c>
      <c r="M34" s="86">
        <v>0</v>
      </c>
      <c r="N34" s="114">
        <f t="shared" si="0"/>
        <v>7.291666666666667</v>
      </c>
    </row>
    <row r="35" spans="1:14">
      <c r="A35" s="21" t="s">
        <v>68</v>
      </c>
      <c r="B35" s="22" t="s">
        <v>69</v>
      </c>
      <c r="C35" s="23" t="s">
        <v>70</v>
      </c>
      <c r="D35" s="24">
        <v>728</v>
      </c>
      <c r="E35" s="25" t="s">
        <v>14</v>
      </c>
      <c r="F35" s="26">
        <v>39722</v>
      </c>
      <c r="G35" s="27">
        <v>0</v>
      </c>
      <c r="H35" s="28">
        <v>0</v>
      </c>
      <c r="I35" s="28">
        <v>0</v>
      </c>
      <c r="J35" s="29">
        <v>0</v>
      </c>
      <c r="K35" s="29">
        <v>0</v>
      </c>
      <c r="L35" s="15">
        <v>0</v>
      </c>
      <c r="M35" s="86">
        <v>0</v>
      </c>
      <c r="N35" s="114">
        <f t="shared" si="0"/>
        <v>0</v>
      </c>
    </row>
    <row r="36" spans="1:14">
      <c r="A36" s="21" t="s">
        <v>71</v>
      </c>
      <c r="B36" s="34" t="s">
        <v>72</v>
      </c>
      <c r="C36" s="23" t="s">
        <v>51</v>
      </c>
      <c r="D36" s="24">
        <v>728</v>
      </c>
      <c r="E36" s="25" t="s">
        <v>14</v>
      </c>
      <c r="F36" s="26">
        <v>37773</v>
      </c>
      <c r="G36" s="27">
        <v>5.333333333333333</v>
      </c>
      <c r="H36" s="28">
        <v>0</v>
      </c>
      <c r="I36" s="28">
        <v>0</v>
      </c>
      <c r="J36" s="29">
        <v>0</v>
      </c>
      <c r="K36" s="29">
        <v>0</v>
      </c>
      <c r="L36" s="15">
        <v>5.333333333333333</v>
      </c>
      <c r="M36" s="86">
        <v>0</v>
      </c>
      <c r="N36" s="114">
        <f t="shared" si="0"/>
        <v>5.333333333333333</v>
      </c>
    </row>
    <row r="37" spans="1:14">
      <c r="A37" s="21" t="s">
        <v>499</v>
      </c>
      <c r="B37" s="22" t="s">
        <v>500</v>
      </c>
      <c r="C37" s="23" t="s">
        <v>34</v>
      </c>
      <c r="D37" s="24">
        <v>1057</v>
      </c>
      <c r="E37" s="25" t="s">
        <v>14</v>
      </c>
      <c r="F37" s="26">
        <v>43362</v>
      </c>
      <c r="G37" s="27" t="s">
        <v>845</v>
      </c>
      <c r="H37" s="28">
        <v>7.333333333333333</v>
      </c>
      <c r="I37" s="28">
        <v>5</v>
      </c>
      <c r="J37" s="29">
        <v>4.166666666666667</v>
      </c>
      <c r="K37" s="29">
        <v>5</v>
      </c>
      <c r="L37" s="15">
        <v>39.084722222222226</v>
      </c>
      <c r="M37" s="86">
        <v>0</v>
      </c>
      <c r="N37" s="114">
        <f t="shared" si="0"/>
        <v>39.084722222222226</v>
      </c>
    </row>
    <row r="38" spans="1:14">
      <c r="A38" s="21" t="s">
        <v>74</v>
      </c>
      <c r="B38" s="22" t="s">
        <v>75</v>
      </c>
      <c r="C38" s="23" t="s">
        <v>34</v>
      </c>
      <c r="D38" s="24">
        <v>728</v>
      </c>
      <c r="E38" s="25" t="s">
        <v>14</v>
      </c>
      <c r="F38" s="26">
        <v>42864</v>
      </c>
      <c r="G38" s="27">
        <v>33</v>
      </c>
      <c r="H38" s="28">
        <v>4.166666666666667</v>
      </c>
      <c r="I38" s="28">
        <v>0</v>
      </c>
      <c r="J38" s="29">
        <v>0</v>
      </c>
      <c r="K38" s="29">
        <v>0</v>
      </c>
      <c r="L38" s="15">
        <v>37.166666666666664</v>
      </c>
      <c r="M38" s="86">
        <v>0</v>
      </c>
      <c r="N38" s="114">
        <f t="shared" si="0"/>
        <v>37.166666666666664</v>
      </c>
    </row>
    <row r="39" spans="1:14">
      <c r="A39" s="21" t="s">
        <v>76</v>
      </c>
      <c r="B39" s="37" t="s">
        <v>807</v>
      </c>
      <c r="C39" s="23" t="s">
        <v>77</v>
      </c>
      <c r="D39" s="24">
        <v>728</v>
      </c>
      <c r="E39" s="25" t="s">
        <v>14</v>
      </c>
      <c r="F39" s="26">
        <v>41913</v>
      </c>
      <c r="G39" s="27" t="s">
        <v>846</v>
      </c>
      <c r="H39" s="28">
        <v>0</v>
      </c>
      <c r="I39" s="28">
        <v>3.3333333333333335</v>
      </c>
      <c r="J39" s="29">
        <v>1.6666666666666667</v>
      </c>
      <c r="K39" s="29">
        <v>1.6666666666666667</v>
      </c>
      <c r="L39" s="15">
        <v>43.621527777777771</v>
      </c>
      <c r="M39" s="86">
        <v>0</v>
      </c>
      <c r="N39" s="114">
        <f t="shared" si="0"/>
        <v>43.621527777777771</v>
      </c>
    </row>
    <row r="40" spans="1:14">
      <c r="A40" s="21" t="s">
        <v>78</v>
      </c>
      <c r="B40" s="22" t="s">
        <v>79</v>
      </c>
      <c r="C40" s="23" t="s">
        <v>34</v>
      </c>
      <c r="D40" s="24">
        <v>728</v>
      </c>
      <c r="E40" s="25" t="s">
        <v>14</v>
      </c>
      <c r="F40" s="26">
        <v>39756</v>
      </c>
      <c r="G40" s="27" t="s">
        <v>847</v>
      </c>
      <c r="H40" s="28">
        <v>3.9999999999999996</v>
      </c>
      <c r="I40" s="28">
        <v>3.6666666666666665</v>
      </c>
      <c r="J40" s="29">
        <v>1.6666666666666667</v>
      </c>
      <c r="K40" s="29">
        <v>1.6666666666666667</v>
      </c>
      <c r="L40" s="15">
        <v>42.018055555555549</v>
      </c>
      <c r="M40" s="86">
        <v>0</v>
      </c>
      <c r="N40" s="114">
        <f t="shared" si="0"/>
        <v>42.018055555555549</v>
      </c>
    </row>
    <row r="41" spans="1:14">
      <c r="A41" s="21" t="s">
        <v>501</v>
      </c>
      <c r="B41" s="38" t="s">
        <v>502</v>
      </c>
      <c r="C41" s="23" t="s">
        <v>34</v>
      </c>
      <c r="D41" s="24">
        <v>1057</v>
      </c>
      <c r="E41" s="25" t="s">
        <v>14</v>
      </c>
      <c r="F41" s="26">
        <v>43794</v>
      </c>
      <c r="G41" s="27">
        <v>35.416666666666664</v>
      </c>
      <c r="H41" s="28">
        <v>7.333333333333333</v>
      </c>
      <c r="I41" s="28">
        <v>3.3333333333333335</v>
      </c>
      <c r="J41" s="29">
        <v>0</v>
      </c>
      <c r="K41" s="29">
        <v>0</v>
      </c>
      <c r="L41" s="15">
        <v>46.083333333333329</v>
      </c>
      <c r="M41" s="86">
        <v>0</v>
      </c>
      <c r="N41" s="114">
        <f t="shared" si="0"/>
        <v>46.083333333333329</v>
      </c>
    </row>
    <row r="42" spans="1:14">
      <c r="A42" s="21" t="s">
        <v>80</v>
      </c>
      <c r="B42" s="22" t="s">
        <v>81</v>
      </c>
      <c r="C42" s="23" t="s">
        <v>51</v>
      </c>
      <c r="D42" s="24">
        <v>728</v>
      </c>
      <c r="E42" s="25" t="s">
        <v>14</v>
      </c>
      <c r="F42" s="26">
        <v>39433</v>
      </c>
      <c r="G42" s="27" t="s">
        <v>848</v>
      </c>
      <c r="H42" s="28">
        <v>0</v>
      </c>
      <c r="I42" s="28">
        <v>0</v>
      </c>
      <c r="J42" s="29">
        <v>1.6666666666666667</v>
      </c>
      <c r="K42" s="29">
        <v>4.166666666666667</v>
      </c>
      <c r="L42" s="15">
        <v>42.295138888888893</v>
      </c>
      <c r="M42" s="86">
        <v>0</v>
      </c>
      <c r="N42" s="114">
        <f t="shared" si="0"/>
        <v>42.295138888888893</v>
      </c>
    </row>
    <row r="43" spans="1:14">
      <c r="A43" s="21" t="s">
        <v>503</v>
      </c>
      <c r="B43" s="22" t="s">
        <v>504</v>
      </c>
      <c r="C43" s="23" t="s">
        <v>34</v>
      </c>
      <c r="D43" s="24">
        <v>1057</v>
      </c>
      <c r="E43" s="25" t="s">
        <v>14</v>
      </c>
      <c r="F43" s="26">
        <v>42856</v>
      </c>
      <c r="G43" s="27" t="s">
        <v>849</v>
      </c>
      <c r="H43" s="28">
        <v>0.73541666666666661</v>
      </c>
      <c r="I43" s="28">
        <v>0</v>
      </c>
      <c r="J43" s="29">
        <v>1.3236111111111111</v>
      </c>
      <c r="K43" s="29">
        <v>0.91388888888888964</v>
      </c>
      <c r="L43" s="15">
        <v>23.161805555555556</v>
      </c>
      <c r="M43" s="86">
        <v>0</v>
      </c>
      <c r="N43" s="114">
        <f t="shared" si="0"/>
        <v>23.161805555555556</v>
      </c>
    </row>
    <row r="44" spans="1:14">
      <c r="A44" s="21" t="s">
        <v>82</v>
      </c>
      <c r="B44" s="22" t="s">
        <v>83</v>
      </c>
      <c r="C44" s="23" t="s">
        <v>51</v>
      </c>
      <c r="D44" s="24">
        <v>728</v>
      </c>
      <c r="E44" s="25" t="s">
        <v>14</v>
      </c>
      <c r="F44" s="26">
        <v>43304</v>
      </c>
      <c r="G44" s="27" t="s">
        <v>850</v>
      </c>
      <c r="H44" s="28">
        <v>0</v>
      </c>
      <c r="I44" s="28">
        <v>0</v>
      </c>
      <c r="J44" s="29">
        <v>0</v>
      </c>
      <c r="K44" s="29">
        <v>0</v>
      </c>
      <c r="L44" s="15">
        <v>23.2</v>
      </c>
      <c r="M44" s="86">
        <v>0</v>
      </c>
      <c r="N44" s="114">
        <f t="shared" si="0"/>
        <v>23.2</v>
      </c>
    </row>
    <row r="45" spans="1:14">
      <c r="A45" s="21" t="s">
        <v>505</v>
      </c>
      <c r="B45" s="22" t="s">
        <v>506</v>
      </c>
      <c r="C45" s="23" t="s">
        <v>188</v>
      </c>
      <c r="D45" s="24">
        <v>1057</v>
      </c>
      <c r="E45" s="25" t="s">
        <v>14</v>
      </c>
      <c r="F45" s="26">
        <v>43773</v>
      </c>
      <c r="G45" s="27" t="s">
        <v>851</v>
      </c>
      <c r="H45" s="28">
        <v>2.1701388888888893</v>
      </c>
      <c r="I45" s="28">
        <v>0</v>
      </c>
      <c r="J45" s="29">
        <v>0</v>
      </c>
      <c r="K45" s="29">
        <v>0</v>
      </c>
      <c r="L45" s="15">
        <v>14.244444444444445</v>
      </c>
      <c r="M45" s="86">
        <v>0</v>
      </c>
      <c r="N45" s="114">
        <f t="shared" si="0"/>
        <v>14.244444444444445</v>
      </c>
    </row>
    <row r="46" spans="1:14">
      <c r="A46" s="21" t="s">
        <v>84</v>
      </c>
      <c r="B46" s="22" t="s">
        <v>85</v>
      </c>
      <c r="C46" s="23" t="s">
        <v>34</v>
      </c>
      <c r="D46" s="24">
        <v>728</v>
      </c>
      <c r="E46" s="25" t="s">
        <v>14</v>
      </c>
      <c r="F46" s="26">
        <v>43749</v>
      </c>
      <c r="G46" s="27" t="s">
        <v>852</v>
      </c>
      <c r="H46" s="28">
        <v>0.83333333333333337</v>
      </c>
      <c r="I46" s="28">
        <v>0</v>
      </c>
      <c r="J46" s="29">
        <v>0</v>
      </c>
      <c r="K46" s="29">
        <v>0</v>
      </c>
      <c r="L46" s="15">
        <v>16.724999999999998</v>
      </c>
      <c r="M46" s="86">
        <v>0</v>
      </c>
      <c r="N46" s="114">
        <f t="shared" si="0"/>
        <v>16.724999999999998</v>
      </c>
    </row>
    <row r="47" spans="1:14">
      <c r="A47" s="21" t="s">
        <v>724</v>
      </c>
      <c r="B47" s="38" t="s">
        <v>725</v>
      </c>
      <c r="C47" s="23" t="s">
        <v>51</v>
      </c>
      <c r="D47" s="24">
        <v>1057</v>
      </c>
      <c r="E47" s="25" t="s">
        <v>14</v>
      </c>
      <c r="F47" s="26">
        <v>44132</v>
      </c>
      <c r="G47" s="11" t="s">
        <v>39</v>
      </c>
      <c r="H47" s="32" t="s">
        <v>39</v>
      </c>
      <c r="I47" s="32" t="s">
        <v>39</v>
      </c>
      <c r="J47" s="29">
        <v>0</v>
      </c>
      <c r="K47" s="29">
        <v>0</v>
      </c>
      <c r="L47" s="15">
        <v>0</v>
      </c>
      <c r="M47" s="86">
        <v>0</v>
      </c>
      <c r="N47" s="114">
        <f t="shared" si="0"/>
        <v>0</v>
      </c>
    </row>
    <row r="48" spans="1:14">
      <c r="A48" s="21" t="s">
        <v>86</v>
      </c>
      <c r="B48" s="22" t="s">
        <v>87</v>
      </c>
      <c r="C48" s="23" t="s">
        <v>34</v>
      </c>
      <c r="D48" s="24">
        <v>728</v>
      </c>
      <c r="E48" s="25" t="s">
        <v>14</v>
      </c>
      <c r="F48" s="26">
        <v>40749</v>
      </c>
      <c r="G48" s="27" t="s">
        <v>853</v>
      </c>
      <c r="H48" s="28">
        <v>0.83333333333333337</v>
      </c>
      <c r="I48" s="28">
        <v>0.83333333333333337</v>
      </c>
      <c r="J48" s="29">
        <v>0</v>
      </c>
      <c r="K48" s="29">
        <v>0.95972222222222214</v>
      </c>
      <c r="L48" s="15">
        <v>33.692361111111111</v>
      </c>
      <c r="M48" s="86">
        <v>0</v>
      </c>
      <c r="N48" s="114">
        <f t="shared" si="0"/>
        <v>33.692361111111111</v>
      </c>
    </row>
    <row r="49" spans="1:14">
      <c r="A49" s="21" t="s">
        <v>88</v>
      </c>
      <c r="B49" s="22" t="s">
        <v>89</v>
      </c>
      <c r="C49" s="23" t="s">
        <v>34</v>
      </c>
      <c r="D49" s="24">
        <v>728</v>
      </c>
      <c r="E49" s="25" t="s">
        <v>14</v>
      </c>
      <c r="F49" s="26">
        <v>39386</v>
      </c>
      <c r="G49" s="27" t="s">
        <v>854</v>
      </c>
      <c r="H49" s="28">
        <v>1.6666666666666667</v>
      </c>
      <c r="I49" s="28">
        <v>0.83333333333333337</v>
      </c>
      <c r="J49" s="29">
        <v>0</v>
      </c>
      <c r="K49" s="29">
        <v>0</v>
      </c>
      <c r="L49" s="15">
        <v>23.47013888888889</v>
      </c>
      <c r="M49" s="86">
        <v>0</v>
      </c>
      <c r="N49" s="114">
        <f t="shared" si="0"/>
        <v>23.47013888888889</v>
      </c>
    </row>
    <row r="50" spans="1:14">
      <c r="A50" s="21" t="s">
        <v>90</v>
      </c>
      <c r="B50" s="22" t="s">
        <v>91</v>
      </c>
      <c r="C50" s="23" t="s">
        <v>51</v>
      </c>
      <c r="D50" s="24">
        <v>728</v>
      </c>
      <c r="E50" s="25" t="s">
        <v>14</v>
      </c>
      <c r="F50" s="26">
        <v>40147</v>
      </c>
      <c r="G50" s="27" t="s">
        <v>855</v>
      </c>
      <c r="H50" s="28">
        <v>0</v>
      </c>
      <c r="I50" s="28">
        <v>0</v>
      </c>
      <c r="J50" s="29">
        <v>0</v>
      </c>
      <c r="K50" s="29">
        <v>0.53749999999999964</v>
      </c>
      <c r="L50" s="15">
        <v>0.80555555555555514</v>
      </c>
      <c r="M50" s="86">
        <v>0</v>
      </c>
      <c r="N50" s="114">
        <f t="shared" si="0"/>
        <v>0.80555555555555514</v>
      </c>
    </row>
    <row r="51" spans="1:14">
      <c r="A51" s="21" t="s">
        <v>92</v>
      </c>
      <c r="B51" s="123" t="s">
        <v>808</v>
      </c>
      <c r="C51" s="23" t="s">
        <v>34</v>
      </c>
      <c r="D51" s="24">
        <v>728</v>
      </c>
      <c r="E51" s="25" t="s">
        <v>14</v>
      </c>
      <c r="F51" s="26">
        <v>39813</v>
      </c>
      <c r="G51" s="27" t="s">
        <v>856</v>
      </c>
      <c r="H51" s="28">
        <v>0.83333333333333337</v>
      </c>
      <c r="I51" s="28">
        <v>7</v>
      </c>
      <c r="J51" s="29">
        <v>7</v>
      </c>
      <c r="K51" s="29">
        <v>7</v>
      </c>
      <c r="L51" s="15">
        <v>51.739583333333329</v>
      </c>
      <c r="M51" s="86">
        <v>55</v>
      </c>
      <c r="N51" s="114">
        <f t="shared" si="0"/>
        <v>106.73958333333333</v>
      </c>
    </row>
    <row r="52" spans="1:14">
      <c r="A52" s="21" t="s">
        <v>507</v>
      </c>
      <c r="B52" s="34" t="s">
        <v>508</v>
      </c>
      <c r="C52" s="23" t="s">
        <v>34</v>
      </c>
      <c r="D52" s="24">
        <v>1057</v>
      </c>
      <c r="E52" s="25" t="s">
        <v>14</v>
      </c>
      <c r="F52" s="26">
        <v>43794</v>
      </c>
      <c r="G52" s="27">
        <v>37.333333333333336</v>
      </c>
      <c r="H52" s="28">
        <v>6.25</v>
      </c>
      <c r="I52" s="28">
        <v>1.6666666666666667</v>
      </c>
      <c r="J52" s="29">
        <v>0</v>
      </c>
      <c r="K52" s="29">
        <v>0</v>
      </c>
      <c r="L52" s="15">
        <v>45.25</v>
      </c>
      <c r="M52" s="86">
        <v>0</v>
      </c>
      <c r="N52" s="114">
        <f t="shared" si="0"/>
        <v>45.25</v>
      </c>
    </row>
    <row r="53" spans="1:14">
      <c r="A53" s="21" t="s">
        <v>509</v>
      </c>
      <c r="B53" s="22" t="s">
        <v>510</v>
      </c>
      <c r="C53" s="23" t="s">
        <v>51</v>
      </c>
      <c r="D53" s="24">
        <v>1057</v>
      </c>
      <c r="E53" s="25" t="s">
        <v>14</v>
      </c>
      <c r="F53" s="26">
        <v>42534</v>
      </c>
      <c r="G53" s="27">
        <v>31</v>
      </c>
      <c r="H53" s="28">
        <v>3.3333333333333335</v>
      </c>
      <c r="I53" s="28">
        <v>3.3333333333333335</v>
      </c>
      <c r="J53" s="29">
        <v>4.166666666666667</v>
      </c>
      <c r="K53" s="29">
        <v>4.166666666666667</v>
      </c>
      <c r="L53" s="15">
        <v>46</v>
      </c>
      <c r="M53" s="86">
        <v>0</v>
      </c>
      <c r="N53" s="114">
        <f t="shared" si="0"/>
        <v>46</v>
      </c>
    </row>
    <row r="54" spans="1:14">
      <c r="A54" s="21" t="s">
        <v>511</v>
      </c>
      <c r="B54" s="22" t="s">
        <v>512</v>
      </c>
      <c r="C54" s="23" t="s">
        <v>34</v>
      </c>
      <c r="D54" s="24">
        <v>1057</v>
      </c>
      <c r="E54" s="25" t="s">
        <v>14</v>
      </c>
      <c r="F54" s="26">
        <v>43794</v>
      </c>
      <c r="G54" s="27" t="s">
        <v>857</v>
      </c>
      <c r="H54" s="28">
        <v>0.78958333333333286</v>
      </c>
      <c r="I54" s="28">
        <v>0</v>
      </c>
      <c r="J54" s="29">
        <v>0.57777777777777661</v>
      </c>
      <c r="K54" s="29">
        <v>0</v>
      </c>
      <c r="L54" s="15">
        <v>33.289583333333333</v>
      </c>
      <c r="M54" s="86">
        <v>0</v>
      </c>
      <c r="N54" s="114">
        <f t="shared" si="0"/>
        <v>33.289583333333333</v>
      </c>
    </row>
    <row r="55" spans="1:14">
      <c r="A55" s="21" t="s">
        <v>97</v>
      </c>
      <c r="B55" s="123" t="s">
        <v>98</v>
      </c>
      <c r="C55" s="23" t="s">
        <v>51</v>
      </c>
      <c r="D55" s="24">
        <v>728</v>
      </c>
      <c r="E55" s="25" t="s">
        <v>14</v>
      </c>
      <c r="F55" s="26">
        <v>39722</v>
      </c>
      <c r="G55" s="27" t="s">
        <v>858</v>
      </c>
      <c r="H55" s="28">
        <v>0</v>
      </c>
      <c r="I55" s="28">
        <v>0</v>
      </c>
      <c r="J55" s="29">
        <v>0</v>
      </c>
      <c r="K55" s="29">
        <v>0</v>
      </c>
      <c r="L55" s="15">
        <v>36.814583333333331</v>
      </c>
      <c r="M55" s="86">
        <v>48.333333333333336</v>
      </c>
      <c r="N55" s="114">
        <f t="shared" si="0"/>
        <v>85.147916666666674</v>
      </c>
    </row>
    <row r="56" spans="1:14">
      <c r="A56" s="21" t="s">
        <v>99</v>
      </c>
      <c r="B56" s="22" t="s">
        <v>100</v>
      </c>
      <c r="C56" s="23" t="s">
        <v>37</v>
      </c>
      <c r="D56" s="24">
        <v>728</v>
      </c>
      <c r="E56" s="25" t="s">
        <v>14</v>
      </c>
      <c r="F56" s="26">
        <v>39722</v>
      </c>
      <c r="G56" s="27" t="s">
        <v>859</v>
      </c>
      <c r="H56" s="28">
        <v>4.9777777777777779</v>
      </c>
      <c r="I56" s="28">
        <v>0.61875000000000036</v>
      </c>
      <c r="J56" s="29">
        <v>4.0048611111111114</v>
      </c>
      <c r="K56" s="29">
        <v>0.53958333333333286</v>
      </c>
      <c r="L56" s="15">
        <v>43.828472222222224</v>
      </c>
      <c r="M56" s="86">
        <v>0</v>
      </c>
      <c r="N56" s="114">
        <f t="shared" si="0"/>
        <v>43.828472222222224</v>
      </c>
    </row>
    <row r="57" spans="1:14">
      <c r="A57" s="21" t="s">
        <v>513</v>
      </c>
      <c r="B57" s="22" t="s">
        <v>514</v>
      </c>
      <c r="C57" s="23" t="s">
        <v>51</v>
      </c>
      <c r="D57" s="24">
        <v>1057</v>
      </c>
      <c r="E57" s="25" t="s">
        <v>14</v>
      </c>
      <c r="F57" s="26">
        <v>42195</v>
      </c>
      <c r="G57" s="27" t="s">
        <v>860</v>
      </c>
      <c r="H57" s="28">
        <v>1.6666666666666667</v>
      </c>
      <c r="I57" s="28">
        <v>1.25</v>
      </c>
      <c r="J57" s="29">
        <v>0.83333333333333337</v>
      </c>
      <c r="K57" s="29">
        <v>0.14375000000000071</v>
      </c>
      <c r="L57" s="15">
        <v>34.858333333333334</v>
      </c>
      <c r="M57" s="86">
        <v>0</v>
      </c>
      <c r="N57" s="114">
        <f t="shared" si="0"/>
        <v>34.858333333333334</v>
      </c>
    </row>
    <row r="58" spans="1:14">
      <c r="A58" s="21" t="s">
        <v>515</v>
      </c>
      <c r="B58" s="22" t="s">
        <v>516</v>
      </c>
      <c r="C58" s="23" t="s">
        <v>34</v>
      </c>
      <c r="D58" s="24">
        <v>1057</v>
      </c>
      <c r="E58" s="25" t="s">
        <v>14</v>
      </c>
      <c r="F58" s="26">
        <v>43794</v>
      </c>
      <c r="G58" s="27">
        <v>38.333333333333336</v>
      </c>
      <c r="H58" s="28">
        <v>7.333333333333333</v>
      </c>
      <c r="I58" s="28">
        <v>0.83333333333333337</v>
      </c>
      <c r="J58" s="29">
        <v>0</v>
      </c>
      <c r="K58" s="29">
        <v>0</v>
      </c>
      <c r="L58" s="15">
        <v>46.5</v>
      </c>
      <c r="M58" s="86">
        <v>0</v>
      </c>
      <c r="N58" s="114">
        <f t="shared" si="0"/>
        <v>46.5</v>
      </c>
    </row>
    <row r="59" spans="1:14">
      <c r="A59" s="21" t="s">
        <v>101</v>
      </c>
      <c r="B59" s="22" t="s">
        <v>102</v>
      </c>
      <c r="C59" s="23" t="s">
        <v>51</v>
      </c>
      <c r="D59" s="24">
        <v>728</v>
      </c>
      <c r="E59" s="25" t="s">
        <v>14</v>
      </c>
      <c r="F59" s="26">
        <v>40063</v>
      </c>
      <c r="G59" s="27" t="s">
        <v>861</v>
      </c>
      <c r="H59" s="28">
        <v>1.6666666666666667</v>
      </c>
      <c r="I59" s="28">
        <v>0</v>
      </c>
      <c r="J59" s="29">
        <v>0</v>
      </c>
      <c r="K59" s="29">
        <v>0</v>
      </c>
      <c r="L59" s="15">
        <v>33.44166666666667</v>
      </c>
      <c r="M59" s="86">
        <v>0</v>
      </c>
      <c r="N59" s="114">
        <f t="shared" si="0"/>
        <v>33.44166666666667</v>
      </c>
    </row>
    <row r="60" spans="1:14">
      <c r="A60" s="21" t="s">
        <v>718</v>
      </c>
      <c r="B60" s="22" t="s">
        <v>719</v>
      </c>
      <c r="C60" s="23" t="s">
        <v>34</v>
      </c>
      <c r="D60" s="24">
        <v>728</v>
      </c>
      <c r="E60" s="25" t="s">
        <v>14</v>
      </c>
      <c r="F60" s="26">
        <v>44075</v>
      </c>
      <c r="G60" s="27" t="s">
        <v>862</v>
      </c>
      <c r="H60" s="28">
        <v>1.6666666666666667</v>
      </c>
      <c r="I60" s="28">
        <v>0</v>
      </c>
      <c r="J60" s="29">
        <v>0</v>
      </c>
      <c r="K60" s="29">
        <v>0</v>
      </c>
      <c r="L60" s="15">
        <v>32.290972222222223</v>
      </c>
      <c r="M60" s="86">
        <v>0</v>
      </c>
      <c r="N60" s="114">
        <f t="shared" si="0"/>
        <v>32.290972222222223</v>
      </c>
    </row>
    <row r="61" spans="1:14">
      <c r="A61" s="21" t="s">
        <v>103</v>
      </c>
      <c r="B61" s="37" t="s">
        <v>809</v>
      </c>
      <c r="C61" s="23" t="s">
        <v>51</v>
      </c>
      <c r="D61" s="24">
        <v>728</v>
      </c>
      <c r="E61" s="25" t="s">
        <v>14</v>
      </c>
      <c r="F61" s="26">
        <v>36742</v>
      </c>
      <c r="G61" s="27">
        <v>38.333333333333336</v>
      </c>
      <c r="H61" s="28">
        <v>0</v>
      </c>
      <c r="I61" s="28">
        <v>0</v>
      </c>
      <c r="J61" s="29">
        <v>0</v>
      </c>
      <c r="K61" s="29">
        <v>0</v>
      </c>
      <c r="L61" s="15">
        <v>38.333333333333336</v>
      </c>
      <c r="M61" s="86">
        <v>0</v>
      </c>
      <c r="N61" s="114">
        <f t="shared" si="0"/>
        <v>38.333333333333336</v>
      </c>
    </row>
    <row r="62" spans="1:14">
      <c r="A62" s="21" t="s">
        <v>104</v>
      </c>
      <c r="B62" s="22" t="s">
        <v>105</v>
      </c>
      <c r="C62" s="23" t="s">
        <v>51</v>
      </c>
      <c r="D62" s="24">
        <v>728</v>
      </c>
      <c r="E62" s="25" t="s">
        <v>14</v>
      </c>
      <c r="F62" s="26">
        <v>43832</v>
      </c>
      <c r="G62" s="27" t="s">
        <v>863</v>
      </c>
      <c r="H62" s="28">
        <v>0.83333333333333337</v>
      </c>
      <c r="I62" s="28">
        <v>0</v>
      </c>
      <c r="J62" s="29">
        <v>0</v>
      </c>
      <c r="K62" s="29">
        <v>0</v>
      </c>
      <c r="L62" s="15">
        <v>25.551388888888887</v>
      </c>
      <c r="M62" s="86">
        <v>0</v>
      </c>
      <c r="N62" s="114">
        <f t="shared" si="0"/>
        <v>25.551388888888887</v>
      </c>
    </row>
    <row r="63" spans="1:14">
      <c r="A63" s="21" t="s">
        <v>106</v>
      </c>
      <c r="B63" s="22" t="s">
        <v>107</v>
      </c>
      <c r="C63" s="23" t="s">
        <v>51</v>
      </c>
      <c r="D63" s="24">
        <v>728</v>
      </c>
      <c r="E63" s="25" t="s">
        <v>14</v>
      </c>
      <c r="F63" s="26">
        <v>40087</v>
      </c>
      <c r="G63" s="27" t="s">
        <v>864</v>
      </c>
      <c r="H63" s="28">
        <v>0.83333333333333337</v>
      </c>
      <c r="I63" s="28">
        <v>0</v>
      </c>
      <c r="J63" s="29">
        <v>0</v>
      </c>
      <c r="K63" s="29">
        <v>0</v>
      </c>
      <c r="L63" s="15">
        <v>28.853472222222223</v>
      </c>
      <c r="M63" s="86">
        <v>0</v>
      </c>
      <c r="N63" s="114">
        <f t="shared" si="0"/>
        <v>28.853472222222223</v>
      </c>
    </row>
    <row r="64" spans="1:14">
      <c r="A64" s="21" t="s">
        <v>726</v>
      </c>
      <c r="B64" s="22" t="s">
        <v>727</v>
      </c>
      <c r="C64" s="23" t="s">
        <v>51</v>
      </c>
      <c r="D64" s="24">
        <v>1057</v>
      </c>
      <c r="E64" s="25" t="s">
        <v>14</v>
      </c>
      <c r="F64" s="26">
        <v>44132</v>
      </c>
      <c r="G64" s="11" t="s">
        <v>39</v>
      </c>
      <c r="H64" s="32" t="s">
        <v>39</v>
      </c>
      <c r="I64" s="28">
        <v>0</v>
      </c>
      <c r="J64" s="29">
        <v>0</v>
      </c>
      <c r="K64" s="29">
        <v>0</v>
      </c>
      <c r="L64" s="15">
        <v>0</v>
      </c>
      <c r="M64" s="86">
        <v>0</v>
      </c>
      <c r="N64" s="114">
        <f t="shared" si="0"/>
        <v>0</v>
      </c>
    </row>
    <row r="65" spans="1:14">
      <c r="A65" s="21" t="s">
        <v>108</v>
      </c>
      <c r="B65" s="22" t="s">
        <v>109</v>
      </c>
      <c r="C65" s="23" t="s">
        <v>37</v>
      </c>
      <c r="D65" s="24">
        <v>728</v>
      </c>
      <c r="E65" s="25" t="s">
        <v>14</v>
      </c>
      <c r="F65" s="26">
        <v>39791</v>
      </c>
      <c r="G65" s="27">
        <v>38.333333333333336</v>
      </c>
      <c r="H65" s="28">
        <v>0</v>
      </c>
      <c r="I65" s="28">
        <v>0</v>
      </c>
      <c r="J65" s="29">
        <v>0</v>
      </c>
      <c r="K65" s="29">
        <v>0</v>
      </c>
      <c r="L65" s="15">
        <v>38.333333333333336</v>
      </c>
      <c r="M65" s="86">
        <v>0</v>
      </c>
      <c r="N65" s="114">
        <f t="shared" si="0"/>
        <v>38.333333333333336</v>
      </c>
    </row>
    <row r="66" spans="1:14">
      <c r="A66" s="21" t="s">
        <v>114</v>
      </c>
      <c r="B66" s="22" t="s">
        <v>115</v>
      </c>
      <c r="C66" s="23" t="s">
        <v>34</v>
      </c>
      <c r="D66" s="24">
        <v>728</v>
      </c>
      <c r="E66" s="25" t="s">
        <v>14</v>
      </c>
      <c r="F66" s="26">
        <v>43739</v>
      </c>
      <c r="G66" s="27">
        <v>0</v>
      </c>
      <c r="H66" s="28">
        <v>1.6666666666666667</v>
      </c>
      <c r="I66" s="28">
        <v>1.6666666666666667</v>
      </c>
      <c r="J66" s="29">
        <v>2.093055555555555</v>
      </c>
      <c r="K66" s="29">
        <v>0</v>
      </c>
      <c r="L66" s="15">
        <v>5.4263888888888889</v>
      </c>
      <c r="M66" s="86">
        <v>0</v>
      </c>
      <c r="N66" s="114">
        <f t="shared" si="0"/>
        <v>5.4263888888888889</v>
      </c>
    </row>
    <row r="67" spans="1:14">
      <c r="A67" s="21" t="s">
        <v>519</v>
      </c>
      <c r="B67" s="22" t="s">
        <v>520</v>
      </c>
      <c r="C67" s="23" t="s">
        <v>188</v>
      </c>
      <c r="D67" s="24">
        <v>1057</v>
      </c>
      <c r="E67" s="25" t="s">
        <v>14</v>
      </c>
      <c r="F67" s="26">
        <v>43643</v>
      </c>
      <c r="G67" s="27" t="s">
        <v>865</v>
      </c>
      <c r="H67" s="28">
        <v>4.166666666666667</v>
      </c>
      <c r="I67" s="28">
        <v>0</v>
      </c>
      <c r="J67" s="29">
        <v>0</v>
      </c>
      <c r="K67" s="29">
        <v>0</v>
      </c>
      <c r="L67" s="15">
        <v>14.434722222222224</v>
      </c>
      <c r="M67" s="86">
        <v>0</v>
      </c>
      <c r="N67" s="114">
        <f t="shared" si="0"/>
        <v>14.434722222222224</v>
      </c>
    </row>
    <row r="68" spans="1:14">
      <c r="A68" s="21" t="s">
        <v>116</v>
      </c>
      <c r="B68" s="22" t="s">
        <v>117</v>
      </c>
      <c r="C68" s="23" t="s">
        <v>34</v>
      </c>
      <c r="D68" s="24">
        <v>728</v>
      </c>
      <c r="E68" s="25" t="s">
        <v>14</v>
      </c>
      <c r="F68" s="26">
        <v>39722</v>
      </c>
      <c r="G68" s="27" t="s">
        <v>866</v>
      </c>
      <c r="H68" s="28">
        <v>1.6666666666666667</v>
      </c>
      <c r="I68" s="28">
        <v>1.6666666666666667</v>
      </c>
      <c r="J68" s="29">
        <v>0.83333333333333337</v>
      </c>
      <c r="K68" s="29">
        <v>0.16527777777777786</v>
      </c>
      <c r="L68" s="15">
        <v>21.371527777777779</v>
      </c>
      <c r="M68" s="86">
        <v>0</v>
      </c>
      <c r="N68" s="114">
        <f t="shared" si="0"/>
        <v>21.371527777777779</v>
      </c>
    </row>
    <row r="69" spans="1:14">
      <c r="A69" s="21" t="s">
        <v>118</v>
      </c>
      <c r="B69" s="22" t="s">
        <v>119</v>
      </c>
      <c r="C69" s="23" t="s">
        <v>34</v>
      </c>
      <c r="D69" s="24">
        <v>728</v>
      </c>
      <c r="E69" s="25" t="s">
        <v>14</v>
      </c>
      <c r="F69" s="26">
        <v>43374</v>
      </c>
      <c r="G69" s="27" t="s">
        <v>867</v>
      </c>
      <c r="H69" s="28">
        <v>1.6666666666666667</v>
      </c>
      <c r="I69" s="28">
        <v>1.6666666666666667</v>
      </c>
      <c r="J69" s="29">
        <v>0.83333333333333337</v>
      </c>
      <c r="K69" s="29">
        <v>0.28333333333333321</v>
      </c>
      <c r="L69" s="15">
        <v>42.421527777777783</v>
      </c>
      <c r="M69" s="86">
        <v>0</v>
      </c>
      <c r="N69" s="114">
        <f t="shared" si="0"/>
        <v>42.421527777777783</v>
      </c>
    </row>
    <row r="70" spans="1:14">
      <c r="A70" s="21" t="s">
        <v>120</v>
      </c>
      <c r="B70" s="49" t="s">
        <v>121</v>
      </c>
      <c r="C70" s="23" t="s">
        <v>34</v>
      </c>
      <c r="D70" s="24">
        <v>728</v>
      </c>
      <c r="E70" s="25" t="s">
        <v>14</v>
      </c>
      <c r="F70" s="26">
        <v>43739</v>
      </c>
      <c r="G70" s="27">
        <v>0</v>
      </c>
      <c r="H70" s="28">
        <v>1.6666666666666667</v>
      </c>
      <c r="I70" s="28">
        <v>1.6666666666666667</v>
      </c>
      <c r="J70" s="29">
        <v>0</v>
      </c>
      <c r="K70" s="29">
        <v>0</v>
      </c>
      <c r="L70" s="15">
        <v>3.3333333333333335</v>
      </c>
      <c r="M70" s="86">
        <v>0</v>
      </c>
      <c r="N70" s="114">
        <f t="shared" ref="N70:N73" si="1">L70+M70</f>
        <v>3.3333333333333335</v>
      </c>
    </row>
    <row r="71" spans="1:14">
      <c r="A71" s="21" t="s">
        <v>122</v>
      </c>
      <c r="B71" s="22" t="s">
        <v>123</v>
      </c>
      <c r="C71" s="23" t="s">
        <v>51</v>
      </c>
      <c r="D71" s="24">
        <v>728</v>
      </c>
      <c r="E71" s="25" t="s">
        <v>14</v>
      </c>
      <c r="F71" s="26">
        <v>39722</v>
      </c>
      <c r="G71" s="27" t="s">
        <v>868</v>
      </c>
      <c r="H71" s="28">
        <v>1.6666666666666667</v>
      </c>
      <c r="I71" s="28">
        <v>1.468055555555555</v>
      </c>
      <c r="J71" s="29">
        <v>0</v>
      </c>
      <c r="K71" s="29">
        <v>0</v>
      </c>
      <c r="L71" s="15">
        <v>39.35</v>
      </c>
      <c r="M71" s="86">
        <v>0</v>
      </c>
      <c r="N71" s="114">
        <f t="shared" si="1"/>
        <v>39.35</v>
      </c>
    </row>
    <row r="72" spans="1:14">
      <c r="A72" s="21" t="s">
        <v>124</v>
      </c>
      <c r="B72" s="22" t="s">
        <v>125</v>
      </c>
      <c r="C72" s="23" t="s">
        <v>37</v>
      </c>
      <c r="D72" s="24">
        <v>728</v>
      </c>
      <c r="E72" s="25" t="s">
        <v>14</v>
      </c>
      <c r="F72" s="26">
        <v>39573</v>
      </c>
      <c r="G72" s="27" t="s">
        <v>869</v>
      </c>
      <c r="H72" s="28">
        <v>1.6666666666666667</v>
      </c>
      <c r="I72" s="28">
        <v>0</v>
      </c>
      <c r="J72" s="29">
        <v>0</v>
      </c>
      <c r="K72" s="29">
        <v>0</v>
      </c>
      <c r="L72" s="15">
        <v>36.319444444444443</v>
      </c>
      <c r="M72" s="86">
        <v>0</v>
      </c>
      <c r="N72" s="114">
        <f t="shared" si="1"/>
        <v>36.319444444444443</v>
      </c>
    </row>
    <row r="73" spans="1:14">
      <c r="A73" s="21" t="s">
        <v>521</v>
      </c>
      <c r="B73" s="22" t="s">
        <v>522</v>
      </c>
      <c r="C73" s="23" t="s">
        <v>34</v>
      </c>
      <c r="D73" s="24">
        <v>1057</v>
      </c>
      <c r="E73" s="25" t="s">
        <v>14</v>
      </c>
      <c r="F73" s="26">
        <v>43067</v>
      </c>
      <c r="G73" s="27" t="s">
        <v>870</v>
      </c>
      <c r="H73" s="28">
        <v>2.5</v>
      </c>
      <c r="I73" s="28">
        <v>2.5</v>
      </c>
      <c r="J73" s="29">
        <v>2.4583333333333335</v>
      </c>
      <c r="K73" s="29">
        <v>4.5138888888887507E-2</v>
      </c>
      <c r="L73" s="15">
        <v>17.456249999999997</v>
      </c>
      <c r="M73" s="86">
        <v>0</v>
      </c>
      <c r="N73" s="114">
        <f t="shared" si="1"/>
        <v>17.456249999999997</v>
      </c>
    </row>
    <row r="74" spans="1:14">
      <c r="A74" s="21" t="s">
        <v>126</v>
      </c>
      <c r="B74" s="123" t="s">
        <v>127</v>
      </c>
      <c r="C74" s="39" t="s">
        <v>34</v>
      </c>
      <c r="D74" s="24">
        <v>728</v>
      </c>
      <c r="E74" s="25" t="s">
        <v>14</v>
      </c>
      <c r="F74" s="26">
        <v>38000</v>
      </c>
      <c r="G74" s="27">
        <v>0</v>
      </c>
      <c r="H74" s="86">
        <v>0</v>
      </c>
      <c r="I74" s="86">
        <v>0</v>
      </c>
      <c r="J74" s="86">
        <v>0</v>
      </c>
      <c r="K74" s="86">
        <v>0</v>
      </c>
      <c r="L74" s="15">
        <v>0</v>
      </c>
      <c r="M74" s="86">
        <v>0</v>
      </c>
      <c r="N74" s="114">
        <f>L74+M74</f>
        <v>0</v>
      </c>
    </row>
    <row r="75" spans="1:14">
      <c r="A75" s="21" t="s">
        <v>523</v>
      </c>
      <c r="B75" s="22" t="s">
        <v>524</v>
      </c>
      <c r="C75" s="23" t="s">
        <v>51</v>
      </c>
      <c r="D75" s="24">
        <v>1057</v>
      </c>
      <c r="E75" s="25" t="s">
        <v>14</v>
      </c>
      <c r="F75" s="26">
        <v>43432</v>
      </c>
      <c r="G75" s="27" t="s">
        <v>871</v>
      </c>
      <c r="H75" s="28">
        <v>0</v>
      </c>
      <c r="I75" s="28">
        <v>0.55138888888888893</v>
      </c>
      <c r="J75" s="29">
        <v>1.1673611111111111</v>
      </c>
      <c r="K75" s="29">
        <v>0</v>
      </c>
      <c r="L75" s="15">
        <v>31.960416666666664</v>
      </c>
      <c r="M75" s="86">
        <v>0</v>
      </c>
      <c r="N75" s="114">
        <f t="shared" ref="N75:N138" si="2">L75+M75</f>
        <v>31.960416666666664</v>
      </c>
    </row>
    <row r="76" spans="1:14">
      <c r="A76" s="21" t="s">
        <v>128</v>
      </c>
      <c r="B76" s="22" t="s">
        <v>129</v>
      </c>
      <c r="C76" s="23" t="s">
        <v>34</v>
      </c>
      <c r="D76" s="24">
        <v>728</v>
      </c>
      <c r="E76" s="25" t="s">
        <v>14</v>
      </c>
      <c r="F76" s="26">
        <v>42263</v>
      </c>
      <c r="G76" s="27" t="s">
        <v>872</v>
      </c>
      <c r="H76" s="28">
        <v>1.6666666666666667</v>
      </c>
      <c r="I76" s="28">
        <v>0</v>
      </c>
      <c r="J76" s="29">
        <v>0</v>
      </c>
      <c r="K76" s="29">
        <v>0</v>
      </c>
      <c r="L76" s="15">
        <v>36.02569444444444</v>
      </c>
      <c r="M76" s="86">
        <v>0</v>
      </c>
      <c r="N76" s="114">
        <f t="shared" si="2"/>
        <v>36.02569444444444</v>
      </c>
    </row>
    <row r="77" spans="1:14">
      <c r="A77" s="21" t="s">
        <v>130</v>
      </c>
      <c r="B77" s="22" t="s">
        <v>131</v>
      </c>
      <c r="C77" s="23" t="s">
        <v>34</v>
      </c>
      <c r="D77" s="24">
        <v>728</v>
      </c>
      <c r="E77" s="25" t="s">
        <v>14</v>
      </c>
      <c r="F77" s="26">
        <v>42159</v>
      </c>
      <c r="G77" s="27" t="s">
        <v>873</v>
      </c>
      <c r="H77" s="28">
        <v>0</v>
      </c>
      <c r="I77" s="28">
        <v>1.6666666666666667</v>
      </c>
      <c r="J77" s="29">
        <v>0.83333333333333337</v>
      </c>
      <c r="K77" s="29">
        <v>0.83333333333333337</v>
      </c>
      <c r="L77" s="15">
        <v>4.3312499999999998</v>
      </c>
      <c r="M77" s="86">
        <v>0</v>
      </c>
      <c r="N77" s="114">
        <f t="shared" si="2"/>
        <v>4.3312499999999998</v>
      </c>
    </row>
    <row r="78" spans="1:14">
      <c r="A78" s="21" t="s">
        <v>132</v>
      </c>
      <c r="B78" s="22" t="s">
        <v>133</v>
      </c>
      <c r="C78" s="23" t="s">
        <v>77</v>
      </c>
      <c r="D78" s="24">
        <v>728</v>
      </c>
      <c r="E78" s="25" t="s">
        <v>14</v>
      </c>
      <c r="F78" s="26">
        <v>39722</v>
      </c>
      <c r="G78" s="27" t="s">
        <v>874</v>
      </c>
      <c r="H78" s="28">
        <v>1.6666666666666667</v>
      </c>
      <c r="I78" s="28">
        <v>0</v>
      </c>
      <c r="J78" s="29">
        <v>0</v>
      </c>
      <c r="K78" s="29">
        <v>0</v>
      </c>
      <c r="L78" s="15">
        <v>38.55416666666666</v>
      </c>
      <c r="M78" s="86">
        <v>0</v>
      </c>
      <c r="N78" s="114">
        <f t="shared" si="2"/>
        <v>38.55416666666666</v>
      </c>
    </row>
    <row r="79" spans="1:14">
      <c r="A79" s="21" t="s">
        <v>134</v>
      </c>
      <c r="B79" s="22" t="s">
        <v>135</v>
      </c>
      <c r="C79" s="23" t="s">
        <v>51</v>
      </c>
      <c r="D79" s="24">
        <v>728</v>
      </c>
      <c r="E79" s="25" t="s">
        <v>14</v>
      </c>
      <c r="F79" s="26">
        <v>39756</v>
      </c>
      <c r="G79" s="27" t="s">
        <v>875</v>
      </c>
      <c r="H79" s="28">
        <v>0.83333333333333337</v>
      </c>
      <c r="I79" s="28">
        <v>0</v>
      </c>
      <c r="J79" s="29">
        <v>0</v>
      </c>
      <c r="K79" s="29">
        <v>0</v>
      </c>
      <c r="L79" s="15">
        <v>3.0826388888888889</v>
      </c>
      <c r="M79" s="86">
        <v>0</v>
      </c>
      <c r="N79" s="114">
        <f t="shared" si="2"/>
        <v>3.0826388888888889</v>
      </c>
    </row>
    <row r="80" spans="1:14">
      <c r="A80" s="21" t="s">
        <v>525</v>
      </c>
      <c r="B80" s="22" t="s">
        <v>526</v>
      </c>
      <c r="C80" s="23" t="s">
        <v>34</v>
      </c>
      <c r="D80" s="24">
        <v>1057</v>
      </c>
      <c r="E80" s="25" t="s">
        <v>14</v>
      </c>
      <c r="F80" s="26">
        <v>42856</v>
      </c>
      <c r="G80" s="27" t="s">
        <v>876</v>
      </c>
      <c r="H80" s="28">
        <v>0.14861111111111125</v>
      </c>
      <c r="I80" s="28">
        <v>1.25</v>
      </c>
      <c r="J80" s="29">
        <v>1.7819444444444432</v>
      </c>
      <c r="K80" s="29">
        <v>0</v>
      </c>
      <c r="L80" s="15">
        <v>26.250694444444441</v>
      </c>
      <c r="M80" s="86">
        <v>0</v>
      </c>
      <c r="N80" s="114">
        <f t="shared" si="2"/>
        <v>26.250694444444441</v>
      </c>
    </row>
    <row r="81" spans="1:14">
      <c r="A81" s="21" t="s">
        <v>138</v>
      </c>
      <c r="B81" s="22" t="s">
        <v>139</v>
      </c>
      <c r="C81" s="23" t="s">
        <v>34</v>
      </c>
      <c r="D81" s="24">
        <v>728</v>
      </c>
      <c r="E81" s="25" t="s">
        <v>14</v>
      </c>
      <c r="F81" s="26">
        <v>42045</v>
      </c>
      <c r="G81" s="27">
        <v>0</v>
      </c>
      <c r="H81" s="28">
        <v>0</v>
      </c>
      <c r="I81" s="28">
        <v>0</v>
      </c>
      <c r="J81" s="29">
        <v>0</v>
      </c>
      <c r="K81" s="29">
        <v>0</v>
      </c>
      <c r="L81" s="15">
        <v>0</v>
      </c>
      <c r="M81" s="86">
        <v>0</v>
      </c>
      <c r="N81" s="114">
        <f t="shared" si="2"/>
        <v>0</v>
      </c>
    </row>
    <row r="82" spans="1:14">
      <c r="A82" s="75" t="s">
        <v>527</v>
      </c>
      <c r="B82" s="37" t="s">
        <v>810</v>
      </c>
      <c r="C82" s="23" t="s">
        <v>34</v>
      </c>
      <c r="D82" s="24">
        <v>1057</v>
      </c>
      <c r="E82" s="25" t="s">
        <v>14</v>
      </c>
      <c r="F82" s="26">
        <v>44239</v>
      </c>
      <c r="G82" s="27">
        <v>12.666666666666666</v>
      </c>
      <c r="H82" s="28">
        <v>2.4451388888888888</v>
      </c>
      <c r="I82" s="28">
        <v>0</v>
      </c>
      <c r="J82" s="29">
        <v>0.83333333333333337</v>
      </c>
      <c r="K82" s="29">
        <v>0</v>
      </c>
      <c r="L82" s="15">
        <v>15.945138888888888</v>
      </c>
      <c r="M82" s="86">
        <v>0</v>
      </c>
      <c r="N82" s="114">
        <f t="shared" si="2"/>
        <v>15.945138888888888</v>
      </c>
    </row>
    <row r="83" spans="1:14">
      <c r="A83" s="21" t="s">
        <v>528</v>
      </c>
      <c r="B83" s="22" t="s">
        <v>529</v>
      </c>
      <c r="C83" s="23" t="s">
        <v>29</v>
      </c>
      <c r="D83" s="24">
        <v>1057</v>
      </c>
      <c r="E83" s="25" t="s">
        <v>14</v>
      </c>
      <c r="F83" s="26">
        <v>43794</v>
      </c>
      <c r="G83" s="27" t="s">
        <v>877</v>
      </c>
      <c r="H83" s="28">
        <v>1.6666666666666667</v>
      </c>
      <c r="I83" s="28">
        <v>1.0895833333333327</v>
      </c>
      <c r="J83" s="29">
        <v>0.83333333333333337</v>
      </c>
      <c r="K83" s="29">
        <v>0.48125000000000018</v>
      </c>
      <c r="L83" s="15">
        <v>21.320138888888888</v>
      </c>
      <c r="M83" s="86">
        <v>0</v>
      </c>
      <c r="N83" s="114">
        <f t="shared" si="2"/>
        <v>21.320138888888888</v>
      </c>
    </row>
    <row r="84" spans="1:14">
      <c r="A84" s="21" t="s">
        <v>530</v>
      </c>
      <c r="B84" s="22" t="s">
        <v>531</v>
      </c>
      <c r="C84" s="23" t="s">
        <v>73</v>
      </c>
      <c r="D84" s="24">
        <v>1057</v>
      </c>
      <c r="E84" s="25" t="s">
        <v>14</v>
      </c>
      <c r="F84" s="26">
        <v>42614</v>
      </c>
      <c r="G84" s="27">
        <v>0</v>
      </c>
      <c r="H84" s="28">
        <v>0</v>
      </c>
      <c r="I84" s="28">
        <v>0</v>
      </c>
      <c r="J84" s="29">
        <v>0</v>
      </c>
      <c r="K84" s="29">
        <v>0</v>
      </c>
      <c r="L84" s="15">
        <v>0</v>
      </c>
      <c r="M84" s="86">
        <v>0</v>
      </c>
      <c r="N84" s="114">
        <f t="shared" si="2"/>
        <v>0</v>
      </c>
    </row>
    <row r="85" spans="1:14">
      <c r="A85" s="21" t="s">
        <v>140</v>
      </c>
      <c r="B85" s="22" t="s">
        <v>141</v>
      </c>
      <c r="C85" s="23" t="s">
        <v>714</v>
      </c>
      <c r="D85" s="24">
        <v>728</v>
      </c>
      <c r="E85" s="25" t="s">
        <v>14</v>
      </c>
      <c r="F85" s="26">
        <v>39722</v>
      </c>
      <c r="G85" s="27" t="s">
        <v>878</v>
      </c>
      <c r="H85" s="28">
        <v>0</v>
      </c>
      <c r="I85" s="28">
        <v>0</v>
      </c>
      <c r="J85" s="29">
        <v>0</v>
      </c>
      <c r="K85" s="29">
        <v>6.8055555555556424E-2</v>
      </c>
      <c r="L85" s="15">
        <v>22.290972222222223</v>
      </c>
      <c r="M85" s="86">
        <v>0</v>
      </c>
      <c r="N85" s="114">
        <f t="shared" si="2"/>
        <v>22.290972222222223</v>
      </c>
    </row>
    <row r="86" spans="1:14">
      <c r="A86" s="21" t="s">
        <v>143</v>
      </c>
      <c r="B86" s="22" t="s">
        <v>144</v>
      </c>
      <c r="C86" s="23" t="s">
        <v>51</v>
      </c>
      <c r="D86" s="24">
        <v>728</v>
      </c>
      <c r="E86" s="25" t="s">
        <v>14</v>
      </c>
      <c r="F86" s="26">
        <v>42039</v>
      </c>
      <c r="G86" s="27" t="s">
        <v>879</v>
      </c>
      <c r="H86" s="28">
        <v>1.6666666666666667</v>
      </c>
      <c r="I86" s="28">
        <v>0</v>
      </c>
      <c r="J86" s="29">
        <v>0</v>
      </c>
      <c r="K86" s="29">
        <v>0</v>
      </c>
      <c r="L86" s="15">
        <v>32.847222222222221</v>
      </c>
      <c r="M86" s="86">
        <v>0</v>
      </c>
      <c r="N86" s="114">
        <f t="shared" si="2"/>
        <v>32.847222222222221</v>
      </c>
    </row>
    <row r="87" spans="1:14">
      <c r="A87" s="21" t="s">
        <v>532</v>
      </c>
      <c r="B87" s="22" t="s">
        <v>533</v>
      </c>
      <c r="C87" s="23" t="s">
        <v>534</v>
      </c>
      <c r="D87" s="24">
        <v>1057</v>
      </c>
      <c r="E87" s="25" t="s">
        <v>14</v>
      </c>
      <c r="F87" s="26">
        <v>43795</v>
      </c>
      <c r="G87" s="27" t="s">
        <v>880</v>
      </c>
      <c r="H87" s="28">
        <v>1.6298611111111114</v>
      </c>
      <c r="I87" s="28">
        <v>0</v>
      </c>
      <c r="J87" s="29">
        <v>0</v>
      </c>
      <c r="K87" s="29">
        <v>0.5</v>
      </c>
      <c r="L87" s="15">
        <v>39.675000000000004</v>
      </c>
      <c r="M87" s="86">
        <v>0</v>
      </c>
      <c r="N87" s="114">
        <f t="shared" si="2"/>
        <v>39.675000000000004</v>
      </c>
    </row>
    <row r="88" spans="1:14">
      <c r="A88" s="21" t="s">
        <v>145</v>
      </c>
      <c r="B88" s="22" t="s">
        <v>146</v>
      </c>
      <c r="C88" s="23" t="s">
        <v>34</v>
      </c>
      <c r="D88" s="24">
        <v>728</v>
      </c>
      <c r="E88" s="25" t="s">
        <v>14</v>
      </c>
      <c r="F88" s="26">
        <v>43741</v>
      </c>
      <c r="G88" s="27">
        <v>8.375</v>
      </c>
      <c r="H88" s="28">
        <v>7.333333333333333</v>
      </c>
      <c r="I88" s="28">
        <v>0</v>
      </c>
      <c r="J88" s="29">
        <v>0</v>
      </c>
      <c r="K88" s="29">
        <v>0</v>
      </c>
      <c r="L88" s="15">
        <v>15.708333333333332</v>
      </c>
      <c r="M88" s="86">
        <v>0</v>
      </c>
      <c r="N88" s="114">
        <f t="shared" si="2"/>
        <v>15.708333333333332</v>
      </c>
    </row>
    <row r="89" spans="1:14">
      <c r="A89" s="21" t="s">
        <v>147</v>
      </c>
      <c r="B89" s="123" t="s">
        <v>148</v>
      </c>
      <c r="C89" s="23" t="s">
        <v>149</v>
      </c>
      <c r="D89" s="24">
        <v>728</v>
      </c>
      <c r="E89" s="25" t="s">
        <v>14</v>
      </c>
      <c r="F89" s="26">
        <v>35615</v>
      </c>
      <c r="G89" s="27">
        <v>38.333333333333336</v>
      </c>
      <c r="H89" s="28">
        <v>7.333333333333333</v>
      </c>
      <c r="I89" s="28">
        <v>7</v>
      </c>
      <c r="J89" s="29">
        <v>7</v>
      </c>
      <c r="K89" s="29">
        <v>7</v>
      </c>
      <c r="L89" s="15">
        <v>66.666666666666671</v>
      </c>
      <c r="M89" s="86">
        <v>48.333333333333336</v>
      </c>
      <c r="N89" s="114">
        <f t="shared" si="2"/>
        <v>115</v>
      </c>
    </row>
    <row r="90" spans="1:14">
      <c r="A90" s="21" t="s">
        <v>535</v>
      </c>
      <c r="B90" s="22" t="s">
        <v>536</v>
      </c>
      <c r="C90" s="23" t="s">
        <v>51</v>
      </c>
      <c r="D90" s="24">
        <v>1057</v>
      </c>
      <c r="E90" s="25" t="s">
        <v>14</v>
      </c>
      <c r="F90" s="26">
        <v>43070</v>
      </c>
      <c r="G90" s="27" t="s">
        <v>881</v>
      </c>
      <c r="H90" s="28">
        <v>6.8965277777777771</v>
      </c>
      <c r="I90" s="28">
        <v>2.6409722222222225</v>
      </c>
      <c r="J90" s="29">
        <v>3.4861111111111107</v>
      </c>
      <c r="K90" s="29">
        <v>1.5965277777777773</v>
      </c>
      <c r="L90" s="15">
        <v>51.52986111111111</v>
      </c>
      <c r="M90" s="86">
        <v>0</v>
      </c>
      <c r="N90" s="114">
        <f t="shared" si="2"/>
        <v>51.52986111111111</v>
      </c>
    </row>
    <row r="91" spans="1:14">
      <c r="A91" s="21" t="s">
        <v>150</v>
      </c>
      <c r="B91" s="22" t="s">
        <v>151</v>
      </c>
      <c r="C91" s="23" t="s">
        <v>34</v>
      </c>
      <c r="D91" s="24">
        <v>728</v>
      </c>
      <c r="E91" s="25" t="s">
        <v>14</v>
      </c>
      <c r="F91" s="26">
        <v>40646</v>
      </c>
      <c r="G91" s="27" t="s">
        <v>882</v>
      </c>
      <c r="H91" s="28">
        <v>1.6666666666666667</v>
      </c>
      <c r="I91" s="28">
        <v>3.0625000000000004</v>
      </c>
      <c r="J91" s="29">
        <v>0</v>
      </c>
      <c r="K91" s="29">
        <v>0</v>
      </c>
      <c r="L91" s="15">
        <v>33.189583333333331</v>
      </c>
      <c r="M91" s="86">
        <v>0</v>
      </c>
      <c r="N91" s="114">
        <f t="shared" si="2"/>
        <v>33.189583333333331</v>
      </c>
    </row>
    <row r="92" spans="1:14">
      <c r="A92" s="21" t="s">
        <v>152</v>
      </c>
      <c r="B92" s="22" t="s">
        <v>153</v>
      </c>
      <c r="C92" s="23" t="s">
        <v>51</v>
      </c>
      <c r="D92" s="24">
        <v>728</v>
      </c>
      <c r="E92" s="25" t="s">
        <v>14</v>
      </c>
      <c r="F92" s="26">
        <v>37773</v>
      </c>
      <c r="G92" s="27">
        <v>0</v>
      </c>
      <c r="H92" s="28">
        <v>0</v>
      </c>
      <c r="I92" s="28">
        <v>0</v>
      </c>
      <c r="J92" s="29">
        <v>0</v>
      </c>
      <c r="K92" s="29">
        <v>0</v>
      </c>
      <c r="L92" s="15">
        <v>0</v>
      </c>
      <c r="M92" s="86">
        <v>0</v>
      </c>
      <c r="N92" s="114">
        <f t="shared" si="2"/>
        <v>0</v>
      </c>
    </row>
    <row r="93" spans="1:14">
      <c r="A93" s="21" t="s">
        <v>154</v>
      </c>
      <c r="B93" s="22" t="s">
        <v>155</v>
      </c>
      <c r="C93" s="23" t="s">
        <v>51</v>
      </c>
      <c r="D93" s="24">
        <v>728</v>
      </c>
      <c r="E93" s="25" t="s">
        <v>14</v>
      </c>
      <c r="F93" s="26">
        <v>40379</v>
      </c>
      <c r="G93" s="27">
        <v>38.333333333333336</v>
      </c>
      <c r="H93" s="28">
        <v>0.83333333333333337</v>
      </c>
      <c r="I93" s="28">
        <v>0</v>
      </c>
      <c r="J93" s="29">
        <v>0</v>
      </c>
      <c r="K93" s="29">
        <v>0</v>
      </c>
      <c r="L93" s="15">
        <v>39.166666666666671</v>
      </c>
      <c r="M93" s="86">
        <v>0</v>
      </c>
      <c r="N93" s="114">
        <f t="shared" si="2"/>
        <v>39.166666666666671</v>
      </c>
    </row>
    <row r="94" spans="1:14">
      <c r="A94" s="21" t="s">
        <v>156</v>
      </c>
      <c r="B94" s="22" t="s">
        <v>157</v>
      </c>
      <c r="C94" s="23" t="s">
        <v>34</v>
      </c>
      <c r="D94" s="24">
        <v>728</v>
      </c>
      <c r="E94" s="25" t="s">
        <v>14</v>
      </c>
      <c r="F94" s="26">
        <v>39813</v>
      </c>
      <c r="G94" s="27" t="s">
        <v>883</v>
      </c>
      <c r="H94" s="28">
        <v>0.83333333333333337</v>
      </c>
      <c r="I94" s="28">
        <v>0</v>
      </c>
      <c r="J94" s="29">
        <v>0</v>
      </c>
      <c r="K94" s="29">
        <v>0</v>
      </c>
      <c r="L94" s="15">
        <v>32.922222222222224</v>
      </c>
      <c r="M94" s="86">
        <v>0</v>
      </c>
      <c r="N94" s="114">
        <f t="shared" si="2"/>
        <v>32.922222222222224</v>
      </c>
    </row>
    <row r="95" spans="1:14">
      <c r="A95" s="21" t="s">
        <v>158</v>
      </c>
      <c r="B95" s="22" t="s">
        <v>159</v>
      </c>
      <c r="C95" s="23" t="s">
        <v>34</v>
      </c>
      <c r="D95" s="24">
        <v>728</v>
      </c>
      <c r="E95" s="25" t="s">
        <v>14</v>
      </c>
      <c r="F95" s="26">
        <v>40147</v>
      </c>
      <c r="G95" s="27">
        <v>38.333333333333336</v>
      </c>
      <c r="H95" s="28">
        <v>0.83333333333333337</v>
      </c>
      <c r="I95" s="28">
        <v>0</v>
      </c>
      <c r="J95" s="29">
        <v>0</v>
      </c>
      <c r="K95" s="29">
        <v>0</v>
      </c>
      <c r="L95" s="15">
        <v>39.166666666666671</v>
      </c>
      <c r="M95" s="86">
        <v>0</v>
      </c>
      <c r="N95" s="114">
        <f t="shared" si="2"/>
        <v>39.166666666666671</v>
      </c>
    </row>
    <row r="96" spans="1:14">
      <c r="A96" s="21" t="s">
        <v>160</v>
      </c>
      <c r="B96" s="22" t="s">
        <v>161</v>
      </c>
      <c r="C96" s="23" t="s">
        <v>34</v>
      </c>
      <c r="D96" s="24">
        <v>728</v>
      </c>
      <c r="E96" s="25" t="s">
        <v>14</v>
      </c>
      <c r="F96" s="26">
        <v>40632</v>
      </c>
      <c r="G96" s="27">
        <v>0</v>
      </c>
      <c r="H96" s="28">
        <v>0</v>
      </c>
      <c r="I96" s="28">
        <v>0</v>
      </c>
      <c r="J96" s="29">
        <v>0</v>
      </c>
      <c r="K96" s="29">
        <v>0</v>
      </c>
      <c r="L96" s="15">
        <v>0</v>
      </c>
      <c r="M96" s="86">
        <v>0</v>
      </c>
      <c r="N96" s="114">
        <f t="shared" si="2"/>
        <v>0</v>
      </c>
    </row>
    <row r="97" spans="1:14">
      <c r="A97" s="21" t="s">
        <v>164</v>
      </c>
      <c r="B97" s="22" t="s">
        <v>165</v>
      </c>
      <c r="C97" s="23" t="s">
        <v>51</v>
      </c>
      <c r="D97" s="24">
        <v>728</v>
      </c>
      <c r="E97" s="25" t="s">
        <v>14</v>
      </c>
      <c r="F97" s="26">
        <v>41913</v>
      </c>
      <c r="G97" s="27">
        <v>37.583333333333336</v>
      </c>
      <c r="H97" s="28">
        <v>5.416666666666667</v>
      </c>
      <c r="I97" s="28">
        <v>0</v>
      </c>
      <c r="J97" s="29">
        <v>0</v>
      </c>
      <c r="K97" s="29">
        <v>0</v>
      </c>
      <c r="L97" s="15">
        <v>43</v>
      </c>
      <c r="M97" s="86">
        <v>0</v>
      </c>
      <c r="N97" s="114">
        <f t="shared" si="2"/>
        <v>43</v>
      </c>
    </row>
    <row r="98" spans="1:14">
      <c r="A98" s="21" t="s">
        <v>166</v>
      </c>
      <c r="B98" s="22" t="s">
        <v>167</v>
      </c>
      <c r="C98" s="23" t="s">
        <v>34</v>
      </c>
      <c r="D98" s="24">
        <v>728</v>
      </c>
      <c r="E98" s="25" t="s">
        <v>14</v>
      </c>
      <c r="F98" s="26">
        <v>39722</v>
      </c>
      <c r="G98" s="27" t="s">
        <v>884</v>
      </c>
      <c r="H98" s="28">
        <v>1.6666666666666667</v>
      </c>
      <c r="I98" s="28">
        <v>0</v>
      </c>
      <c r="J98" s="29">
        <v>0</v>
      </c>
      <c r="K98" s="29">
        <v>0</v>
      </c>
      <c r="L98" s="15">
        <v>32.737500000000004</v>
      </c>
      <c r="M98" s="86">
        <v>0</v>
      </c>
      <c r="N98" s="114">
        <f t="shared" si="2"/>
        <v>32.737500000000004</v>
      </c>
    </row>
    <row r="99" spans="1:14">
      <c r="A99" s="21" t="s">
        <v>537</v>
      </c>
      <c r="B99" s="22" t="s">
        <v>538</v>
      </c>
      <c r="C99" s="23" t="s">
        <v>51</v>
      </c>
      <c r="D99" s="24">
        <v>1057</v>
      </c>
      <c r="E99" s="25" t="s">
        <v>14</v>
      </c>
      <c r="F99" s="26">
        <v>42187</v>
      </c>
      <c r="G99" s="27" t="s">
        <v>885</v>
      </c>
      <c r="H99" s="28">
        <v>2.5</v>
      </c>
      <c r="I99" s="28">
        <v>0.83333333333333337</v>
      </c>
      <c r="J99" s="29">
        <v>0.83333333333333337</v>
      </c>
      <c r="K99" s="29">
        <v>4.6111111111111107</v>
      </c>
      <c r="L99" s="15">
        <v>21.536111111111111</v>
      </c>
      <c r="M99" s="86">
        <v>0</v>
      </c>
      <c r="N99" s="114">
        <f t="shared" si="2"/>
        <v>21.536111111111111</v>
      </c>
    </row>
    <row r="100" spans="1:14">
      <c r="A100" s="40" t="s">
        <v>1042</v>
      </c>
      <c r="B100" s="34" t="s">
        <v>168</v>
      </c>
      <c r="C100" s="23" t="s">
        <v>51</v>
      </c>
      <c r="D100" s="24">
        <v>728</v>
      </c>
      <c r="E100" s="25" t="s">
        <v>14</v>
      </c>
      <c r="F100" s="26">
        <v>39839</v>
      </c>
      <c r="G100" s="27" t="s">
        <v>886</v>
      </c>
      <c r="H100" s="28">
        <v>0</v>
      </c>
      <c r="I100" s="28">
        <v>0</v>
      </c>
      <c r="J100" s="29">
        <v>0</v>
      </c>
      <c r="K100" s="29">
        <v>0.53749999999999964</v>
      </c>
      <c r="L100" s="15">
        <v>28.03125</v>
      </c>
      <c r="M100" s="86">
        <v>0</v>
      </c>
      <c r="N100" s="114">
        <f t="shared" si="2"/>
        <v>28.03125</v>
      </c>
    </row>
    <row r="101" spans="1:14">
      <c r="A101" s="21" t="s">
        <v>169</v>
      </c>
      <c r="B101" s="22" t="s">
        <v>170</v>
      </c>
      <c r="C101" s="23" t="s">
        <v>51</v>
      </c>
      <c r="D101" s="24">
        <v>728</v>
      </c>
      <c r="E101" s="25" t="s">
        <v>14</v>
      </c>
      <c r="F101" s="26">
        <v>38908</v>
      </c>
      <c r="G101" s="27" t="s">
        <v>887</v>
      </c>
      <c r="H101" s="28">
        <v>1.3333333333333348</v>
      </c>
      <c r="I101" s="28">
        <v>0</v>
      </c>
      <c r="J101" s="29">
        <v>0</v>
      </c>
      <c r="K101" s="29">
        <v>0.33333333333333393</v>
      </c>
      <c r="L101" s="15">
        <v>38.709722222222226</v>
      </c>
      <c r="M101" s="86">
        <v>0</v>
      </c>
      <c r="N101" s="114">
        <f t="shared" si="2"/>
        <v>38.709722222222226</v>
      </c>
    </row>
    <row r="102" spans="1:14">
      <c r="A102" s="21" t="s">
        <v>171</v>
      </c>
      <c r="B102" s="22" t="s">
        <v>172</v>
      </c>
      <c r="C102" s="23" t="s">
        <v>34</v>
      </c>
      <c r="D102" s="24">
        <v>728</v>
      </c>
      <c r="E102" s="25" t="s">
        <v>14</v>
      </c>
      <c r="F102" s="26">
        <v>39661</v>
      </c>
      <c r="G102" s="27" t="s">
        <v>888</v>
      </c>
      <c r="H102" s="28">
        <v>7.333333333333333</v>
      </c>
      <c r="I102" s="28">
        <v>7</v>
      </c>
      <c r="J102" s="29">
        <v>7</v>
      </c>
      <c r="K102" s="29">
        <v>7</v>
      </c>
      <c r="L102" s="15">
        <v>62.340277777777771</v>
      </c>
      <c r="M102" s="86">
        <v>0</v>
      </c>
      <c r="N102" s="114">
        <f t="shared" si="2"/>
        <v>62.340277777777771</v>
      </c>
    </row>
    <row r="103" spans="1:14">
      <c r="A103" s="21" t="s">
        <v>173</v>
      </c>
      <c r="B103" s="22" t="s">
        <v>174</v>
      </c>
      <c r="C103" s="23" t="s">
        <v>51</v>
      </c>
      <c r="D103" s="24">
        <v>728</v>
      </c>
      <c r="E103" s="25" t="s">
        <v>14</v>
      </c>
      <c r="F103" s="26">
        <v>43731</v>
      </c>
      <c r="G103" s="27">
        <v>38.333333333333336</v>
      </c>
      <c r="H103" s="28">
        <v>6.875</v>
      </c>
      <c r="I103" s="28">
        <v>4.166666666666667</v>
      </c>
      <c r="J103" s="29">
        <v>0</v>
      </c>
      <c r="K103" s="29">
        <v>0</v>
      </c>
      <c r="L103" s="15">
        <v>49.375</v>
      </c>
      <c r="M103" s="86">
        <v>0</v>
      </c>
      <c r="N103" s="114">
        <f t="shared" si="2"/>
        <v>49.375</v>
      </c>
    </row>
    <row r="104" spans="1:14">
      <c r="A104" s="21" t="s">
        <v>175</v>
      </c>
      <c r="B104" s="22" t="s">
        <v>176</v>
      </c>
      <c r="C104" s="23" t="s">
        <v>60</v>
      </c>
      <c r="D104" s="24">
        <v>728</v>
      </c>
      <c r="E104" s="25" t="s">
        <v>14</v>
      </c>
      <c r="F104" s="26">
        <v>39723</v>
      </c>
      <c r="G104" s="27" t="s">
        <v>889</v>
      </c>
      <c r="H104" s="28">
        <v>0</v>
      </c>
      <c r="I104" s="28">
        <v>0</v>
      </c>
      <c r="J104" s="29">
        <v>0</v>
      </c>
      <c r="K104" s="29">
        <v>0</v>
      </c>
      <c r="L104" s="15">
        <v>25.331944444444446</v>
      </c>
      <c r="M104" s="86">
        <v>0</v>
      </c>
      <c r="N104" s="114">
        <f t="shared" si="2"/>
        <v>25.331944444444446</v>
      </c>
    </row>
    <row r="105" spans="1:14">
      <c r="A105" s="41" t="s">
        <v>1043</v>
      </c>
      <c r="B105" s="22" t="s">
        <v>177</v>
      </c>
      <c r="C105" s="23" t="s">
        <v>51</v>
      </c>
      <c r="D105" s="24">
        <v>728</v>
      </c>
      <c r="E105" s="25" t="s">
        <v>14</v>
      </c>
      <c r="F105" s="26">
        <v>39661</v>
      </c>
      <c r="G105" s="27" t="s">
        <v>890</v>
      </c>
      <c r="H105" s="28">
        <v>1.6666666666666667</v>
      </c>
      <c r="I105" s="28">
        <v>0</v>
      </c>
      <c r="J105" s="29">
        <v>0</v>
      </c>
      <c r="K105" s="29">
        <v>0</v>
      </c>
      <c r="L105" s="15">
        <v>36.786805555555553</v>
      </c>
      <c r="M105" s="86">
        <v>0</v>
      </c>
      <c r="N105" s="114">
        <f t="shared" si="2"/>
        <v>36.786805555555553</v>
      </c>
    </row>
    <row r="106" spans="1:14">
      <c r="A106" s="21" t="s">
        <v>178</v>
      </c>
      <c r="B106" s="22" t="s">
        <v>179</v>
      </c>
      <c r="C106" s="23" t="s">
        <v>34</v>
      </c>
      <c r="D106" s="24">
        <v>728</v>
      </c>
      <c r="E106" s="25" t="s">
        <v>14</v>
      </c>
      <c r="F106" s="26">
        <v>39328</v>
      </c>
      <c r="G106" s="27" t="s">
        <v>891</v>
      </c>
      <c r="H106" s="28">
        <v>1.6666666666666667</v>
      </c>
      <c r="I106" s="28">
        <v>0</v>
      </c>
      <c r="J106" s="29">
        <v>0</v>
      </c>
      <c r="K106" s="29">
        <v>0</v>
      </c>
      <c r="L106" s="15">
        <v>17.203472222222221</v>
      </c>
      <c r="M106" s="86">
        <v>0</v>
      </c>
      <c r="N106" s="114">
        <f t="shared" si="2"/>
        <v>17.203472222222221</v>
      </c>
    </row>
    <row r="107" spans="1:14">
      <c r="A107" s="21" t="s">
        <v>539</v>
      </c>
      <c r="B107" s="22" t="s">
        <v>540</v>
      </c>
      <c r="C107" s="23" t="s">
        <v>51</v>
      </c>
      <c r="D107" s="24">
        <v>1057</v>
      </c>
      <c r="E107" s="25" t="s">
        <v>14</v>
      </c>
      <c r="F107" s="26">
        <v>41967</v>
      </c>
      <c r="G107" s="27" t="s">
        <v>892</v>
      </c>
      <c r="H107" s="28">
        <v>0.83333333333333337</v>
      </c>
      <c r="I107" s="28">
        <v>0.83333333333333337</v>
      </c>
      <c r="J107" s="29">
        <v>0</v>
      </c>
      <c r="K107" s="29">
        <v>0</v>
      </c>
      <c r="L107" s="15">
        <v>33.229166666666664</v>
      </c>
      <c r="M107" s="86">
        <v>0</v>
      </c>
      <c r="N107" s="114">
        <f t="shared" si="2"/>
        <v>33.229166666666664</v>
      </c>
    </row>
    <row r="108" spans="1:14">
      <c r="A108" s="21" t="s">
        <v>541</v>
      </c>
      <c r="B108" s="22" t="s">
        <v>542</v>
      </c>
      <c r="C108" s="23" t="s">
        <v>51</v>
      </c>
      <c r="D108" s="24">
        <v>1057</v>
      </c>
      <c r="E108" s="25" t="s">
        <v>14</v>
      </c>
      <c r="F108" s="26">
        <v>42501</v>
      </c>
      <c r="G108" s="27">
        <v>16.666666666666668</v>
      </c>
      <c r="H108" s="28">
        <v>0</v>
      </c>
      <c r="I108" s="28">
        <v>0</v>
      </c>
      <c r="J108" s="29">
        <v>0</v>
      </c>
      <c r="K108" s="29">
        <v>0</v>
      </c>
      <c r="L108" s="15">
        <v>16.666666666666668</v>
      </c>
      <c r="M108" s="86">
        <v>0</v>
      </c>
      <c r="N108" s="114">
        <f t="shared" si="2"/>
        <v>16.666666666666668</v>
      </c>
    </row>
    <row r="109" spans="1:14">
      <c r="A109" s="21" t="s">
        <v>180</v>
      </c>
      <c r="B109" s="22" t="s">
        <v>181</v>
      </c>
      <c r="C109" s="23" t="s">
        <v>34</v>
      </c>
      <c r="D109" s="24">
        <v>728</v>
      </c>
      <c r="E109" s="25" t="s">
        <v>14</v>
      </c>
      <c r="F109" s="26">
        <v>43374</v>
      </c>
      <c r="G109" s="27" t="s">
        <v>893</v>
      </c>
      <c r="H109" s="28">
        <v>3.3333333333333335</v>
      </c>
      <c r="I109" s="28">
        <v>0</v>
      </c>
      <c r="J109" s="29">
        <v>0</v>
      </c>
      <c r="K109" s="29">
        <v>0</v>
      </c>
      <c r="L109" s="15">
        <v>20.5625</v>
      </c>
      <c r="M109" s="86">
        <v>0</v>
      </c>
      <c r="N109" s="114">
        <f t="shared" si="2"/>
        <v>20.5625</v>
      </c>
    </row>
    <row r="110" spans="1:14">
      <c r="A110" s="21" t="s">
        <v>182</v>
      </c>
      <c r="B110" s="22" t="s">
        <v>183</v>
      </c>
      <c r="C110" s="23" t="s">
        <v>51</v>
      </c>
      <c r="D110" s="24">
        <v>728</v>
      </c>
      <c r="E110" s="25" t="s">
        <v>14</v>
      </c>
      <c r="F110" s="26">
        <v>39722</v>
      </c>
      <c r="G110" s="27" t="s">
        <v>894</v>
      </c>
      <c r="H110" s="28">
        <v>1.6666666666666667</v>
      </c>
      <c r="I110" s="28">
        <v>0</v>
      </c>
      <c r="J110" s="29">
        <v>0</v>
      </c>
      <c r="K110" s="29">
        <v>0</v>
      </c>
      <c r="L110" s="15">
        <v>27.90763888888889</v>
      </c>
      <c r="M110" s="86">
        <v>0</v>
      </c>
      <c r="N110" s="114">
        <f t="shared" si="2"/>
        <v>27.90763888888889</v>
      </c>
    </row>
    <row r="111" spans="1:14">
      <c r="A111" s="21" t="s">
        <v>184</v>
      </c>
      <c r="B111" s="22" t="s">
        <v>185</v>
      </c>
      <c r="C111" s="23" t="s">
        <v>34</v>
      </c>
      <c r="D111" s="24">
        <v>728</v>
      </c>
      <c r="E111" s="25" t="s">
        <v>14</v>
      </c>
      <c r="F111" s="26">
        <v>43249</v>
      </c>
      <c r="G111" s="27" t="s">
        <v>895</v>
      </c>
      <c r="H111" s="28">
        <v>0</v>
      </c>
      <c r="I111" s="28">
        <v>0</v>
      </c>
      <c r="J111" s="29">
        <v>0</v>
      </c>
      <c r="K111" s="29">
        <v>0</v>
      </c>
      <c r="L111" s="15">
        <v>17.738194444444442</v>
      </c>
      <c r="M111" s="86">
        <v>0</v>
      </c>
      <c r="N111" s="114">
        <f t="shared" si="2"/>
        <v>17.738194444444442</v>
      </c>
    </row>
    <row r="112" spans="1:14">
      <c r="A112" s="21" t="s">
        <v>728</v>
      </c>
      <c r="B112" s="22" t="s">
        <v>729</v>
      </c>
      <c r="C112" s="23" t="s">
        <v>51</v>
      </c>
      <c r="D112" s="24">
        <v>1057</v>
      </c>
      <c r="E112" s="25" t="s">
        <v>14</v>
      </c>
      <c r="F112" s="26">
        <v>44131</v>
      </c>
      <c r="G112" s="42" t="s">
        <v>39</v>
      </c>
      <c r="H112" s="36" t="s">
        <v>39</v>
      </c>
      <c r="I112" s="28">
        <v>0</v>
      </c>
      <c r="J112" s="29">
        <v>0</v>
      </c>
      <c r="K112" s="29">
        <v>0</v>
      </c>
      <c r="L112" s="15">
        <v>0</v>
      </c>
      <c r="M112" s="86">
        <v>0</v>
      </c>
      <c r="N112" s="114">
        <f t="shared" si="2"/>
        <v>0</v>
      </c>
    </row>
    <row r="113" spans="1:14">
      <c r="A113" s="21" t="s">
        <v>543</v>
      </c>
      <c r="B113" s="22" t="s">
        <v>544</v>
      </c>
      <c r="C113" s="23" t="s">
        <v>51</v>
      </c>
      <c r="D113" s="24">
        <v>1057</v>
      </c>
      <c r="E113" s="25" t="s">
        <v>14</v>
      </c>
      <c r="F113" s="26">
        <v>40779</v>
      </c>
      <c r="G113" s="27" t="s">
        <v>896</v>
      </c>
      <c r="H113" s="28">
        <v>4</v>
      </c>
      <c r="I113" s="28">
        <v>4.6993055555555561</v>
      </c>
      <c r="J113" s="29">
        <v>2.1604166666666664</v>
      </c>
      <c r="K113" s="29">
        <v>0.91666666666666696</v>
      </c>
      <c r="L113" s="15">
        <v>42.113888888888894</v>
      </c>
      <c r="M113" s="86">
        <v>0</v>
      </c>
      <c r="N113" s="114">
        <f t="shared" si="2"/>
        <v>42.113888888888894</v>
      </c>
    </row>
    <row r="114" spans="1:14">
      <c r="A114" s="21" t="s">
        <v>189</v>
      </c>
      <c r="B114" s="22" t="s">
        <v>190</v>
      </c>
      <c r="C114" s="23" t="s">
        <v>51</v>
      </c>
      <c r="D114" s="24">
        <v>728</v>
      </c>
      <c r="E114" s="25" t="s">
        <v>14</v>
      </c>
      <c r="F114" s="26">
        <v>39722</v>
      </c>
      <c r="G114" s="27" t="s">
        <v>897</v>
      </c>
      <c r="H114" s="28">
        <v>1.6666666666666667</v>
      </c>
      <c r="I114" s="28">
        <v>3.3333333333333335</v>
      </c>
      <c r="J114" s="29">
        <v>2.8923611111111116</v>
      </c>
      <c r="K114" s="29">
        <v>1.6881944444444441</v>
      </c>
      <c r="L114" s="15">
        <v>30.06388888888889</v>
      </c>
      <c r="M114" s="86">
        <v>0</v>
      </c>
      <c r="N114" s="114">
        <f t="shared" si="2"/>
        <v>30.06388888888889</v>
      </c>
    </row>
    <row r="115" spans="1:14">
      <c r="A115" s="21" t="s">
        <v>193</v>
      </c>
      <c r="B115" s="22" t="s">
        <v>194</v>
      </c>
      <c r="C115" s="23" t="s">
        <v>34</v>
      </c>
      <c r="D115" s="24">
        <v>728</v>
      </c>
      <c r="E115" s="25" t="s">
        <v>14</v>
      </c>
      <c r="F115" s="26">
        <v>42108</v>
      </c>
      <c r="G115" s="27" t="s">
        <v>898</v>
      </c>
      <c r="H115" s="28">
        <v>1.6666666666666667</v>
      </c>
      <c r="I115" s="28">
        <v>1.3888888888888902</v>
      </c>
      <c r="J115" s="29">
        <v>2.2159722222222218</v>
      </c>
      <c r="K115" s="29">
        <v>1.9041666666666677</v>
      </c>
      <c r="L115" s="15">
        <v>23.133333333333336</v>
      </c>
      <c r="M115" s="86">
        <v>0</v>
      </c>
      <c r="N115" s="114">
        <f t="shared" si="2"/>
        <v>23.133333333333336</v>
      </c>
    </row>
    <row r="116" spans="1:14">
      <c r="A116" s="21" t="s">
        <v>195</v>
      </c>
      <c r="B116" s="22" t="s">
        <v>196</v>
      </c>
      <c r="C116" s="23" t="s">
        <v>34</v>
      </c>
      <c r="D116" s="24">
        <v>728</v>
      </c>
      <c r="E116" s="25" t="s">
        <v>14</v>
      </c>
      <c r="F116" s="26">
        <v>39553</v>
      </c>
      <c r="G116" s="27" t="s">
        <v>899</v>
      </c>
      <c r="H116" s="28">
        <v>1.25</v>
      </c>
      <c r="I116" s="28">
        <v>0.10624999999999929</v>
      </c>
      <c r="J116" s="29">
        <v>0</v>
      </c>
      <c r="K116" s="29">
        <v>0.59513888888888911</v>
      </c>
      <c r="L116" s="15">
        <v>19.348611111111111</v>
      </c>
      <c r="M116" s="86">
        <v>0</v>
      </c>
      <c r="N116" s="114">
        <f t="shared" si="2"/>
        <v>19.348611111111111</v>
      </c>
    </row>
    <row r="117" spans="1:14">
      <c r="A117" s="21" t="s">
        <v>784</v>
      </c>
      <c r="B117" s="31" t="s">
        <v>785</v>
      </c>
      <c r="C117" s="23" t="s">
        <v>34</v>
      </c>
      <c r="D117" s="24">
        <v>728</v>
      </c>
      <c r="E117" s="25" t="s">
        <v>14</v>
      </c>
      <c r="F117" s="26">
        <v>44175</v>
      </c>
      <c r="G117" s="11" t="s">
        <v>39</v>
      </c>
      <c r="H117" s="32" t="s">
        <v>39</v>
      </c>
      <c r="I117" s="32" t="s">
        <v>39</v>
      </c>
      <c r="J117" s="12" t="s">
        <v>39</v>
      </c>
      <c r="K117" s="12">
        <v>0</v>
      </c>
      <c r="L117" s="15">
        <v>0</v>
      </c>
      <c r="M117" s="86">
        <v>0</v>
      </c>
      <c r="N117" s="114">
        <f t="shared" si="2"/>
        <v>0</v>
      </c>
    </row>
    <row r="118" spans="1:14">
      <c r="A118" s="21" t="s">
        <v>197</v>
      </c>
      <c r="B118" s="22" t="s">
        <v>198</v>
      </c>
      <c r="C118" s="23" t="s">
        <v>34</v>
      </c>
      <c r="D118" s="24">
        <v>728</v>
      </c>
      <c r="E118" s="25" t="s">
        <v>14</v>
      </c>
      <c r="F118" s="26">
        <v>42125</v>
      </c>
      <c r="G118" s="27" t="s">
        <v>900</v>
      </c>
      <c r="H118" s="28">
        <v>3.3333333333333335</v>
      </c>
      <c r="I118" s="28">
        <v>0</v>
      </c>
      <c r="J118" s="29">
        <v>1.8756944444444441</v>
      </c>
      <c r="K118" s="29">
        <v>0</v>
      </c>
      <c r="L118" s="15">
        <v>36.330555555555549</v>
      </c>
      <c r="M118" s="86">
        <v>0</v>
      </c>
      <c r="N118" s="114">
        <f t="shared" si="2"/>
        <v>36.330555555555549</v>
      </c>
    </row>
    <row r="119" spans="1:14">
      <c r="A119" s="21" t="s">
        <v>545</v>
      </c>
      <c r="B119" s="22" t="s">
        <v>546</v>
      </c>
      <c r="C119" s="23" t="s">
        <v>34</v>
      </c>
      <c r="D119" s="24">
        <v>1057</v>
      </c>
      <c r="E119" s="25" t="s">
        <v>14</v>
      </c>
      <c r="F119" s="26">
        <v>43067</v>
      </c>
      <c r="G119" s="27" t="s">
        <v>901</v>
      </c>
      <c r="H119" s="28">
        <v>1.6666666666666667</v>
      </c>
      <c r="I119" s="28">
        <v>2.7763888888888886</v>
      </c>
      <c r="J119" s="29">
        <v>1.3527777777777779</v>
      </c>
      <c r="K119" s="29">
        <v>0</v>
      </c>
      <c r="L119" s="15">
        <v>27.854166666666668</v>
      </c>
      <c r="M119" s="86">
        <v>0</v>
      </c>
      <c r="N119" s="114">
        <f t="shared" si="2"/>
        <v>27.854166666666668</v>
      </c>
    </row>
    <row r="120" spans="1:14">
      <c r="A120" s="21" t="s">
        <v>547</v>
      </c>
      <c r="B120" s="22" t="s">
        <v>548</v>
      </c>
      <c r="C120" s="23" t="s">
        <v>51</v>
      </c>
      <c r="D120" s="24">
        <v>1057</v>
      </c>
      <c r="E120" s="25" t="s">
        <v>14</v>
      </c>
      <c r="F120" s="26">
        <v>41046</v>
      </c>
      <c r="G120" s="27">
        <v>0</v>
      </c>
      <c r="H120" s="28">
        <v>0</v>
      </c>
      <c r="I120" s="28">
        <v>0.625</v>
      </c>
      <c r="J120" s="29">
        <v>0</v>
      </c>
      <c r="K120" s="29">
        <v>0</v>
      </c>
      <c r="L120" s="15">
        <v>0.625</v>
      </c>
      <c r="M120" s="86">
        <v>0</v>
      </c>
      <c r="N120" s="114">
        <f t="shared" si="2"/>
        <v>0.625</v>
      </c>
    </row>
    <row r="121" spans="1:14">
      <c r="A121" s="21" t="s">
        <v>201</v>
      </c>
      <c r="B121" s="22" t="s">
        <v>202</v>
      </c>
      <c r="C121" s="23" t="s">
        <v>51</v>
      </c>
      <c r="D121" s="24">
        <v>728</v>
      </c>
      <c r="E121" s="25" t="s">
        <v>14</v>
      </c>
      <c r="F121" s="26">
        <v>40154</v>
      </c>
      <c r="G121" s="27">
        <v>17.083333333333332</v>
      </c>
      <c r="H121" s="28">
        <v>0</v>
      </c>
      <c r="I121" s="28">
        <v>0</v>
      </c>
      <c r="J121" s="29">
        <v>0</v>
      </c>
      <c r="K121" s="29">
        <v>0</v>
      </c>
      <c r="L121" s="15">
        <v>17.083333333333332</v>
      </c>
      <c r="M121" s="86">
        <v>0</v>
      </c>
      <c r="N121" s="114">
        <f t="shared" si="2"/>
        <v>17.083333333333332</v>
      </c>
    </row>
    <row r="122" spans="1:14">
      <c r="A122" s="21" t="s">
        <v>549</v>
      </c>
      <c r="B122" s="22" t="s">
        <v>550</v>
      </c>
      <c r="C122" s="23" t="s">
        <v>34</v>
      </c>
      <c r="D122" s="24">
        <v>1057</v>
      </c>
      <c r="E122" s="25" t="s">
        <v>14</v>
      </c>
      <c r="F122" s="26">
        <v>43067</v>
      </c>
      <c r="G122" s="27" t="s">
        <v>902</v>
      </c>
      <c r="H122" s="28">
        <v>1.322222222222222</v>
      </c>
      <c r="I122" s="28">
        <v>0</v>
      </c>
      <c r="J122" s="29">
        <v>0.83333333333333337</v>
      </c>
      <c r="K122" s="29">
        <v>0</v>
      </c>
      <c r="L122" s="15">
        <v>7.7062500000000007</v>
      </c>
      <c r="M122" s="86">
        <v>0</v>
      </c>
      <c r="N122" s="114">
        <f t="shared" si="2"/>
        <v>7.7062500000000007</v>
      </c>
    </row>
    <row r="123" spans="1:14">
      <c r="A123" s="21" t="s">
        <v>203</v>
      </c>
      <c r="B123" s="22" t="s">
        <v>204</v>
      </c>
      <c r="C123" s="23" t="s">
        <v>34</v>
      </c>
      <c r="D123" s="24">
        <v>728</v>
      </c>
      <c r="E123" s="25" t="s">
        <v>14</v>
      </c>
      <c r="F123" s="26">
        <v>43374</v>
      </c>
      <c r="G123" s="27" t="s">
        <v>903</v>
      </c>
      <c r="H123" s="28">
        <v>1.6666666666666667</v>
      </c>
      <c r="I123" s="28">
        <v>0</v>
      </c>
      <c r="J123" s="29">
        <v>1.530555555555555</v>
      </c>
      <c r="K123" s="29">
        <v>0</v>
      </c>
      <c r="L123" s="15">
        <v>14.822916666666664</v>
      </c>
      <c r="M123" s="86">
        <v>0</v>
      </c>
      <c r="N123" s="114">
        <f t="shared" si="2"/>
        <v>14.822916666666664</v>
      </c>
    </row>
    <row r="124" spans="1:14">
      <c r="A124" s="21" t="s">
        <v>551</v>
      </c>
      <c r="B124" s="22" t="s">
        <v>552</v>
      </c>
      <c r="C124" s="23" t="s">
        <v>34</v>
      </c>
      <c r="D124" s="24">
        <v>1057</v>
      </c>
      <c r="E124" s="25" t="s">
        <v>14</v>
      </c>
      <c r="F124" s="26">
        <v>43794</v>
      </c>
      <c r="G124" s="27">
        <v>7.291666666666667</v>
      </c>
      <c r="H124" s="28">
        <v>0</v>
      </c>
      <c r="I124" s="28">
        <v>0</v>
      </c>
      <c r="J124" s="29">
        <v>0</v>
      </c>
      <c r="K124" s="29">
        <v>0</v>
      </c>
      <c r="L124" s="15">
        <v>7.291666666666667</v>
      </c>
      <c r="M124" s="86">
        <v>0</v>
      </c>
      <c r="N124" s="114">
        <f t="shared" si="2"/>
        <v>7.291666666666667</v>
      </c>
    </row>
    <row r="125" spans="1:14">
      <c r="A125" s="21" t="s">
        <v>555</v>
      </c>
      <c r="B125" s="22" t="s">
        <v>556</v>
      </c>
      <c r="C125" s="23" t="s">
        <v>188</v>
      </c>
      <c r="D125" s="24">
        <v>1057</v>
      </c>
      <c r="E125" s="25" t="s">
        <v>14</v>
      </c>
      <c r="F125" s="26">
        <v>41046</v>
      </c>
      <c r="G125" s="27" t="s">
        <v>904</v>
      </c>
      <c r="H125" s="28">
        <v>0</v>
      </c>
      <c r="I125" s="28">
        <v>0</v>
      </c>
      <c r="J125" s="29">
        <v>0</v>
      </c>
      <c r="K125" s="29">
        <v>0</v>
      </c>
      <c r="L125" s="15">
        <v>22.008333333333336</v>
      </c>
      <c r="M125" s="86">
        <v>0</v>
      </c>
      <c r="N125" s="114">
        <f t="shared" si="2"/>
        <v>22.008333333333336</v>
      </c>
    </row>
    <row r="126" spans="1:14">
      <c r="A126" s="21" t="s">
        <v>206</v>
      </c>
      <c r="B126" s="22" t="s">
        <v>207</v>
      </c>
      <c r="C126" s="23" t="s">
        <v>51</v>
      </c>
      <c r="D126" s="24">
        <v>728</v>
      </c>
      <c r="E126" s="25" t="s">
        <v>14</v>
      </c>
      <c r="F126" s="26">
        <v>43468</v>
      </c>
      <c r="G126" s="27" t="s">
        <v>905</v>
      </c>
      <c r="H126" s="28">
        <v>3.7347222222222216</v>
      </c>
      <c r="I126" s="28">
        <v>0</v>
      </c>
      <c r="J126" s="29">
        <v>0</v>
      </c>
      <c r="K126" s="29">
        <v>0</v>
      </c>
      <c r="L126" s="15">
        <v>38.37222222222222</v>
      </c>
      <c r="M126" s="86">
        <v>0</v>
      </c>
      <c r="N126" s="114">
        <f t="shared" si="2"/>
        <v>38.37222222222222</v>
      </c>
    </row>
    <row r="127" spans="1:14">
      <c r="A127" s="21" t="s">
        <v>208</v>
      </c>
      <c r="B127" s="22" t="s">
        <v>209</v>
      </c>
      <c r="C127" s="23" t="s">
        <v>188</v>
      </c>
      <c r="D127" s="24">
        <v>728</v>
      </c>
      <c r="E127" s="25" t="s">
        <v>14</v>
      </c>
      <c r="F127" s="26">
        <v>39722</v>
      </c>
      <c r="G127" s="27">
        <v>38.333333333333336</v>
      </c>
      <c r="H127" s="28">
        <v>3.9999999999999996</v>
      </c>
      <c r="I127" s="28">
        <v>0</v>
      </c>
      <c r="J127" s="29">
        <v>0</v>
      </c>
      <c r="K127" s="29">
        <v>0</v>
      </c>
      <c r="L127" s="15">
        <v>42.333333333333336</v>
      </c>
      <c r="M127" s="86">
        <v>0</v>
      </c>
      <c r="N127" s="114">
        <f t="shared" si="2"/>
        <v>42.333333333333336</v>
      </c>
    </row>
    <row r="128" spans="1:14">
      <c r="A128" s="21" t="s">
        <v>559</v>
      </c>
      <c r="B128" s="22" t="s">
        <v>560</v>
      </c>
      <c r="C128" s="23" t="s">
        <v>51</v>
      </c>
      <c r="D128" s="24">
        <v>1057</v>
      </c>
      <c r="E128" s="25" t="s">
        <v>14</v>
      </c>
      <c r="F128" s="26">
        <v>40070</v>
      </c>
      <c r="G128" s="27">
        <v>0</v>
      </c>
      <c r="H128" s="28">
        <v>0</v>
      </c>
      <c r="I128" s="28">
        <v>0</v>
      </c>
      <c r="J128" s="29">
        <v>0</v>
      </c>
      <c r="K128" s="29">
        <v>0</v>
      </c>
      <c r="L128" s="15">
        <v>0</v>
      </c>
      <c r="M128" s="86">
        <v>0</v>
      </c>
      <c r="N128" s="114">
        <f t="shared" si="2"/>
        <v>0</v>
      </c>
    </row>
    <row r="129" spans="1:14">
      <c r="A129" s="21" t="s">
        <v>561</v>
      </c>
      <c r="B129" s="22" t="s">
        <v>562</v>
      </c>
      <c r="C129" s="23" t="s">
        <v>34</v>
      </c>
      <c r="D129" s="24">
        <v>1057</v>
      </c>
      <c r="E129" s="25" t="s">
        <v>14</v>
      </c>
      <c r="F129" s="26">
        <v>43794</v>
      </c>
      <c r="G129" s="27" t="s">
        <v>906</v>
      </c>
      <c r="H129" s="28">
        <v>0</v>
      </c>
      <c r="I129" s="28">
        <v>0</v>
      </c>
      <c r="J129" s="29">
        <v>0</v>
      </c>
      <c r="K129" s="29">
        <v>0</v>
      </c>
      <c r="L129" s="15">
        <v>31.875694444444445</v>
      </c>
      <c r="M129" s="86">
        <v>0</v>
      </c>
      <c r="N129" s="114">
        <f t="shared" si="2"/>
        <v>31.875694444444445</v>
      </c>
    </row>
    <row r="130" spans="1:14">
      <c r="A130" s="41" t="s">
        <v>1044</v>
      </c>
      <c r="B130" s="22" t="s">
        <v>20</v>
      </c>
      <c r="C130" s="23" t="s">
        <v>13</v>
      </c>
      <c r="D130" s="24">
        <v>276</v>
      </c>
      <c r="E130" s="25" t="s">
        <v>14</v>
      </c>
      <c r="F130" s="26">
        <v>30028</v>
      </c>
      <c r="G130" s="27" t="s">
        <v>907</v>
      </c>
      <c r="H130" s="28">
        <v>0.83333333333333337</v>
      </c>
      <c r="I130" s="28">
        <v>0</v>
      </c>
      <c r="J130" s="29">
        <v>0</v>
      </c>
      <c r="K130" s="29">
        <v>0</v>
      </c>
      <c r="L130" s="15">
        <v>33.477777777777781</v>
      </c>
      <c r="M130" s="86">
        <v>0</v>
      </c>
      <c r="N130" s="114">
        <f t="shared" si="2"/>
        <v>33.477777777777781</v>
      </c>
    </row>
    <row r="131" spans="1:14">
      <c r="A131" s="21" t="s">
        <v>212</v>
      </c>
      <c r="B131" s="22" t="s">
        <v>213</v>
      </c>
      <c r="C131" s="23" t="s">
        <v>214</v>
      </c>
      <c r="D131" s="24">
        <v>728</v>
      </c>
      <c r="E131" s="25" t="s">
        <v>14</v>
      </c>
      <c r="F131" s="26">
        <v>43088</v>
      </c>
      <c r="G131" s="27" t="s">
        <v>908</v>
      </c>
      <c r="H131" s="28">
        <v>3.3333333333333335</v>
      </c>
      <c r="I131" s="28">
        <v>0</v>
      </c>
      <c r="J131" s="29">
        <v>0</v>
      </c>
      <c r="K131" s="29">
        <v>0</v>
      </c>
      <c r="L131" s="15">
        <v>17.210416666666667</v>
      </c>
      <c r="M131" s="86">
        <v>0</v>
      </c>
      <c r="N131" s="114">
        <f t="shared" si="2"/>
        <v>17.210416666666667</v>
      </c>
    </row>
    <row r="132" spans="1:14">
      <c r="A132" s="21" t="s">
        <v>216</v>
      </c>
      <c r="B132" s="49" t="s">
        <v>217</v>
      </c>
      <c r="C132" s="23" t="s">
        <v>34</v>
      </c>
      <c r="D132" s="24">
        <v>728</v>
      </c>
      <c r="E132" s="25" t="s">
        <v>14</v>
      </c>
      <c r="F132" s="26">
        <v>43724</v>
      </c>
      <c r="G132" s="27" t="s">
        <v>909</v>
      </c>
      <c r="H132" s="28">
        <v>1.6666666666666667</v>
      </c>
      <c r="I132" s="28">
        <v>0</v>
      </c>
      <c r="J132" s="29">
        <v>0</v>
      </c>
      <c r="K132" s="29">
        <v>0</v>
      </c>
      <c r="L132" s="15">
        <v>11.036111111111111</v>
      </c>
      <c r="M132" s="86">
        <v>0</v>
      </c>
      <c r="N132" s="114">
        <f t="shared" si="2"/>
        <v>11.036111111111111</v>
      </c>
    </row>
    <row r="133" spans="1:14">
      <c r="A133" s="21" t="s">
        <v>730</v>
      </c>
      <c r="B133" s="22" t="s">
        <v>731</v>
      </c>
      <c r="C133" s="23" t="s">
        <v>51</v>
      </c>
      <c r="D133" s="24">
        <v>1057</v>
      </c>
      <c r="E133" s="25" t="s">
        <v>14</v>
      </c>
      <c r="F133" s="26">
        <v>44132</v>
      </c>
      <c r="G133" s="11" t="s">
        <v>39</v>
      </c>
      <c r="H133" s="32" t="s">
        <v>39</v>
      </c>
      <c r="I133" s="32" t="s">
        <v>39</v>
      </c>
      <c r="J133" s="29">
        <v>0</v>
      </c>
      <c r="K133" s="29">
        <v>0</v>
      </c>
      <c r="L133" s="15">
        <v>0</v>
      </c>
      <c r="M133" s="86">
        <v>0</v>
      </c>
      <c r="N133" s="114">
        <f t="shared" si="2"/>
        <v>0</v>
      </c>
    </row>
    <row r="134" spans="1:14">
      <c r="A134" s="21" t="s">
        <v>563</v>
      </c>
      <c r="B134" s="22" t="s">
        <v>564</v>
      </c>
      <c r="C134" s="23" t="s">
        <v>60</v>
      </c>
      <c r="D134" s="24">
        <v>1057</v>
      </c>
      <c r="E134" s="25" t="s">
        <v>14</v>
      </c>
      <c r="F134" s="26">
        <v>43613</v>
      </c>
      <c r="G134" s="27" t="s">
        <v>910</v>
      </c>
      <c r="H134" s="28">
        <v>2.2354166666666666</v>
      </c>
      <c r="I134" s="28">
        <v>1.209027777777778</v>
      </c>
      <c r="J134" s="29">
        <v>1.0395833333333329</v>
      </c>
      <c r="K134" s="29">
        <v>2.2972222222222225</v>
      </c>
      <c r="L134" s="15">
        <v>38.509027777777774</v>
      </c>
      <c r="M134" s="86">
        <v>0</v>
      </c>
      <c r="N134" s="114">
        <f t="shared" si="2"/>
        <v>38.509027777777774</v>
      </c>
    </row>
    <row r="135" spans="1:14">
      <c r="A135" s="21" t="s">
        <v>565</v>
      </c>
      <c r="B135" s="22" t="s">
        <v>566</v>
      </c>
      <c r="C135" s="23" t="s">
        <v>51</v>
      </c>
      <c r="D135" s="24">
        <v>1057</v>
      </c>
      <c r="E135" s="25" t="s">
        <v>14</v>
      </c>
      <c r="F135" s="26">
        <v>43825</v>
      </c>
      <c r="G135" s="27">
        <v>0</v>
      </c>
      <c r="H135" s="28">
        <v>0</v>
      </c>
      <c r="I135" s="28">
        <v>0</v>
      </c>
      <c r="J135" s="29">
        <v>0</v>
      </c>
      <c r="K135" s="29">
        <v>0</v>
      </c>
      <c r="L135" s="15">
        <v>0</v>
      </c>
      <c r="M135" s="86">
        <v>0</v>
      </c>
      <c r="N135" s="114">
        <f t="shared" si="2"/>
        <v>0</v>
      </c>
    </row>
    <row r="136" spans="1:14">
      <c r="A136" s="21" t="s">
        <v>567</v>
      </c>
      <c r="B136" s="22" t="s">
        <v>568</v>
      </c>
      <c r="C136" s="23" t="s">
        <v>51</v>
      </c>
      <c r="D136" s="24">
        <v>1057</v>
      </c>
      <c r="E136" s="25" t="s">
        <v>14</v>
      </c>
      <c r="F136" s="26">
        <v>42200</v>
      </c>
      <c r="G136" s="27">
        <v>16.666666666666668</v>
      </c>
      <c r="H136" s="28">
        <v>0</v>
      </c>
      <c r="I136" s="28">
        <v>0</v>
      </c>
      <c r="J136" s="29">
        <v>0</v>
      </c>
      <c r="K136" s="29">
        <v>0</v>
      </c>
      <c r="L136" s="15">
        <v>16.666666666666668</v>
      </c>
      <c r="M136" s="86">
        <v>0</v>
      </c>
      <c r="N136" s="114">
        <f t="shared" si="2"/>
        <v>16.666666666666668</v>
      </c>
    </row>
    <row r="137" spans="1:14">
      <c r="A137" s="21" t="s">
        <v>218</v>
      </c>
      <c r="B137" s="22" t="s">
        <v>219</v>
      </c>
      <c r="C137" s="23" t="s">
        <v>51</v>
      </c>
      <c r="D137" s="24">
        <v>728</v>
      </c>
      <c r="E137" s="25" t="s">
        <v>14</v>
      </c>
      <c r="F137" s="26">
        <v>41913</v>
      </c>
      <c r="G137" s="27">
        <v>38.333333333333336</v>
      </c>
      <c r="H137" s="28">
        <v>7.333333333333333</v>
      </c>
      <c r="I137" s="28">
        <v>0</v>
      </c>
      <c r="J137" s="29">
        <v>0</v>
      </c>
      <c r="K137" s="29">
        <v>0</v>
      </c>
      <c r="L137" s="15">
        <v>45.666666666666671</v>
      </c>
      <c r="M137" s="86">
        <v>0</v>
      </c>
      <c r="N137" s="114">
        <f t="shared" si="2"/>
        <v>45.666666666666671</v>
      </c>
    </row>
    <row r="138" spans="1:14">
      <c r="A138" s="21" t="s">
        <v>220</v>
      </c>
      <c r="B138" s="22" t="s">
        <v>221</v>
      </c>
      <c r="C138" s="23" t="s">
        <v>51</v>
      </c>
      <c r="D138" s="24">
        <v>728</v>
      </c>
      <c r="E138" s="25" t="s">
        <v>14</v>
      </c>
      <c r="F138" s="26">
        <v>39722</v>
      </c>
      <c r="G138" s="27">
        <v>0</v>
      </c>
      <c r="H138" s="28">
        <v>3.3333333333333335</v>
      </c>
      <c r="I138" s="28">
        <v>0</v>
      </c>
      <c r="J138" s="29">
        <v>0</v>
      </c>
      <c r="K138" s="29">
        <v>0</v>
      </c>
      <c r="L138" s="15">
        <v>3.3333333333333335</v>
      </c>
      <c r="M138" s="86">
        <v>0</v>
      </c>
      <c r="N138" s="114">
        <f t="shared" si="2"/>
        <v>3.3333333333333335</v>
      </c>
    </row>
    <row r="139" spans="1:14">
      <c r="A139" s="21" t="s">
        <v>791</v>
      </c>
      <c r="B139" s="31" t="s">
        <v>788</v>
      </c>
      <c r="C139" s="23" t="s">
        <v>51</v>
      </c>
      <c r="D139" s="24">
        <v>1057</v>
      </c>
      <c r="E139" s="25" t="s">
        <v>14</v>
      </c>
      <c r="F139" s="26">
        <v>44181</v>
      </c>
      <c r="G139" s="11" t="s">
        <v>39</v>
      </c>
      <c r="H139" s="32" t="s">
        <v>39</v>
      </c>
      <c r="I139" s="32" t="s">
        <v>39</v>
      </c>
      <c r="J139" s="12" t="s">
        <v>39</v>
      </c>
      <c r="K139" s="29">
        <v>0</v>
      </c>
      <c r="L139" s="15">
        <v>0</v>
      </c>
      <c r="M139" s="86">
        <v>0</v>
      </c>
      <c r="N139" s="114">
        <f t="shared" ref="N139:N202" si="3">L139+M139</f>
        <v>0</v>
      </c>
    </row>
    <row r="140" spans="1:14">
      <c r="A140" s="21" t="s">
        <v>222</v>
      </c>
      <c r="B140" s="22" t="s">
        <v>223</v>
      </c>
      <c r="C140" s="23" t="s">
        <v>34</v>
      </c>
      <c r="D140" s="24">
        <v>728</v>
      </c>
      <c r="E140" s="25" t="s">
        <v>14</v>
      </c>
      <c r="F140" s="26">
        <v>37474</v>
      </c>
      <c r="G140" s="27" t="s">
        <v>911</v>
      </c>
      <c r="H140" s="28">
        <v>3.3333333333333335</v>
      </c>
      <c r="I140" s="28">
        <v>0.83333333333333337</v>
      </c>
      <c r="J140" s="29">
        <v>0</v>
      </c>
      <c r="K140" s="29">
        <v>0</v>
      </c>
      <c r="L140" s="15">
        <v>33.988194444444446</v>
      </c>
      <c r="M140" s="86">
        <v>0</v>
      </c>
      <c r="N140" s="114">
        <f t="shared" si="3"/>
        <v>33.988194444444446</v>
      </c>
    </row>
    <row r="141" spans="1:14">
      <c r="A141" s="21" t="s">
        <v>224</v>
      </c>
      <c r="B141" s="22" t="s">
        <v>225</v>
      </c>
      <c r="C141" s="23" t="s">
        <v>34</v>
      </c>
      <c r="D141" s="24">
        <v>728</v>
      </c>
      <c r="E141" s="25" t="s">
        <v>14</v>
      </c>
      <c r="F141" s="26">
        <v>41680</v>
      </c>
      <c r="G141" s="27" t="s">
        <v>912</v>
      </c>
      <c r="H141" s="28">
        <v>2.5</v>
      </c>
      <c r="I141" s="28">
        <v>0</v>
      </c>
      <c r="J141" s="29">
        <v>0</v>
      </c>
      <c r="K141" s="29">
        <v>0</v>
      </c>
      <c r="L141" s="15">
        <v>40.461111111111116</v>
      </c>
      <c r="M141" s="86">
        <v>0</v>
      </c>
      <c r="N141" s="114">
        <f t="shared" si="3"/>
        <v>40.461111111111116</v>
      </c>
    </row>
    <row r="142" spans="1:14">
      <c r="A142" s="21" t="s">
        <v>226</v>
      </c>
      <c r="B142" s="22" t="s">
        <v>227</v>
      </c>
      <c r="C142" s="23" t="s">
        <v>34</v>
      </c>
      <c r="D142" s="24">
        <v>728</v>
      </c>
      <c r="E142" s="25" t="s">
        <v>14</v>
      </c>
      <c r="F142" s="26">
        <v>36671</v>
      </c>
      <c r="G142" s="27">
        <v>36.833333333333336</v>
      </c>
      <c r="H142" s="28">
        <v>7.333333333333333</v>
      </c>
      <c r="I142" s="28">
        <v>4.166666666666667</v>
      </c>
      <c r="J142" s="29">
        <v>0</v>
      </c>
      <c r="K142" s="29">
        <v>0</v>
      </c>
      <c r="L142" s="15">
        <v>48.333333333333336</v>
      </c>
      <c r="M142" s="86">
        <v>0</v>
      </c>
      <c r="N142" s="114">
        <f t="shared" si="3"/>
        <v>48.333333333333336</v>
      </c>
    </row>
    <row r="143" spans="1:14">
      <c r="A143" s="21" t="s">
        <v>228</v>
      </c>
      <c r="B143" s="22" t="s">
        <v>229</v>
      </c>
      <c r="C143" s="23" t="s">
        <v>34</v>
      </c>
      <c r="D143" s="24">
        <v>728</v>
      </c>
      <c r="E143" s="25" t="s">
        <v>14</v>
      </c>
      <c r="F143" s="26">
        <v>42089</v>
      </c>
      <c r="G143" s="27">
        <v>29.666666666666668</v>
      </c>
      <c r="H143" s="28">
        <v>0</v>
      </c>
      <c r="I143" s="28">
        <v>0</v>
      </c>
      <c r="J143" s="29">
        <v>0</v>
      </c>
      <c r="K143" s="29">
        <v>0</v>
      </c>
      <c r="L143" s="15">
        <v>29.666666666666668</v>
      </c>
      <c r="M143" s="86">
        <v>0</v>
      </c>
      <c r="N143" s="114">
        <f t="shared" si="3"/>
        <v>29.666666666666668</v>
      </c>
    </row>
    <row r="144" spans="1:14">
      <c r="A144" s="21" t="s">
        <v>232</v>
      </c>
      <c r="B144" s="22" t="s">
        <v>233</v>
      </c>
      <c r="C144" s="23" t="s">
        <v>51</v>
      </c>
      <c r="D144" s="24">
        <v>728</v>
      </c>
      <c r="E144" s="25" t="s">
        <v>14</v>
      </c>
      <c r="F144" s="26">
        <v>39722</v>
      </c>
      <c r="G144" s="27">
        <v>38.333333333333336</v>
      </c>
      <c r="H144" s="28">
        <v>7.333333333333333</v>
      </c>
      <c r="I144" s="28">
        <v>7</v>
      </c>
      <c r="J144" s="29">
        <v>0</v>
      </c>
      <c r="K144" s="29">
        <v>0</v>
      </c>
      <c r="L144" s="15">
        <v>52.666666666666671</v>
      </c>
      <c r="M144" s="86">
        <v>0</v>
      </c>
      <c r="N144" s="114">
        <f t="shared" si="3"/>
        <v>52.666666666666671</v>
      </c>
    </row>
    <row r="145" spans="1:14">
      <c r="A145" s="21" t="s">
        <v>571</v>
      </c>
      <c r="B145" s="22" t="s">
        <v>572</v>
      </c>
      <c r="C145" s="23" t="s">
        <v>34</v>
      </c>
      <c r="D145" s="24">
        <v>1057</v>
      </c>
      <c r="E145" s="25" t="s">
        <v>14</v>
      </c>
      <c r="F145" s="26">
        <v>43794</v>
      </c>
      <c r="G145" s="27" t="s">
        <v>913</v>
      </c>
      <c r="H145" s="28">
        <v>1.25</v>
      </c>
      <c r="I145" s="28">
        <v>1.25</v>
      </c>
      <c r="J145" s="29">
        <v>1.25</v>
      </c>
      <c r="K145" s="29">
        <v>1.1958333333333329</v>
      </c>
      <c r="L145" s="15">
        <v>41.642361111111114</v>
      </c>
      <c r="M145" s="86">
        <v>0</v>
      </c>
      <c r="N145" s="114">
        <f t="shared" si="3"/>
        <v>41.642361111111114</v>
      </c>
    </row>
    <row r="146" spans="1:14">
      <c r="A146" s="21" t="s">
        <v>573</v>
      </c>
      <c r="B146" s="37" t="s">
        <v>812</v>
      </c>
      <c r="C146" s="23" t="s">
        <v>34</v>
      </c>
      <c r="D146" s="24">
        <v>1057</v>
      </c>
      <c r="E146" s="25" t="s">
        <v>14</v>
      </c>
      <c r="F146" s="26">
        <v>43067</v>
      </c>
      <c r="G146" s="27" t="s">
        <v>914</v>
      </c>
      <c r="H146" s="28">
        <v>1.25</v>
      </c>
      <c r="I146" s="28">
        <v>0.27638888888888857</v>
      </c>
      <c r="J146" s="29">
        <v>0.83333333333333337</v>
      </c>
      <c r="K146" s="29">
        <v>0.90555555555555589</v>
      </c>
      <c r="L146" s="15">
        <v>38.858333333333334</v>
      </c>
      <c r="M146" s="86">
        <v>0</v>
      </c>
      <c r="N146" s="114">
        <f t="shared" si="3"/>
        <v>38.858333333333334</v>
      </c>
    </row>
    <row r="147" spans="1:14">
      <c r="A147" s="21" t="s">
        <v>574</v>
      </c>
      <c r="B147" s="22" t="s">
        <v>575</v>
      </c>
      <c r="C147" s="23" t="s">
        <v>51</v>
      </c>
      <c r="D147" s="24">
        <v>1057</v>
      </c>
      <c r="E147" s="25" t="s">
        <v>14</v>
      </c>
      <c r="F147" s="26">
        <v>43794</v>
      </c>
      <c r="G147" s="27" t="s">
        <v>915</v>
      </c>
      <c r="H147" s="28">
        <v>0.83333333333333337</v>
      </c>
      <c r="I147" s="28">
        <v>0</v>
      </c>
      <c r="J147" s="29">
        <v>0</v>
      </c>
      <c r="K147" s="29">
        <v>0</v>
      </c>
      <c r="L147" s="15">
        <v>34.670138888888893</v>
      </c>
      <c r="M147" s="86">
        <v>0</v>
      </c>
      <c r="N147" s="114">
        <f t="shared" si="3"/>
        <v>34.670138888888893</v>
      </c>
    </row>
    <row r="148" spans="1:14">
      <c r="A148" s="21" t="s">
        <v>576</v>
      </c>
      <c r="B148" s="22" t="s">
        <v>577</v>
      </c>
      <c r="C148" s="23" t="s">
        <v>51</v>
      </c>
      <c r="D148" s="24">
        <v>1057</v>
      </c>
      <c r="E148" s="25" t="s">
        <v>14</v>
      </c>
      <c r="F148" s="26">
        <v>44132</v>
      </c>
      <c r="G148" s="43" t="s">
        <v>39</v>
      </c>
      <c r="H148" s="32" t="s">
        <v>39</v>
      </c>
      <c r="I148" s="28">
        <v>0</v>
      </c>
      <c r="J148" s="29">
        <v>0</v>
      </c>
      <c r="K148" s="29">
        <v>0</v>
      </c>
      <c r="L148" s="15">
        <v>0</v>
      </c>
      <c r="M148" s="86">
        <v>0</v>
      </c>
      <c r="N148" s="114">
        <f t="shared" si="3"/>
        <v>0</v>
      </c>
    </row>
    <row r="149" spans="1:14">
      <c r="A149" s="21" t="s">
        <v>578</v>
      </c>
      <c r="B149" s="22" t="s">
        <v>579</v>
      </c>
      <c r="C149" s="23" t="s">
        <v>34</v>
      </c>
      <c r="D149" s="24">
        <v>1057</v>
      </c>
      <c r="E149" s="25" t="s">
        <v>14</v>
      </c>
      <c r="F149" s="26">
        <v>43794</v>
      </c>
      <c r="G149" s="27" t="s">
        <v>916</v>
      </c>
      <c r="H149" s="28">
        <v>1.6666666666666667</v>
      </c>
      <c r="I149" s="28">
        <v>0</v>
      </c>
      <c r="J149" s="29">
        <v>0</v>
      </c>
      <c r="K149" s="29">
        <v>0</v>
      </c>
      <c r="L149" s="15">
        <v>32.84791666666667</v>
      </c>
      <c r="M149" s="86">
        <v>0</v>
      </c>
      <c r="N149" s="114">
        <f t="shared" si="3"/>
        <v>32.84791666666667</v>
      </c>
    </row>
    <row r="150" spans="1:14">
      <c r="A150" s="21" t="s">
        <v>580</v>
      </c>
      <c r="B150" s="22" t="s">
        <v>581</v>
      </c>
      <c r="C150" s="23" t="s">
        <v>34</v>
      </c>
      <c r="D150" s="24">
        <v>1057</v>
      </c>
      <c r="E150" s="25" t="s">
        <v>14</v>
      </c>
      <c r="F150" s="26">
        <v>43794</v>
      </c>
      <c r="G150" s="27" t="s">
        <v>917</v>
      </c>
      <c r="H150" s="28">
        <v>1.6666666666666667</v>
      </c>
      <c r="I150" s="28">
        <v>0</v>
      </c>
      <c r="J150" s="29">
        <v>0</v>
      </c>
      <c r="K150" s="29">
        <v>0</v>
      </c>
      <c r="L150" s="15">
        <v>34.208333333333329</v>
      </c>
      <c r="M150" s="86">
        <v>0</v>
      </c>
      <c r="N150" s="114">
        <f t="shared" si="3"/>
        <v>34.208333333333329</v>
      </c>
    </row>
    <row r="151" spans="1:14">
      <c r="A151" s="21" t="s">
        <v>732</v>
      </c>
      <c r="B151" s="22" t="s">
        <v>733</v>
      </c>
      <c r="C151" s="23" t="s">
        <v>51</v>
      </c>
      <c r="D151" s="24">
        <v>1057</v>
      </c>
      <c r="E151" s="25" t="s">
        <v>14</v>
      </c>
      <c r="F151" s="26">
        <v>44131</v>
      </c>
      <c r="G151" s="11" t="s">
        <v>39</v>
      </c>
      <c r="H151" s="32" t="s">
        <v>39</v>
      </c>
      <c r="I151" s="28">
        <v>0</v>
      </c>
      <c r="J151" s="29">
        <v>0</v>
      </c>
      <c r="K151" s="29">
        <v>0</v>
      </c>
      <c r="L151" s="15">
        <v>0</v>
      </c>
      <c r="M151" s="86">
        <v>0</v>
      </c>
      <c r="N151" s="114">
        <f t="shared" si="3"/>
        <v>0</v>
      </c>
    </row>
    <row r="152" spans="1:14">
      <c r="A152" s="21" t="s">
        <v>582</v>
      </c>
      <c r="B152" s="22" t="s">
        <v>583</v>
      </c>
      <c r="C152" s="23" t="s">
        <v>34</v>
      </c>
      <c r="D152" s="24">
        <v>1057</v>
      </c>
      <c r="E152" s="25" t="s">
        <v>14</v>
      </c>
      <c r="F152" s="26">
        <v>43773</v>
      </c>
      <c r="G152" s="27" t="s">
        <v>918</v>
      </c>
      <c r="H152" s="28">
        <v>0</v>
      </c>
      <c r="I152" s="28">
        <v>0</v>
      </c>
      <c r="J152" s="29">
        <v>0</v>
      </c>
      <c r="K152" s="29">
        <v>0</v>
      </c>
      <c r="L152" s="15">
        <v>22.147916666666664</v>
      </c>
      <c r="M152" s="86">
        <v>0</v>
      </c>
      <c r="N152" s="114">
        <f t="shared" si="3"/>
        <v>22.147916666666664</v>
      </c>
    </row>
    <row r="153" spans="1:14">
      <c r="A153" s="21" t="s">
        <v>234</v>
      </c>
      <c r="B153" s="22" t="s">
        <v>235</v>
      </c>
      <c r="C153" s="23" t="s">
        <v>51</v>
      </c>
      <c r="D153" s="24">
        <v>728</v>
      </c>
      <c r="E153" s="25" t="s">
        <v>14</v>
      </c>
      <c r="F153" s="26">
        <v>37153</v>
      </c>
      <c r="G153" s="27">
        <v>27.083333333333332</v>
      </c>
      <c r="H153" s="28">
        <v>0</v>
      </c>
      <c r="I153" s="28">
        <v>0</v>
      </c>
      <c r="J153" s="29">
        <v>0</v>
      </c>
      <c r="K153" s="29">
        <v>0</v>
      </c>
      <c r="L153" s="15">
        <v>27.083333333333332</v>
      </c>
      <c r="M153" s="86">
        <v>0</v>
      </c>
      <c r="N153" s="114">
        <f t="shared" si="3"/>
        <v>27.083333333333332</v>
      </c>
    </row>
    <row r="154" spans="1:14">
      <c r="A154" s="21" t="s">
        <v>584</v>
      </c>
      <c r="B154" s="22" t="s">
        <v>585</v>
      </c>
      <c r="C154" s="23" t="s">
        <v>51</v>
      </c>
      <c r="D154" s="24">
        <v>1057</v>
      </c>
      <c r="E154" s="25" t="s">
        <v>14</v>
      </c>
      <c r="F154" s="26">
        <v>43138</v>
      </c>
      <c r="G154" s="27" t="s">
        <v>919</v>
      </c>
      <c r="H154" s="28">
        <v>1.6666666666666667</v>
      </c>
      <c r="I154" s="28">
        <v>0</v>
      </c>
      <c r="J154" s="29">
        <v>0</v>
      </c>
      <c r="K154" s="29">
        <v>0</v>
      </c>
      <c r="L154" s="15">
        <v>38.124305555555551</v>
      </c>
      <c r="M154" s="86">
        <v>0</v>
      </c>
      <c r="N154" s="114">
        <f t="shared" si="3"/>
        <v>38.124305555555551</v>
      </c>
    </row>
    <row r="155" spans="1:14">
      <c r="A155" s="21" t="s">
        <v>237</v>
      </c>
      <c r="B155" s="22" t="s">
        <v>238</v>
      </c>
      <c r="C155" s="23" t="s">
        <v>34</v>
      </c>
      <c r="D155" s="24">
        <v>728</v>
      </c>
      <c r="E155" s="25" t="s">
        <v>14</v>
      </c>
      <c r="F155" s="26">
        <v>42619</v>
      </c>
      <c r="G155" s="27">
        <v>0</v>
      </c>
      <c r="H155" s="28">
        <v>1.6666666666666667</v>
      </c>
      <c r="I155" s="28">
        <v>0</v>
      </c>
      <c r="J155" s="29">
        <v>0</v>
      </c>
      <c r="K155" s="29">
        <v>0</v>
      </c>
      <c r="L155" s="15">
        <v>1.6666666666666667</v>
      </c>
      <c r="M155" s="86">
        <v>0</v>
      </c>
      <c r="N155" s="114">
        <f t="shared" si="3"/>
        <v>1.6666666666666667</v>
      </c>
    </row>
    <row r="156" spans="1:14">
      <c r="A156" s="21" t="s">
        <v>239</v>
      </c>
      <c r="B156" s="22" t="s">
        <v>240</v>
      </c>
      <c r="C156" s="23" t="s">
        <v>51</v>
      </c>
      <c r="D156" s="24">
        <v>728</v>
      </c>
      <c r="E156" s="25" t="s">
        <v>14</v>
      </c>
      <c r="F156" s="26">
        <v>41127</v>
      </c>
      <c r="G156" s="27" t="s">
        <v>920</v>
      </c>
      <c r="H156" s="28">
        <v>0</v>
      </c>
      <c r="I156" s="28">
        <v>0</v>
      </c>
      <c r="J156" s="29">
        <v>0</v>
      </c>
      <c r="K156" s="29">
        <v>0</v>
      </c>
      <c r="L156" s="15">
        <v>38.116666666666667</v>
      </c>
      <c r="M156" s="86">
        <v>0</v>
      </c>
      <c r="N156" s="114">
        <f t="shared" si="3"/>
        <v>38.116666666666667</v>
      </c>
    </row>
    <row r="157" spans="1:14">
      <c r="A157" s="21" t="s">
        <v>720</v>
      </c>
      <c r="B157" s="22" t="s">
        <v>721</v>
      </c>
      <c r="C157" s="23" t="s">
        <v>51</v>
      </c>
      <c r="D157" s="24">
        <v>728</v>
      </c>
      <c r="E157" s="25" t="s">
        <v>14</v>
      </c>
      <c r="F157" s="26">
        <v>44097</v>
      </c>
      <c r="G157" s="11" t="s">
        <v>39</v>
      </c>
      <c r="H157" s="32">
        <v>0</v>
      </c>
      <c r="I157" s="32" t="s">
        <v>39</v>
      </c>
      <c r="J157" s="29">
        <v>0</v>
      </c>
      <c r="K157" s="29">
        <v>0</v>
      </c>
      <c r="L157" s="15">
        <v>0</v>
      </c>
      <c r="M157" s="86">
        <v>0</v>
      </c>
      <c r="N157" s="114">
        <f t="shared" si="3"/>
        <v>0</v>
      </c>
    </row>
    <row r="158" spans="1:14">
      <c r="A158" s="21" t="s">
        <v>241</v>
      </c>
      <c r="B158" s="22" t="s">
        <v>242</v>
      </c>
      <c r="C158" s="23" t="s">
        <v>34</v>
      </c>
      <c r="D158" s="24">
        <v>728</v>
      </c>
      <c r="E158" s="25" t="s">
        <v>14</v>
      </c>
      <c r="F158" s="26">
        <v>43693</v>
      </c>
      <c r="G158" s="27">
        <v>0</v>
      </c>
      <c r="H158" s="28">
        <v>3.0986111111111114</v>
      </c>
      <c r="I158" s="28">
        <v>0</v>
      </c>
      <c r="J158" s="29">
        <v>1.0194444444444448</v>
      </c>
      <c r="K158" s="29">
        <v>0</v>
      </c>
      <c r="L158" s="15">
        <v>4.1180555555555562</v>
      </c>
      <c r="M158" s="86">
        <v>0</v>
      </c>
      <c r="N158" s="114">
        <f t="shared" si="3"/>
        <v>4.1180555555555562</v>
      </c>
    </row>
    <row r="159" spans="1:14">
      <c r="A159" s="21" t="s">
        <v>243</v>
      </c>
      <c r="B159" s="22" t="s">
        <v>244</v>
      </c>
      <c r="C159" s="23" t="s">
        <v>51</v>
      </c>
      <c r="D159" s="24">
        <v>728</v>
      </c>
      <c r="E159" s="25" t="s">
        <v>14</v>
      </c>
      <c r="F159" s="26">
        <v>43132</v>
      </c>
      <c r="G159" s="27" t="s">
        <v>921</v>
      </c>
      <c r="H159" s="28">
        <v>0.83333333333333337</v>
      </c>
      <c r="I159" s="28">
        <v>0.90833333333333233</v>
      </c>
      <c r="J159" s="29">
        <v>0.17013888888888751</v>
      </c>
      <c r="K159" s="29">
        <v>0.4229166666666675</v>
      </c>
      <c r="L159" s="15">
        <v>36.342361111111103</v>
      </c>
      <c r="M159" s="86">
        <v>0</v>
      </c>
      <c r="N159" s="114">
        <f t="shared" si="3"/>
        <v>36.342361111111103</v>
      </c>
    </row>
    <row r="160" spans="1:14">
      <c r="A160" s="21" t="s">
        <v>245</v>
      </c>
      <c r="B160" s="22" t="s">
        <v>246</v>
      </c>
      <c r="C160" s="23" t="s">
        <v>34</v>
      </c>
      <c r="D160" s="24">
        <v>728</v>
      </c>
      <c r="E160" s="25" t="s">
        <v>14</v>
      </c>
      <c r="F160" s="26">
        <v>43010</v>
      </c>
      <c r="G160" s="27" t="s">
        <v>922</v>
      </c>
      <c r="H160" s="28">
        <v>3.3333333333333335</v>
      </c>
      <c r="I160" s="28">
        <v>0.75972222222222197</v>
      </c>
      <c r="J160" s="29">
        <v>0.75208333333333321</v>
      </c>
      <c r="K160" s="29">
        <v>0</v>
      </c>
      <c r="L160" s="15">
        <v>31.914583333333333</v>
      </c>
      <c r="M160" s="86">
        <v>0</v>
      </c>
      <c r="N160" s="114">
        <f t="shared" si="3"/>
        <v>31.914583333333333</v>
      </c>
    </row>
    <row r="161" spans="1:14">
      <c r="A161" s="21" t="s">
        <v>792</v>
      </c>
      <c r="B161" s="31" t="s">
        <v>783</v>
      </c>
      <c r="C161" s="23" t="s">
        <v>34</v>
      </c>
      <c r="D161" s="24">
        <v>1057</v>
      </c>
      <c r="E161" s="25" t="s">
        <v>14</v>
      </c>
      <c r="F161" s="26">
        <v>44181</v>
      </c>
      <c r="G161" s="11" t="s">
        <v>39</v>
      </c>
      <c r="H161" s="32" t="s">
        <v>39</v>
      </c>
      <c r="I161" s="32" t="s">
        <v>39</v>
      </c>
      <c r="J161" s="44" t="s">
        <v>39</v>
      </c>
      <c r="K161" s="29">
        <v>0</v>
      </c>
      <c r="L161" s="15">
        <v>0</v>
      </c>
      <c r="M161" s="86">
        <v>0</v>
      </c>
      <c r="N161" s="114">
        <f t="shared" si="3"/>
        <v>0</v>
      </c>
    </row>
    <row r="162" spans="1:14">
      <c r="A162" s="21" t="s">
        <v>248</v>
      </c>
      <c r="B162" s="22" t="s">
        <v>249</v>
      </c>
      <c r="C162" s="23" t="s">
        <v>34</v>
      </c>
      <c r="D162" s="24">
        <v>728</v>
      </c>
      <c r="E162" s="25" t="s">
        <v>14</v>
      </c>
      <c r="F162" s="26">
        <v>37119</v>
      </c>
      <c r="G162" s="27" t="s">
        <v>923</v>
      </c>
      <c r="H162" s="28">
        <v>1.6666666666666667</v>
      </c>
      <c r="I162" s="28">
        <v>0.52638888888888946</v>
      </c>
      <c r="J162" s="29">
        <v>0</v>
      </c>
      <c r="K162" s="29">
        <v>1.5270833333333345</v>
      </c>
      <c r="L162" s="15">
        <v>19.620138888888892</v>
      </c>
      <c r="M162" s="86">
        <v>0</v>
      </c>
      <c r="N162" s="114">
        <f t="shared" si="3"/>
        <v>19.620138888888892</v>
      </c>
    </row>
    <row r="163" spans="1:14">
      <c r="A163" s="21" t="s">
        <v>250</v>
      </c>
      <c r="B163" s="22" t="s">
        <v>251</v>
      </c>
      <c r="C163" s="23" t="s">
        <v>34</v>
      </c>
      <c r="D163" s="24">
        <v>728</v>
      </c>
      <c r="E163" s="25" t="s">
        <v>14</v>
      </c>
      <c r="F163" s="26">
        <v>39722</v>
      </c>
      <c r="G163" s="27" t="s">
        <v>924</v>
      </c>
      <c r="H163" s="28">
        <v>3.3333333333333335</v>
      </c>
      <c r="I163" s="28">
        <v>1.6666666666666667</v>
      </c>
      <c r="J163" s="29">
        <v>7</v>
      </c>
      <c r="K163" s="29">
        <v>3</v>
      </c>
      <c r="L163" s="15">
        <v>43.124305555555551</v>
      </c>
      <c r="M163" s="86">
        <v>0</v>
      </c>
      <c r="N163" s="114">
        <f t="shared" si="3"/>
        <v>43.124305555555551</v>
      </c>
    </row>
    <row r="164" spans="1:14">
      <c r="A164" s="21" t="s">
        <v>586</v>
      </c>
      <c r="B164" s="123" t="s">
        <v>587</v>
      </c>
      <c r="C164" s="23" t="s">
        <v>51</v>
      </c>
      <c r="D164" s="24">
        <v>1057</v>
      </c>
      <c r="E164" s="25" t="s">
        <v>14</v>
      </c>
      <c r="F164" s="26">
        <v>41443</v>
      </c>
      <c r="G164" s="27" t="s">
        <v>925</v>
      </c>
      <c r="H164" s="28">
        <v>7.333333333333333</v>
      </c>
      <c r="I164" s="28">
        <v>7</v>
      </c>
      <c r="J164" s="29">
        <v>7</v>
      </c>
      <c r="K164" s="29">
        <v>7</v>
      </c>
      <c r="L164" s="15">
        <v>66.361111111111114</v>
      </c>
      <c r="M164" s="86">
        <v>81.666666666666671</v>
      </c>
      <c r="N164" s="114">
        <f t="shared" si="3"/>
        <v>148.02777777777777</v>
      </c>
    </row>
    <row r="165" spans="1:14">
      <c r="A165" s="21" t="s">
        <v>256</v>
      </c>
      <c r="B165" s="22" t="s">
        <v>257</v>
      </c>
      <c r="C165" s="23" t="s">
        <v>34</v>
      </c>
      <c r="D165" s="24">
        <v>728</v>
      </c>
      <c r="E165" s="25" t="s">
        <v>14</v>
      </c>
      <c r="F165" s="26">
        <v>40525</v>
      </c>
      <c r="G165" s="27" t="s">
        <v>926</v>
      </c>
      <c r="H165" s="28">
        <v>2.8534722222222229</v>
      </c>
      <c r="I165" s="28">
        <v>0.83333333333333337</v>
      </c>
      <c r="J165" s="29">
        <v>0</v>
      </c>
      <c r="K165" s="29">
        <v>0</v>
      </c>
      <c r="L165" s="15">
        <v>33.979166666666664</v>
      </c>
      <c r="M165" s="86">
        <v>0</v>
      </c>
      <c r="N165" s="114">
        <f t="shared" si="3"/>
        <v>33.979166666666664</v>
      </c>
    </row>
    <row r="166" spans="1:14">
      <c r="A166" s="21" t="s">
        <v>258</v>
      </c>
      <c r="B166" s="22" t="s">
        <v>259</v>
      </c>
      <c r="C166" s="23" t="s">
        <v>34</v>
      </c>
      <c r="D166" s="24">
        <v>728</v>
      </c>
      <c r="E166" s="25" t="s">
        <v>14</v>
      </c>
      <c r="F166" s="26">
        <v>42044</v>
      </c>
      <c r="G166" s="27">
        <v>34.333333333333336</v>
      </c>
      <c r="H166" s="28">
        <v>0</v>
      </c>
      <c r="I166" s="28">
        <v>0</v>
      </c>
      <c r="J166" s="29">
        <v>0</v>
      </c>
      <c r="K166" s="29">
        <v>0</v>
      </c>
      <c r="L166" s="15">
        <v>34.333333333333336</v>
      </c>
      <c r="M166" s="86">
        <v>0</v>
      </c>
      <c r="N166" s="114">
        <f t="shared" si="3"/>
        <v>34.333333333333336</v>
      </c>
    </row>
    <row r="167" spans="1:14">
      <c r="A167" s="21" t="s">
        <v>260</v>
      </c>
      <c r="B167" s="22" t="s">
        <v>261</v>
      </c>
      <c r="C167" s="23" t="s">
        <v>51</v>
      </c>
      <c r="D167" s="24">
        <v>728</v>
      </c>
      <c r="E167" s="25" t="s">
        <v>14</v>
      </c>
      <c r="F167" s="26">
        <v>39756</v>
      </c>
      <c r="G167" s="27" t="s">
        <v>927</v>
      </c>
      <c r="H167" s="28">
        <v>0</v>
      </c>
      <c r="I167" s="28">
        <v>0</v>
      </c>
      <c r="J167" s="29">
        <v>0</v>
      </c>
      <c r="K167" s="29">
        <v>0</v>
      </c>
      <c r="L167" s="15">
        <v>22.623611111111114</v>
      </c>
      <c r="M167" s="86">
        <v>0</v>
      </c>
      <c r="N167" s="114">
        <f t="shared" si="3"/>
        <v>22.623611111111114</v>
      </c>
    </row>
    <row r="168" spans="1:14">
      <c r="A168" s="21" t="s">
        <v>262</v>
      </c>
      <c r="B168" s="22" t="s">
        <v>263</v>
      </c>
      <c r="C168" s="23" t="s">
        <v>34</v>
      </c>
      <c r="D168" s="24">
        <v>728</v>
      </c>
      <c r="E168" s="25" t="s">
        <v>14</v>
      </c>
      <c r="F168" s="26">
        <v>39722</v>
      </c>
      <c r="G168" s="27" t="s">
        <v>928</v>
      </c>
      <c r="H168" s="28">
        <v>3.3333333333333335</v>
      </c>
      <c r="I168" s="28">
        <v>0</v>
      </c>
      <c r="J168" s="29">
        <v>0</v>
      </c>
      <c r="K168" s="29">
        <v>0</v>
      </c>
      <c r="L168" s="15">
        <v>30.631249999999998</v>
      </c>
      <c r="M168" s="86">
        <v>0</v>
      </c>
      <c r="N168" s="114">
        <f t="shared" si="3"/>
        <v>30.631249999999998</v>
      </c>
    </row>
    <row r="169" spans="1:14">
      <c r="A169" s="21" t="s">
        <v>588</v>
      </c>
      <c r="B169" s="22" t="s">
        <v>589</v>
      </c>
      <c r="C169" s="23" t="s">
        <v>214</v>
      </c>
      <c r="D169" s="24">
        <v>1057</v>
      </c>
      <c r="E169" s="25" t="s">
        <v>14</v>
      </c>
      <c r="F169" s="26">
        <v>41967</v>
      </c>
      <c r="G169" s="27" t="s">
        <v>929</v>
      </c>
      <c r="H169" s="28">
        <v>1.6666666666666667</v>
      </c>
      <c r="I169" s="28">
        <v>1.6666666666666667</v>
      </c>
      <c r="J169" s="29">
        <v>0</v>
      </c>
      <c r="K169" s="29">
        <v>0</v>
      </c>
      <c r="L169" s="15">
        <v>33.951388888888893</v>
      </c>
      <c r="M169" s="86">
        <v>0</v>
      </c>
      <c r="N169" s="114">
        <f t="shared" si="3"/>
        <v>33.951388888888893</v>
      </c>
    </row>
    <row r="170" spans="1:14">
      <c r="A170" s="21" t="s">
        <v>264</v>
      </c>
      <c r="B170" s="22" t="s">
        <v>265</v>
      </c>
      <c r="C170" s="23" t="s">
        <v>34</v>
      </c>
      <c r="D170" s="24">
        <v>728</v>
      </c>
      <c r="E170" s="25" t="s">
        <v>14</v>
      </c>
      <c r="F170" s="26">
        <v>43795</v>
      </c>
      <c r="G170" s="27" t="s">
        <v>930</v>
      </c>
      <c r="H170" s="28">
        <v>1.6666666666666667</v>
      </c>
      <c r="I170" s="28">
        <v>0</v>
      </c>
      <c r="J170" s="29">
        <v>0</v>
      </c>
      <c r="K170" s="29">
        <v>0</v>
      </c>
      <c r="L170" s="15">
        <v>28.837500000000002</v>
      </c>
      <c r="M170" s="86">
        <v>0</v>
      </c>
      <c r="N170" s="114">
        <f t="shared" si="3"/>
        <v>28.837500000000002</v>
      </c>
    </row>
    <row r="171" spans="1:14">
      <c r="A171" s="21" t="s">
        <v>590</v>
      </c>
      <c r="B171" s="123" t="s">
        <v>591</v>
      </c>
      <c r="C171" s="23" t="s">
        <v>51</v>
      </c>
      <c r="D171" s="24">
        <v>1057</v>
      </c>
      <c r="E171" s="25" t="s">
        <v>14</v>
      </c>
      <c r="F171" s="26">
        <v>42187</v>
      </c>
      <c r="G171" s="27">
        <v>36</v>
      </c>
      <c r="H171" s="28">
        <v>7.333333333333333</v>
      </c>
      <c r="I171" s="28">
        <v>7</v>
      </c>
      <c r="J171" s="29">
        <v>7</v>
      </c>
      <c r="K171" s="29">
        <v>7</v>
      </c>
      <c r="L171" s="15">
        <v>64.333333333333329</v>
      </c>
      <c r="M171" s="86">
        <v>68.666666666666671</v>
      </c>
      <c r="N171" s="114">
        <f t="shared" si="3"/>
        <v>133</v>
      </c>
    </row>
    <row r="172" spans="1:14">
      <c r="A172" s="21" t="s">
        <v>266</v>
      </c>
      <c r="B172" s="22" t="s">
        <v>267</v>
      </c>
      <c r="C172" s="23" t="s">
        <v>214</v>
      </c>
      <c r="D172" s="24">
        <v>728</v>
      </c>
      <c r="E172" s="25" t="s">
        <v>14</v>
      </c>
      <c r="F172" s="26">
        <v>37942</v>
      </c>
      <c r="G172" s="27" t="s">
        <v>931</v>
      </c>
      <c r="H172" s="28">
        <v>0</v>
      </c>
      <c r="I172" s="28">
        <v>0</v>
      </c>
      <c r="J172" s="29">
        <v>0</v>
      </c>
      <c r="K172" s="29">
        <v>0</v>
      </c>
      <c r="L172" s="15">
        <v>28.420138888888889</v>
      </c>
      <c r="M172" s="86">
        <v>0</v>
      </c>
      <c r="N172" s="114">
        <f t="shared" si="3"/>
        <v>28.420138888888889</v>
      </c>
    </row>
    <row r="173" spans="1:14">
      <c r="A173" s="21" t="s">
        <v>592</v>
      </c>
      <c r="B173" s="22" t="s">
        <v>593</v>
      </c>
      <c r="C173" s="23" t="s">
        <v>60</v>
      </c>
      <c r="D173" s="24">
        <v>1057</v>
      </c>
      <c r="E173" s="25" t="s">
        <v>14</v>
      </c>
      <c r="F173" s="26">
        <v>43658</v>
      </c>
      <c r="G173" s="27" t="s">
        <v>932</v>
      </c>
      <c r="H173" s="28">
        <v>1.7493055555555559</v>
      </c>
      <c r="I173" s="28">
        <v>1.447222222222222</v>
      </c>
      <c r="J173" s="29">
        <v>3.3333333333333335</v>
      </c>
      <c r="K173" s="29">
        <v>0.1104166666666675</v>
      </c>
      <c r="L173" s="15">
        <v>41.316666666666663</v>
      </c>
      <c r="M173" s="86">
        <v>0</v>
      </c>
      <c r="N173" s="114">
        <f t="shared" si="3"/>
        <v>41.316666666666663</v>
      </c>
    </row>
    <row r="174" spans="1:14">
      <c r="A174" s="21" t="s">
        <v>21</v>
      </c>
      <c r="B174" s="22" t="s">
        <v>22</v>
      </c>
      <c r="C174" s="23" t="s">
        <v>13</v>
      </c>
      <c r="D174" s="24">
        <v>276</v>
      </c>
      <c r="E174" s="25" t="s">
        <v>14</v>
      </c>
      <c r="F174" s="26">
        <v>31603</v>
      </c>
      <c r="G174" s="27" t="s">
        <v>933</v>
      </c>
      <c r="H174" s="28">
        <v>0</v>
      </c>
      <c r="I174" s="28">
        <v>0</v>
      </c>
      <c r="J174" s="29">
        <v>0</v>
      </c>
      <c r="K174" s="29">
        <v>0</v>
      </c>
      <c r="L174" s="15">
        <v>0.90486111111111101</v>
      </c>
      <c r="M174" s="86">
        <v>0</v>
      </c>
      <c r="N174" s="114">
        <f t="shared" si="3"/>
        <v>0.90486111111111101</v>
      </c>
    </row>
    <row r="175" spans="1:14">
      <c r="A175" s="21" t="s">
        <v>270</v>
      </c>
      <c r="B175" s="22" t="s">
        <v>271</v>
      </c>
      <c r="C175" s="23" t="s">
        <v>51</v>
      </c>
      <c r="D175" s="24">
        <v>728</v>
      </c>
      <c r="E175" s="25" t="s">
        <v>14</v>
      </c>
      <c r="F175" s="26">
        <v>40634</v>
      </c>
      <c r="G175" s="27" t="s">
        <v>934</v>
      </c>
      <c r="H175" s="29">
        <v>0</v>
      </c>
      <c r="I175" s="29">
        <v>0</v>
      </c>
      <c r="J175" s="29">
        <v>0</v>
      </c>
      <c r="K175" s="29">
        <v>0</v>
      </c>
      <c r="L175" s="15">
        <v>10.732638888888888</v>
      </c>
      <c r="M175" s="86">
        <v>0</v>
      </c>
      <c r="N175" s="114">
        <f t="shared" si="3"/>
        <v>10.732638888888888</v>
      </c>
    </row>
    <row r="176" spans="1:14">
      <c r="A176" s="21" t="s">
        <v>272</v>
      </c>
      <c r="B176" s="22" t="s">
        <v>273</v>
      </c>
      <c r="C176" s="23" t="s">
        <v>51</v>
      </c>
      <c r="D176" s="24">
        <v>728</v>
      </c>
      <c r="E176" s="25" t="s">
        <v>14</v>
      </c>
      <c r="F176" s="26">
        <v>41617</v>
      </c>
      <c r="G176" s="27" t="s">
        <v>935</v>
      </c>
      <c r="H176" s="28">
        <v>0.45833333333333393</v>
      </c>
      <c r="I176" s="28">
        <v>0</v>
      </c>
      <c r="J176" s="29">
        <v>0</v>
      </c>
      <c r="K176" s="29">
        <v>0</v>
      </c>
      <c r="L176" s="15">
        <v>33.40347222222222</v>
      </c>
      <c r="M176" s="86">
        <v>0</v>
      </c>
      <c r="N176" s="114">
        <f t="shared" si="3"/>
        <v>33.40347222222222</v>
      </c>
    </row>
    <row r="177" spans="1:14">
      <c r="A177" s="21" t="s">
        <v>765</v>
      </c>
      <c r="B177" s="37" t="s">
        <v>794</v>
      </c>
      <c r="C177" s="23" t="s">
        <v>34</v>
      </c>
      <c r="D177" s="24">
        <v>728</v>
      </c>
      <c r="E177" s="25" t="s">
        <v>14</v>
      </c>
      <c r="F177" s="26">
        <v>44140</v>
      </c>
      <c r="G177" s="11" t="s">
        <v>39</v>
      </c>
      <c r="H177" s="32" t="s">
        <v>39</v>
      </c>
      <c r="I177" s="32" t="s">
        <v>39</v>
      </c>
      <c r="J177" s="29">
        <v>0</v>
      </c>
      <c r="K177" s="29">
        <v>0</v>
      </c>
      <c r="L177" s="15">
        <v>0</v>
      </c>
      <c r="M177" s="86">
        <v>0</v>
      </c>
      <c r="N177" s="114">
        <f t="shared" si="3"/>
        <v>0</v>
      </c>
    </row>
    <row r="178" spans="1:14">
      <c r="A178" s="21" t="s">
        <v>274</v>
      </c>
      <c r="B178" s="22" t="s">
        <v>275</v>
      </c>
      <c r="C178" s="23" t="s">
        <v>34</v>
      </c>
      <c r="D178" s="24">
        <v>728</v>
      </c>
      <c r="E178" s="25" t="s">
        <v>14</v>
      </c>
      <c r="F178" s="26">
        <v>40637</v>
      </c>
      <c r="G178" s="27" t="s">
        <v>936</v>
      </c>
      <c r="H178" s="28">
        <v>1.6666666666666667</v>
      </c>
      <c r="I178" s="28">
        <v>0</v>
      </c>
      <c r="J178" s="29">
        <v>0</v>
      </c>
      <c r="K178" s="29">
        <v>0</v>
      </c>
      <c r="L178" s="15">
        <v>40.257638888888884</v>
      </c>
      <c r="M178" s="86">
        <v>0</v>
      </c>
      <c r="N178" s="114">
        <f t="shared" si="3"/>
        <v>40.257638888888884</v>
      </c>
    </row>
    <row r="179" spans="1:14">
      <c r="A179" s="21" t="s">
        <v>276</v>
      </c>
      <c r="B179" s="22" t="s">
        <v>277</v>
      </c>
      <c r="C179" s="23" t="s">
        <v>34</v>
      </c>
      <c r="D179" s="24">
        <v>728</v>
      </c>
      <c r="E179" s="25" t="s">
        <v>14</v>
      </c>
      <c r="F179" s="26">
        <v>42240</v>
      </c>
      <c r="G179" s="27" t="s">
        <v>937</v>
      </c>
      <c r="H179" s="28">
        <v>1.6666666666666667</v>
      </c>
      <c r="I179" s="28">
        <v>3.2145833333333327</v>
      </c>
      <c r="J179" s="29">
        <v>0</v>
      </c>
      <c r="K179" s="29">
        <v>0</v>
      </c>
      <c r="L179" s="15">
        <v>28.58680555555555</v>
      </c>
      <c r="M179" s="86">
        <v>0</v>
      </c>
      <c r="N179" s="114">
        <f t="shared" si="3"/>
        <v>28.58680555555555</v>
      </c>
    </row>
    <row r="180" spans="1:14">
      <c r="A180" s="21" t="s">
        <v>278</v>
      </c>
      <c r="B180" s="22" t="s">
        <v>279</v>
      </c>
      <c r="C180" s="23" t="s">
        <v>34</v>
      </c>
      <c r="D180" s="24">
        <v>728</v>
      </c>
      <c r="E180" s="25" t="s">
        <v>14</v>
      </c>
      <c r="F180" s="26">
        <v>43803</v>
      </c>
      <c r="G180" s="27" t="s">
        <v>938</v>
      </c>
      <c r="H180" s="28">
        <v>0.46180555555555536</v>
      </c>
      <c r="I180" s="28">
        <v>2.0013888888888882</v>
      </c>
      <c r="J180" s="29">
        <v>0</v>
      </c>
      <c r="K180" s="29">
        <v>0</v>
      </c>
      <c r="L180" s="15">
        <v>29.71458333333333</v>
      </c>
      <c r="M180" s="86">
        <v>0</v>
      </c>
      <c r="N180" s="114">
        <f t="shared" si="3"/>
        <v>29.71458333333333</v>
      </c>
    </row>
    <row r="181" spans="1:14">
      <c r="A181" s="21" t="s">
        <v>594</v>
      </c>
      <c r="B181" s="22" t="s">
        <v>595</v>
      </c>
      <c r="C181" s="23" t="s">
        <v>51</v>
      </c>
      <c r="D181" s="24">
        <v>1057</v>
      </c>
      <c r="E181" s="25" t="s">
        <v>14</v>
      </c>
      <c r="F181" s="26">
        <v>41771</v>
      </c>
      <c r="G181" s="27">
        <v>38.333333333333336</v>
      </c>
      <c r="H181" s="28">
        <v>0</v>
      </c>
      <c r="I181" s="28">
        <v>0</v>
      </c>
      <c r="J181" s="29">
        <v>0</v>
      </c>
      <c r="K181" s="29">
        <v>0</v>
      </c>
      <c r="L181" s="15">
        <v>38.333333333333336</v>
      </c>
      <c r="M181" s="86">
        <v>0</v>
      </c>
      <c r="N181" s="114">
        <f t="shared" si="3"/>
        <v>38.333333333333336</v>
      </c>
    </row>
    <row r="182" spans="1:14">
      <c r="A182" s="21" t="s">
        <v>596</v>
      </c>
      <c r="B182" s="22" t="s">
        <v>597</v>
      </c>
      <c r="C182" s="23" t="s">
        <v>34</v>
      </c>
      <c r="D182" s="24">
        <v>1057</v>
      </c>
      <c r="E182" s="25" t="s">
        <v>14</v>
      </c>
      <c r="F182" s="26">
        <v>43794</v>
      </c>
      <c r="G182" s="27">
        <v>0</v>
      </c>
      <c r="H182" s="28">
        <v>0</v>
      </c>
      <c r="I182" s="28">
        <v>0</v>
      </c>
      <c r="J182" s="29">
        <v>0</v>
      </c>
      <c r="K182" s="29">
        <v>0</v>
      </c>
      <c r="L182" s="15">
        <v>0</v>
      </c>
      <c r="M182" s="86">
        <v>0</v>
      </c>
      <c r="N182" s="114">
        <f t="shared" si="3"/>
        <v>0</v>
      </c>
    </row>
    <row r="183" spans="1:14">
      <c r="A183" s="21" t="s">
        <v>280</v>
      </c>
      <c r="B183" s="22" t="s">
        <v>281</v>
      </c>
      <c r="C183" s="23" t="s">
        <v>51</v>
      </c>
      <c r="D183" s="24">
        <v>728</v>
      </c>
      <c r="E183" s="25" t="s">
        <v>14</v>
      </c>
      <c r="F183" s="26">
        <v>39722</v>
      </c>
      <c r="G183" s="27">
        <v>0</v>
      </c>
      <c r="H183" s="28">
        <v>1.6666666666666667</v>
      </c>
      <c r="I183" s="28">
        <v>4.9840277777777775</v>
      </c>
      <c r="J183" s="29">
        <v>0</v>
      </c>
      <c r="K183" s="29">
        <v>0</v>
      </c>
      <c r="L183" s="15">
        <v>6.6506944444444445</v>
      </c>
      <c r="M183" s="86">
        <v>0</v>
      </c>
      <c r="N183" s="114">
        <f t="shared" si="3"/>
        <v>6.6506944444444445</v>
      </c>
    </row>
    <row r="184" spans="1:14">
      <c r="A184" s="21" t="s">
        <v>282</v>
      </c>
      <c r="B184" s="22" t="s">
        <v>283</v>
      </c>
      <c r="C184" s="23" t="s">
        <v>51</v>
      </c>
      <c r="D184" s="24">
        <v>728</v>
      </c>
      <c r="E184" s="25" t="s">
        <v>14</v>
      </c>
      <c r="F184" s="26">
        <v>43731</v>
      </c>
      <c r="G184" s="27">
        <v>38.333333333333336</v>
      </c>
      <c r="H184" s="28">
        <v>0</v>
      </c>
      <c r="I184" s="28">
        <v>0</v>
      </c>
      <c r="J184" s="29">
        <v>0</v>
      </c>
      <c r="K184" s="29">
        <v>0</v>
      </c>
      <c r="L184" s="15">
        <v>38.333333333333336</v>
      </c>
      <c r="M184" s="86">
        <v>0</v>
      </c>
      <c r="N184" s="114">
        <f t="shared" si="3"/>
        <v>38.333333333333336</v>
      </c>
    </row>
    <row r="185" spans="1:14">
      <c r="A185" s="21" t="s">
        <v>284</v>
      </c>
      <c r="B185" s="22" t="s">
        <v>285</v>
      </c>
      <c r="C185" s="23" t="s">
        <v>34</v>
      </c>
      <c r="D185" s="24">
        <v>728</v>
      </c>
      <c r="E185" s="25" t="s">
        <v>14</v>
      </c>
      <c r="F185" s="26">
        <v>43291</v>
      </c>
      <c r="G185" s="27" t="s">
        <v>939</v>
      </c>
      <c r="H185" s="28">
        <v>1.6340277777777787</v>
      </c>
      <c r="I185" s="28">
        <v>0</v>
      </c>
      <c r="J185" s="29">
        <v>0</v>
      </c>
      <c r="K185" s="29">
        <v>0</v>
      </c>
      <c r="L185" s="15">
        <v>4.8750000000000009</v>
      </c>
      <c r="M185" s="86">
        <v>0</v>
      </c>
      <c r="N185" s="114">
        <f t="shared" si="3"/>
        <v>4.8750000000000009</v>
      </c>
    </row>
    <row r="186" spans="1:14">
      <c r="A186" s="21" t="s">
        <v>288</v>
      </c>
      <c r="B186" s="22" t="s">
        <v>289</v>
      </c>
      <c r="C186" s="23" t="s">
        <v>34</v>
      </c>
      <c r="D186" s="24">
        <v>728</v>
      </c>
      <c r="E186" s="25" t="s">
        <v>14</v>
      </c>
      <c r="F186" s="26">
        <v>39813</v>
      </c>
      <c r="G186" s="27" t="s">
        <v>940</v>
      </c>
      <c r="H186" s="28">
        <v>1.6666666666666667</v>
      </c>
      <c r="I186" s="28">
        <v>0</v>
      </c>
      <c r="J186" s="29">
        <v>0</v>
      </c>
      <c r="K186" s="29">
        <v>0</v>
      </c>
      <c r="L186" s="15">
        <v>24.231249999999999</v>
      </c>
      <c r="M186" s="86">
        <v>0</v>
      </c>
      <c r="N186" s="114">
        <f t="shared" si="3"/>
        <v>24.231249999999999</v>
      </c>
    </row>
    <row r="187" spans="1:14">
      <c r="A187" s="21" t="s">
        <v>292</v>
      </c>
      <c r="B187" s="22" t="s">
        <v>293</v>
      </c>
      <c r="C187" s="23" t="s">
        <v>34</v>
      </c>
      <c r="D187" s="24">
        <v>728</v>
      </c>
      <c r="E187" s="25" t="s">
        <v>14</v>
      </c>
      <c r="F187" s="26">
        <v>41724</v>
      </c>
      <c r="G187" s="27" t="s">
        <v>941</v>
      </c>
      <c r="H187" s="28">
        <v>1.6666666666666667</v>
      </c>
      <c r="I187" s="28">
        <v>0</v>
      </c>
      <c r="J187" s="29">
        <v>0</v>
      </c>
      <c r="K187" s="29">
        <v>0</v>
      </c>
      <c r="L187" s="15">
        <v>7.2340277777777784</v>
      </c>
      <c r="M187" s="86">
        <v>0</v>
      </c>
      <c r="N187" s="114">
        <f t="shared" si="3"/>
        <v>7.2340277777777784</v>
      </c>
    </row>
    <row r="188" spans="1:14">
      <c r="A188" s="21" t="s">
        <v>776</v>
      </c>
      <c r="B188" s="31" t="s">
        <v>777</v>
      </c>
      <c r="C188" s="23" t="s">
        <v>34</v>
      </c>
      <c r="D188" s="24">
        <v>1057</v>
      </c>
      <c r="E188" s="25" t="s">
        <v>14</v>
      </c>
      <c r="F188" s="26">
        <v>44181</v>
      </c>
      <c r="G188" s="11" t="s">
        <v>39</v>
      </c>
      <c r="H188" s="32" t="s">
        <v>39</v>
      </c>
      <c r="I188" s="32" t="s">
        <v>39</v>
      </c>
      <c r="J188" s="44" t="s">
        <v>39</v>
      </c>
      <c r="K188" s="29">
        <v>0</v>
      </c>
      <c r="L188" s="15">
        <v>0</v>
      </c>
      <c r="M188" s="86">
        <v>0</v>
      </c>
      <c r="N188" s="114">
        <f t="shared" si="3"/>
        <v>0</v>
      </c>
    </row>
    <row r="189" spans="1:14">
      <c r="A189" s="21" t="s">
        <v>736</v>
      </c>
      <c r="B189" s="22" t="s">
        <v>737</v>
      </c>
      <c r="C189" s="23" t="s">
        <v>34</v>
      </c>
      <c r="D189" s="24">
        <v>1057</v>
      </c>
      <c r="E189" s="25" t="s">
        <v>14</v>
      </c>
      <c r="F189" s="26">
        <v>44132</v>
      </c>
      <c r="G189" s="11" t="s">
        <v>39</v>
      </c>
      <c r="H189" s="32" t="s">
        <v>39</v>
      </c>
      <c r="I189" s="32" t="s">
        <v>39</v>
      </c>
      <c r="J189" s="44" t="s">
        <v>39</v>
      </c>
      <c r="K189" s="29">
        <v>0</v>
      </c>
      <c r="L189" s="15">
        <v>0</v>
      </c>
      <c r="M189" s="86">
        <v>0</v>
      </c>
      <c r="N189" s="114">
        <f t="shared" si="3"/>
        <v>0</v>
      </c>
    </row>
    <row r="190" spans="1:14">
      <c r="A190" s="21" t="s">
        <v>296</v>
      </c>
      <c r="B190" s="22" t="s">
        <v>297</v>
      </c>
      <c r="C190" s="23" t="s">
        <v>34</v>
      </c>
      <c r="D190" s="24">
        <v>728</v>
      </c>
      <c r="E190" s="25" t="s">
        <v>14</v>
      </c>
      <c r="F190" s="26">
        <v>39722</v>
      </c>
      <c r="G190" s="27" t="s">
        <v>942</v>
      </c>
      <c r="H190" s="28">
        <v>1.6666666666666667</v>
      </c>
      <c r="I190" s="28">
        <v>0</v>
      </c>
      <c r="J190" s="29">
        <v>0</v>
      </c>
      <c r="K190" s="29">
        <v>0</v>
      </c>
      <c r="L190" s="15">
        <v>41.087499999999999</v>
      </c>
      <c r="M190" s="86">
        <v>0</v>
      </c>
      <c r="N190" s="114">
        <f t="shared" si="3"/>
        <v>41.087499999999999</v>
      </c>
    </row>
    <row r="191" spans="1:14">
      <c r="A191" s="21" t="s">
        <v>598</v>
      </c>
      <c r="B191" s="22" t="s">
        <v>599</v>
      </c>
      <c r="C191" s="23" t="s">
        <v>51</v>
      </c>
      <c r="D191" s="24">
        <v>1057</v>
      </c>
      <c r="E191" s="25" t="s">
        <v>14</v>
      </c>
      <c r="F191" s="26">
        <v>41612</v>
      </c>
      <c r="G191" s="27" t="s">
        <v>943</v>
      </c>
      <c r="H191" s="28">
        <v>0.83333333333333337</v>
      </c>
      <c r="I191" s="28">
        <v>0</v>
      </c>
      <c r="J191" s="29">
        <v>0</v>
      </c>
      <c r="K191" s="29">
        <v>0</v>
      </c>
      <c r="L191" s="15">
        <v>13.805555555555555</v>
      </c>
      <c r="M191" s="86">
        <v>0</v>
      </c>
      <c r="N191" s="114">
        <f t="shared" si="3"/>
        <v>13.805555555555555</v>
      </c>
    </row>
    <row r="192" spans="1:14">
      <c r="A192" s="21" t="s">
        <v>600</v>
      </c>
      <c r="B192" s="22" t="s">
        <v>601</v>
      </c>
      <c r="C192" s="23" t="s">
        <v>51</v>
      </c>
      <c r="D192" s="24">
        <v>1057</v>
      </c>
      <c r="E192" s="25" t="s">
        <v>14</v>
      </c>
      <c r="F192" s="26">
        <v>43794</v>
      </c>
      <c r="G192" s="27" t="s">
        <v>944</v>
      </c>
      <c r="H192" s="28">
        <v>0.31875000000000053</v>
      </c>
      <c r="I192" s="28">
        <v>0</v>
      </c>
      <c r="J192" s="29">
        <v>0</v>
      </c>
      <c r="K192" s="29">
        <v>0</v>
      </c>
      <c r="L192" s="15">
        <v>30.481249999999999</v>
      </c>
      <c r="M192" s="86">
        <v>0</v>
      </c>
      <c r="N192" s="114">
        <f t="shared" si="3"/>
        <v>30.481249999999999</v>
      </c>
    </row>
    <row r="193" spans="1:14">
      <c r="A193" s="21" t="s">
        <v>298</v>
      </c>
      <c r="B193" s="123" t="s">
        <v>299</v>
      </c>
      <c r="C193" s="23" t="s">
        <v>51</v>
      </c>
      <c r="D193" s="24">
        <v>728</v>
      </c>
      <c r="E193" s="25" t="s">
        <v>14</v>
      </c>
      <c r="F193" s="26">
        <v>39930</v>
      </c>
      <c r="G193" s="27" t="s">
        <v>945</v>
      </c>
      <c r="H193" s="28">
        <v>7.333333333333333</v>
      </c>
      <c r="I193" s="28">
        <v>7</v>
      </c>
      <c r="J193" s="29">
        <v>7</v>
      </c>
      <c r="K193" s="29">
        <v>7</v>
      </c>
      <c r="L193" s="15">
        <v>37.720833333333331</v>
      </c>
      <c r="M193" s="86">
        <v>81.666666666666671</v>
      </c>
      <c r="N193" s="114">
        <f t="shared" si="3"/>
        <v>119.3875</v>
      </c>
    </row>
    <row r="194" spans="1:14">
      <c r="A194" s="21" t="s">
        <v>300</v>
      </c>
      <c r="B194" s="22" t="s">
        <v>301</v>
      </c>
      <c r="C194" s="23" t="s">
        <v>51</v>
      </c>
      <c r="D194" s="24">
        <v>728</v>
      </c>
      <c r="E194" s="25" t="s">
        <v>14</v>
      </c>
      <c r="F194" s="26">
        <v>42543</v>
      </c>
      <c r="G194" s="27" t="s">
        <v>946</v>
      </c>
      <c r="H194" s="28">
        <v>1.6666666666666667</v>
      </c>
      <c r="I194" s="28">
        <v>0</v>
      </c>
      <c r="J194" s="29">
        <v>0</v>
      </c>
      <c r="K194" s="29">
        <v>0</v>
      </c>
      <c r="L194" s="15">
        <v>20.828472222222224</v>
      </c>
      <c r="M194" s="86">
        <v>0</v>
      </c>
      <c r="N194" s="114">
        <f t="shared" si="3"/>
        <v>20.828472222222224</v>
      </c>
    </row>
    <row r="195" spans="1:14">
      <c r="A195" s="75" t="s">
        <v>302</v>
      </c>
      <c r="B195" s="22" t="s">
        <v>303</v>
      </c>
      <c r="C195" s="23" t="s">
        <v>34</v>
      </c>
      <c r="D195" s="24">
        <v>728</v>
      </c>
      <c r="E195" s="25" t="s">
        <v>14</v>
      </c>
      <c r="F195" s="26">
        <v>44560</v>
      </c>
      <c r="G195" s="27" t="s">
        <v>947</v>
      </c>
      <c r="H195" s="28">
        <v>1.6624999999999996</v>
      </c>
      <c r="I195" s="28">
        <v>0</v>
      </c>
      <c r="J195" s="29">
        <v>0</v>
      </c>
      <c r="K195" s="29">
        <v>0</v>
      </c>
      <c r="L195" s="15">
        <v>34.261111111111113</v>
      </c>
      <c r="M195" s="86">
        <v>0</v>
      </c>
      <c r="N195" s="114">
        <f t="shared" si="3"/>
        <v>34.261111111111113</v>
      </c>
    </row>
    <row r="196" spans="1:14">
      <c r="A196" s="21" t="s">
        <v>304</v>
      </c>
      <c r="B196" s="22" t="s">
        <v>305</v>
      </c>
      <c r="C196" s="23" t="s">
        <v>34</v>
      </c>
      <c r="D196" s="24">
        <v>728</v>
      </c>
      <c r="E196" s="25" t="s">
        <v>14</v>
      </c>
      <c r="F196" s="26">
        <v>35534</v>
      </c>
      <c r="G196" s="27" t="s">
        <v>948</v>
      </c>
      <c r="H196" s="28">
        <v>3.3333333333333335</v>
      </c>
      <c r="I196" s="28">
        <v>2.5</v>
      </c>
      <c r="J196" s="29">
        <v>1.6666666666666667</v>
      </c>
      <c r="K196" s="29">
        <v>0</v>
      </c>
      <c r="L196" s="15">
        <v>19.022916666666667</v>
      </c>
      <c r="M196" s="86">
        <v>0</v>
      </c>
      <c r="N196" s="114">
        <f t="shared" si="3"/>
        <v>19.022916666666667</v>
      </c>
    </row>
    <row r="197" spans="1:14">
      <c r="A197" s="21" t="s">
        <v>306</v>
      </c>
      <c r="B197" s="22" t="s">
        <v>307</v>
      </c>
      <c r="C197" s="23" t="s">
        <v>51</v>
      </c>
      <c r="D197" s="24">
        <v>728</v>
      </c>
      <c r="E197" s="25" t="s">
        <v>14</v>
      </c>
      <c r="F197" s="26">
        <v>39573</v>
      </c>
      <c r="G197" s="27">
        <v>0</v>
      </c>
      <c r="H197" s="28">
        <v>0</v>
      </c>
      <c r="I197" s="28">
        <v>0</v>
      </c>
      <c r="J197" s="29">
        <v>0</v>
      </c>
      <c r="K197" s="29">
        <v>0</v>
      </c>
      <c r="L197" s="15">
        <v>0</v>
      </c>
      <c r="M197" s="86">
        <v>0</v>
      </c>
      <c r="N197" s="114">
        <f t="shared" si="3"/>
        <v>0</v>
      </c>
    </row>
    <row r="198" spans="1:14">
      <c r="A198" s="21" t="s">
        <v>308</v>
      </c>
      <c r="B198" s="45" t="s">
        <v>309</v>
      </c>
      <c r="C198" s="23" t="s">
        <v>77</v>
      </c>
      <c r="D198" s="24">
        <v>728</v>
      </c>
      <c r="E198" s="25" t="s">
        <v>14</v>
      </c>
      <c r="F198" s="26">
        <v>39268</v>
      </c>
      <c r="G198" s="27" t="s">
        <v>949</v>
      </c>
      <c r="H198" s="28">
        <v>0</v>
      </c>
      <c r="I198" s="28">
        <v>0</v>
      </c>
      <c r="J198" s="29">
        <v>0</v>
      </c>
      <c r="K198" s="29">
        <v>0.62500000000000178</v>
      </c>
      <c r="L198" s="15">
        <v>24.327777777777783</v>
      </c>
      <c r="M198" s="86">
        <v>0</v>
      </c>
      <c r="N198" s="114">
        <f t="shared" si="3"/>
        <v>24.327777777777783</v>
      </c>
    </row>
    <row r="199" spans="1:14">
      <c r="A199" s="21" t="s">
        <v>602</v>
      </c>
      <c r="B199" s="38" t="s">
        <v>603</v>
      </c>
      <c r="C199" s="23" t="s">
        <v>51</v>
      </c>
      <c r="D199" s="24">
        <v>1057</v>
      </c>
      <c r="E199" s="25" t="s">
        <v>14</v>
      </c>
      <c r="F199" s="26">
        <v>43794</v>
      </c>
      <c r="G199" s="27">
        <v>38.333333333333336</v>
      </c>
      <c r="H199" s="28">
        <v>7.333333333333333</v>
      </c>
      <c r="I199" s="28">
        <v>0</v>
      </c>
      <c r="J199" s="29">
        <v>0</v>
      </c>
      <c r="K199" s="29">
        <v>3.3333333333333335</v>
      </c>
      <c r="L199" s="15">
        <v>49</v>
      </c>
      <c r="M199" s="86">
        <v>0</v>
      </c>
      <c r="N199" s="114">
        <f t="shared" si="3"/>
        <v>49</v>
      </c>
    </row>
    <row r="200" spans="1:14">
      <c r="A200" s="21" t="s">
        <v>604</v>
      </c>
      <c r="B200" s="22" t="s">
        <v>605</v>
      </c>
      <c r="C200" s="23" t="s">
        <v>51</v>
      </c>
      <c r="D200" s="24">
        <v>1057</v>
      </c>
      <c r="E200" s="25" t="s">
        <v>14</v>
      </c>
      <c r="F200" s="26">
        <v>43825</v>
      </c>
      <c r="G200" s="27">
        <v>0</v>
      </c>
      <c r="H200" s="28">
        <v>0</v>
      </c>
      <c r="I200" s="28">
        <v>0</v>
      </c>
      <c r="J200" s="29">
        <v>0</v>
      </c>
      <c r="K200" s="29">
        <v>0</v>
      </c>
      <c r="L200" s="15">
        <v>0</v>
      </c>
      <c r="M200" s="86">
        <v>0</v>
      </c>
      <c r="N200" s="114">
        <f t="shared" si="3"/>
        <v>0</v>
      </c>
    </row>
    <row r="201" spans="1:14">
      <c r="A201" s="21" t="s">
        <v>606</v>
      </c>
      <c r="B201" s="22" t="s">
        <v>607</v>
      </c>
      <c r="C201" s="23" t="s">
        <v>188</v>
      </c>
      <c r="D201" s="24">
        <v>1057</v>
      </c>
      <c r="E201" s="25" t="s">
        <v>14</v>
      </c>
      <c r="F201" s="26">
        <v>43138</v>
      </c>
      <c r="G201" s="27" t="s">
        <v>950</v>
      </c>
      <c r="H201" s="28">
        <v>0.52222222222222214</v>
      </c>
      <c r="I201" s="28">
        <v>0</v>
      </c>
      <c r="J201" s="29">
        <v>0</v>
      </c>
      <c r="K201" s="29">
        <v>0</v>
      </c>
      <c r="L201" s="15">
        <v>16.81388888888889</v>
      </c>
      <c r="M201" s="86">
        <v>0</v>
      </c>
      <c r="N201" s="114">
        <f t="shared" si="3"/>
        <v>16.81388888888889</v>
      </c>
    </row>
    <row r="202" spans="1:14">
      <c r="A202" s="21" t="s">
        <v>608</v>
      </c>
      <c r="B202" s="49" t="s">
        <v>609</v>
      </c>
      <c r="C202" s="23" t="s">
        <v>73</v>
      </c>
      <c r="D202" s="24">
        <v>1057</v>
      </c>
      <c r="E202" s="25" t="s">
        <v>14</v>
      </c>
      <c r="F202" s="26">
        <v>44181</v>
      </c>
      <c r="G202" s="27">
        <v>14.083333333333334</v>
      </c>
      <c r="H202" s="28">
        <v>0</v>
      </c>
      <c r="I202" s="28">
        <v>0.11666666666666714</v>
      </c>
      <c r="J202" s="29">
        <v>0</v>
      </c>
      <c r="K202" s="29">
        <v>0</v>
      </c>
      <c r="L202" s="15">
        <v>14.200000000000001</v>
      </c>
      <c r="M202" s="86">
        <v>0</v>
      </c>
      <c r="N202" s="114">
        <f t="shared" si="3"/>
        <v>14.200000000000001</v>
      </c>
    </row>
    <row r="203" spans="1:14">
      <c r="A203" s="21" t="s">
        <v>310</v>
      </c>
      <c r="B203" s="22" t="s">
        <v>311</v>
      </c>
      <c r="C203" s="23" t="s">
        <v>34</v>
      </c>
      <c r="D203" s="24">
        <v>728</v>
      </c>
      <c r="E203" s="25" t="s">
        <v>14</v>
      </c>
      <c r="F203" s="26">
        <v>43626</v>
      </c>
      <c r="G203" s="27" t="s">
        <v>951</v>
      </c>
      <c r="H203" s="28">
        <v>0.83333333333333337</v>
      </c>
      <c r="I203" s="28">
        <v>0</v>
      </c>
      <c r="J203" s="29">
        <v>0</v>
      </c>
      <c r="K203" s="29">
        <v>0</v>
      </c>
      <c r="L203" s="15">
        <v>10.595833333333335</v>
      </c>
      <c r="M203" s="86">
        <v>0</v>
      </c>
      <c r="N203" s="114">
        <f t="shared" ref="N203:N266" si="4">L203+M203</f>
        <v>10.595833333333335</v>
      </c>
    </row>
    <row r="204" spans="1:14">
      <c r="A204" s="21" t="s">
        <v>753</v>
      </c>
      <c r="B204" s="31" t="s">
        <v>754</v>
      </c>
      <c r="C204" s="23" t="s">
        <v>780</v>
      </c>
      <c r="D204" s="24">
        <v>1057</v>
      </c>
      <c r="E204" s="25" t="s">
        <v>14</v>
      </c>
      <c r="F204" s="26">
        <v>44181</v>
      </c>
      <c r="G204" s="11" t="s">
        <v>39</v>
      </c>
      <c r="H204" s="32" t="s">
        <v>39</v>
      </c>
      <c r="I204" s="32" t="s">
        <v>39</v>
      </c>
      <c r="J204" s="29">
        <v>4.5041666666666664</v>
      </c>
      <c r="K204" s="29">
        <v>0</v>
      </c>
      <c r="L204" s="15">
        <v>4.5041666666666664</v>
      </c>
      <c r="M204" s="86">
        <v>0</v>
      </c>
      <c r="N204" s="114">
        <f t="shared" si="4"/>
        <v>4.5041666666666664</v>
      </c>
    </row>
    <row r="205" spans="1:14">
      <c r="A205" s="21" t="s">
        <v>312</v>
      </c>
      <c r="B205" s="22" t="s">
        <v>313</v>
      </c>
      <c r="C205" s="23" t="s">
        <v>34</v>
      </c>
      <c r="D205" s="24">
        <v>728</v>
      </c>
      <c r="E205" s="25" t="s">
        <v>14</v>
      </c>
      <c r="F205" s="26">
        <v>38904</v>
      </c>
      <c r="G205" s="27">
        <v>0</v>
      </c>
      <c r="H205" s="28">
        <v>0</v>
      </c>
      <c r="I205" s="28">
        <v>0</v>
      </c>
      <c r="J205" s="29">
        <v>0</v>
      </c>
      <c r="K205" s="29">
        <v>0</v>
      </c>
      <c r="L205" s="15">
        <v>0</v>
      </c>
      <c r="M205" s="86">
        <v>0</v>
      </c>
      <c r="N205" s="114">
        <f t="shared" si="4"/>
        <v>0</v>
      </c>
    </row>
    <row r="206" spans="1:14">
      <c r="A206" s="21" t="s">
        <v>314</v>
      </c>
      <c r="B206" s="22" t="s">
        <v>315</v>
      </c>
      <c r="C206" s="23" t="s">
        <v>34</v>
      </c>
      <c r="D206" s="24">
        <v>728</v>
      </c>
      <c r="E206" s="25" t="s">
        <v>14</v>
      </c>
      <c r="F206" s="26">
        <v>43132</v>
      </c>
      <c r="G206" s="27">
        <v>18.458333333333332</v>
      </c>
      <c r="H206" s="28">
        <v>0</v>
      </c>
      <c r="I206" s="28">
        <v>0</v>
      </c>
      <c r="J206" s="29">
        <v>0</v>
      </c>
      <c r="K206" s="29">
        <v>0</v>
      </c>
      <c r="L206" s="15">
        <v>18.458333333333332</v>
      </c>
      <c r="M206" s="86">
        <v>0</v>
      </c>
      <c r="N206" s="114">
        <f t="shared" si="4"/>
        <v>18.458333333333332</v>
      </c>
    </row>
    <row r="207" spans="1:14">
      <c r="A207" s="21" t="s">
        <v>316</v>
      </c>
      <c r="B207" s="22" t="s">
        <v>317</v>
      </c>
      <c r="C207" s="23" t="s">
        <v>34</v>
      </c>
      <c r="D207" s="24">
        <v>728</v>
      </c>
      <c r="E207" s="25" t="s">
        <v>14</v>
      </c>
      <c r="F207" s="26">
        <v>42646</v>
      </c>
      <c r="G207" s="27" t="s">
        <v>952</v>
      </c>
      <c r="H207" s="28">
        <v>1.25</v>
      </c>
      <c r="I207" s="28">
        <v>8.1249999999999822E-2</v>
      </c>
      <c r="J207" s="29">
        <v>0</v>
      </c>
      <c r="K207" s="29">
        <v>0</v>
      </c>
      <c r="L207" s="15">
        <v>13.176388888888891</v>
      </c>
      <c r="M207" s="86">
        <v>0</v>
      </c>
      <c r="N207" s="114">
        <f t="shared" si="4"/>
        <v>13.176388888888891</v>
      </c>
    </row>
    <row r="208" spans="1:14">
      <c r="A208" s="21" t="s">
        <v>318</v>
      </c>
      <c r="B208" s="22" t="s">
        <v>319</v>
      </c>
      <c r="C208" s="23" t="s">
        <v>51</v>
      </c>
      <c r="D208" s="24">
        <v>728</v>
      </c>
      <c r="E208" s="25" t="s">
        <v>14</v>
      </c>
      <c r="F208" s="26">
        <v>42082</v>
      </c>
      <c r="G208" s="27" t="s">
        <v>953</v>
      </c>
      <c r="H208" s="28">
        <v>3.3333333333333335</v>
      </c>
      <c r="I208" s="28">
        <v>0.57013888888888875</v>
      </c>
      <c r="J208" s="29">
        <v>0</v>
      </c>
      <c r="K208" s="29">
        <v>0</v>
      </c>
      <c r="L208" s="15">
        <v>21.027777777777779</v>
      </c>
      <c r="M208" s="86">
        <v>0</v>
      </c>
      <c r="N208" s="114">
        <f t="shared" si="4"/>
        <v>21.027777777777779</v>
      </c>
    </row>
    <row r="209" spans="1:14">
      <c r="A209" s="21" t="s">
        <v>320</v>
      </c>
      <c r="B209" s="22" t="s">
        <v>321</v>
      </c>
      <c r="C209" s="23" t="s">
        <v>34</v>
      </c>
      <c r="D209" s="24">
        <v>728</v>
      </c>
      <c r="E209" s="25" t="s">
        <v>14</v>
      </c>
      <c r="F209" s="26">
        <v>42586</v>
      </c>
      <c r="G209" s="27" t="s">
        <v>954</v>
      </c>
      <c r="H209" s="28">
        <v>2.5</v>
      </c>
      <c r="I209" s="28">
        <v>0</v>
      </c>
      <c r="J209" s="29">
        <v>0</v>
      </c>
      <c r="K209" s="29">
        <v>0</v>
      </c>
      <c r="L209" s="15">
        <v>28.801388888888891</v>
      </c>
      <c r="M209" s="86">
        <v>0</v>
      </c>
      <c r="N209" s="114">
        <f t="shared" si="4"/>
        <v>28.801388888888891</v>
      </c>
    </row>
    <row r="210" spans="1:14">
      <c r="A210" s="21" t="s">
        <v>322</v>
      </c>
      <c r="B210" s="22" t="s">
        <v>323</v>
      </c>
      <c r="C210" s="23" t="s">
        <v>51</v>
      </c>
      <c r="D210" s="24">
        <v>728</v>
      </c>
      <c r="E210" s="25" t="s">
        <v>14</v>
      </c>
      <c r="F210" s="26">
        <v>40751</v>
      </c>
      <c r="G210" s="27" t="s">
        <v>955</v>
      </c>
      <c r="H210" s="28">
        <v>1.6666666666666667</v>
      </c>
      <c r="I210" s="28">
        <v>0</v>
      </c>
      <c r="J210" s="29">
        <v>0</v>
      </c>
      <c r="K210" s="29">
        <v>0</v>
      </c>
      <c r="L210" s="15">
        <v>38.65902777777778</v>
      </c>
      <c r="M210" s="86">
        <v>0</v>
      </c>
      <c r="N210" s="114">
        <f t="shared" si="4"/>
        <v>38.65902777777778</v>
      </c>
    </row>
    <row r="211" spans="1:14">
      <c r="A211" s="21" t="s">
        <v>612</v>
      </c>
      <c r="B211" s="22" t="s">
        <v>613</v>
      </c>
      <c r="C211" s="23" t="s">
        <v>34</v>
      </c>
      <c r="D211" s="24">
        <v>1057</v>
      </c>
      <c r="E211" s="25" t="s">
        <v>14</v>
      </c>
      <c r="F211" s="26">
        <v>42009</v>
      </c>
      <c r="G211" s="27" t="s">
        <v>956</v>
      </c>
      <c r="H211" s="28">
        <v>1.6666666666666667</v>
      </c>
      <c r="I211" s="28">
        <v>0</v>
      </c>
      <c r="J211" s="29">
        <v>0</v>
      </c>
      <c r="K211" s="29">
        <v>0</v>
      </c>
      <c r="L211" s="15">
        <v>34.493749999999999</v>
      </c>
      <c r="M211" s="86">
        <v>0</v>
      </c>
      <c r="N211" s="114">
        <f t="shared" si="4"/>
        <v>34.493749999999999</v>
      </c>
    </row>
    <row r="212" spans="1:14">
      <c r="A212" s="21" t="s">
        <v>324</v>
      </c>
      <c r="B212" s="123" t="s">
        <v>325</v>
      </c>
      <c r="C212" s="23" t="s">
        <v>60</v>
      </c>
      <c r="D212" s="24">
        <v>728</v>
      </c>
      <c r="E212" s="25" t="s">
        <v>14</v>
      </c>
      <c r="F212" s="26">
        <v>40087</v>
      </c>
      <c r="G212" s="27" t="s">
        <v>957</v>
      </c>
      <c r="H212" s="28">
        <v>4.166666666666667</v>
      </c>
      <c r="I212" s="28">
        <v>7</v>
      </c>
      <c r="J212" s="29">
        <v>7</v>
      </c>
      <c r="K212" s="29">
        <v>7</v>
      </c>
      <c r="L212" s="15">
        <v>47.120138888888889</v>
      </c>
      <c r="M212" s="86">
        <v>55</v>
      </c>
      <c r="N212" s="114">
        <f t="shared" si="4"/>
        <v>102.12013888888889</v>
      </c>
    </row>
    <row r="213" spans="1:14">
      <c r="A213" s="21" t="s">
        <v>614</v>
      </c>
      <c r="B213" s="37" t="s">
        <v>813</v>
      </c>
      <c r="C213" s="23" t="s">
        <v>51</v>
      </c>
      <c r="D213" s="24">
        <v>1057</v>
      </c>
      <c r="E213" s="25" t="s">
        <v>14</v>
      </c>
      <c r="F213" s="26">
        <v>41739</v>
      </c>
      <c r="G213" s="27">
        <v>38.333333333333336</v>
      </c>
      <c r="H213" s="28">
        <v>7.333333333333333</v>
      </c>
      <c r="I213" s="28">
        <v>0</v>
      </c>
      <c r="J213" s="29">
        <v>0</v>
      </c>
      <c r="K213" s="29">
        <v>0</v>
      </c>
      <c r="L213" s="15">
        <v>45.666666666666671</v>
      </c>
      <c r="M213" s="86">
        <v>0</v>
      </c>
      <c r="N213" s="114">
        <f t="shared" si="4"/>
        <v>45.666666666666671</v>
      </c>
    </row>
    <row r="214" spans="1:14">
      <c r="A214" s="21" t="s">
        <v>328</v>
      </c>
      <c r="B214" s="22" t="s">
        <v>329</v>
      </c>
      <c r="C214" s="23" t="s">
        <v>34</v>
      </c>
      <c r="D214" s="24">
        <v>728</v>
      </c>
      <c r="E214" s="25" t="s">
        <v>14</v>
      </c>
      <c r="F214" s="26">
        <v>37117</v>
      </c>
      <c r="G214" s="27">
        <v>38.333333333333336</v>
      </c>
      <c r="H214" s="28">
        <v>7.333333333333333</v>
      </c>
      <c r="I214" s="28">
        <v>7</v>
      </c>
      <c r="J214" s="29">
        <v>0</v>
      </c>
      <c r="K214" s="29">
        <v>7</v>
      </c>
      <c r="L214" s="15">
        <v>59.666666666666671</v>
      </c>
      <c r="M214" s="86">
        <v>0</v>
      </c>
      <c r="N214" s="114">
        <f t="shared" si="4"/>
        <v>59.666666666666671</v>
      </c>
    </row>
    <row r="215" spans="1:14">
      <c r="A215" s="21" t="s">
        <v>332</v>
      </c>
      <c r="B215" s="22" t="s">
        <v>333</v>
      </c>
      <c r="C215" s="23" t="s">
        <v>34</v>
      </c>
      <c r="D215" s="24">
        <v>728</v>
      </c>
      <c r="E215" s="25" t="s">
        <v>14</v>
      </c>
      <c r="F215" s="26">
        <v>43727</v>
      </c>
      <c r="G215" s="27" t="s">
        <v>958</v>
      </c>
      <c r="H215" s="28">
        <v>1.6666666666666667</v>
      </c>
      <c r="I215" s="28">
        <v>0</v>
      </c>
      <c r="J215" s="29">
        <v>0</v>
      </c>
      <c r="K215" s="29">
        <v>0</v>
      </c>
      <c r="L215" s="15">
        <v>27.688194444444445</v>
      </c>
      <c r="M215" s="86">
        <v>0</v>
      </c>
      <c r="N215" s="114">
        <f t="shared" si="4"/>
        <v>27.688194444444445</v>
      </c>
    </row>
    <row r="216" spans="1:14">
      <c r="A216" s="21" t="s">
        <v>336</v>
      </c>
      <c r="B216" s="37" t="s">
        <v>795</v>
      </c>
      <c r="C216" s="23" t="s">
        <v>34</v>
      </c>
      <c r="D216" s="24">
        <v>728</v>
      </c>
      <c r="E216" s="25" t="s">
        <v>14</v>
      </c>
      <c r="F216" s="26">
        <v>39722</v>
      </c>
      <c r="G216" s="27">
        <v>38.333333333333336</v>
      </c>
      <c r="H216" s="28">
        <v>7.333333333333333</v>
      </c>
      <c r="I216" s="28">
        <v>0.83333333333333337</v>
      </c>
      <c r="J216" s="29">
        <v>0</v>
      </c>
      <c r="K216" s="29">
        <v>0</v>
      </c>
      <c r="L216" s="15">
        <v>46.5</v>
      </c>
      <c r="M216" s="86">
        <v>0</v>
      </c>
      <c r="N216" s="114">
        <f t="shared" si="4"/>
        <v>46.5</v>
      </c>
    </row>
    <row r="217" spans="1:14">
      <c r="A217" s="21" t="s">
        <v>617</v>
      </c>
      <c r="B217" s="37" t="s">
        <v>796</v>
      </c>
      <c r="C217" s="23" t="s">
        <v>34</v>
      </c>
      <c r="D217" s="24">
        <v>1057</v>
      </c>
      <c r="E217" s="25" t="s">
        <v>14</v>
      </c>
      <c r="F217" s="26">
        <v>43640</v>
      </c>
      <c r="G217" s="27" t="s">
        <v>959</v>
      </c>
      <c r="H217" s="28">
        <v>0.83333333333333337</v>
      </c>
      <c r="I217" s="28">
        <v>0</v>
      </c>
      <c r="J217" s="29">
        <v>0</v>
      </c>
      <c r="K217" s="29">
        <v>0</v>
      </c>
      <c r="L217" s="15">
        <v>5.5090277777777779</v>
      </c>
      <c r="M217" s="86">
        <v>0</v>
      </c>
      <c r="N217" s="114">
        <f t="shared" si="4"/>
        <v>5.5090277777777779</v>
      </c>
    </row>
    <row r="218" spans="1:14">
      <c r="A218" s="21" t="s">
        <v>618</v>
      </c>
      <c r="B218" s="22" t="s">
        <v>619</v>
      </c>
      <c r="C218" s="23" t="s">
        <v>34</v>
      </c>
      <c r="D218" s="24">
        <v>1057</v>
      </c>
      <c r="E218" s="25" t="s">
        <v>14</v>
      </c>
      <c r="F218" s="26">
        <v>43067</v>
      </c>
      <c r="G218" s="27" t="s">
        <v>960</v>
      </c>
      <c r="H218" s="28">
        <v>1.6666666666666667</v>
      </c>
      <c r="I218" s="28">
        <v>0</v>
      </c>
      <c r="J218" s="29">
        <v>0</v>
      </c>
      <c r="K218" s="29">
        <v>0</v>
      </c>
      <c r="L218" s="15">
        <v>32.638888888888893</v>
      </c>
      <c r="M218" s="86">
        <v>0</v>
      </c>
      <c r="N218" s="114">
        <f t="shared" si="4"/>
        <v>32.638888888888893</v>
      </c>
    </row>
    <row r="219" spans="1:14">
      <c r="A219" s="21" t="s">
        <v>620</v>
      </c>
      <c r="B219" s="22" t="s">
        <v>621</v>
      </c>
      <c r="C219" s="23" t="s">
        <v>34</v>
      </c>
      <c r="D219" s="24">
        <v>1057</v>
      </c>
      <c r="E219" s="25" t="s">
        <v>14</v>
      </c>
      <c r="F219" s="26">
        <v>43825</v>
      </c>
      <c r="G219" s="27">
        <v>23.916666666666668</v>
      </c>
      <c r="H219" s="28">
        <v>0</v>
      </c>
      <c r="I219" s="28">
        <v>0</v>
      </c>
      <c r="J219" s="29">
        <v>0</v>
      </c>
      <c r="K219" s="29">
        <v>0</v>
      </c>
      <c r="L219" s="15">
        <v>23.916666666666668</v>
      </c>
      <c r="M219" s="86">
        <v>0</v>
      </c>
      <c r="N219" s="114">
        <f t="shared" si="4"/>
        <v>23.916666666666668</v>
      </c>
    </row>
    <row r="220" spans="1:14">
      <c r="A220" s="21" t="s">
        <v>622</v>
      </c>
      <c r="B220" s="22" t="s">
        <v>623</v>
      </c>
      <c r="C220" s="23" t="s">
        <v>34</v>
      </c>
      <c r="D220" s="24">
        <v>1057</v>
      </c>
      <c r="E220" s="25" t="s">
        <v>14</v>
      </c>
      <c r="F220" s="26">
        <v>43794</v>
      </c>
      <c r="G220" s="27" t="s">
        <v>961</v>
      </c>
      <c r="H220" s="28">
        <v>0.83333333333333337</v>
      </c>
      <c r="I220" s="28">
        <v>0</v>
      </c>
      <c r="J220" s="29">
        <v>0</v>
      </c>
      <c r="K220" s="29">
        <v>0</v>
      </c>
      <c r="L220" s="15">
        <v>25.8125</v>
      </c>
      <c r="M220" s="86">
        <v>0</v>
      </c>
      <c r="N220" s="114">
        <f t="shared" si="4"/>
        <v>25.8125</v>
      </c>
    </row>
    <row r="221" spans="1:14">
      <c r="A221" s="21" t="s">
        <v>624</v>
      </c>
      <c r="B221" s="22" t="s">
        <v>625</v>
      </c>
      <c r="C221" s="23" t="s">
        <v>34</v>
      </c>
      <c r="D221" s="24">
        <v>1057</v>
      </c>
      <c r="E221" s="25" t="s">
        <v>14</v>
      </c>
      <c r="F221" s="26">
        <v>43067</v>
      </c>
      <c r="G221" s="27" t="s">
        <v>962</v>
      </c>
      <c r="H221" s="28">
        <v>0</v>
      </c>
      <c r="I221" s="28">
        <v>0.83333333333333337</v>
      </c>
      <c r="J221" s="29">
        <v>0</v>
      </c>
      <c r="K221" s="29">
        <v>0</v>
      </c>
      <c r="L221" s="15">
        <v>14.921527777777779</v>
      </c>
      <c r="M221" s="86">
        <v>0</v>
      </c>
      <c r="N221" s="114">
        <f t="shared" si="4"/>
        <v>14.921527777777779</v>
      </c>
    </row>
    <row r="222" spans="1:14">
      <c r="A222" s="21" t="s">
        <v>337</v>
      </c>
      <c r="B222" s="22" t="s">
        <v>338</v>
      </c>
      <c r="C222" s="23" t="s">
        <v>51</v>
      </c>
      <c r="D222" s="24">
        <v>728</v>
      </c>
      <c r="E222" s="25" t="s">
        <v>14</v>
      </c>
      <c r="F222" s="26">
        <v>41449</v>
      </c>
      <c r="G222" s="27" t="s">
        <v>963</v>
      </c>
      <c r="H222" s="28">
        <v>0.83333333333333337</v>
      </c>
      <c r="I222" s="28">
        <v>0</v>
      </c>
      <c r="J222" s="29">
        <v>0</v>
      </c>
      <c r="K222" s="29">
        <v>0</v>
      </c>
      <c r="L222" s="15">
        <v>8.5326388888888882</v>
      </c>
      <c r="M222" s="86">
        <v>0</v>
      </c>
      <c r="N222" s="114">
        <f t="shared" si="4"/>
        <v>8.5326388888888882</v>
      </c>
    </row>
    <row r="223" spans="1:14">
      <c r="A223" s="21" t="s">
        <v>339</v>
      </c>
      <c r="B223" s="22" t="s">
        <v>340</v>
      </c>
      <c r="C223" s="23" t="s">
        <v>37</v>
      </c>
      <c r="D223" s="24">
        <v>728</v>
      </c>
      <c r="E223" s="25" t="s">
        <v>14</v>
      </c>
      <c r="F223" s="26">
        <v>39373</v>
      </c>
      <c r="G223" s="27">
        <v>38.333333333333336</v>
      </c>
      <c r="H223" s="28">
        <v>1.6666666666666667</v>
      </c>
      <c r="I223" s="28">
        <v>0</v>
      </c>
      <c r="J223" s="29">
        <v>0</v>
      </c>
      <c r="K223" s="29">
        <v>0</v>
      </c>
      <c r="L223" s="15">
        <v>40</v>
      </c>
      <c r="M223" s="86">
        <v>0</v>
      </c>
      <c r="N223" s="114">
        <f t="shared" si="4"/>
        <v>40</v>
      </c>
    </row>
    <row r="224" spans="1:14">
      <c r="A224" s="21" t="s">
        <v>341</v>
      </c>
      <c r="B224" s="22" t="s">
        <v>342</v>
      </c>
      <c r="C224" s="23" t="s">
        <v>37</v>
      </c>
      <c r="D224" s="24">
        <v>728</v>
      </c>
      <c r="E224" s="25" t="s">
        <v>14</v>
      </c>
      <c r="F224" s="26">
        <v>39722</v>
      </c>
      <c r="G224" s="27" t="s">
        <v>964</v>
      </c>
      <c r="H224" s="28">
        <v>3.9999999999999996</v>
      </c>
      <c r="I224" s="28">
        <v>0</v>
      </c>
      <c r="J224" s="29">
        <v>0</v>
      </c>
      <c r="K224" s="29">
        <v>0</v>
      </c>
      <c r="L224" s="15">
        <v>37.104166666666664</v>
      </c>
      <c r="M224" s="86">
        <v>0</v>
      </c>
      <c r="N224" s="114">
        <f t="shared" si="4"/>
        <v>37.104166666666664</v>
      </c>
    </row>
    <row r="225" spans="1:14">
      <c r="A225" s="21" t="s">
        <v>343</v>
      </c>
      <c r="B225" s="22" t="s">
        <v>344</v>
      </c>
      <c r="C225" s="23" t="s">
        <v>34</v>
      </c>
      <c r="D225" s="24">
        <v>728</v>
      </c>
      <c r="E225" s="25" t="s">
        <v>14</v>
      </c>
      <c r="F225" s="26">
        <v>39722</v>
      </c>
      <c r="G225" s="27">
        <v>29</v>
      </c>
      <c r="H225" s="28">
        <v>1.6666666666666667</v>
      </c>
      <c r="I225" s="28">
        <v>0.83333333333333337</v>
      </c>
      <c r="J225" s="29">
        <v>0</v>
      </c>
      <c r="K225" s="29">
        <v>0</v>
      </c>
      <c r="L225" s="15">
        <v>31.5</v>
      </c>
      <c r="M225" s="86">
        <v>0</v>
      </c>
      <c r="N225" s="114">
        <f t="shared" si="4"/>
        <v>31.5</v>
      </c>
    </row>
    <row r="226" spans="1:14">
      <c r="A226" s="21" t="s">
        <v>345</v>
      </c>
      <c r="B226" s="22" t="s">
        <v>346</v>
      </c>
      <c r="C226" s="23" t="s">
        <v>34</v>
      </c>
      <c r="D226" s="24">
        <v>728</v>
      </c>
      <c r="E226" s="25" t="s">
        <v>14</v>
      </c>
      <c r="F226" s="26">
        <v>38940</v>
      </c>
      <c r="G226" s="27" t="s">
        <v>965</v>
      </c>
      <c r="H226" s="28">
        <v>1.6666666666666667</v>
      </c>
      <c r="I226" s="28">
        <v>0</v>
      </c>
      <c r="J226" s="29">
        <v>0</v>
      </c>
      <c r="K226" s="29">
        <v>0</v>
      </c>
      <c r="L226" s="15">
        <v>35.456944444444446</v>
      </c>
      <c r="M226" s="86">
        <v>0</v>
      </c>
      <c r="N226" s="114">
        <f t="shared" si="4"/>
        <v>35.456944444444446</v>
      </c>
    </row>
    <row r="227" spans="1:14">
      <c r="A227" s="21" t="s">
        <v>347</v>
      </c>
      <c r="B227" s="22" t="s">
        <v>348</v>
      </c>
      <c r="C227" s="23" t="s">
        <v>214</v>
      </c>
      <c r="D227" s="24">
        <v>728</v>
      </c>
      <c r="E227" s="25" t="s">
        <v>14</v>
      </c>
      <c r="F227" s="26">
        <v>40638</v>
      </c>
      <c r="G227" s="27" t="s">
        <v>966</v>
      </c>
      <c r="H227" s="28">
        <v>1.6666666666666667</v>
      </c>
      <c r="I227" s="28">
        <v>0</v>
      </c>
      <c r="J227" s="29">
        <v>0</v>
      </c>
      <c r="K227" s="29">
        <v>0.21180555555555625</v>
      </c>
      <c r="L227" s="15">
        <v>38.893749999999997</v>
      </c>
      <c r="M227" s="86">
        <v>0</v>
      </c>
      <c r="N227" s="114">
        <f t="shared" si="4"/>
        <v>38.893749999999997</v>
      </c>
    </row>
    <row r="228" spans="1:14">
      <c r="A228" s="21" t="s">
        <v>349</v>
      </c>
      <c r="B228" s="22" t="s">
        <v>350</v>
      </c>
      <c r="C228" s="23" t="s">
        <v>34</v>
      </c>
      <c r="D228" s="24">
        <v>728</v>
      </c>
      <c r="E228" s="25" t="s">
        <v>14</v>
      </c>
      <c r="F228" s="26">
        <v>40525</v>
      </c>
      <c r="G228" s="27" t="s">
        <v>967</v>
      </c>
      <c r="H228" s="28">
        <v>1.6666666666666667</v>
      </c>
      <c r="I228" s="28">
        <v>0</v>
      </c>
      <c r="J228" s="29">
        <v>0</v>
      </c>
      <c r="K228" s="29">
        <v>4.1666666666682062E-3</v>
      </c>
      <c r="L228" s="15">
        <v>34.702083333333334</v>
      </c>
      <c r="M228" s="86">
        <v>0</v>
      </c>
      <c r="N228" s="114">
        <f t="shared" si="4"/>
        <v>34.702083333333334</v>
      </c>
    </row>
    <row r="229" spans="1:14">
      <c r="A229" s="21" t="s">
        <v>738</v>
      </c>
      <c r="B229" s="37" t="s">
        <v>797</v>
      </c>
      <c r="C229" s="23" t="s">
        <v>34</v>
      </c>
      <c r="D229" s="24">
        <v>1057</v>
      </c>
      <c r="E229" s="25" t="s">
        <v>14</v>
      </c>
      <c r="F229" s="26">
        <v>44131</v>
      </c>
      <c r="G229" s="11" t="s">
        <v>39</v>
      </c>
      <c r="H229" s="32" t="s">
        <v>39</v>
      </c>
      <c r="I229" s="28">
        <v>0</v>
      </c>
      <c r="J229" s="29">
        <v>0</v>
      </c>
      <c r="K229" s="29">
        <v>0</v>
      </c>
      <c r="L229" s="15">
        <v>0</v>
      </c>
      <c r="M229" s="86">
        <v>0</v>
      </c>
      <c r="N229" s="114">
        <f t="shared" si="4"/>
        <v>0</v>
      </c>
    </row>
    <row r="230" spans="1:14">
      <c r="A230" s="21" t="s">
        <v>628</v>
      </c>
      <c r="B230" s="22" t="s">
        <v>629</v>
      </c>
      <c r="C230" s="23" t="s">
        <v>34</v>
      </c>
      <c r="D230" s="24">
        <v>1057</v>
      </c>
      <c r="E230" s="25" t="s">
        <v>14</v>
      </c>
      <c r="F230" s="26">
        <v>43794</v>
      </c>
      <c r="G230" s="27" t="s">
        <v>968</v>
      </c>
      <c r="H230" s="28">
        <v>0</v>
      </c>
      <c r="I230" s="28">
        <v>0</v>
      </c>
      <c r="J230" s="29">
        <v>0</v>
      </c>
      <c r="K230" s="29">
        <v>0</v>
      </c>
      <c r="L230" s="15">
        <v>31.993750000000002</v>
      </c>
      <c r="M230" s="86">
        <v>0</v>
      </c>
      <c r="N230" s="114">
        <f t="shared" si="4"/>
        <v>31.993750000000002</v>
      </c>
    </row>
    <row r="231" spans="1:14">
      <c r="A231" s="21" t="s">
        <v>739</v>
      </c>
      <c r="B231" s="37" t="s">
        <v>814</v>
      </c>
      <c r="C231" s="23" t="s">
        <v>34</v>
      </c>
      <c r="D231" s="24">
        <v>1057</v>
      </c>
      <c r="E231" s="25" t="s">
        <v>14</v>
      </c>
      <c r="F231" s="26">
        <v>44131</v>
      </c>
      <c r="G231" s="11" t="s">
        <v>39</v>
      </c>
      <c r="H231" s="32" t="s">
        <v>39</v>
      </c>
      <c r="I231" s="32" t="s">
        <v>39</v>
      </c>
      <c r="J231" s="29">
        <v>0</v>
      </c>
      <c r="K231" s="29">
        <v>0</v>
      </c>
      <c r="L231" s="15">
        <v>0</v>
      </c>
      <c r="M231" s="86">
        <v>0</v>
      </c>
      <c r="N231" s="114">
        <f t="shared" si="4"/>
        <v>0</v>
      </c>
    </row>
    <row r="232" spans="1:14">
      <c r="A232" s="21" t="s">
        <v>351</v>
      </c>
      <c r="B232" s="37" t="s">
        <v>798</v>
      </c>
      <c r="C232" s="23" t="s">
        <v>34</v>
      </c>
      <c r="D232" s="24">
        <v>728</v>
      </c>
      <c r="E232" s="25" t="s">
        <v>14</v>
      </c>
      <c r="F232" s="26">
        <v>43802</v>
      </c>
      <c r="G232" s="27" t="s">
        <v>969</v>
      </c>
      <c r="H232" s="28">
        <v>0</v>
      </c>
      <c r="I232" s="28">
        <v>0</v>
      </c>
      <c r="J232" s="29">
        <v>0</v>
      </c>
      <c r="K232" s="29">
        <v>0</v>
      </c>
      <c r="L232" s="15">
        <v>18.390972222222221</v>
      </c>
      <c r="M232" s="86">
        <v>0</v>
      </c>
      <c r="N232" s="114">
        <f t="shared" si="4"/>
        <v>18.390972222222221</v>
      </c>
    </row>
    <row r="233" spans="1:14">
      <c r="A233" s="21" t="s">
        <v>352</v>
      </c>
      <c r="B233" s="22" t="s">
        <v>353</v>
      </c>
      <c r="C233" s="23" t="s">
        <v>51</v>
      </c>
      <c r="D233" s="24">
        <v>728</v>
      </c>
      <c r="E233" s="25" t="s">
        <v>14</v>
      </c>
      <c r="F233" s="26">
        <v>40632</v>
      </c>
      <c r="G233" s="27" t="s">
        <v>970</v>
      </c>
      <c r="H233" s="28">
        <v>1.6743055555555557</v>
      </c>
      <c r="I233" s="28">
        <v>0</v>
      </c>
      <c r="J233" s="29">
        <v>0</v>
      </c>
      <c r="K233" s="29">
        <v>0</v>
      </c>
      <c r="L233" s="15">
        <v>32.34375</v>
      </c>
      <c r="M233" s="86">
        <v>0</v>
      </c>
      <c r="N233" s="114">
        <f t="shared" si="4"/>
        <v>32.34375</v>
      </c>
    </row>
    <row r="234" spans="1:14">
      <c r="A234" s="21" t="s">
        <v>631</v>
      </c>
      <c r="B234" s="22" t="s">
        <v>632</v>
      </c>
      <c r="C234" s="23" t="s">
        <v>51</v>
      </c>
      <c r="D234" s="24">
        <v>1057</v>
      </c>
      <c r="E234" s="25" t="s">
        <v>14</v>
      </c>
      <c r="F234" s="26">
        <v>43826</v>
      </c>
      <c r="G234" s="27" t="s">
        <v>971</v>
      </c>
      <c r="H234" s="28">
        <v>0.83333333333333337</v>
      </c>
      <c r="I234" s="28">
        <v>0</v>
      </c>
      <c r="J234" s="29">
        <v>0</v>
      </c>
      <c r="K234" s="29">
        <v>0</v>
      </c>
      <c r="L234" s="15">
        <v>38.919444444444451</v>
      </c>
      <c r="M234" s="86">
        <v>0</v>
      </c>
      <c r="N234" s="114">
        <f t="shared" si="4"/>
        <v>38.919444444444451</v>
      </c>
    </row>
    <row r="235" spans="1:14">
      <c r="A235" s="21" t="s">
        <v>633</v>
      </c>
      <c r="B235" s="22" t="s">
        <v>634</v>
      </c>
      <c r="C235" s="23" t="s">
        <v>188</v>
      </c>
      <c r="D235" s="24">
        <v>1057</v>
      </c>
      <c r="E235" s="25" t="s">
        <v>14</v>
      </c>
      <c r="F235" s="26">
        <v>43773</v>
      </c>
      <c r="G235" s="27" t="s">
        <v>972</v>
      </c>
      <c r="H235" s="28">
        <v>0</v>
      </c>
      <c r="I235" s="28">
        <v>0</v>
      </c>
      <c r="J235" s="29">
        <v>0</v>
      </c>
      <c r="K235" s="29">
        <v>0</v>
      </c>
      <c r="L235" s="15">
        <v>37.502083333333331</v>
      </c>
      <c r="M235" s="86">
        <v>0</v>
      </c>
      <c r="N235" s="114">
        <f t="shared" si="4"/>
        <v>37.502083333333331</v>
      </c>
    </row>
    <row r="236" spans="1:14">
      <c r="A236" s="21" t="s">
        <v>635</v>
      </c>
      <c r="B236" s="22" t="s">
        <v>636</v>
      </c>
      <c r="C236" s="23" t="s">
        <v>214</v>
      </c>
      <c r="D236" s="24">
        <v>1057</v>
      </c>
      <c r="E236" s="25" t="s">
        <v>14</v>
      </c>
      <c r="F236" s="26">
        <v>42856</v>
      </c>
      <c r="G236" s="27">
        <v>38.333333333333336</v>
      </c>
      <c r="H236" s="28">
        <v>1.6666666666666667</v>
      </c>
      <c r="I236" s="28">
        <v>0</v>
      </c>
      <c r="J236" s="29">
        <v>0</v>
      </c>
      <c r="K236" s="29">
        <v>0</v>
      </c>
      <c r="L236" s="15">
        <v>40</v>
      </c>
      <c r="M236" s="86">
        <v>0</v>
      </c>
      <c r="N236" s="114">
        <f t="shared" si="4"/>
        <v>40</v>
      </c>
    </row>
    <row r="237" spans="1:14">
      <c r="A237" s="21" t="s">
        <v>774</v>
      </c>
      <c r="B237" s="31" t="s">
        <v>775</v>
      </c>
      <c r="C237" s="23" t="s">
        <v>51</v>
      </c>
      <c r="D237" s="24">
        <v>1057</v>
      </c>
      <c r="E237" s="25" t="s">
        <v>14</v>
      </c>
      <c r="F237" s="26">
        <v>44183</v>
      </c>
      <c r="G237" s="11" t="s">
        <v>39</v>
      </c>
      <c r="H237" s="32" t="s">
        <v>39</v>
      </c>
      <c r="I237" s="32" t="s">
        <v>39</v>
      </c>
      <c r="J237" s="12" t="s">
        <v>39</v>
      </c>
      <c r="K237" s="29">
        <v>0</v>
      </c>
      <c r="L237" s="15">
        <v>0</v>
      </c>
      <c r="M237" s="86">
        <v>0</v>
      </c>
      <c r="N237" s="114">
        <f t="shared" si="4"/>
        <v>0</v>
      </c>
    </row>
    <row r="238" spans="1:14">
      <c r="A238" s="21" t="s">
        <v>637</v>
      </c>
      <c r="B238" s="22" t="s">
        <v>638</v>
      </c>
      <c r="C238" s="23" t="s">
        <v>534</v>
      </c>
      <c r="D238" s="24">
        <v>1057</v>
      </c>
      <c r="E238" s="25" t="s">
        <v>14</v>
      </c>
      <c r="F238" s="26">
        <v>43794</v>
      </c>
      <c r="G238" s="27">
        <v>38.333333333333336</v>
      </c>
      <c r="H238" s="28">
        <v>0.83333333333333337</v>
      </c>
      <c r="I238" s="28">
        <v>0</v>
      </c>
      <c r="J238" s="29">
        <v>0</v>
      </c>
      <c r="K238" s="29">
        <v>0</v>
      </c>
      <c r="L238" s="15">
        <v>39.166666666666671</v>
      </c>
      <c r="M238" s="86">
        <v>0</v>
      </c>
      <c r="N238" s="114">
        <f t="shared" si="4"/>
        <v>39.166666666666671</v>
      </c>
    </row>
    <row r="239" spans="1:14">
      <c r="A239" s="21" t="s">
        <v>354</v>
      </c>
      <c r="B239" s="22" t="s">
        <v>355</v>
      </c>
      <c r="C239" s="23" t="s">
        <v>714</v>
      </c>
      <c r="D239" s="24">
        <v>728</v>
      </c>
      <c r="E239" s="25" t="s">
        <v>14</v>
      </c>
      <c r="F239" s="26">
        <v>39813</v>
      </c>
      <c r="G239" s="27" t="s">
        <v>973</v>
      </c>
      <c r="H239" s="28">
        <v>0</v>
      </c>
      <c r="I239" s="28">
        <v>0</v>
      </c>
      <c r="J239" s="29">
        <v>0</v>
      </c>
      <c r="K239" s="29">
        <v>0</v>
      </c>
      <c r="L239" s="15">
        <v>13.206944444444444</v>
      </c>
      <c r="M239" s="86">
        <v>0</v>
      </c>
      <c r="N239" s="114">
        <f t="shared" si="4"/>
        <v>13.206944444444444</v>
      </c>
    </row>
    <row r="240" spans="1:14">
      <c r="A240" s="21" t="s">
        <v>639</v>
      </c>
      <c r="B240" s="22" t="s">
        <v>640</v>
      </c>
      <c r="C240" s="23" t="s">
        <v>51</v>
      </c>
      <c r="D240" s="24">
        <v>1057</v>
      </c>
      <c r="E240" s="25" t="s">
        <v>14</v>
      </c>
      <c r="F240" s="26">
        <v>43794</v>
      </c>
      <c r="G240" s="27">
        <v>38.333333333333336</v>
      </c>
      <c r="H240" s="28">
        <v>0</v>
      </c>
      <c r="I240" s="28">
        <v>0</v>
      </c>
      <c r="J240" s="29">
        <v>0</v>
      </c>
      <c r="K240" s="29">
        <v>0</v>
      </c>
      <c r="L240" s="15">
        <v>38.333333333333336</v>
      </c>
      <c r="M240" s="86">
        <v>0</v>
      </c>
      <c r="N240" s="114">
        <f t="shared" si="4"/>
        <v>38.333333333333336</v>
      </c>
    </row>
    <row r="241" spans="1:14">
      <c r="A241" s="21" t="s">
        <v>358</v>
      </c>
      <c r="B241" s="22" t="s">
        <v>359</v>
      </c>
      <c r="C241" s="23" t="s">
        <v>34</v>
      </c>
      <c r="D241" s="24">
        <v>728</v>
      </c>
      <c r="E241" s="25" t="s">
        <v>14</v>
      </c>
      <c r="F241" s="26">
        <v>39756</v>
      </c>
      <c r="G241" s="27" t="s">
        <v>974</v>
      </c>
      <c r="H241" s="28">
        <v>7.333333333333333</v>
      </c>
      <c r="I241" s="28">
        <v>1.6666666666666667</v>
      </c>
      <c r="J241" s="29">
        <v>0</v>
      </c>
      <c r="K241" s="29">
        <v>0</v>
      </c>
      <c r="L241" s="15">
        <v>23.862499999999997</v>
      </c>
      <c r="M241" s="86">
        <v>0</v>
      </c>
      <c r="N241" s="114">
        <f t="shared" si="4"/>
        <v>23.862499999999997</v>
      </c>
    </row>
    <row r="242" spans="1:14">
      <c r="A242" s="21" t="s">
        <v>643</v>
      </c>
      <c r="B242" s="37" t="s">
        <v>799</v>
      </c>
      <c r="C242" s="23" t="s">
        <v>51</v>
      </c>
      <c r="D242" s="24">
        <v>1057</v>
      </c>
      <c r="E242" s="25" t="s">
        <v>14</v>
      </c>
      <c r="F242" s="26">
        <v>43138</v>
      </c>
      <c r="G242" s="27" t="s">
        <v>975</v>
      </c>
      <c r="H242" s="28">
        <v>0</v>
      </c>
      <c r="I242" s="28">
        <v>0</v>
      </c>
      <c r="J242" s="29">
        <v>0</v>
      </c>
      <c r="K242" s="29">
        <v>0</v>
      </c>
      <c r="L242" s="15">
        <v>23.414583333333336</v>
      </c>
      <c r="M242" s="86">
        <v>0</v>
      </c>
      <c r="N242" s="114">
        <f t="shared" si="4"/>
        <v>23.414583333333336</v>
      </c>
    </row>
    <row r="243" spans="1:14">
      <c r="A243" s="21" t="s">
        <v>770</v>
      </c>
      <c r="B243" s="31" t="s">
        <v>771</v>
      </c>
      <c r="C243" s="23" t="s">
        <v>34</v>
      </c>
      <c r="D243" s="24">
        <v>728</v>
      </c>
      <c r="E243" s="25" t="s">
        <v>14</v>
      </c>
      <c r="F243" s="26">
        <v>43895</v>
      </c>
      <c r="G243" s="27" t="s">
        <v>976</v>
      </c>
      <c r="H243" s="28">
        <v>1.6666666666666667</v>
      </c>
      <c r="I243" s="28">
        <v>0</v>
      </c>
      <c r="J243" s="29">
        <v>0</v>
      </c>
      <c r="K243" s="29">
        <v>0</v>
      </c>
      <c r="L243" s="15">
        <v>39.118749999999999</v>
      </c>
      <c r="M243" s="86">
        <v>0</v>
      </c>
      <c r="N243" s="114">
        <f t="shared" si="4"/>
        <v>39.118749999999999</v>
      </c>
    </row>
    <row r="244" spans="1:14">
      <c r="A244" s="75" t="s">
        <v>360</v>
      </c>
      <c r="B244" s="22" t="s">
        <v>361</v>
      </c>
      <c r="C244" s="23" t="s">
        <v>77</v>
      </c>
      <c r="D244" s="24">
        <v>728</v>
      </c>
      <c r="E244" s="25" t="s">
        <v>14</v>
      </c>
      <c r="F244" s="26">
        <v>39722</v>
      </c>
      <c r="G244" s="27" t="s">
        <v>977</v>
      </c>
      <c r="H244" s="28">
        <v>0</v>
      </c>
      <c r="I244" s="28">
        <v>0</v>
      </c>
      <c r="J244" s="29">
        <v>0</v>
      </c>
      <c r="K244" s="29">
        <v>0</v>
      </c>
      <c r="L244" s="15">
        <v>24.679166666666664</v>
      </c>
      <c r="M244" s="86">
        <v>0</v>
      </c>
      <c r="N244" s="114">
        <f t="shared" si="4"/>
        <v>24.679166666666664</v>
      </c>
    </row>
    <row r="245" spans="1:14">
      <c r="A245" s="21" t="s">
        <v>644</v>
      </c>
      <c r="B245" s="22" t="s">
        <v>645</v>
      </c>
      <c r="C245" s="46" t="s">
        <v>51</v>
      </c>
      <c r="D245" s="24">
        <v>1057</v>
      </c>
      <c r="E245" s="25" t="s">
        <v>14</v>
      </c>
      <c r="F245" s="26">
        <v>43794</v>
      </c>
      <c r="G245" s="27">
        <v>0</v>
      </c>
      <c r="H245" s="28">
        <v>0</v>
      </c>
      <c r="I245" s="28">
        <v>0</v>
      </c>
      <c r="J245" s="29">
        <v>0</v>
      </c>
      <c r="K245" s="29">
        <v>0</v>
      </c>
      <c r="L245" s="15">
        <v>0</v>
      </c>
      <c r="M245" s="86">
        <v>0</v>
      </c>
      <c r="N245" s="114">
        <f t="shared" si="4"/>
        <v>0</v>
      </c>
    </row>
    <row r="246" spans="1:14">
      <c r="A246" s="75" t="s">
        <v>722</v>
      </c>
      <c r="B246" s="22" t="s">
        <v>723</v>
      </c>
      <c r="C246" s="23" t="s">
        <v>51</v>
      </c>
      <c r="D246" s="24">
        <v>728</v>
      </c>
      <c r="E246" s="25" t="s">
        <v>14</v>
      </c>
      <c r="F246" s="26">
        <v>44239</v>
      </c>
      <c r="G246" s="11" t="s">
        <v>39</v>
      </c>
      <c r="H246" s="32" t="s">
        <v>39</v>
      </c>
      <c r="I246" s="28">
        <v>0.12708333333333233</v>
      </c>
      <c r="J246" s="29">
        <v>0</v>
      </c>
      <c r="K246" s="29">
        <v>0</v>
      </c>
      <c r="L246" s="15">
        <v>0.12708333333333233</v>
      </c>
      <c r="M246" s="86">
        <v>0</v>
      </c>
      <c r="N246" s="114">
        <f t="shared" si="4"/>
        <v>0.12708333333333233</v>
      </c>
    </row>
    <row r="247" spans="1:14">
      <c r="A247" s="21" t="s">
        <v>646</v>
      </c>
      <c r="B247" s="22" t="s">
        <v>647</v>
      </c>
      <c r="C247" s="23" t="s">
        <v>51</v>
      </c>
      <c r="D247" s="24">
        <v>1057</v>
      </c>
      <c r="E247" s="25" t="s">
        <v>14</v>
      </c>
      <c r="F247" s="26">
        <v>41967</v>
      </c>
      <c r="G247" s="27" t="s">
        <v>978</v>
      </c>
      <c r="H247" s="28">
        <v>0</v>
      </c>
      <c r="I247" s="28">
        <v>0</v>
      </c>
      <c r="J247" s="29">
        <v>0</v>
      </c>
      <c r="K247" s="29">
        <v>0</v>
      </c>
      <c r="L247" s="15">
        <v>26.710416666666664</v>
      </c>
      <c r="M247" s="86">
        <v>0</v>
      </c>
      <c r="N247" s="114">
        <f t="shared" si="4"/>
        <v>26.710416666666664</v>
      </c>
    </row>
    <row r="248" spans="1:14">
      <c r="A248" s="21" t="s">
        <v>362</v>
      </c>
      <c r="B248" s="22" t="s">
        <v>363</v>
      </c>
      <c r="C248" s="23" t="s">
        <v>60</v>
      </c>
      <c r="D248" s="24">
        <v>728</v>
      </c>
      <c r="E248" s="25" t="s">
        <v>14</v>
      </c>
      <c r="F248" s="26">
        <v>39813</v>
      </c>
      <c r="G248" s="27">
        <v>36</v>
      </c>
      <c r="H248" s="28">
        <v>7.333333333333333</v>
      </c>
      <c r="I248" s="28">
        <v>0</v>
      </c>
      <c r="J248" s="29">
        <v>0</v>
      </c>
      <c r="K248" s="29">
        <v>0</v>
      </c>
      <c r="L248" s="15">
        <v>43.333333333333336</v>
      </c>
      <c r="M248" s="86">
        <v>0</v>
      </c>
      <c r="N248" s="114">
        <f t="shared" si="4"/>
        <v>43.333333333333336</v>
      </c>
    </row>
    <row r="249" spans="1:14">
      <c r="A249" s="21" t="s">
        <v>648</v>
      </c>
      <c r="B249" s="31" t="s">
        <v>649</v>
      </c>
      <c r="C249" s="23" t="s">
        <v>73</v>
      </c>
      <c r="D249" s="24">
        <v>1057</v>
      </c>
      <c r="E249" s="25" t="s">
        <v>14</v>
      </c>
      <c r="F249" s="26">
        <v>44181</v>
      </c>
      <c r="G249" s="43" t="s">
        <v>39</v>
      </c>
      <c r="H249" s="32" t="s">
        <v>39</v>
      </c>
      <c r="I249" s="32" t="s">
        <v>39</v>
      </c>
      <c r="J249" s="12" t="s">
        <v>39</v>
      </c>
      <c r="K249" s="29">
        <v>0</v>
      </c>
      <c r="L249" s="15">
        <v>0</v>
      </c>
      <c r="M249" s="86">
        <v>0</v>
      </c>
      <c r="N249" s="114">
        <f t="shared" si="4"/>
        <v>0</v>
      </c>
    </row>
    <row r="250" spans="1:14">
      <c r="A250" s="41" t="s">
        <v>1045</v>
      </c>
      <c r="B250" s="23" t="s">
        <v>364</v>
      </c>
      <c r="C250" s="23" t="s">
        <v>714</v>
      </c>
      <c r="D250" s="24">
        <v>728</v>
      </c>
      <c r="E250" s="25" t="s">
        <v>14</v>
      </c>
      <c r="F250" s="26">
        <v>39573</v>
      </c>
      <c r="G250" s="27" t="s">
        <v>979</v>
      </c>
      <c r="H250" s="28">
        <v>0.83958333333333357</v>
      </c>
      <c r="I250" s="28">
        <v>0</v>
      </c>
      <c r="J250" s="29">
        <v>0</v>
      </c>
      <c r="K250" s="29">
        <v>0</v>
      </c>
      <c r="L250" s="15">
        <v>35.077083333333334</v>
      </c>
      <c r="M250" s="86">
        <v>0</v>
      </c>
      <c r="N250" s="114">
        <f t="shared" si="4"/>
        <v>35.077083333333334</v>
      </c>
    </row>
    <row r="251" spans="1:14">
      <c r="A251" s="21" t="s">
        <v>365</v>
      </c>
      <c r="B251" s="22" t="s">
        <v>366</v>
      </c>
      <c r="C251" s="23" t="s">
        <v>60</v>
      </c>
      <c r="D251" s="24">
        <v>728</v>
      </c>
      <c r="E251" s="25" t="s">
        <v>14</v>
      </c>
      <c r="F251" s="26">
        <v>42948</v>
      </c>
      <c r="G251" s="27" t="s">
        <v>980</v>
      </c>
      <c r="H251" s="28">
        <v>0.83333333333333337</v>
      </c>
      <c r="I251" s="28">
        <v>0</v>
      </c>
      <c r="J251" s="29">
        <v>0</v>
      </c>
      <c r="K251" s="29">
        <v>0</v>
      </c>
      <c r="L251" s="15">
        <v>38.781944444444449</v>
      </c>
      <c r="M251" s="86">
        <v>0</v>
      </c>
      <c r="N251" s="114">
        <f t="shared" si="4"/>
        <v>38.781944444444449</v>
      </c>
    </row>
    <row r="252" spans="1:14">
      <c r="A252" s="21" t="s">
        <v>650</v>
      </c>
      <c r="B252" s="22" t="s">
        <v>651</v>
      </c>
      <c r="C252" s="23" t="s">
        <v>51</v>
      </c>
      <c r="D252" s="24">
        <v>1057</v>
      </c>
      <c r="E252" s="25" t="s">
        <v>14</v>
      </c>
      <c r="F252" s="26">
        <v>40582</v>
      </c>
      <c r="G252" s="27" t="s">
        <v>981</v>
      </c>
      <c r="H252" s="28">
        <v>0</v>
      </c>
      <c r="I252" s="28">
        <v>0</v>
      </c>
      <c r="J252" s="29">
        <v>0</v>
      </c>
      <c r="K252" s="29">
        <v>0</v>
      </c>
      <c r="L252" s="15">
        <v>28.272916666666664</v>
      </c>
      <c r="M252" s="86">
        <v>0</v>
      </c>
      <c r="N252" s="114">
        <f t="shared" si="4"/>
        <v>28.272916666666664</v>
      </c>
    </row>
    <row r="253" spans="1:14">
      <c r="A253" s="21" t="s">
        <v>367</v>
      </c>
      <c r="B253" s="22" t="s">
        <v>368</v>
      </c>
      <c r="C253" s="23" t="s">
        <v>34</v>
      </c>
      <c r="D253" s="24">
        <v>728</v>
      </c>
      <c r="E253" s="25" t="s">
        <v>14</v>
      </c>
      <c r="F253" s="26">
        <v>42156</v>
      </c>
      <c r="G253" s="27" t="s">
        <v>982</v>
      </c>
      <c r="H253" s="28">
        <v>2.9083333333333323</v>
      </c>
      <c r="I253" s="28">
        <v>0</v>
      </c>
      <c r="J253" s="29">
        <v>0</v>
      </c>
      <c r="K253" s="29">
        <v>0</v>
      </c>
      <c r="L253" s="15">
        <v>35.343055555555551</v>
      </c>
      <c r="M253" s="86">
        <v>0</v>
      </c>
      <c r="N253" s="114">
        <f t="shared" si="4"/>
        <v>35.343055555555551</v>
      </c>
    </row>
    <row r="254" spans="1:14">
      <c r="A254" s="21" t="s">
        <v>23</v>
      </c>
      <c r="B254" s="22" t="s">
        <v>24</v>
      </c>
      <c r="C254" s="23" t="s">
        <v>13</v>
      </c>
      <c r="D254" s="24">
        <v>276</v>
      </c>
      <c r="E254" s="25" t="s">
        <v>14</v>
      </c>
      <c r="F254" s="26">
        <v>30026</v>
      </c>
      <c r="G254" s="27">
        <v>36.208333333333336</v>
      </c>
      <c r="H254" s="28">
        <v>0.83333333333333337</v>
      </c>
      <c r="I254" s="28">
        <v>0</v>
      </c>
      <c r="J254" s="29">
        <v>0</v>
      </c>
      <c r="K254" s="29">
        <v>0</v>
      </c>
      <c r="L254" s="15">
        <v>37.041666666666671</v>
      </c>
      <c r="M254" s="86">
        <v>0</v>
      </c>
      <c r="N254" s="114">
        <f t="shared" si="4"/>
        <v>37.041666666666671</v>
      </c>
    </row>
    <row r="255" spans="1:14">
      <c r="A255" s="21" t="s">
        <v>369</v>
      </c>
      <c r="B255" s="22" t="s">
        <v>370</v>
      </c>
      <c r="C255" s="23" t="s">
        <v>77</v>
      </c>
      <c r="D255" s="24">
        <v>728</v>
      </c>
      <c r="E255" s="25" t="s">
        <v>14</v>
      </c>
      <c r="F255" s="26">
        <v>39722</v>
      </c>
      <c r="G255" s="27" t="s">
        <v>983</v>
      </c>
      <c r="H255" s="28">
        <v>0.83333333333333337</v>
      </c>
      <c r="I255" s="28">
        <v>0</v>
      </c>
      <c r="J255" s="29">
        <v>0</v>
      </c>
      <c r="K255" s="29">
        <v>0</v>
      </c>
      <c r="L255" s="15">
        <v>16.259027777777778</v>
      </c>
      <c r="M255" s="86">
        <v>0</v>
      </c>
      <c r="N255" s="114">
        <f t="shared" si="4"/>
        <v>16.259027777777778</v>
      </c>
    </row>
    <row r="256" spans="1:14">
      <c r="A256" s="21" t="s">
        <v>371</v>
      </c>
      <c r="B256" s="22" t="s">
        <v>372</v>
      </c>
      <c r="C256" s="23" t="s">
        <v>37</v>
      </c>
      <c r="D256" s="24">
        <v>728</v>
      </c>
      <c r="E256" s="25" t="s">
        <v>14</v>
      </c>
      <c r="F256" s="26">
        <v>39630</v>
      </c>
      <c r="G256" s="27" t="s">
        <v>984</v>
      </c>
      <c r="H256" s="28">
        <v>1.6666666666666667</v>
      </c>
      <c r="I256" s="28">
        <v>0</v>
      </c>
      <c r="J256" s="29">
        <v>0</v>
      </c>
      <c r="K256" s="29">
        <v>0</v>
      </c>
      <c r="L256" s="15">
        <v>39.380555555555553</v>
      </c>
      <c r="M256" s="86">
        <v>0</v>
      </c>
      <c r="N256" s="114">
        <f t="shared" si="4"/>
        <v>39.380555555555553</v>
      </c>
    </row>
    <row r="257" spans="1:14">
      <c r="A257" s="21" t="s">
        <v>373</v>
      </c>
      <c r="B257" s="22" t="s">
        <v>374</v>
      </c>
      <c r="C257" s="23" t="s">
        <v>34</v>
      </c>
      <c r="D257" s="24">
        <v>728</v>
      </c>
      <c r="E257" s="25" t="s">
        <v>14</v>
      </c>
      <c r="F257" s="26">
        <v>42377</v>
      </c>
      <c r="G257" s="27" t="s">
        <v>985</v>
      </c>
      <c r="H257" s="28">
        <v>2.3131944444444441</v>
      </c>
      <c r="I257" s="28">
        <v>0</v>
      </c>
      <c r="J257" s="29">
        <v>0</v>
      </c>
      <c r="K257" s="29">
        <v>0</v>
      </c>
      <c r="L257" s="15">
        <v>35.160416666666663</v>
      </c>
      <c r="M257" s="86">
        <v>0</v>
      </c>
      <c r="N257" s="114">
        <f t="shared" si="4"/>
        <v>35.160416666666663</v>
      </c>
    </row>
    <row r="258" spans="1:14">
      <c r="A258" s="21" t="s">
        <v>375</v>
      </c>
      <c r="B258" s="22" t="s">
        <v>376</v>
      </c>
      <c r="C258" s="23" t="s">
        <v>34</v>
      </c>
      <c r="D258" s="24">
        <v>728</v>
      </c>
      <c r="E258" s="25" t="s">
        <v>14</v>
      </c>
      <c r="F258" s="26">
        <v>40154</v>
      </c>
      <c r="G258" s="27" t="s">
        <v>986</v>
      </c>
      <c r="H258" s="28">
        <v>2.2798611111111109</v>
      </c>
      <c r="I258" s="28">
        <v>0</v>
      </c>
      <c r="J258" s="29">
        <v>0</v>
      </c>
      <c r="K258" s="29">
        <v>0</v>
      </c>
      <c r="L258" s="15">
        <v>14.293749999999999</v>
      </c>
      <c r="M258" s="86">
        <v>0</v>
      </c>
      <c r="N258" s="114">
        <f t="shared" si="4"/>
        <v>14.293749999999999</v>
      </c>
    </row>
    <row r="259" spans="1:14">
      <c r="A259" s="21" t="s">
        <v>652</v>
      </c>
      <c r="B259" s="22" t="s">
        <v>653</v>
      </c>
      <c r="C259" s="23" t="s">
        <v>534</v>
      </c>
      <c r="D259" s="24">
        <v>1057</v>
      </c>
      <c r="E259" s="25" t="s">
        <v>14</v>
      </c>
      <c r="F259" s="26">
        <v>43795</v>
      </c>
      <c r="G259" s="27" t="s">
        <v>987</v>
      </c>
      <c r="H259" s="28">
        <v>0.83333333333333337</v>
      </c>
      <c r="I259" s="28">
        <v>0.83333333333333337</v>
      </c>
      <c r="J259" s="29">
        <v>0</v>
      </c>
      <c r="K259" s="29">
        <v>0</v>
      </c>
      <c r="L259" s="15">
        <v>37.611805555555549</v>
      </c>
      <c r="M259" s="86">
        <v>0</v>
      </c>
      <c r="N259" s="114">
        <f t="shared" si="4"/>
        <v>37.611805555555549</v>
      </c>
    </row>
    <row r="260" spans="1:14">
      <c r="A260" s="21" t="s">
        <v>377</v>
      </c>
      <c r="B260" s="22" t="s">
        <v>378</v>
      </c>
      <c r="C260" s="23" t="s">
        <v>34</v>
      </c>
      <c r="D260" s="24">
        <v>728</v>
      </c>
      <c r="E260" s="25" t="s">
        <v>14</v>
      </c>
      <c r="F260" s="26">
        <v>43727</v>
      </c>
      <c r="G260" s="27" t="s">
        <v>988</v>
      </c>
      <c r="H260" s="28">
        <v>1.6666666666666667</v>
      </c>
      <c r="I260" s="28">
        <v>1.0090277777777779</v>
      </c>
      <c r="J260" s="29">
        <v>0</v>
      </c>
      <c r="K260" s="29">
        <v>0</v>
      </c>
      <c r="L260" s="15">
        <v>33.927083333333329</v>
      </c>
      <c r="M260" s="86">
        <v>0</v>
      </c>
      <c r="N260" s="114">
        <f t="shared" si="4"/>
        <v>33.927083333333329</v>
      </c>
    </row>
    <row r="261" spans="1:14">
      <c r="A261" s="21" t="s">
        <v>379</v>
      </c>
      <c r="B261" s="22" t="s">
        <v>380</v>
      </c>
      <c r="C261" s="23" t="s">
        <v>51</v>
      </c>
      <c r="D261" s="24">
        <v>728</v>
      </c>
      <c r="E261" s="25" t="s">
        <v>14</v>
      </c>
      <c r="F261" s="26">
        <v>39722</v>
      </c>
      <c r="G261" s="27">
        <v>0</v>
      </c>
      <c r="H261" s="28">
        <v>1.6666666666666667</v>
      </c>
      <c r="I261" s="28">
        <v>0.83333333333333337</v>
      </c>
      <c r="J261" s="29">
        <v>0</v>
      </c>
      <c r="K261" s="29">
        <v>0</v>
      </c>
      <c r="L261" s="15">
        <v>2.5</v>
      </c>
      <c r="M261" s="86">
        <v>0</v>
      </c>
      <c r="N261" s="114">
        <f t="shared" si="4"/>
        <v>2.5</v>
      </c>
    </row>
    <row r="262" spans="1:14">
      <c r="A262" s="21" t="s">
        <v>654</v>
      </c>
      <c r="B262" s="22" t="s">
        <v>655</v>
      </c>
      <c r="C262" s="23" t="s">
        <v>34</v>
      </c>
      <c r="D262" s="24">
        <v>1057</v>
      </c>
      <c r="E262" s="25" t="s">
        <v>14</v>
      </c>
      <c r="F262" s="26">
        <v>43067</v>
      </c>
      <c r="G262" s="27">
        <v>0</v>
      </c>
      <c r="H262" s="28">
        <v>0.33958333333333357</v>
      </c>
      <c r="I262" s="28">
        <v>3.1097222222222216</v>
      </c>
      <c r="J262" s="29">
        <v>0</v>
      </c>
      <c r="K262" s="29">
        <v>0</v>
      </c>
      <c r="L262" s="15">
        <v>3.4493055555555552</v>
      </c>
      <c r="M262" s="86">
        <v>0</v>
      </c>
      <c r="N262" s="114">
        <f t="shared" si="4"/>
        <v>3.4493055555555552</v>
      </c>
    </row>
    <row r="263" spans="1:14">
      <c r="A263" s="21" t="s">
        <v>656</v>
      </c>
      <c r="B263" s="49" t="s">
        <v>657</v>
      </c>
      <c r="C263" s="23" t="s">
        <v>51</v>
      </c>
      <c r="D263" s="24">
        <v>1057</v>
      </c>
      <c r="E263" s="25" t="s">
        <v>14</v>
      </c>
      <c r="F263" s="26">
        <v>44132</v>
      </c>
      <c r="G263" s="27">
        <v>6.541666666666667</v>
      </c>
      <c r="H263" s="28">
        <v>1.5277777777776613E-2</v>
      </c>
      <c r="I263" s="28">
        <v>1.7694444444444439</v>
      </c>
      <c r="J263" s="29">
        <v>0</v>
      </c>
      <c r="K263" s="29">
        <v>0.5909722222222209</v>
      </c>
      <c r="L263" s="15">
        <v>8.9173611111111093</v>
      </c>
      <c r="M263" s="86">
        <v>0</v>
      </c>
      <c r="N263" s="114">
        <f t="shared" si="4"/>
        <v>8.9173611111111093</v>
      </c>
    </row>
    <row r="264" spans="1:14">
      <c r="A264" s="21" t="s">
        <v>658</v>
      </c>
      <c r="B264" s="22" t="s">
        <v>659</v>
      </c>
      <c r="C264" s="23" t="s">
        <v>214</v>
      </c>
      <c r="D264" s="24">
        <v>1057</v>
      </c>
      <c r="E264" s="25" t="s">
        <v>14</v>
      </c>
      <c r="F264" s="26">
        <v>43364</v>
      </c>
      <c r="G264" s="27">
        <v>38.333333333333336</v>
      </c>
      <c r="H264" s="28">
        <v>7.333333333333333</v>
      </c>
      <c r="I264" s="28">
        <v>0</v>
      </c>
      <c r="J264" s="29">
        <v>0</v>
      </c>
      <c r="K264" s="29">
        <v>0</v>
      </c>
      <c r="L264" s="15">
        <v>45.666666666666671</v>
      </c>
      <c r="M264" s="86">
        <v>0</v>
      </c>
      <c r="N264" s="114">
        <f t="shared" si="4"/>
        <v>45.666666666666671</v>
      </c>
    </row>
    <row r="265" spans="1:14">
      <c r="A265" s="21" t="s">
        <v>660</v>
      </c>
      <c r="B265" s="123" t="s">
        <v>661</v>
      </c>
      <c r="C265" s="23" t="s">
        <v>51</v>
      </c>
      <c r="D265" s="24">
        <v>1057</v>
      </c>
      <c r="E265" s="25" t="s">
        <v>14</v>
      </c>
      <c r="F265" s="26">
        <v>40070</v>
      </c>
      <c r="G265" s="27">
        <v>33.083333333333336</v>
      </c>
      <c r="H265" s="28">
        <v>7.333333333333333</v>
      </c>
      <c r="I265" s="28">
        <v>7</v>
      </c>
      <c r="J265" s="29">
        <v>7</v>
      </c>
      <c r="K265" s="29">
        <v>7</v>
      </c>
      <c r="L265" s="15">
        <v>61.416666666666671</v>
      </c>
      <c r="M265" s="86">
        <v>68.666666666666671</v>
      </c>
      <c r="N265" s="114">
        <f t="shared" si="4"/>
        <v>130.08333333333334</v>
      </c>
    </row>
    <row r="266" spans="1:14">
      <c r="A266" s="21" t="s">
        <v>381</v>
      </c>
      <c r="B266" s="123" t="s">
        <v>382</v>
      </c>
      <c r="C266" s="23" t="s">
        <v>51</v>
      </c>
      <c r="D266" s="24">
        <v>728</v>
      </c>
      <c r="E266" s="25" t="s">
        <v>14</v>
      </c>
      <c r="F266" s="26">
        <v>39573</v>
      </c>
      <c r="G266" s="27" t="s">
        <v>989</v>
      </c>
      <c r="H266" s="28">
        <v>7.333333333333333</v>
      </c>
      <c r="I266" s="28">
        <v>7</v>
      </c>
      <c r="J266" s="29">
        <v>7</v>
      </c>
      <c r="K266" s="29">
        <v>7</v>
      </c>
      <c r="L266" s="15">
        <v>65.543055555555554</v>
      </c>
      <c r="M266" s="86">
        <v>81.666666666666671</v>
      </c>
      <c r="N266" s="114">
        <f t="shared" si="4"/>
        <v>147.20972222222224</v>
      </c>
    </row>
    <row r="267" spans="1:14">
      <c r="A267" s="21" t="s">
        <v>383</v>
      </c>
      <c r="B267" s="22" t="s">
        <v>384</v>
      </c>
      <c r="C267" s="23" t="s">
        <v>51</v>
      </c>
      <c r="D267" s="24">
        <v>728</v>
      </c>
      <c r="E267" s="25" t="s">
        <v>14</v>
      </c>
      <c r="F267" s="26">
        <v>39722</v>
      </c>
      <c r="G267" s="27" t="s">
        <v>990</v>
      </c>
      <c r="H267" s="28">
        <v>1.6666666666666667</v>
      </c>
      <c r="I267" s="28">
        <v>0</v>
      </c>
      <c r="J267" s="29">
        <v>0</v>
      </c>
      <c r="K267" s="29">
        <v>0</v>
      </c>
      <c r="L267" s="15">
        <v>28.518055555555556</v>
      </c>
      <c r="M267" s="86">
        <v>0</v>
      </c>
      <c r="N267" s="114">
        <f t="shared" ref="N267:N330" si="5">L267+M267</f>
        <v>28.518055555555556</v>
      </c>
    </row>
    <row r="268" spans="1:14">
      <c r="A268" s="21" t="s">
        <v>385</v>
      </c>
      <c r="B268" s="22" t="s">
        <v>386</v>
      </c>
      <c r="C268" s="23" t="s">
        <v>34</v>
      </c>
      <c r="D268" s="24">
        <v>728</v>
      </c>
      <c r="E268" s="25" t="s">
        <v>14</v>
      </c>
      <c r="F268" s="26">
        <v>38322</v>
      </c>
      <c r="G268" s="27" t="s">
        <v>991</v>
      </c>
      <c r="H268" s="28">
        <v>1.6666666666666667</v>
      </c>
      <c r="I268" s="28">
        <v>0</v>
      </c>
      <c r="J268" s="29">
        <v>0</v>
      </c>
      <c r="K268" s="29">
        <v>0</v>
      </c>
      <c r="L268" s="15">
        <v>15.045138888888888</v>
      </c>
      <c r="M268" s="86">
        <v>0</v>
      </c>
      <c r="N268" s="114">
        <f t="shared" si="5"/>
        <v>15.045138888888888</v>
      </c>
    </row>
    <row r="269" spans="1:14">
      <c r="A269" s="21" t="s">
        <v>387</v>
      </c>
      <c r="B269" s="22" t="s">
        <v>388</v>
      </c>
      <c r="C269" s="23" t="s">
        <v>60</v>
      </c>
      <c r="D269" s="24">
        <v>728</v>
      </c>
      <c r="E269" s="25" t="s">
        <v>14</v>
      </c>
      <c r="F269" s="26">
        <v>39813</v>
      </c>
      <c r="G269" s="27" t="s">
        <v>992</v>
      </c>
      <c r="H269" s="28">
        <v>1.6666666666666667</v>
      </c>
      <c r="I269" s="28">
        <v>0</v>
      </c>
      <c r="J269" s="29">
        <v>0.95416666666666572</v>
      </c>
      <c r="K269" s="29">
        <v>0</v>
      </c>
      <c r="L269" s="15">
        <v>30.984027777777779</v>
      </c>
      <c r="M269" s="86">
        <v>0</v>
      </c>
      <c r="N269" s="114">
        <f t="shared" si="5"/>
        <v>30.984027777777779</v>
      </c>
    </row>
    <row r="270" spans="1:14">
      <c r="A270" s="21" t="s">
        <v>389</v>
      </c>
      <c r="B270" s="22" t="s">
        <v>390</v>
      </c>
      <c r="C270" s="23" t="s">
        <v>34</v>
      </c>
      <c r="D270" s="24">
        <v>728</v>
      </c>
      <c r="E270" s="25" t="s">
        <v>14</v>
      </c>
      <c r="F270" s="26">
        <v>39328</v>
      </c>
      <c r="G270" s="27" t="s">
        <v>993</v>
      </c>
      <c r="H270" s="28">
        <v>3.9999999999999996</v>
      </c>
      <c r="I270" s="28">
        <v>3.6666666666666665</v>
      </c>
      <c r="J270" s="29">
        <v>0.83333333333333337</v>
      </c>
      <c r="K270" s="29">
        <v>7</v>
      </c>
      <c r="L270" s="15">
        <v>54.927083333333336</v>
      </c>
      <c r="M270" s="86">
        <v>0</v>
      </c>
      <c r="N270" s="114">
        <f t="shared" si="5"/>
        <v>54.927083333333336</v>
      </c>
    </row>
    <row r="271" spans="1:14">
      <c r="A271" s="21" t="s">
        <v>391</v>
      </c>
      <c r="B271" s="22" t="s">
        <v>392</v>
      </c>
      <c r="C271" s="23" t="s">
        <v>51</v>
      </c>
      <c r="D271" s="24">
        <v>728</v>
      </c>
      <c r="E271" s="25" t="s">
        <v>14</v>
      </c>
      <c r="F271" s="26">
        <v>39722</v>
      </c>
      <c r="G271" s="27" t="s">
        <v>994</v>
      </c>
      <c r="H271" s="28">
        <v>1.6666666666666667</v>
      </c>
      <c r="I271" s="28">
        <v>0</v>
      </c>
      <c r="J271" s="29">
        <v>0.34444444444444411</v>
      </c>
      <c r="K271" s="29">
        <v>0</v>
      </c>
      <c r="L271" s="15">
        <v>24.271527777777777</v>
      </c>
      <c r="M271" s="86">
        <v>0</v>
      </c>
      <c r="N271" s="114">
        <f t="shared" si="5"/>
        <v>24.271527777777777</v>
      </c>
    </row>
    <row r="272" spans="1:14">
      <c r="A272" s="21" t="s">
        <v>662</v>
      </c>
      <c r="B272" s="31" t="s">
        <v>663</v>
      </c>
      <c r="C272" s="23" t="s">
        <v>51</v>
      </c>
      <c r="D272" s="24">
        <v>728</v>
      </c>
      <c r="E272" s="25" t="s">
        <v>14</v>
      </c>
      <c r="F272" s="26">
        <v>44167</v>
      </c>
      <c r="G272" s="27">
        <v>4.708333333333333</v>
      </c>
      <c r="H272" s="42">
        <v>1.6666666666666667</v>
      </c>
      <c r="I272" s="28">
        <v>0</v>
      </c>
      <c r="J272" s="29">
        <v>1.3604166666666666</v>
      </c>
      <c r="K272" s="29">
        <v>0.28888888888888875</v>
      </c>
      <c r="L272" s="15">
        <v>8.0243055555555554</v>
      </c>
      <c r="M272" s="86">
        <v>0</v>
      </c>
      <c r="N272" s="114">
        <f t="shared" si="5"/>
        <v>8.0243055555555554</v>
      </c>
    </row>
    <row r="273" spans="1:14">
      <c r="A273" s="21" t="s">
        <v>664</v>
      </c>
      <c r="B273" s="22" t="s">
        <v>665</v>
      </c>
      <c r="C273" s="23" t="s">
        <v>51</v>
      </c>
      <c r="D273" s="24">
        <v>1057</v>
      </c>
      <c r="E273" s="25" t="s">
        <v>14</v>
      </c>
      <c r="F273" s="26">
        <v>44132</v>
      </c>
      <c r="G273" s="27">
        <v>33.583333333333336</v>
      </c>
      <c r="H273" s="28">
        <v>0.34027777777777768</v>
      </c>
      <c r="I273" s="28">
        <v>0</v>
      </c>
      <c r="J273" s="29">
        <v>0</v>
      </c>
      <c r="K273" s="29">
        <v>0</v>
      </c>
      <c r="L273" s="15">
        <v>33.923611111111114</v>
      </c>
      <c r="M273" s="86">
        <v>0</v>
      </c>
      <c r="N273" s="114">
        <f t="shared" si="5"/>
        <v>33.923611111111114</v>
      </c>
    </row>
    <row r="274" spans="1:14">
      <c r="A274" s="21" t="s">
        <v>393</v>
      </c>
      <c r="B274" s="22" t="s">
        <v>394</v>
      </c>
      <c r="C274" s="23" t="s">
        <v>37</v>
      </c>
      <c r="D274" s="24">
        <v>728</v>
      </c>
      <c r="E274" s="25" t="s">
        <v>14</v>
      </c>
      <c r="F274" s="26">
        <v>43146</v>
      </c>
      <c r="G274" s="27">
        <v>14</v>
      </c>
      <c r="H274" s="28">
        <v>4.166666666666667</v>
      </c>
      <c r="I274" s="28">
        <v>0</v>
      </c>
      <c r="J274" s="29">
        <v>0</v>
      </c>
      <c r="K274" s="29">
        <v>0</v>
      </c>
      <c r="L274" s="15">
        <v>18.166666666666668</v>
      </c>
      <c r="M274" s="86">
        <v>0</v>
      </c>
      <c r="N274" s="114">
        <f t="shared" si="5"/>
        <v>18.166666666666668</v>
      </c>
    </row>
    <row r="275" spans="1:14">
      <c r="A275" s="21" t="s">
        <v>396</v>
      </c>
      <c r="B275" s="22" t="s">
        <v>397</v>
      </c>
      <c r="C275" s="23" t="s">
        <v>714</v>
      </c>
      <c r="D275" s="24">
        <v>728</v>
      </c>
      <c r="E275" s="25" t="s">
        <v>14</v>
      </c>
      <c r="F275" s="26">
        <v>39573</v>
      </c>
      <c r="G275" s="27">
        <v>0</v>
      </c>
      <c r="H275" s="28">
        <v>0</v>
      </c>
      <c r="I275" s="28">
        <v>0</v>
      </c>
      <c r="J275" s="29">
        <v>0</v>
      </c>
      <c r="K275" s="29">
        <v>0</v>
      </c>
      <c r="L275" s="15">
        <v>0</v>
      </c>
      <c r="M275" s="86">
        <v>0</v>
      </c>
      <c r="N275" s="114">
        <f t="shared" si="5"/>
        <v>0</v>
      </c>
    </row>
    <row r="276" spans="1:14">
      <c r="A276" s="21" t="s">
        <v>398</v>
      </c>
      <c r="B276" s="123" t="s">
        <v>399</v>
      </c>
      <c r="C276" s="23" t="s">
        <v>51</v>
      </c>
      <c r="D276" s="24">
        <v>728</v>
      </c>
      <c r="E276" s="25" t="s">
        <v>14</v>
      </c>
      <c r="F276" s="26">
        <v>40525</v>
      </c>
      <c r="G276" s="27" t="s">
        <v>995</v>
      </c>
      <c r="H276" s="28">
        <v>7.333333333333333</v>
      </c>
      <c r="I276" s="28">
        <v>7</v>
      </c>
      <c r="J276" s="29">
        <v>7</v>
      </c>
      <c r="K276" s="29">
        <v>7</v>
      </c>
      <c r="L276" s="15">
        <v>66.495833333333337</v>
      </c>
      <c r="M276" s="86">
        <v>81.666666666666671</v>
      </c>
      <c r="N276" s="114">
        <f t="shared" si="5"/>
        <v>148.16250000000002</v>
      </c>
    </row>
    <row r="277" spans="1:14">
      <c r="A277" s="21" t="s">
        <v>400</v>
      </c>
      <c r="B277" s="22" t="s">
        <v>401</v>
      </c>
      <c r="C277" s="23" t="s">
        <v>51</v>
      </c>
      <c r="D277" s="24">
        <v>728</v>
      </c>
      <c r="E277" s="25" t="s">
        <v>14</v>
      </c>
      <c r="F277" s="26">
        <v>40121</v>
      </c>
      <c r="G277" s="27">
        <v>38.333333333333336</v>
      </c>
      <c r="H277" s="28">
        <v>7.333333333333333</v>
      </c>
      <c r="I277" s="28">
        <v>0</v>
      </c>
      <c r="J277" s="29">
        <v>3.3333333333333335</v>
      </c>
      <c r="K277" s="29">
        <v>0.83333333333333337</v>
      </c>
      <c r="L277" s="15">
        <v>49.833333333333336</v>
      </c>
      <c r="M277" s="86">
        <v>0</v>
      </c>
      <c r="N277" s="114">
        <f t="shared" si="5"/>
        <v>49.833333333333336</v>
      </c>
    </row>
    <row r="278" spans="1:14">
      <c r="A278" s="21" t="s">
        <v>402</v>
      </c>
      <c r="B278" s="22" t="s">
        <v>403</v>
      </c>
      <c r="C278" s="23" t="s">
        <v>34</v>
      </c>
      <c r="D278" s="24">
        <v>728</v>
      </c>
      <c r="E278" s="25" t="s">
        <v>14</v>
      </c>
      <c r="F278" s="26">
        <v>43832</v>
      </c>
      <c r="G278" s="27">
        <v>6.666666666666667</v>
      </c>
      <c r="H278" s="28">
        <v>0</v>
      </c>
      <c r="I278" s="28">
        <v>0</v>
      </c>
      <c r="J278" s="29">
        <v>0</v>
      </c>
      <c r="K278" s="29">
        <v>0</v>
      </c>
      <c r="L278" s="15">
        <v>6.666666666666667</v>
      </c>
      <c r="M278" s="86">
        <v>0</v>
      </c>
      <c r="N278" s="114">
        <f t="shared" si="5"/>
        <v>6.666666666666667</v>
      </c>
    </row>
    <row r="279" spans="1:14">
      <c r="A279" s="21" t="s">
        <v>404</v>
      </c>
      <c r="B279" s="22" t="s">
        <v>405</v>
      </c>
      <c r="C279" s="23" t="s">
        <v>149</v>
      </c>
      <c r="D279" s="24">
        <v>728</v>
      </c>
      <c r="E279" s="25" t="s">
        <v>14</v>
      </c>
      <c r="F279" s="26">
        <v>43742</v>
      </c>
      <c r="G279" s="27" t="s">
        <v>996</v>
      </c>
      <c r="H279" s="28">
        <v>0</v>
      </c>
      <c r="I279" s="28">
        <v>0</v>
      </c>
      <c r="J279" s="29">
        <v>0</v>
      </c>
      <c r="K279" s="29">
        <v>0</v>
      </c>
      <c r="L279" s="15">
        <v>35.811805555555559</v>
      </c>
      <c r="M279" s="86">
        <v>0</v>
      </c>
      <c r="N279" s="114">
        <f t="shared" si="5"/>
        <v>35.811805555555559</v>
      </c>
    </row>
    <row r="280" spans="1:14">
      <c r="A280" s="21" t="s">
        <v>406</v>
      </c>
      <c r="B280" s="22" t="s">
        <v>407</v>
      </c>
      <c r="C280" s="23" t="s">
        <v>34</v>
      </c>
      <c r="D280" s="24">
        <v>728</v>
      </c>
      <c r="E280" s="25" t="s">
        <v>14</v>
      </c>
      <c r="F280" s="26">
        <v>35534</v>
      </c>
      <c r="G280" s="27" t="s">
        <v>997</v>
      </c>
      <c r="H280" s="28">
        <v>4.166666666666667</v>
      </c>
      <c r="I280" s="28">
        <v>3.3333333333333335</v>
      </c>
      <c r="J280" s="29">
        <v>2.5833333333333335</v>
      </c>
      <c r="K280" s="29">
        <v>3.3333333333333335</v>
      </c>
      <c r="L280" s="15">
        <v>37.044444444444451</v>
      </c>
      <c r="M280" s="86">
        <v>0</v>
      </c>
      <c r="N280" s="114">
        <f t="shared" si="5"/>
        <v>37.044444444444451</v>
      </c>
    </row>
    <row r="281" spans="1:14">
      <c r="A281" s="21" t="s">
        <v>408</v>
      </c>
      <c r="B281" s="22" t="s">
        <v>409</v>
      </c>
      <c r="C281" s="23" t="s">
        <v>34</v>
      </c>
      <c r="D281" s="24">
        <v>728</v>
      </c>
      <c r="E281" s="25" t="s">
        <v>14</v>
      </c>
      <c r="F281" s="26">
        <v>37773</v>
      </c>
      <c r="G281" s="27" t="s">
        <v>998</v>
      </c>
      <c r="H281" s="28">
        <v>2.186805555555555</v>
      </c>
      <c r="I281" s="28">
        <v>0</v>
      </c>
      <c r="J281" s="29">
        <v>0</v>
      </c>
      <c r="K281" s="29">
        <v>0</v>
      </c>
      <c r="L281" s="15">
        <v>29.788888888888891</v>
      </c>
      <c r="M281" s="86">
        <v>0</v>
      </c>
      <c r="N281" s="114">
        <f t="shared" si="5"/>
        <v>29.788888888888891</v>
      </c>
    </row>
    <row r="282" spans="1:14">
      <c r="A282" s="21" t="s">
        <v>410</v>
      </c>
      <c r="B282" s="22" t="s">
        <v>411</v>
      </c>
      <c r="C282" s="23" t="s">
        <v>34</v>
      </c>
      <c r="D282" s="24">
        <v>728</v>
      </c>
      <c r="E282" s="25" t="s">
        <v>14</v>
      </c>
      <c r="F282" s="26">
        <v>42240</v>
      </c>
      <c r="G282" s="27">
        <v>38.333333333333336</v>
      </c>
      <c r="H282" s="28">
        <v>7.333333333333333</v>
      </c>
      <c r="I282" s="28">
        <v>0</v>
      </c>
      <c r="J282" s="29">
        <v>3.3333333333333335</v>
      </c>
      <c r="K282" s="29">
        <v>0</v>
      </c>
      <c r="L282" s="15">
        <v>49</v>
      </c>
      <c r="M282" s="86">
        <v>0</v>
      </c>
      <c r="N282" s="114">
        <f t="shared" si="5"/>
        <v>49</v>
      </c>
    </row>
    <row r="283" spans="1:14">
      <c r="A283" s="21" t="s">
        <v>412</v>
      </c>
      <c r="B283" s="22" t="s">
        <v>413</v>
      </c>
      <c r="C283" s="23" t="s">
        <v>34</v>
      </c>
      <c r="D283" s="24">
        <v>728</v>
      </c>
      <c r="E283" s="25" t="s">
        <v>14</v>
      </c>
      <c r="F283" s="26">
        <v>38874</v>
      </c>
      <c r="G283" s="27" t="s">
        <v>999</v>
      </c>
      <c r="H283" s="28">
        <v>0</v>
      </c>
      <c r="I283" s="28">
        <v>0</v>
      </c>
      <c r="J283" s="29">
        <v>0</v>
      </c>
      <c r="K283" s="29">
        <v>0</v>
      </c>
      <c r="L283" s="15">
        <v>18.513194444444444</v>
      </c>
      <c r="M283" s="86">
        <v>0</v>
      </c>
      <c r="N283" s="114">
        <f t="shared" si="5"/>
        <v>18.513194444444444</v>
      </c>
    </row>
    <row r="284" spans="1:14">
      <c r="A284" s="21" t="s">
        <v>414</v>
      </c>
      <c r="B284" s="34" t="s">
        <v>415</v>
      </c>
      <c r="C284" s="23" t="s">
        <v>34</v>
      </c>
      <c r="D284" s="24">
        <v>728</v>
      </c>
      <c r="E284" s="25" t="s">
        <v>14</v>
      </c>
      <c r="F284" s="26">
        <v>42159</v>
      </c>
      <c r="G284" s="27">
        <v>30.666666666666668</v>
      </c>
      <c r="H284" s="28">
        <v>2.75</v>
      </c>
      <c r="I284" s="28">
        <v>0</v>
      </c>
      <c r="J284" s="29">
        <v>0</v>
      </c>
      <c r="K284" s="29">
        <v>0</v>
      </c>
      <c r="L284" s="15">
        <v>33.416666666666671</v>
      </c>
      <c r="M284" s="86">
        <v>0</v>
      </c>
      <c r="N284" s="114">
        <f t="shared" si="5"/>
        <v>33.416666666666671</v>
      </c>
    </row>
    <row r="285" spans="1:14">
      <c r="A285" s="21" t="s">
        <v>416</v>
      </c>
      <c r="B285" s="22" t="s">
        <v>417</v>
      </c>
      <c r="C285" s="23" t="s">
        <v>34</v>
      </c>
      <c r="D285" s="24">
        <v>728</v>
      </c>
      <c r="E285" s="25" t="s">
        <v>14</v>
      </c>
      <c r="F285" s="26">
        <v>40749</v>
      </c>
      <c r="G285" s="27" t="s">
        <v>1000</v>
      </c>
      <c r="H285" s="28">
        <v>2.333333333333333</v>
      </c>
      <c r="I285" s="28">
        <v>0</v>
      </c>
      <c r="J285" s="29">
        <v>0</v>
      </c>
      <c r="K285" s="29">
        <v>0</v>
      </c>
      <c r="L285" s="15">
        <v>29.240972222222219</v>
      </c>
      <c r="M285" s="86">
        <v>0</v>
      </c>
      <c r="N285" s="114">
        <f t="shared" si="5"/>
        <v>29.240972222222219</v>
      </c>
    </row>
    <row r="286" spans="1:14">
      <c r="A286" s="21" t="s">
        <v>418</v>
      </c>
      <c r="B286" s="22" t="s">
        <v>419</v>
      </c>
      <c r="C286" s="23" t="s">
        <v>34</v>
      </c>
      <c r="D286" s="24">
        <v>728</v>
      </c>
      <c r="E286" s="25" t="s">
        <v>14</v>
      </c>
      <c r="F286" s="26">
        <v>42241</v>
      </c>
      <c r="G286" s="27" t="s">
        <v>1001</v>
      </c>
      <c r="H286" s="28">
        <v>2.3333333333333339</v>
      </c>
      <c r="I286" s="28">
        <v>0</v>
      </c>
      <c r="J286" s="29">
        <v>0</v>
      </c>
      <c r="K286" s="29">
        <v>0</v>
      </c>
      <c r="L286" s="15">
        <v>16.552083333333336</v>
      </c>
      <c r="M286" s="86">
        <v>0</v>
      </c>
      <c r="N286" s="114">
        <f t="shared" si="5"/>
        <v>16.552083333333336</v>
      </c>
    </row>
    <row r="287" spans="1:14">
      <c r="A287" s="21" t="s">
        <v>668</v>
      </c>
      <c r="B287" s="22" t="s">
        <v>669</v>
      </c>
      <c r="C287" s="23" t="s">
        <v>34</v>
      </c>
      <c r="D287" s="24">
        <v>1057</v>
      </c>
      <c r="E287" s="25" t="s">
        <v>14</v>
      </c>
      <c r="F287" s="26">
        <v>43794</v>
      </c>
      <c r="G287" s="27" t="s">
        <v>1002</v>
      </c>
      <c r="H287" s="28">
        <v>2.3333333333333321</v>
      </c>
      <c r="I287" s="28">
        <v>0</v>
      </c>
      <c r="J287" s="29">
        <v>0</v>
      </c>
      <c r="K287" s="29">
        <v>0</v>
      </c>
      <c r="L287" s="15">
        <v>26.727777777777778</v>
      </c>
      <c r="M287" s="86">
        <v>0</v>
      </c>
      <c r="N287" s="114">
        <f t="shared" si="5"/>
        <v>26.727777777777778</v>
      </c>
    </row>
    <row r="288" spans="1:14">
      <c r="A288" s="21" t="s">
        <v>420</v>
      </c>
      <c r="B288" s="22" t="s">
        <v>421</v>
      </c>
      <c r="C288" s="23" t="s">
        <v>34</v>
      </c>
      <c r="D288" s="24">
        <v>728</v>
      </c>
      <c r="E288" s="25" t="s">
        <v>14</v>
      </c>
      <c r="F288" s="26">
        <v>40364</v>
      </c>
      <c r="G288" s="27" t="s">
        <v>1003</v>
      </c>
      <c r="H288" s="28">
        <v>1.4666666666666668</v>
      </c>
      <c r="I288" s="28">
        <v>0</v>
      </c>
      <c r="J288" s="29">
        <v>0.32638888888888751</v>
      </c>
      <c r="K288" s="29">
        <v>0</v>
      </c>
      <c r="L288" s="15">
        <v>36.893749999999997</v>
      </c>
      <c r="M288" s="86">
        <v>0</v>
      </c>
      <c r="N288" s="114">
        <f t="shared" si="5"/>
        <v>36.893749999999997</v>
      </c>
    </row>
    <row r="289" spans="1:14">
      <c r="A289" s="21" t="s">
        <v>422</v>
      </c>
      <c r="B289" s="22" t="s">
        <v>423</v>
      </c>
      <c r="C289" s="23" t="s">
        <v>34</v>
      </c>
      <c r="D289" s="24">
        <v>728</v>
      </c>
      <c r="E289" s="25" t="s">
        <v>14</v>
      </c>
      <c r="F289" s="26">
        <v>37440</v>
      </c>
      <c r="G289" s="27">
        <v>38.333333333333336</v>
      </c>
      <c r="H289" s="28">
        <v>4.166666666666667</v>
      </c>
      <c r="I289" s="28">
        <v>3.4791666666666665</v>
      </c>
      <c r="J289" s="29">
        <v>0</v>
      </c>
      <c r="K289" s="29">
        <v>0</v>
      </c>
      <c r="L289" s="15">
        <v>45.979166666666671</v>
      </c>
      <c r="M289" s="86">
        <v>0</v>
      </c>
      <c r="N289" s="114">
        <f t="shared" si="5"/>
        <v>45.979166666666671</v>
      </c>
    </row>
    <row r="290" spans="1:14">
      <c r="A290" s="21" t="s">
        <v>424</v>
      </c>
      <c r="B290" s="22" t="s">
        <v>425</v>
      </c>
      <c r="C290" s="23" t="s">
        <v>51</v>
      </c>
      <c r="D290" s="24">
        <v>728</v>
      </c>
      <c r="E290" s="25" t="s">
        <v>14</v>
      </c>
      <c r="F290" s="26">
        <v>38350</v>
      </c>
      <c r="G290" s="27">
        <v>0</v>
      </c>
      <c r="H290" s="28">
        <v>0</v>
      </c>
      <c r="I290" s="28">
        <v>0</v>
      </c>
      <c r="J290" s="29">
        <v>0</v>
      </c>
      <c r="K290" s="29">
        <v>0</v>
      </c>
      <c r="L290" s="15">
        <v>0</v>
      </c>
      <c r="M290" s="86">
        <v>0</v>
      </c>
      <c r="N290" s="114">
        <f t="shared" si="5"/>
        <v>0</v>
      </c>
    </row>
    <row r="291" spans="1:14">
      <c r="A291" s="21" t="s">
        <v>670</v>
      </c>
      <c r="B291" s="22" t="s">
        <v>671</v>
      </c>
      <c r="C291" s="23" t="s">
        <v>34</v>
      </c>
      <c r="D291" s="24">
        <v>1057</v>
      </c>
      <c r="E291" s="25" t="s">
        <v>14</v>
      </c>
      <c r="F291" s="26">
        <v>43825</v>
      </c>
      <c r="G291" s="27" t="s">
        <v>1004</v>
      </c>
      <c r="H291" s="28">
        <v>0.83333333333333337</v>
      </c>
      <c r="I291" s="28">
        <v>1.6958333333333346</v>
      </c>
      <c r="J291" s="29">
        <v>0</v>
      </c>
      <c r="K291" s="29">
        <v>0</v>
      </c>
      <c r="L291" s="15">
        <v>35.994444444444447</v>
      </c>
      <c r="M291" s="86">
        <v>0</v>
      </c>
      <c r="N291" s="114">
        <f t="shared" si="5"/>
        <v>35.994444444444447</v>
      </c>
    </row>
    <row r="292" spans="1:14">
      <c r="A292" s="21" t="s">
        <v>786</v>
      </c>
      <c r="B292" s="31" t="s">
        <v>787</v>
      </c>
      <c r="C292" s="23" t="s">
        <v>51</v>
      </c>
      <c r="D292" s="24">
        <v>1057</v>
      </c>
      <c r="E292" s="25" t="s">
        <v>14</v>
      </c>
      <c r="F292" s="26">
        <v>44181</v>
      </c>
      <c r="G292" s="11" t="s">
        <v>39</v>
      </c>
      <c r="H292" s="32" t="s">
        <v>39</v>
      </c>
      <c r="I292" s="32" t="s">
        <v>39</v>
      </c>
      <c r="J292" s="12" t="s">
        <v>39</v>
      </c>
      <c r="K292" s="29">
        <v>0</v>
      </c>
      <c r="L292" s="15">
        <v>0</v>
      </c>
      <c r="M292" s="86">
        <v>0</v>
      </c>
      <c r="N292" s="114">
        <f t="shared" si="5"/>
        <v>0</v>
      </c>
    </row>
    <row r="293" spans="1:14">
      <c r="A293" s="21" t="s">
        <v>744</v>
      </c>
      <c r="B293" s="22" t="s">
        <v>745</v>
      </c>
      <c r="C293" s="23" t="s">
        <v>34</v>
      </c>
      <c r="D293" s="24">
        <v>1057</v>
      </c>
      <c r="E293" s="25" t="s">
        <v>14</v>
      </c>
      <c r="F293" s="26">
        <v>44132</v>
      </c>
      <c r="G293" s="11" t="s">
        <v>39</v>
      </c>
      <c r="H293" s="32" t="s">
        <v>39</v>
      </c>
      <c r="I293" s="32" t="s">
        <v>39</v>
      </c>
      <c r="J293" s="29">
        <v>0</v>
      </c>
      <c r="K293" s="29">
        <v>0</v>
      </c>
      <c r="L293" s="15">
        <v>0</v>
      </c>
      <c r="M293" s="86">
        <v>0</v>
      </c>
      <c r="N293" s="114">
        <f t="shared" si="5"/>
        <v>0</v>
      </c>
    </row>
    <row r="294" spans="1:14">
      <c r="A294" s="21" t="s">
        <v>25</v>
      </c>
      <c r="B294" s="22" t="s">
        <v>26</v>
      </c>
      <c r="C294" s="23" t="s">
        <v>13</v>
      </c>
      <c r="D294" s="24">
        <v>276</v>
      </c>
      <c r="E294" s="25" t="s">
        <v>14</v>
      </c>
      <c r="F294" s="26">
        <v>29952</v>
      </c>
      <c r="G294" s="27" t="s">
        <v>1005</v>
      </c>
      <c r="H294" s="28">
        <v>0.83333333333333337</v>
      </c>
      <c r="I294" s="28">
        <v>0</v>
      </c>
      <c r="J294" s="29">
        <v>0</v>
      </c>
      <c r="K294" s="29">
        <v>0</v>
      </c>
      <c r="L294" s="15">
        <v>28.036111111111111</v>
      </c>
      <c r="M294" s="86">
        <v>0</v>
      </c>
      <c r="N294" s="114">
        <f t="shared" si="5"/>
        <v>28.036111111111111</v>
      </c>
    </row>
    <row r="295" spans="1:14">
      <c r="A295" s="21" t="s">
        <v>428</v>
      </c>
      <c r="B295" s="22" t="s">
        <v>429</v>
      </c>
      <c r="C295" s="23" t="s">
        <v>51</v>
      </c>
      <c r="D295" s="24">
        <v>1057</v>
      </c>
      <c r="E295" s="25" t="s">
        <v>14</v>
      </c>
      <c r="F295" s="26">
        <v>44131</v>
      </c>
      <c r="G295" s="27">
        <v>3.2916666666666665</v>
      </c>
      <c r="H295" s="28">
        <v>0</v>
      </c>
      <c r="I295" s="28">
        <v>0</v>
      </c>
      <c r="J295" s="29">
        <v>0</v>
      </c>
      <c r="K295" s="29">
        <v>0</v>
      </c>
      <c r="L295" s="15">
        <v>3.2916666666666665</v>
      </c>
      <c r="M295" s="86">
        <v>0</v>
      </c>
      <c r="N295" s="114">
        <f t="shared" si="5"/>
        <v>3.2916666666666665</v>
      </c>
    </row>
    <row r="296" spans="1:14">
      <c r="A296" s="21" t="s">
        <v>672</v>
      </c>
      <c r="B296" s="22" t="s">
        <v>673</v>
      </c>
      <c r="C296" s="23" t="s">
        <v>60</v>
      </c>
      <c r="D296" s="24">
        <v>1057</v>
      </c>
      <c r="E296" s="25" t="s">
        <v>14</v>
      </c>
      <c r="F296" s="26">
        <v>43613</v>
      </c>
      <c r="G296" s="27" t="s">
        <v>1006</v>
      </c>
      <c r="H296" s="28">
        <v>1.4694444444444441</v>
      </c>
      <c r="I296" s="28">
        <v>0.96041666666666536</v>
      </c>
      <c r="J296" s="29">
        <v>0</v>
      </c>
      <c r="K296" s="29">
        <v>0</v>
      </c>
      <c r="L296" s="15">
        <v>35.255555555555553</v>
      </c>
      <c r="M296" s="86">
        <v>0</v>
      </c>
      <c r="N296" s="114">
        <f t="shared" si="5"/>
        <v>35.255555555555553</v>
      </c>
    </row>
    <row r="297" spans="1:14">
      <c r="A297" s="21" t="s">
        <v>430</v>
      </c>
      <c r="B297" s="22" t="s">
        <v>431</v>
      </c>
      <c r="C297" s="23" t="s">
        <v>188</v>
      </c>
      <c r="D297" s="24">
        <v>728</v>
      </c>
      <c r="E297" s="25" t="s">
        <v>14</v>
      </c>
      <c r="F297" s="26">
        <v>37104</v>
      </c>
      <c r="G297" s="27" t="s">
        <v>1007</v>
      </c>
      <c r="H297" s="28">
        <v>4.166666666666667</v>
      </c>
      <c r="I297" s="28">
        <v>5.4166666666665364E-2</v>
      </c>
      <c r="J297" s="29">
        <v>0</v>
      </c>
      <c r="K297" s="29">
        <v>0</v>
      </c>
      <c r="L297" s="15">
        <v>8.4298611111111104</v>
      </c>
      <c r="M297" s="86">
        <v>0</v>
      </c>
      <c r="N297" s="114">
        <f t="shared" si="5"/>
        <v>8.4298611111111104</v>
      </c>
    </row>
    <row r="298" spans="1:14">
      <c r="A298" s="75" t="s">
        <v>674</v>
      </c>
      <c r="B298" s="22" t="s">
        <v>675</v>
      </c>
      <c r="C298" s="23" t="s">
        <v>34</v>
      </c>
      <c r="D298" s="24">
        <v>1057</v>
      </c>
      <c r="E298" s="25" t="s">
        <v>14</v>
      </c>
      <c r="F298" s="26">
        <v>44410</v>
      </c>
      <c r="G298" s="27">
        <v>20</v>
      </c>
      <c r="H298" s="28">
        <v>0</v>
      </c>
      <c r="I298" s="28">
        <v>0</v>
      </c>
      <c r="J298" s="29">
        <v>0</v>
      </c>
      <c r="K298" s="29">
        <v>0</v>
      </c>
      <c r="L298" s="15">
        <v>20</v>
      </c>
      <c r="M298" s="86">
        <v>0</v>
      </c>
      <c r="N298" s="114">
        <f t="shared" si="5"/>
        <v>20</v>
      </c>
    </row>
    <row r="299" spans="1:14">
      <c r="A299" s="21" t="s">
        <v>432</v>
      </c>
      <c r="B299" s="38" t="s">
        <v>433</v>
      </c>
      <c r="C299" s="23" t="s">
        <v>37</v>
      </c>
      <c r="D299" s="24">
        <v>728</v>
      </c>
      <c r="E299" s="25" t="s">
        <v>14</v>
      </c>
      <c r="F299" s="26">
        <v>43469</v>
      </c>
      <c r="G299" s="27">
        <v>36.333333333333336</v>
      </c>
      <c r="H299" s="28">
        <v>6.916666666666667</v>
      </c>
      <c r="I299" s="28">
        <v>0</v>
      </c>
      <c r="J299" s="29">
        <v>2.5</v>
      </c>
      <c r="K299" s="29">
        <v>0</v>
      </c>
      <c r="L299" s="15">
        <v>45.75</v>
      </c>
      <c r="M299" s="86">
        <v>0</v>
      </c>
      <c r="N299" s="114">
        <f t="shared" si="5"/>
        <v>45.75</v>
      </c>
    </row>
    <row r="300" spans="1:14">
      <c r="A300" s="21" t="s">
        <v>434</v>
      </c>
      <c r="B300" s="22" t="s">
        <v>435</v>
      </c>
      <c r="C300" s="23" t="s">
        <v>34</v>
      </c>
      <c r="D300" s="24">
        <v>728</v>
      </c>
      <c r="E300" s="25" t="s">
        <v>14</v>
      </c>
      <c r="F300" s="26">
        <v>43753</v>
      </c>
      <c r="G300" s="27" t="s">
        <v>1008</v>
      </c>
      <c r="H300" s="28">
        <v>0.83333333333333337</v>
      </c>
      <c r="I300" s="28">
        <v>0</v>
      </c>
      <c r="J300" s="29">
        <v>0</v>
      </c>
      <c r="K300" s="29">
        <v>0</v>
      </c>
      <c r="L300" s="15">
        <v>17.24861111111111</v>
      </c>
      <c r="M300" s="86">
        <v>0</v>
      </c>
      <c r="N300" s="114">
        <f t="shared" si="5"/>
        <v>17.24861111111111</v>
      </c>
    </row>
    <row r="301" spans="1:14">
      <c r="A301" s="21" t="s">
        <v>676</v>
      </c>
      <c r="B301" s="22" t="s">
        <v>677</v>
      </c>
      <c r="C301" s="23" t="s">
        <v>60</v>
      </c>
      <c r="D301" s="24">
        <v>1057</v>
      </c>
      <c r="E301" s="25" t="s">
        <v>14</v>
      </c>
      <c r="F301" s="26">
        <v>41443</v>
      </c>
      <c r="G301" s="27" t="s">
        <v>1009</v>
      </c>
      <c r="H301" s="28">
        <v>0</v>
      </c>
      <c r="I301" s="28">
        <v>0</v>
      </c>
      <c r="J301" s="29">
        <v>0</v>
      </c>
      <c r="K301" s="29">
        <v>0</v>
      </c>
      <c r="L301" s="15">
        <v>19.195138888888888</v>
      </c>
      <c r="M301" s="86">
        <v>0</v>
      </c>
      <c r="N301" s="114">
        <f t="shared" si="5"/>
        <v>19.195138888888888</v>
      </c>
    </row>
    <row r="302" spans="1:14">
      <c r="A302" s="21" t="s">
        <v>436</v>
      </c>
      <c r="B302" s="22" t="s">
        <v>437</v>
      </c>
      <c r="C302" s="23" t="s">
        <v>51</v>
      </c>
      <c r="D302" s="24">
        <v>728</v>
      </c>
      <c r="E302" s="25" t="s">
        <v>14</v>
      </c>
      <c r="F302" s="26">
        <v>41061</v>
      </c>
      <c r="G302" s="27" t="s">
        <v>1010</v>
      </c>
      <c r="H302" s="28">
        <v>0</v>
      </c>
      <c r="I302" s="28">
        <v>0</v>
      </c>
      <c r="J302" s="29">
        <v>0</v>
      </c>
      <c r="K302" s="29">
        <v>0</v>
      </c>
      <c r="L302" s="15">
        <v>35.442361111111111</v>
      </c>
      <c r="M302" s="86">
        <v>0</v>
      </c>
      <c r="N302" s="114">
        <f t="shared" si="5"/>
        <v>35.442361111111111</v>
      </c>
    </row>
    <row r="303" spans="1:14">
      <c r="A303" s="21" t="s">
        <v>746</v>
      </c>
      <c r="B303" s="22" t="s">
        <v>747</v>
      </c>
      <c r="C303" s="23" t="s">
        <v>51</v>
      </c>
      <c r="D303" s="24">
        <v>1057</v>
      </c>
      <c r="E303" s="25" t="s">
        <v>14</v>
      </c>
      <c r="F303" s="26">
        <v>44131</v>
      </c>
      <c r="G303" s="11" t="s">
        <v>39</v>
      </c>
      <c r="H303" s="32" t="s">
        <v>39</v>
      </c>
      <c r="I303" s="32" t="s">
        <v>39</v>
      </c>
      <c r="J303" s="29">
        <v>0</v>
      </c>
      <c r="K303" s="29">
        <v>0</v>
      </c>
      <c r="L303" s="15">
        <v>0</v>
      </c>
      <c r="M303" s="86">
        <v>0</v>
      </c>
      <c r="N303" s="114">
        <f t="shared" si="5"/>
        <v>0</v>
      </c>
    </row>
    <row r="304" spans="1:14">
      <c r="A304" s="21" t="s">
        <v>438</v>
      </c>
      <c r="B304" s="22" t="s">
        <v>439</v>
      </c>
      <c r="C304" s="23" t="s">
        <v>77</v>
      </c>
      <c r="D304" s="24">
        <v>728</v>
      </c>
      <c r="E304" s="25" t="s">
        <v>14</v>
      </c>
      <c r="F304" s="26">
        <v>39573</v>
      </c>
      <c r="G304" s="27" t="s">
        <v>1011</v>
      </c>
      <c r="H304" s="28">
        <v>0.33333333333333331</v>
      </c>
      <c r="I304" s="28">
        <v>0</v>
      </c>
      <c r="J304" s="29">
        <v>0</v>
      </c>
      <c r="K304" s="29">
        <v>0</v>
      </c>
      <c r="L304" s="15">
        <v>15.972916666666668</v>
      </c>
      <c r="M304" s="86">
        <v>0</v>
      </c>
      <c r="N304" s="114">
        <f t="shared" si="5"/>
        <v>15.972916666666668</v>
      </c>
    </row>
    <row r="305" spans="1:14">
      <c r="A305" s="21" t="s">
        <v>440</v>
      </c>
      <c r="B305" s="22" t="s">
        <v>441</v>
      </c>
      <c r="C305" s="23" t="s">
        <v>51</v>
      </c>
      <c r="D305" s="24">
        <v>728</v>
      </c>
      <c r="E305" s="25" t="s">
        <v>14</v>
      </c>
      <c r="F305" s="26">
        <v>42080</v>
      </c>
      <c r="G305" s="27">
        <v>7.5</v>
      </c>
      <c r="H305" s="28">
        <v>0</v>
      </c>
      <c r="I305" s="28">
        <v>0</v>
      </c>
      <c r="J305" s="29">
        <v>0</v>
      </c>
      <c r="K305" s="29">
        <v>0</v>
      </c>
      <c r="L305" s="15">
        <v>7.5</v>
      </c>
      <c r="M305" s="86">
        <v>0</v>
      </c>
      <c r="N305" s="114">
        <f t="shared" si="5"/>
        <v>7.5</v>
      </c>
    </row>
    <row r="306" spans="1:14">
      <c r="A306" s="21" t="s">
        <v>678</v>
      </c>
      <c r="B306" s="22" t="s">
        <v>679</v>
      </c>
      <c r="C306" s="23" t="s">
        <v>51</v>
      </c>
      <c r="D306" s="24">
        <v>1057</v>
      </c>
      <c r="E306" s="25" t="s">
        <v>14</v>
      </c>
      <c r="F306" s="26">
        <v>43794</v>
      </c>
      <c r="G306" s="27" t="s">
        <v>1012</v>
      </c>
      <c r="H306" s="28">
        <v>0.83333333333333337</v>
      </c>
      <c r="I306" s="28">
        <v>0</v>
      </c>
      <c r="J306" s="29">
        <v>0</v>
      </c>
      <c r="K306" s="29">
        <v>0</v>
      </c>
      <c r="L306" s="15">
        <v>38.947222222222223</v>
      </c>
      <c r="M306" s="86">
        <v>0</v>
      </c>
      <c r="N306" s="114">
        <f t="shared" si="5"/>
        <v>38.947222222222223</v>
      </c>
    </row>
    <row r="307" spans="1:14">
      <c r="A307" s="21" t="s">
        <v>789</v>
      </c>
      <c r="B307" s="31" t="s">
        <v>793</v>
      </c>
      <c r="C307" s="23" t="s">
        <v>790</v>
      </c>
      <c r="D307" s="24">
        <v>1057</v>
      </c>
      <c r="E307" s="25" t="s">
        <v>14</v>
      </c>
      <c r="F307" s="26">
        <v>44182</v>
      </c>
      <c r="G307" s="11" t="s">
        <v>39</v>
      </c>
      <c r="H307" s="32" t="s">
        <v>39</v>
      </c>
      <c r="I307" s="32" t="s">
        <v>39</v>
      </c>
      <c r="J307" s="29">
        <v>0</v>
      </c>
      <c r="K307" s="29">
        <v>0</v>
      </c>
      <c r="L307" s="15">
        <v>0</v>
      </c>
      <c r="M307" s="86">
        <v>0</v>
      </c>
      <c r="N307" s="114">
        <f t="shared" si="5"/>
        <v>0</v>
      </c>
    </row>
    <row r="308" spans="1:14">
      <c r="A308" s="21" t="s">
        <v>442</v>
      </c>
      <c r="B308" s="22" t="s">
        <v>443</v>
      </c>
      <c r="C308" s="23" t="s">
        <v>51</v>
      </c>
      <c r="D308" s="24">
        <v>728</v>
      </c>
      <c r="E308" s="25" t="s">
        <v>14</v>
      </c>
      <c r="F308" s="26">
        <v>43570</v>
      </c>
      <c r="G308" s="27" t="s">
        <v>1013</v>
      </c>
      <c r="H308" s="28">
        <v>1.6666666666666667</v>
      </c>
      <c r="I308" s="28">
        <v>0</v>
      </c>
      <c r="J308" s="29">
        <v>0</v>
      </c>
      <c r="K308" s="29">
        <v>0</v>
      </c>
      <c r="L308" s="15">
        <v>31.634722222222223</v>
      </c>
      <c r="M308" s="86">
        <v>0</v>
      </c>
      <c r="N308" s="114">
        <f t="shared" si="5"/>
        <v>31.634722222222223</v>
      </c>
    </row>
    <row r="309" spans="1:14">
      <c r="A309" s="21" t="s">
        <v>444</v>
      </c>
      <c r="B309" s="22" t="s">
        <v>445</v>
      </c>
      <c r="C309" s="23" t="s">
        <v>34</v>
      </c>
      <c r="D309" s="24">
        <v>728</v>
      </c>
      <c r="E309" s="25" t="s">
        <v>14</v>
      </c>
      <c r="F309" s="26">
        <v>43766</v>
      </c>
      <c r="G309" s="27" t="s">
        <v>1014</v>
      </c>
      <c r="H309" s="28">
        <v>1.6666666666666667</v>
      </c>
      <c r="I309" s="28">
        <v>0</v>
      </c>
      <c r="J309" s="29">
        <v>0</v>
      </c>
      <c r="K309" s="29">
        <v>0</v>
      </c>
      <c r="L309" s="15">
        <v>2.7534722222222223</v>
      </c>
      <c r="M309" s="86">
        <v>0</v>
      </c>
      <c r="N309" s="114">
        <f t="shared" si="5"/>
        <v>2.7534722222222223</v>
      </c>
    </row>
    <row r="310" spans="1:14">
      <c r="A310" s="21" t="s">
        <v>755</v>
      </c>
      <c r="B310" s="22" t="s">
        <v>756</v>
      </c>
      <c r="C310" s="23" t="s">
        <v>34</v>
      </c>
      <c r="D310" s="24">
        <v>728</v>
      </c>
      <c r="E310" s="25" t="s">
        <v>14</v>
      </c>
      <c r="F310" s="26">
        <v>44105</v>
      </c>
      <c r="G310" s="11" t="s">
        <v>39</v>
      </c>
      <c r="H310" s="32" t="s">
        <v>39</v>
      </c>
      <c r="I310" s="28">
        <v>0</v>
      </c>
      <c r="J310" s="29">
        <v>0</v>
      </c>
      <c r="K310" s="29">
        <v>0</v>
      </c>
      <c r="L310" s="15">
        <v>0</v>
      </c>
      <c r="M310" s="86">
        <v>0</v>
      </c>
      <c r="N310" s="114">
        <f t="shared" si="5"/>
        <v>0</v>
      </c>
    </row>
    <row r="311" spans="1:14" s="4" customFormat="1">
      <c r="A311" s="21" t="s">
        <v>446</v>
      </c>
      <c r="B311" s="22" t="s">
        <v>447</v>
      </c>
      <c r="C311" s="23" t="s">
        <v>51</v>
      </c>
      <c r="D311" s="24">
        <v>728</v>
      </c>
      <c r="E311" s="25" t="s">
        <v>14</v>
      </c>
      <c r="F311" s="26">
        <v>39573</v>
      </c>
      <c r="G311" s="27" t="s">
        <v>1015</v>
      </c>
      <c r="H311" s="28">
        <v>0</v>
      </c>
      <c r="I311" s="28">
        <v>0</v>
      </c>
      <c r="J311" s="29">
        <v>0</v>
      </c>
      <c r="K311" s="29">
        <v>0</v>
      </c>
      <c r="L311" s="15">
        <v>32.434027777777779</v>
      </c>
      <c r="M311" s="86">
        <v>0</v>
      </c>
      <c r="N311" s="114">
        <f t="shared" si="5"/>
        <v>32.434027777777779</v>
      </c>
    </row>
    <row r="312" spans="1:14" s="4" customFormat="1">
      <c r="A312" s="21" t="s">
        <v>748</v>
      </c>
      <c r="B312" s="49" t="s">
        <v>749</v>
      </c>
      <c r="C312" s="23" t="s">
        <v>34</v>
      </c>
      <c r="D312" s="24">
        <v>1057</v>
      </c>
      <c r="E312" s="25" t="s">
        <v>14</v>
      </c>
      <c r="F312" s="26">
        <v>44132</v>
      </c>
      <c r="G312" s="11" t="s">
        <v>39</v>
      </c>
      <c r="H312" s="32" t="s">
        <v>39</v>
      </c>
      <c r="I312" s="32" t="s">
        <v>39</v>
      </c>
      <c r="J312" s="29">
        <v>0</v>
      </c>
      <c r="K312" s="29">
        <v>0</v>
      </c>
      <c r="L312" s="15">
        <v>0</v>
      </c>
      <c r="M312" s="86">
        <v>0</v>
      </c>
      <c r="N312" s="114">
        <f t="shared" si="5"/>
        <v>0</v>
      </c>
    </row>
    <row r="313" spans="1:14" s="4" customFormat="1">
      <c r="A313" s="50" t="s">
        <v>680</v>
      </c>
      <c r="B313" s="51" t="s">
        <v>1046</v>
      </c>
      <c r="C313" s="23" t="s">
        <v>34</v>
      </c>
      <c r="D313" s="24">
        <v>1057</v>
      </c>
      <c r="E313" s="25" t="s">
        <v>14</v>
      </c>
      <c r="F313" s="26">
        <v>43067</v>
      </c>
      <c r="G313" s="27" t="s">
        <v>1016</v>
      </c>
      <c r="H313" s="28">
        <v>3.9104166666666664</v>
      </c>
      <c r="I313" s="28">
        <v>0.83333333333333337</v>
      </c>
      <c r="J313" s="29">
        <v>0</v>
      </c>
      <c r="K313" s="29">
        <v>0</v>
      </c>
      <c r="L313" s="15">
        <v>25.565277777777776</v>
      </c>
      <c r="M313" s="86">
        <v>0</v>
      </c>
      <c r="N313" s="114">
        <f t="shared" si="5"/>
        <v>25.565277777777776</v>
      </c>
    </row>
    <row r="314" spans="1:14" s="4" customFormat="1">
      <c r="A314" s="21" t="s">
        <v>681</v>
      </c>
      <c r="B314" s="22" t="s">
        <v>682</v>
      </c>
      <c r="C314" s="23" t="s">
        <v>34</v>
      </c>
      <c r="D314" s="24">
        <v>1057</v>
      </c>
      <c r="E314" s="25" t="s">
        <v>14</v>
      </c>
      <c r="F314" s="26">
        <v>43794</v>
      </c>
      <c r="G314" s="27" t="s">
        <v>1017</v>
      </c>
      <c r="H314" s="28">
        <v>1.677777777777778</v>
      </c>
      <c r="I314" s="28">
        <v>0</v>
      </c>
      <c r="J314" s="29">
        <v>3.4722222222222321E-2</v>
      </c>
      <c r="K314" s="29">
        <v>0</v>
      </c>
      <c r="L314" s="15">
        <v>28.588194444444447</v>
      </c>
      <c r="M314" s="86">
        <v>0</v>
      </c>
      <c r="N314" s="114">
        <f t="shared" si="5"/>
        <v>28.588194444444447</v>
      </c>
    </row>
    <row r="315" spans="1:14" s="4" customFormat="1">
      <c r="A315" s="21" t="s">
        <v>683</v>
      </c>
      <c r="B315" s="22" t="s">
        <v>684</v>
      </c>
      <c r="C315" s="23" t="s">
        <v>34</v>
      </c>
      <c r="D315" s="24">
        <v>1057</v>
      </c>
      <c r="E315" s="25" t="s">
        <v>14</v>
      </c>
      <c r="F315" s="26">
        <v>43794</v>
      </c>
      <c r="G315" s="27" t="s">
        <v>1018</v>
      </c>
      <c r="H315" s="28">
        <v>0.73749999999999893</v>
      </c>
      <c r="I315" s="28">
        <v>0</v>
      </c>
      <c r="J315" s="29">
        <v>0</v>
      </c>
      <c r="K315" s="29">
        <v>0.43055555555555536</v>
      </c>
      <c r="L315" s="15">
        <v>26.773611111111109</v>
      </c>
      <c r="M315" s="86">
        <v>0</v>
      </c>
      <c r="N315" s="114">
        <f t="shared" si="5"/>
        <v>26.773611111111109</v>
      </c>
    </row>
    <row r="316" spans="1:14" s="4" customFormat="1">
      <c r="A316" s="21" t="s">
        <v>687</v>
      </c>
      <c r="B316" s="22" t="s">
        <v>688</v>
      </c>
      <c r="C316" s="23" t="s">
        <v>34</v>
      </c>
      <c r="D316" s="24">
        <v>1057</v>
      </c>
      <c r="E316" s="25" t="s">
        <v>14</v>
      </c>
      <c r="F316" s="26">
        <v>43067</v>
      </c>
      <c r="G316" s="27" t="s">
        <v>1019</v>
      </c>
      <c r="H316" s="28">
        <v>2.5</v>
      </c>
      <c r="I316" s="28">
        <v>1.6666666666666667</v>
      </c>
      <c r="J316" s="29">
        <v>0.83333333333333337</v>
      </c>
      <c r="K316" s="29">
        <v>0</v>
      </c>
      <c r="L316" s="15">
        <v>40.59097222222222</v>
      </c>
      <c r="M316" s="86">
        <v>0</v>
      </c>
      <c r="N316" s="114">
        <f t="shared" si="5"/>
        <v>40.59097222222222</v>
      </c>
    </row>
    <row r="317" spans="1:14" s="4" customFormat="1">
      <c r="A317" s="21" t="s">
        <v>449</v>
      </c>
      <c r="B317" s="22" t="s">
        <v>450</v>
      </c>
      <c r="C317" s="23" t="s">
        <v>51</v>
      </c>
      <c r="D317" s="24">
        <v>728</v>
      </c>
      <c r="E317" s="25" t="s">
        <v>14</v>
      </c>
      <c r="F317" s="26">
        <v>40087</v>
      </c>
      <c r="G317" s="27" t="s">
        <v>1020</v>
      </c>
      <c r="H317" s="28">
        <v>0.98124999999999929</v>
      </c>
      <c r="I317" s="28">
        <v>0</v>
      </c>
      <c r="J317" s="29">
        <v>0</v>
      </c>
      <c r="K317" s="29">
        <v>0.39861111111110947</v>
      </c>
      <c r="L317" s="15">
        <v>33.169444444444444</v>
      </c>
      <c r="M317" s="86">
        <v>0</v>
      </c>
      <c r="N317" s="114">
        <f t="shared" si="5"/>
        <v>33.169444444444444</v>
      </c>
    </row>
    <row r="318" spans="1:14" s="4" customFormat="1">
      <c r="A318" s="21" t="s">
        <v>689</v>
      </c>
      <c r="B318" s="37" t="s">
        <v>801</v>
      </c>
      <c r="C318" s="46" t="s">
        <v>77</v>
      </c>
      <c r="D318" s="24">
        <v>1057</v>
      </c>
      <c r="E318" s="25" t="s">
        <v>14</v>
      </c>
      <c r="F318" s="26">
        <v>43794</v>
      </c>
      <c r="G318" s="27" t="s">
        <v>1021</v>
      </c>
      <c r="H318" s="28">
        <v>0.4534722222222225</v>
      </c>
      <c r="I318" s="28">
        <v>0</v>
      </c>
      <c r="J318" s="29">
        <v>0</v>
      </c>
      <c r="K318" s="29">
        <v>0.85069444444444464</v>
      </c>
      <c r="L318" s="15">
        <v>13.635416666666666</v>
      </c>
      <c r="M318" s="86">
        <v>0</v>
      </c>
      <c r="N318" s="114">
        <f t="shared" si="5"/>
        <v>13.635416666666666</v>
      </c>
    </row>
    <row r="319" spans="1:14" s="4" customFormat="1">
      <c r="A319" s="21" t="s">
        <v>451</v>
      </c>
      <c r="B319" s="22" t="s">
        <v>452</v>
      </c>
      <c r="C319" s="23" t="s">
        <v>51</v>
      </c>
      <c r="D319" s="24">
        <v>728</v>
      </c>
      <c r="E319" s="25" t="s">
        <v>14</v>
      </c>
      <c r="F319" s="26">
        <v>39722</v>
      </c>
      <c r="G319" s="27" t="s">
        <v>1022</v>
      </c>
      <c r="H319" s="28">
        <v>1.6666666666666667</v>
      </c>
      <c r="I319" s="28">
        <v>0</v>
      </c>
      <c r="J319" s="29">
        <v>0</v>
      </c>
      <c r="K319" s="29">
        <v>0</v>
      </c>
      <c r="L319" s="15">
        <v>3.8305555555555557</v>
      </c>
      <c r="M319" s="86">
        <v>0</v>
      </c>
      <c r="N319" s="114">
        <f t="shared" si="5"/>
        <v>3.8305555555555557</v>
      </c>
    </row>
    <row r="320" spans="1:14" s="4" customFormat="1">
      <c r="A320" s="21" t="s">
        <v>690</v>
      </c>
      <c r="B320" s="22" t="s">
        <v>691</v>
      </c>
      <c r="C320" s="23" t="s">
        <v>34</v>
      </c>
      <c r="D320" s="24">
        <v>1057</v>
      </c>
      <c r="E320" s="25" t="s">
        <v>14</v>
      </c>
      <c r="F320" s="26">
        <v>43794</v>
      </c>
      <c r="G320" s="27" t="s">
        <v>1023</v>
      </c>
      <c r="H320" s="28">
        <v>2.6118055555555557</v>
      </c>
      <c r="I320" s="28">
        <v>1.6666666666666667</v>
      </c>
      <c r="J320" s="29">
        <v>2.6631944444444446</v>
      </c>
      <c r="K320" s="29">
        <v>0</v>
      </c>
      <c r="L320" s="15">
        <v>41.329861111111114</v>
      </c>
      <c r="M320" s="86">
        <v>0</v>
      </c>
      <c r="N320" s="114">
        <f t="shared" si="5"/>
        <v>41.329861111111114</v>
      </c>
    </row>
    <row r="321" spans="1:14" s="4" customFormat="1">
      <c r="A321" s="21" t="s">
        <v>750</v>
      </c>
      <c r="B321" s="22" t="s">
        <v>751</v>
      </c>
      <c r="C321" s="23" t="s">
        <v>34</v>
      </c>
      <c r="D321" s="24">
        <v>1057</v>
      </c>
      <c r="E321" s="25" t="s">
        <v>14</v>
      </c>
      <c r="F321" s="26">
        <v>44133</v>
      </c>
      <c r="G321" s="11" t="s">
        <v>39</v>
      </c>
      <c r="H321" s="32" t="s">
        <v>39</v>
      </c>
      <c r="I321" s="28">
        <v>0</v>
      </c>
      <c r="J321" s="29">
        <v>0</v>
      </c>
      <c r="K321" s="29">
        <v>0.80069444444444304</v>
      </c>
      <c r="L321" s="15">
        <v>0.80069444444444304</v>
      </c>
      <c r="M321" s="86">
        <v>0</v>
      </c>
      <c r="N321" s="114">
        <f t="shared" si="5"/>
        <v>0.80069444444444304</v>
      </c>
    </row>
    <row r="322" spans="1:14" s="4" customFormat="1">
      <c r="A322" s="21" t="s">
        <v>692</v>
      </c>
      <c r="B322" s="22" t="s">
        <v>693</v>
      </c>
      <c r="C322" s="23" t="s">
        <v>34</v>
      </c>
      <c r="D322" s="24">
        <v>1057</v>
      </c>
      <c r="E322" s="25" t="s">
        <v>14</v>
      </c>
      <c r="F322" s="26">
        <v>43362</v>
      </c>
      <c r="G322" s="27">
        <v>0</v>
      </c>
      <c r="H322" s="28">
        <v>0</v>
      </c>
      <c r="I322" s="28">
        <v>0</v>
      </c>
      <c r="J322" s="29">
        <v>0</v>
      </c>
      <c r="K322" s="29">
        <v>0</v>
      </c>
      <c r="L322" s="15">
        <v>0</v>
      </c>
      <c r="M322" s="86">
        <v>0</v>
      </c>
      <c r="N322" s="114">
        <f t="shared" si="5"/>
        <v>0</v>
      </c>
    </row>
    <row r="323" spans="1:14" s="4" customFormat="1">
      <c r="A323" s="21" t="s">
        <v>453</v>
      </c>
      <c r="B323" s="22" t="s">
        <v>454</v>
      </c>
      <c r="C323" s="23" t="s">
        <v>60</v>
      </c>
      <c r="D323" s="24">
        <v>728</v>
      </c>
      <c r="E323" s="25" t="s">
        <v>14</v>
      </c>
      <c r="F323" s="26">
        <v>39722</v>
      </c>
      <c r="G323" s="27">
        <v>0</v>
      </c>
      <c r="H323" s="28">
        <v>0</v>
      </c>
      <c r="I323" s="28">
        <v>0</v>
      </c>
      <c r="J323" s="29"/>
      <c r="K323" s="29">
        <v>7</v>
      </c>
      <c r="L323" s="15">
        <v>7</v>
      </c>
      <c r="M323" s="86">
        <v>0</v>
      </c>
      <c r="N323" s="114">
        <f t="shared" si="5"/>
        <v>7</v>
      </c>
    </row>
    <row r="324" spans="1:14" s="4" customFormat="1">
      <c r="A324" s="21" t="s">
        <v>455</v>
      </c>
      <c r="B324" s="37" t="s">
        <v>802</v>
      </c>
      <c r="C324" s="23" t="s">
        <v>34</v>
      </c>
      <c r="D324" s="24">
        <v>728</v>
      </c>
      <c r="E324" s="25" t="s">
        <v>14</v>
      </c>
      <c r="F324" s="26">
        <v>43074</v>
      </c>
      <c r="G324" s="27" t="s">
        <v>1024</v>
      </c>
      <c r="H324" s="28">
        <v>1.6666666666666667</v>
      </c>
      <c r="I324" s="28">
        <v>0</v>
      </c>
      <c r="J324" s="29">
        <v>0</v>
      </c>
      <c r="K324" s="29">
        <v>0.23055555555555607</v>
      </c>
      <c r="L324" s="15">
        <v>14.918749999999999</v>
      </c>
      <c r="M324" s="86">
        <v>0</v>
      </c>
      <c r="N324" s="114">
        <f t="shared" si="5"/>
        <v>14.918749999999999</v>
      </c>
    </row>
    <row r="325" spans="1:14" s="4" customFormat="1">
      <c r="A325" s="21" t="s">
        <v>694</v>
      </c>
      <c r="B325" s="37" t="s">
        <v>803</v>
      </c>
      <c r="C325" s="23" t="s">
        <v>51</v>
      </c>
      <c r="D325" s="24">
        <v>1057</v>
      </c>
      <c r="E325" s="25" t="s">
        <v>14</v>
      </c>
      <c r="F325" s="26">
        <v>40779</v>
      </c>
      <c r="G325" s="27" t="s">
        <v>1025</v>
      </c>
      <c r="H325" s="28">
        <v>0</v>
      </c>
      <c r="I325" s="28">
        <v>0</v>
      </c>
      <c r="J325" s="29">
        <v>0</v>
      </c>
      <c r="K325" s="29">
        <v>0</v>
      </c>
      <c r="L325" s="15">
        <v>14.910416666666668</v>
      </c>
      <c r="M325" s="86">
        <v>0</v>
      </c>
      <c r="N325" s="114">
        <f t="shared" si="5"/>
        <v>14.910416666666668</v>
      </c>
    </row>
    <row r="326" spans="1:14" s="4" customFormat="1">
      <c r="A326" s="21" t="s">
        <v>456</v>
      </c>
      <c r="B326" s="22" t="s">
        <v>457</v>
      </c>
      <c r="C326" s="23" t="s">
        <v>34</v>
      </c>
      <c r="D326" s="24">
        <v>728</v>
      </c>
      <c r="E326" s="25" t="s">
        <v>14</v>
      </c>
      <c r="F326" s="26">
        <v>39328</v>
      </c>
      <c r="G326" s="27" t="s">
        <v>1026</v>
      </c>
      <c r="H326" s="28">
        <v>1.6666666666666667</v>
      </c>
      <c r="I326" s="28">
        <v>0</v>
      </c>
      <c r="J326" s="29">
        <v>0</v>
      </c>
      <c r="K326" s="29">
        <v>0</v>
      </c>
      <c r="L326" s="15">
        <v>9.7118055555555554</v>
      </c>
      <c r="M326" s="86">
        <v>0</v>
      </c>
      <c r="N326" s="114">
        <f t="shared" si="5"/>
        <v>9.7118055555555554</v>
      </c>
    </row>
    <row r="327" spans="1:14" s="4" customFormat="1">
      <c r="A327" s="21" t="s">
        <v>778</v>
      </c>
      <c r="B327" s="31" t="s">
        <v>779</v>
      </c>
      <c r="C327" s="23" t="s">
        <v>780</v>
      </c>
      <c r="D327" s="24">
        <v>1057</v>
      </c>
      <c r="E327" s="25" t="s">
        <v>14</v>
      </c>
      <c r="F327" s="26">
        <v>44181</v>
      </c>
      <c r="G327" s="11" t="s">
        <v>39</v>
      </c>
      <c r="H327" s="32" t="s">
        <v>39</v>
      </c>
      <c r="I327" s="32" t="s">
        <v>39</v>
      </c>
      <c r="J327" s="12" t="s">
        <v>39</v>
      </c>
      <c r="K327" s="29">
        <v>0</v>
      </c>
      <c r="L327" s="15">
        <v>0</v>
      </c>
      <c r="M327" s="86">
        <v>0</v>
      </c>
      <c r="N327" s="114">
        <f t="shared" si="5"/>
        <v>0</v>
      </c>
    </row>
    <row r="328" spans="1:14" s="4" customFormat="1">
      <c r="A328" s="21" t="s">
        <v>458</v>
      </c>
      <c r="B328" s="22" t="s">
        <v>459</v>
      </c>
      <c r="C328" s="23" t="s">
        <v>34</v>
      </c>
      <c r="D328" s="24">
        <v>728</v>
      </c>
      <c r="E328" s="25" t="s">
        <v>14</v>
      </c>
      <c r="F328" s="26">
        <v>43731</v>
      </c>
      <c r="G328" s="27" t="s">
        <v>1027</v>
      </c>
      <c r="H328" s="28">
        <v>5.833333333333333</v>
      </c>
      <c r="I328" s="28">
        <v>0</v>
      </c>
      <c r="J328" s="29">
        <v>0</v>
      </c>
      <c r="K328" s="29">
        <v>0</v>
      </c>
      <c r="L328" s="15">
        <v>37.286111111111111</v>
      </c>
      <c r="M328" s="86">
        <v>0</v>
      </c>
      <c r="N328" s="114">
        <f t="shared" si="5"/>
        <v>37.286111111111111</v>
      </c>
    </row>
    <row r="329" spans="1:14" s="4" customFormat="1">
      <c r="A329" s="21" t="s">
        <v>460</v>
      </c>
      <c r="B329" s="22" t="s">
        <v>461</v>
      </c>
      <c r="C329" s="23" t="s">
        <v>60</v>
      </c>
      <c r="D329" s="24">
        <v>728</v>
      </c>
      <c r="E329" s="25" t="s">
        <v>14</v>
      </c>
      <c r="F329" s="26">
        <v>39722</v>
      </c>
      <c r="G329" s="27" t="s">
        <v>1028</v>
      </c>
      <c r="H329" s="28">
        <v>1.6666666666666667</v>
      </c>
      <c r="I329" s="28">
        <v>0</v>
      </c>
      <c r="J329" s="29">
        <v>0</v>
      </c>
      <c r="K329" s="29">
        <v>0</v>
      </c>
      <c r="L329" s="15">
        <v>37.567361111111111</v>
      </c>
      <c r="M329" s="86">
        <v>0</v>
      </c>
      <c r="N329" s="114">
        <f t="shared" si="5"/>
        <v>37.567361111111111</v>
      </c>
    </row>
    <row r="330" spans="1:14" s="4" customFormat="1">
      <c r="A330" s="21" t="s">
        <v>766</v>
      </c>
      <c r="B330" s="22" t="s">
        <v>767</v>
      </c>
      <c r="C330" s="23" t="s">
        <v>51</v>
      </c>
      <c r="D330" s="24">
        <v>728</v>
      </c>
      <c r="E330" s="25" t="s">
        <v>14</v>
      </c>
      <c r="F330" s="26">
        <v>44137</v>
      </c>
      <c r="G330" s="11" t="s">
        <v>39</v>
      </c>
      <c r="H330" s="32" t="s">
        <v>39</v>
      </c>
      <c r="I330" s="32" t="s">
        <v>39</v>
      </c>
      <c r="J330" s="29">
        <v>0</v>
      </c>
      <c r="K330" s="29">
        <v>0.10347222222222197</v>
      </c>
      <c r="L330" s="15">
        <v>0.10347222222222197</v>
      </c>
      <c r="M330" s="86">
        <v>0</v>
      </c>
      <c r="N330" s="114">
        <f t="shared" si="5"/>
        <v>0.10347222222222197</v>
      </c>
    </row>
    <row r="331" spans="1:14" s="4" customFormat="1">
      <c r="A331" s="21" t="s">
        <v>464</v>
      </c>
      <c r="B331" s="22" t="s">
        <v>465</v>
      </c>
      <c r="C331" s="23" t="s">
        <v>34</v>
      </c>
      <c r="D331" s="24">
        <v>728</v>
      </c>
      <c r="E331" s="25" t="s">
        <v>14</v>
      </c>
      <c r="F331" s="26">
        <v>43637</v>
      </c>
      <c r="G331" s="27" t="s">
        <v>1029</v>
      </c>
      <c r="H331" s="28">
        <v>0.83333333333333337</v>
      </c>
      <c r="I331" s="28">
        <v>0.90486111111111178</v>
      </c>
      <c r="J331" s="29">
        <v>0</v>
      </c>
      <c r="K331" s="29">
        <v>0</v>
      </c>
      <c r="L331" s="15">
        <v>30.752083333333335</v>
      </c>
      <c r="M331" s="86">
        <v>0</v>
      </c>
      <c r="N331" s="114">
        <f t="shared" ref="N331:N390" si="6">L331+M331</f>
        <v>30.752083333333335</v>
      </c>
    </row>
    <row r="332" spans="1:14">
      <c r="A332" s="21" t="s">
        <v>699</v>
      </c>
      <c r="B332" s="22" t="s">
        <v>700</v>
      </c>
      <c r="C332" s="23" t="s">
        <v>51</v>
      </c>
      <c r="D332" s="24">
        <v>1057</v>
      </c>
      <c r="E332" s="25" t="s">
        <v>14</v>
      </c>
      <c r="F332" s="26">
        <v>43794</v>
      </c>
      <c r="G332" s="27" t="s">
        <v>1030</v>
      </c>
      <c r="H332" s="28">
        <v>0</v>
      </c>
      <c r="I332" s="28">
        <v>0</v>
      </c>
      <c r="J332" s="29">
        <v>0</v>
      </c>
      <c r="K332" s="29">
        <v>0</v>
      </c>
      <c r="L332" s="15">
        <v>16.701388888888889</v>
      </c>
      <c r="M332" s="86">
        <v>0</v>
      </c>
      <c r="N332" s="114">
        <f t="shared" si="6"/>
        <v>16.701388888888889</v>
      </c>
    </row>
    <row r="333" spans="1:14">
      <c r="A333" s="21" t="s">
        <v>701</v>
      </c>
      <c r="B333" s="123" t="s">
        <v>702</v>
      </c>
      <c r="C333" s="23" t="s">
        <v>51</v>
      </c>
      <c r="D333" s="24">
        <v>1057</v>
      </c>
      <c r="E333" s="25" t="s">
        <v>14</v>
      </c>
      <c r="F333" s="26">
        <v>39630</v>
      </c>
      <c r="G333" s="27">
        <v>38.333333333333336</v>
      </c>
      <c r="H333" s="28">
        <v>7.333333333333333</v>
      </c>
      <c r="I333" s="28">
        <v>7</v>
      </c>
      <c r="J333" s="29">
        <v>7</v>
      </c>
      <c r="K333" s="29">
        <v>7</v>
      </c>
      <c r="L333" s="15">
        <v>66.666666666666671</v>
      </c>
      <c r="M333" s="86">
        <v>81.666666666666671</v>
      </c>
      <c r="N333" s="114">
        <f t="shared" si="6"/>
        <v>148.33333333333334</v>
      </c>
    </row>
    <row r="334" spans="1:14">
      <c r="A334" s="21" t="s">
        <v>466</v>
      </c>
      <c r="B334" s="22" t="s">
        <v>467</v>
      </c>
      <c r="C334" s="23" t="s">
        <v>51</v>
      </c>
      <c r="D334" s="24">
        <v>728</v>
      </c>
      <c r="E334" s="25" t="s">
        <v>14</v>
      </c>
      <c r="F334" s="26">
        <v>35597</v>
      </c>
      <c r="G334" s="27" t="s">
        <v>1031</v>
      </c>
      <c r="H334" s="28">
        <v>1.6666666666666667</v>
      </c>
      <c r="I334" s="28">
        <v>1.3701388888888895</v>
      </c>
      <c r="J334" s="29">
        <v>1.9666666666666668</v>
      </c>
      <c r="K334" s="29">
        <v>1.9805555555555552</v>
      </c>
      <c r="L334" s="15">
        <v>13.838194444444445</v>
      </c>
      <c r="M334" s="86">
        <v>0</v>
      </c>
      <c r="N334" s="114">
        <f t="shared" si="6"/>
        <v>13.838194444444445</v>
      </c>
    </row>
    <row r="335" spans="1:14">
      <c r="A335" s="21" t="s">
        <v>470</v>
      </c>
      <c r="B335" s="22" t="s">
        <v>471</v>
      </c>
      <c r="C335" s="23" t="s">
        <v>34</v>
      </c>
      <c r="D335" s="24">
        <v>728</v>
      </c>
      <c r="E335" s="25" t="s">
        <v>14</v>
      </c>
      <c r="F335" s="26">
        <v>40821</v>
      </c>
      <c r="G335" s="27" t="s">
        <v>1032</v>
      </c>
      <c r="H335" s="28">
        <v>2.0666666666666664</v>
      </c>
      <c r="I335" s="28">
        <v>0</v>
      </c>
      <c r="J335" s="29">
        <v>3.5493055555555562</v>
      </c>
      <c r="K335" s="29">
        <v>0.18472222222222356</v>
      </c>
      <c r="L335" s="15">
        <v>35.65902777777778</v>
      </c>
      <c r="M335" s="86">
        <v>0</v>
      </c>
      <c r="N335" s="114">
        <f t="shared" si="6"/>
        <v>35.65902777777778</v>
      </c>
    </row>
    <row r="336" spans="1:14">
      <c r="A336" s="21" t="s">
        <v>472</v>
      </c>
      <c r="B336" s="22" t="s">
        <v>473</v>
      </c>
      <c r="C336" s="23" t="s">
        <v>51</v>
      </c>
      <c r="D336" s="24">
        <v>728</v>
      </c>
      <c r="E336" s="25" t="s">
        <v>14</v>
      </c>
      <c r="F336" s="26">
        <v>39661</v>
      </c>
      <c r="G336" s="27" t="s">
        <v>1033</v>
      </c>
      <c r="H336" s="28">
        <v>0</v>
      </c>
      <c r="I336" s="28">
        <v>0</v>
      </c>
      <c r="J336" s="29">
        <v>0</v>
      </c>
      <c r="K336" s="29">
        <v>0</v>
      </c>
      <c r="L336" s="15">
        <v>22.448611111111109</v>
      </c>
      <c r="M336" s="86">
        <v>0</v>
      </c>
      <c r="N336" s="114">
        <f t="shared" si="6"/>
        <v>22.448611111111109</v>
      </c>
    </row>
    <row r="337" spans="1:14">
      <c r="A337" s="21" t="s">
        <v>703</v>
      </c>
      <c r="B337" s="31" t="s">
        <v>704</v>
      </c>
      <c r="C337" s="23" t="s">
        <v>29</v>
      </c>
      <c r="D337" s="24">
        <v>1057</v>
      </c>
      <c r="E337" s="25" t="s">
        <v>14</v>
      </c>
      <c r="F337" s="26">
        <v>44181</v>
      </c>
      <c r="G337" s="43" t="s">
        <v>39</v>
      </c>
      <c r="H337" s="42" t="s">
        <v>39</v>
      </c>
      <c r="I337" s="28">
        <v>1.1722222222222216</v>
      </c>
      <c r="J337" s="29">
        <v>1.5680555555555546</v>
      </c>
      <c r="K337" s="29">
        <v>1.5395833333333337</v>
      </c>
      <c r="L337" s="15">
        <v>4.27986111111111</v>
      </c>
      <c r="M337" s="86">
        <v>0</v>
      </c>
      <c r="N337" s="114">
        <f t="shared" si="6"/>
        <v>4.27986111111111</v>
      </c>
    </row>
    <row r="338" spans="1:14">
      <c r="A338" s="21" t="s">
        <v>705</v>
      </c>
      <c r="B338" s="22" t="s">
        <v>706</v>
      </c>
      <c r="C338" s="23" t="s">
        <v>214</v>
      </c>
      <c r="D338" s="24">
        <v>1057</v>
      </c>
      <c r="E338" s="25" t="s">
        <v>14</v>
      </c>
      <c r="F338" s="26">
        <v>42195</v>
      </c>
      <c r="G338" s="27" t="s">
        <v>1034</v>
      </c>
      <c r="H338" s="28">
        <v>0</v>
      </c>
      <c r="I338" s="28">
        <v>3.5013888888888891</v>
      </c>
      <c r="J338" s="29">
        <v>0</v>
      </c>
      <c r="K338" s="29">
        <v>2.104166666666667</v>
      </c>
      <c r="L338" s="15">
        <v>11.711805555555557</v>
      </c>
      <c r="M338" s="86">
        <v>0</v>
      </c>
      <c r="N338" s="114">
        <f t="shared" si="6"/>
        <v>11.711805555555557</v>
      </c>
    </row>
    <row r="339" spans="1:14">
      <c r="A339" s="21" t="s">
        <v>707</v>
      </c>
      <c r="B339" s="22" t="s">
        <v>708</v>
      </c>
      <c r="C339" s="23" t="s">
        <v>51</v>
      </c>
      <c r="D339" s="24">
        <v>1057</v>
      </c>
      <c r="E339" s="25" t="s">
        <v>14</v>
      </c>
      <c r="F339" s="26">
        <v>42268</v>
      </c>
      <c r="G339" s="27" t="s">
        <v>1035</v>
      </c>
      <c r="H339" s="28">
        <v>1.6666666666666667</v>
      </c>
      <c r="I339" s="28">
        <v>6</v>
      </c>
      <c r="J339" s="29">
        <v>0.83333333333333337</v>
      </c>
      <c r="K339" s="29">
        <v>0</v>
      </c>
      <c r="L339" s="15">
        <v>36.47430555555556</v>
      </c>
      <c r="M339" s="86">
        <v>0</v>
      </c>
      <c r="N339" s="114">
        <f t="shared" si="6"/>
        <v>36.47430555555556</v>
      </c>
    </row>
    <row r="340" spans="1:14">
      <c r="A340" s="21" t="s">
        <v>709</v>
      </c>
      <c r="B340" s="22" t="s">
        <v>710</v>
      </c>
      <c r="C340" s="23" t="s">
        <v>51</v>
      </c>
      <c r="D340" s="24">
        <v>1057</v>
      </c>
      <c r="E340" s="25" t="s">
        <v>14</v>
      </c>
      <c r="F340" s="26">
        <v>43825</v>
      </c>
      <c r="G340" s="27">
        <v>5.708333333333333</v>
      </c>
      <c r="H340" s="28">
        <v>0</v>
      </c>
      <c r="I340" s="28">
        <v>0</v>
      </c>
      <c r="J340" s="29">
        <v>0</v>
      </c>
      <c r="K340" s="29">
        <v>0</v>
      </c>
      <c r="L340" s="15">
        <v>5.708333333333333</v>
      </c>
      <c r="M340" s="86">
        <v>0</v>
      </c>
      <c r="N340" s="114">
        <f t="shared" si="6"/>
        <v>5.708333333333333</v>
      </c>
    </row>
    <row r="341" spans="1:14">
      <c r="A341" s="21" t="s">
        <v>474</v>
      </c>
      <c r="B341" s="22" t="s">
        <v>475</v>
      </c>
      <c r="C341" s="23" t="s">
        <v>188</v>
      </c>
      <c r="D341" s="24">
        <v>728</v>
      </c>
      <c r="E341" s="25" t="s">
        <v>14</v>
      </c>
      <c r="F341" s="26">
        <v>40087</v>
      </c>
      <c r="G341" s="27" t="s">
        <v>1036</v>
      </c>
      <c r="H341" s="28">
        <v>1.6666666666666667</v>
      </c>
      <c r="I341" s="28">
        <v>0.19861111111111107</v>
      </c>
      <c r="J341" s="29">
        <v>0</v>
      </c>
      <c r="K341" s="29">
        <v>2.8854166666666661</v>
      </c>
      <c r="L341" s="15">
        <v>42.205555555555549</v>
      </c>
      <c r="M341" s="86">
        <v>0</v>
      </c>
      <c r="N341" s="114">
        <f t="shared" si="6"/>
        <v>42.205555555555549</v>
      </c>
    </row>
    <row r="342" spans="1:14">
      <c r="A342" s="21" t="s">
        <v>476</v>
      </c>
      <c r="B342" s="22" t="s">
        <v>477</v>
      </c>
      <c r="C342" s="23" t="s">
        <v>51</v>
      </c>
      <c r="D342" s="24">
        <v>728</v>
      </c>
      <c r="E342" s="25" t="s">
        <v>14</v>
      </c>
      <c r="F342" s="26">
        <v>37166</v>
      </c>
      <c r="G342" s="27" t="s">
        <v>1037</v>
      </c>
      <c r="H342" s="28">
        <v>5.6666666666666661</v>
      </c>
      <c r="I342" s="28">
        <v>7</v>
      </c>
      <c r="J342" s="29">
        <v>6.9243055555555557</v>
      </c>
      <c r="K342" s="29">
        <v>3.9986111111111118</v>
      </c>
      <c r="L342" s="15">
        <v>50.11666666666666</v>
      </c>
      <c r="M342" s="86">
        <v>0</v>
      </c>
      <c r="N342" s="114">
        <f t="shared" si="6"/>
        <v>50.11666666666666</v>
      </c>
    </row>
    <row r="343" spans="1:14">
      <c r="A343" s="21" t="s">
        <v>711</v>
      </c>
      <c r="B343" s="22" t="s">
        <v>712</v>
      </c>
      <c r="C343" s="23" t="s">
        <v>534</v>
      </c>
      <c r="D343" s="24">
        <v>1057</v>
      </c>
      <c r="E343" s="25" t="s">
        <v>14</v>
      </c>
      <c r="F343" s="26">
        <v>43794</v>
      </c>
      <c r="G343" s="27" t="s">
        <v>1038</v>
      </c>
      <c r="H343" s="28">
        <v>0</v>
      </c>
      <c r="I343" s="28">
        <v>0.83333333333333337</v>
      </c>
      <c r="J343" s="29">
        <v>0</v>
      </c>
      <c r="K343" s="29">
        <v>2.9444444444444446</v>
      </c>
      <c r="L343" s="15">
        <v>43.15347222222222</v>
      </c>
      <c r="M343" s="86">
        <v>0</v>
      </c>
      <c r="N343" s="114">
        <f t="shared" si="6"/>
        <v>43.15347222222222</v>
      </c>
    </row>
    <row r="344" spans="1:14">
      <c r="A344" s="21" t="s">
        <v>478</v>
      </c>
      <c r="B344" s="22" t="s">
        <v>479</v>
      </c>
      <c r="C344" s="23" t="s">
        <v>51</v>
      </c>
      <c r="D344" s="24">
        <v>728</v>
      </c>
      <c r="E344" s="25" t="s">
        <v>14</v>
      </c>
      <c r="F344" s="26">
        <v>39328</v>
      </c>
      <c r="G344" s="27" t="s">
        <v>1039</v>
      </c>
      <c r="H344" s="28">
        <v>1.0104166666666661</v>
      </c>
      <c r="I344" s="28">
        <v>0</v>
      </c>
      <c r="J344" s="29">
        <v>0</v>
      </c>
      <c r="K344" s="29">
        <v>3.5701388888888888</v>
      </c>
      <c r="L344" s="15">
        <v>38.560416666666669</v>
      </c>
      <c r="M344" s="86">
        <v>0</v>
      </c>
      <c r="N344" s="114">
        <f t="shared" si="6"/>
        <v>38.560416666666669</v>
      </c>
    </row>
    <row r="345" spans="1:14">
      <c r="A345" s="21" t="s">
        <v>480</v>
      </c>
      <c r="B345" s="37" t="s">
        <v>805</v>
      </c>
      <c r="C345" s="23" t="s">
        <v>481</v>
      </c>
      <c r="D345" s="24">
        <v>728</v>
      </c>
      <c r="E345" s="25" t="s">
        <v>14</v>
      </c>
      <c r="F345" s="26">
        <v>35612</v>
      </c>
      <c r="G345" s="27" t="s">
        <v>1040</v>
      </c>
      <c r="H345" s="28">
        <v>2.0833333333333335</v>
      </c>
      <c r="I345" s="28">
        <v>2.5</v>
      </c>
      <c r="J345" s="29">
        <v>2.0833333333333335</v>
      </c>
      <c r="K345" s="29">
        <v>1.6666666666666667</v>
      </c>
      <c r="L345" s="15">
        <v>36.320833333333333</v>
      </c>
      <c r="M345" s="86">
        <v>0</v>
      </c>
      <c r="N345" s="114">
        <f t="shared" si="6"/>
        <v>36.320833333333333</v>
      </c>
    </row>
    <row r="346" spans="1:14">
      <c r="A346" s="82" t="s">
        <v>1070</v>
      </c>
      <c r="B346" s="37" t="s">
        <v>1071</v>
      </c>
      <c r="C346" s="1" t="s">
        <v>34</v>
      </c>
      <c r="D346" s="24">
        <v>728</v>
      </c>
      <c r="E346" s="25" t="s">
        <v>14</v>
      </c>
      <c r="F346" s="26">
        <v>44210</v>
      </c>
      <c r="G346" s="43" t="s">
        <v>39</v>
      </c>
      <c r="H346" s="43" t="s">
        <v>39</v>
      </c>
      <c r="I346" s="43" t="s">
        <v>39</v>
      </c>
      <c r="J346" s="43" t="s">
        <v>39</v>
      </c>
      <c r="K346" s="43" t="s">
        <v>39</v>
      </c>
      <c r="L346" s="15">
        <v>0</v>
      </c>
      <c r="M346" s="86">
        <v>0</v>
      </c>
      <c r="N346" s="114">
        <f t="shared" si="6"/>
        <v>0</v>
      </c>
    </row>
    <row r="347" spans="1:14">
      <c r="A347" s="82" t="s">
        <v>1072</v>
      </c>
      <c r="B347" s="1" t="s">
        <v>1073</v>
      </c>
      <c r="C347" s="1" t="s">
        <v>34</v>
      </c>
      <c r="D347" s="24">
        <v>728</v>
      </c>
      <c r="E347" s="25" t="s">
        <v>14</v>
      </c>
      <c r="F347" s="26">
        <v>44216</v>
      </c>
      <c r="G347" s="43" t="s">
        <v>39</v>
      </c>
      <c r="H347" s="43" t="s">
        <v>39</v>
      </c>
      <c r="I347" s="43" t="s">
        <v>39</v>
      </c>
      <c r="J347" s="43" t="s">
        <v>39</v>
      </c>
      <c r="K347" s="43" t="s">
        <v>39</v>
      </c>
      <c r="L347" s="15">
        <v>0</v>
      </c>
      <c r="M347" s="86">
        <v>0</v>
      </c>
      <c r="N347" s="114">
        <f t="shared" si="6"/>
        <v>0</v>
      </c>
    </row>
    <row r="348" spans="1:14">
      <c r="A348" s="82" t="s">
        <v>1158</v>
      </c>
      <c r="B348" s="1" t="s">
        <v>1074</v>
      </c>
      <c r="C348" s="1" t="s">
        <v>34</v>
      </c>
      <c r="D348" s="24">
        <v>728</v>
      </c>
      <c r="E348" s="25" t="s">
        <v>14</v>
      </c>
      <c r="F348" s="26">
        <v>44230</v>
      </c>
      <c r="G348" s="43" t="s">
        <v>39</v>
      </c>
      <c r="H348" s="43" t="s">
        <v>39</v>
      </c>
      <c r="I348" s="43" t="s">
        <v>39</v>
      </c>
      <c r="J348" s="43" t="s">
        <v>39</v>
      </c>
      <c r="K348" s="43" t="s">
        <v>39</v>
      </c>
      <c r="L348" s="15">
        <v>0</v>
      </c>
      <c r="M348" s="86">
        <v>0</v>
      </c>
      <c r="N348" s="114">
        <f t="shared" si="6"/>
        <v>0</v>
      </c>
    </row>
    <row r="349" spans="1:14">
      <c r="A349" s="82" t="s">
        <v>1159</v>
      </c>
      <c r="B349" s="1" t="s">
        <v>1075</v>
      </c>
      <c r="C349" s="1" t="s">
        <v>34</v>
      </c>
      <c r="D349" s="24">
        <v>728</v>
      </c>
      <c r="E349" s="25" t="s">
        <v>14</v>
      </c>
      <c r="F349" s="26">
        <v>44218</v>
      </c>
      <c r="G349" s="43" t="s">
        <v>39</v>
      </c>
      <c r="H349" s="43" t="s">
        <v>39</v>
      </c>
      <c r="I349" s="43" t="s">
        <v>39</v>
      </c>
      <c r="J349" s="43" t="s">
        <v>39</v>
      </c>
      <c r="K349" s="43" t="s">
        <v>39</v>
      </c>
      <c r="L349" s="15">
        <v>0</v>
      </c>
      <c r="M349" s="86">
        <v>0</v>
      </c>
      <c r="N349" s="114">
        <f t="shared" si="6"/>
        <v>0</v>
      </c>
    </row>
    <row r="350" spans="1:14">
      <c r="A350" s="82" t="s">
        <v>1076</v>
      </c>
      <c r="B350" s="1" t="s">
        <v>1077</v>
      </c>
      <c r="C350" s="1" t="s">
        <v>34</v>
      </c>
      <c r="D350" s="24">
        <v>728</v>
      </c>
      <c r="E350" s="25" t="s">
        <v>14</v>
      </c>
      <c r="F350" s="26">
        <v>44217</v>
      </c>
      <c r="G350" s="43" t="s">
        <v>39</v>
      </c>
      <c r="H350" s="43" t="s">
        <v>39</v>
      </c>
      <c r="I350" s="43" t="s">
        <v>39</v>
      </c>
      <c r="J350" s="43" t="s">
        <v>39</v>
      </c>
      <c r="K350" s="43" t="s">
        <v>39</v>
      </c>
      <c r="L350" s="15">
        <v>0</v>
      </c>
      <c r="M350" s="86">
        <v>0</v>
      </c>
      <c r="N350" s="114">
        <f t="shared" si="6"/>
        <v>0</v>
      </c>
    </row>
    <row r="351" spans="1:14">
      <c r="A351" s="82" t="s">
        <v>1160</v>
      </c>
      <c r="B351" s="1" t="s">
        <v>1078</v>
      </c>
      <c r="C351" s="1" t="s">
        <v>51</v>
      </c>
      <c r="D351" s="24">
        <v>728</v>
      </c>
      <c r="E351" s="25" t="s">
        <v>14</v>
      </c>
      <c r="F351" s="26">
        <v>44209</v>
      </c>
      <c r="G351" s="43" t="s">
        <v>39</v>
      </c>
      <c r="H351" s="43" t="s">
        <v>39</v>
      </c>
      <c r="I351" s="43" t="s">
        <v>39</v>
      </c>
      <c r="J351" s="43" t="s">
        <v>39</v>
      </c>
      <c r="K351" s="43" t="s">
        <v>39</v>
      </c>
      <c r="L351" s="15">
        <v>0</v>
      </c>
      <c r="M351" s="86">
        <v>0</v>
      </c>
      <c r="N351" s="114">
        <f t="shared" si="6"/>
        <v>0</v>
      </c>
    </row>
    <row r="352" spans="1:14">
      <c r="A352" s="82" t="s">
        <v>1161</v>
      </c>
      <c r="B352" s="1" t="s">
        <v>1079</v>
      </c>
      <c r="C352" s="1" t="s">
        <v>34</v>
      </c>
      <c r="D352" s="24">
        <v>728</v>
      </c>
      <c r="E352" s="25" t="s">
        <v>14</v>
      </c>
      <c r="F352" s="26">
        <v>44216</v>
      </c>
      <c r="G352" s="43" t="s">
        <v>39</v>
      </c>
      <c r="H352" s="43" t="s">
        <v>39</v>
      </c>
      <c r="I352" s="43" t="s">
        <v>39</v>
      </c>
      <c r="J352" s="43" t="s">
        <v>39</v>
      </c>
      <c r="K352" s="43" t="s">
        <v>39</v>
      </c>
      <c r="L352" s="15">
        <v>0</v>
      </c>
      <c r="M352" s="86">
        <v>0</v>
      </c>
      <c r="N352" s="114">
        <f t="shared" si="6"/>
        <v>0</v>
      </c>
    </row>
    <row r="353" spans="1:14">
      <c r="A353" s="81" t="s">
        <v>1162</v>
      </c>
      <c r="B353" s="1" t="s">
        <v>1081</v>
      </c>
      <c r="C353" s="1" t="s">
        <v>34</v>
      </c>
      <c r="D353" s="24">
        <v>1057</v>
      </c>
      <c r="E353" s="25" t="s">
        <v>14</v>
      </c>
      <c r="F353" s="26">
        <v>44320</v>
      </c>
      <c r="G353" s="43" t="s">
        <v>39</v>
      </c>
      <c r="H353" s="43" t="s">
        <v>39</v>
      </c>
      <c r="I353" s="43" t="s">
        <v>39</v>
      </c>
      <c r="J353" s="43" t="s">
        <v>39</v>
      </c>
      <c r="K353" s="43" t="s">
        <v>39</v>
      </c>
      <c r="L353" s="15">
        <v>0</v>
      </c>
      <c r="M353" s="86">
        <v>0</v>
      </c>
      <c r="N353" s="114">
        <f t="shared" si="6"/>
        <v>0</v>
      </c>
    </row>
    <row r="354" spans="1:14">
      <c r="A354" s="77" t="s">
        <v>52</v>
      </c>
      <c r="B354" s="53" t="s">
        <v>1061</v>
      </c>
      <c r="C354" s="54" t="s">
        <v>34</v>
      </c>
      <c r="D354" s="55">
        <v>728</v>
      </c>
      <c r="E354" s="25" t="s">
        <v>14</v>
      </c>
      <c r="F354" s="26">
        <v>44239</v>
      </c>
      <c r="G354" s="8">
        <v>24.333333333333332</v>
      </c>
      <c r="H354" s="8" t="s">
        <v>39</v>
      </c>
      <c r="I354" s="8" t="s">
        <v>39</v>
      </c>
      <c r="J354" s="8" t="s">
        <v>39</v>
      </c>
      <c r="K354" s="8" t="s">
        <v>39</v>
      </c>
      <c r="L354" s="15">
        <f>G354</f>
        <v>24.333333333333332</v>
      </c>
      <c r="M354" s="86">
        <v>0</v>
      </c>
      <c r="N354" s="114">
        <f t="shared" si="6"/>
        <v>24.333333333333332</v>
      </c>
    </row>
    <row r="355" spans="1:14">
      <c r="A355" s="82" t="s">
        <v>1163</v>
      </c>
      <c r="B355" s="1" t="s">
        <v>1083</v>
      </c>
      <c r="C355" s="1" t="s">
        <v>34</v>
      </c>
      <c r="D355" s="55">
        <v>728</v>
      </c>
      <c r="E355" s="25" t="s">
        <v>14</v>
      </c>
      <c r="F355" s="26">
        <v>44237</v>
      </c>
      <c r="G355" s="43" t="s">
        <v>39</v>
      </c>
      <c r="H355" s="43" t="s">
        <v>39</v>
      </c>
      <c r="I355" s="43" t="s">
        <v>39</v>
      </c>
      <c r="J355" s="43" t="s">
        <v>39</v>
      </c>
      <c r="K355" s="43" t="s">
        <v>39</v>
      </c>
      <c r="L355" s="15">
        <v>0</v>
      </c>
      <c r="M355" s="86">
        <v>0</v>
      </c>
      <c r="N355" s="114">
        <f t="shared" si="6"/>
        <v>0</v>
      </c>
    </row>
    <row r="356" spans="1:14">
      <c r="A356" s="81" t="s">
        <v>1084</v>
      </c>
      <c r="B356" s="1" t="s">
        <v>1085</v>
      </c>
      <c r="C356" s="1" t="s">
        <v>34</v>
      </c>
      <c r="D356" s="55">
        <v>728</v>
      </c>
      <c r="E356" s="25" t="s">
        <v>14</v>
      </c>
      <c r="F356" s="26">
        <v>40905</v>
      </c>
      <c r="G356" s="43">
        <v>25</v>
      </c>
      <c r="H356" s="43" t="s">
        <v>39</v>
      </c>
      <c r="I356" s="43" t="s">
        <v>39</v>
      </c>
      <c r="J356" s="43" t="s">
        <v>39</v>
      </c>
      <c r="K356" s="43" t="s">
        <v>39</v>
      </c>
      <c r="L356" s="15">
        <v>25</v>
      </c>
      <c r="M356" s="86">
        <v>0</v>
      </c>
      <c r="N356" s="114">
        <f t="shared" si="6"/>
        <v>25</v>
      </c>
    </row>
    <row r="357" spans="1:14">
      <c r="A357" s="82" t="s">
        <v>1164</v>
      </c>
      <c r="B357" s="1" t="s">
        <v>1086</v>
      </c>
      <c r="C357" s="1" t="s">
        <v>1087</v>
      </c>
      <c r="D357" s="55">
        <v>728</v>
      </c>
      <c r="E357" s="25" t="s">
        <v>14</v>
      </c>
      <c r="F357" s="26">
        <v>44279</v>
      </c>
      <c r="G357" s="43" t="s">
        <v>39</v>
      </c>
      <c r="H357" s="43" t="s">
        <v>39</v>
      </c>
      <c r="I357" s="43" t="s">
        <v>39</v>
      </c>
      <c r="J357" s="43" t="s">
        <v>39</v>
      </c>
      <c r="K357" s="43" t="s">
        <v>39</v>
      </c>
      <c r="L357" s="15">
        <v>0</v>
      </c>
      <c r="M357" s="86">
        <v>0</v>
      </c>
      <c r="N357" s="114">
        <f t="shared" si="6"/>
        <v>0</v>
      </c>
    </row>
    <row r="358" spans="1:14">
      <c r="A358" s="82" t="s">
        <v>1165</v>
      </c>
      <c r="B358" s="1" t="s">
        <v>1088</v>
      </c>
      <c r="C358" s="1" t="s">
        <v>1087</v>
      </c>
      <c r="D358" s="55">
        <v>728</v>
      </c>
      <c r="E358" s="25" t="s">
        <v>14</v>
      </c>
      <c r="F358" s="26">
        <v>44274</v>
      </c>
      <c r="G358" s="43" t="s">
        <v>39</v>
      </c>
      <c r="H358" s="43" t="s">
        <v>39</v>
      </c>
      <c r="I358" s="43" t="s">
        <v>39</v>
      </c>
      <c r="J358" s="43" t="s">
        <v>39</v>
      </c>
      <c r="K358" s="43" t="s">
        <v>39</v>
      </c>
      <c r="L358" s="15">
        <v>0</v>
      </c>
      <c r="M358" s="86">
        <v>0</v>
      </c>
      <c r="N358" s="114">
        <f t="shared" si="6"/>
        <v>0</v>
      </c>
    </row>
    <row r="359" spans="1:14">
      <c r="A359" s="82" t="s">
        <v>1166</v>
      </c>
      <c r="B359" s="1" t="s">
        <v>1089</v>
      </c>
      <c r="C359" s="1" t="s">
        <v>1087</v>
      </c>
      <c r="D359" s="55">
        <v>728</v>
      </c>
      <c r="E359" s="25" t="s">
        <v>14</v>
      </c>
      <c r="F359" s="26">
        <v>44280</v>
      </c>
      <c r="G359" s="43" t="s">
        <v>39</v>
      </c>
      <c r="H359" s="43" t="s">
        <v>39</v>
      </c>
      <c r="I359" s="43" t="s">
        <v>39</v>
      </c>
      <c r="J359" s="43" t="s">
        <v>39</v>
      </c>
      <c r="K359" s="43" t="s">
        <v>39</v>
      </c>
      <c r="L359" s="15">
        <v>0</v>
      </c>
      <c r="M359" s="86">
        <v>0</v>
      </c>
      <c r="N359" s="114">
        <f t="shared" si="6"/>
        <v>0</v>
      </c>
    </row>
    <row r="360" spans="1:14">
      <c r="A360" s="82" t="s">
        <v>1167</v>
      </c>
      <c r="B360" s="1" t="s">
        <v>1090</v>
      </c>
      <c r="C360" s="1" t="s">
        <v>481</v>
      </c>
      <c r="D360" s="55">
        <v>728</v>
      </c>
      <c r="E360" s="25" t="s">
        <v>14</v>
      </c>
      <c r="F360" s="26">
        <v>44274</v>
      </c>
      <c r="G360" s="43" t="s">
        <v>39</v>
      </c>
      <c r="H360" s="43" t="s">
        <v>39</v>
      </c>
      <c r="I360" s="43" t="s">
        <v>39</v>
      </c>
      <c r="J360" s="43" t="s">
        <v>39</v>
      </c>
      <c r="K360" s="43" t="s">
        <v>39</v>
      </c>
      <c r="L360" s="15">
        <v>0</v>
      </c>
      <c r="M360" s="86">
        <v>0</v>
      </c>
      <c r="N360" s="114">
        <f t="shared" si="6"/>
        <v>0</v>
      </c>
    </row>
    <row r="361" spans="1:14">
      <c r="A361" s="82" t="s">
        <v>1168</v>
      </c>
      <c r="B361" s="1" t="s">
        <v>1092</v>
      </c>
      <c r="C361" s="1" t="s">
        <v>34</v>
      </c>
      <c r="D361" s="24">
        <v>1057</v>
      </c>
      <c r="E361" s="25" t="s">
        <v>14</v>
      </c>
      <c r="F361" s="26">
        <v>44334</v>
      </c>
      <c r="G361" s="43" t="s">
        <v>39</v>
      </c>
      <c r="H361" s="43" t="s">
        <v>39</v>
      </c>
      <c r="I361" s="43" t="s">
        <v>39</v>
      </c>
      <c r="J361" s="43" t="s">
        <v>39</v>
      </c>
      <c r="K361" s="43" t="s">
        <v>39</v>
      </c>
      <c r="L361" s="15">
        <v>0</v>
      </c>
      <c r="M361" s="86">
        <v>0</v>
      </c>
      <c r="N361" s="114">
        <f t="shared" si="6"/>
        <v>0</v>
      </c>
    </row>
    <row r="362" spans="1:14">
      <c r="A362" s="82" t="s">
        <v>1169</v>
      </c>
      <c r="B362" s="1" t="s">
        <v>1093</v>
      </c>
      <c r="C362" s="1" t="s">
        <v>73</v>
      </c>
      <c r="D362" s="24">
        <v>1057</v>
      </c>
      <c r="E362" s="25" t="s">
        <v>14</v>
      </c>
      <c r="F362" s="26">
        <v>44334</v>
      </c>
      <c r="G362" s="43" t="s">
        <v>39</v>
      </c>
      <c r="H362" s="43" t="s">
        <v>39</v>
      </c>
      <c r="I362" s="43" t="s">
        <v>39</v>
      </c>
      <c r="J362" s="43" t="s">
        <v>39</v>
      </c>
      <c r="K362" s="43" t="s">
        <v>39</v>
      </c>
      <c r="L362" s="15">
        <v>0</v>
      </c>
      <c r="M362" s="86">
        <v>0</v>
      </c>
      <c r="N362" s="114">
        <f t="shared" si="6"/>
        <v>0</v>
      </c>
    </row>
    <row r="363" spans="1:14">
      <c r="A363" s="82" t="s">
        <v>1170</v>
      </c>
      <c r="B363" s="1" t="s">
        <v>1094</v>
      </c>
      <c r="C363" s="1" t="s">
        <v>34</v>
      </c>
      <c r="D363" s="24">
        <v>1057</v>
      </c>
      <c r="E363" s="25" t="s">
        <v>14</v>
      </c>
      <c r="F363" s="26">
        <v>44334</v>
      </c>
      <c r="G363" s="43" t="s">
        <v>39</v>
      </c>
      <c r="H363" s="43" t="s">
        <v>39</v>
      </c>
      <c r="I363" s="43" t="s">
        <v>39</v>
      </c>
      <c r="J363" s="43" t="s">
        <v>39</v>
      </c>
      <c r="K363" s="43" t="s">
        <v>39</v>
      </c>
      <c r="L363" s="15">
        <v>0</v>
      </c>
      <c r="M363" s="86">
        <v>0</v>
      </c>
      <c r="N363" s="114">
        <f t="shared" si="6"/>
        <v>0</v>
      </c>
    </row>
    <row r="364" spans="1:14">
      <c r="A364" s="82" t="s">
        <v>1171</v>
      </c>
      <c r="B364" s="1" t="s">
        <v>1096</v>
      </c>
      <c r="C364" s="1" t="s">
        <v>34</v>
      </c>
      <c r="D364" s="24">
        <v>1057</v>
      </c>
      <c r="E364" s="25" t="s">
        <v>14</v>
      </c>
      <c r="F364" s="26">
        <v>44334</v>
      </c>
      <c r="G364" s="43" t="s">
        <v>39</v>
      </c>
      <c r="H364" s="43" t="s">
        <v>39</v>
      </c>
      <c r="I364" s="43" t="s">
        <v>39</v>
      </c>
      <c r="J364" s="43" t="s">
        <v>39</v>
      </c>
      <c r="K364" s="43" t="s">
        <v>39</v>
      </c>
      <c r="L364" s="15">
        <v>0</v>
      </c>
      <c r="M364" s="86">
        <v>0</v>
      </c>
      <c r="N364" s="114">
        <f t="shared" si="6"/>
        <v>0</v>
      </c>
    </row>
    <row r="365" spans="1:14">
      <c r="A365" s="82" t="s">
        <v>1172</v>
      </c>
      <c r="B365" s="1" t="s">
        <v>1097</v>
      </c>
      <c r="C365" s="1" t="s">
        <v>73</v>
      </c>
      <c r="D365" s="24">
        <v>1057</v>
      </c>
      <c r="E365" s="25" t="s">
        <v>14</v>
      </c>
      <c r="F365" s="26">
        <v>44334</v>
      </c>
      <c r="G365" s="43" t="s">
        <v>39</v>
      </c>
      <c r="H365" s="43" t="s">
        <v>39</v>
      </c>
      <c r="I365" s="43" t="s">
        <v>39</v>
      </c>
      <c r="J365" s="43" t="s">
        <v>39</v>
      </c>
      <c r="K365" s="43" t="s">
        <v>39</v>
      </c>
      <c r="L365" s="15">
        <v>0</v>
      </c>
      <c r="M365" s="86">
        <v>0</v>
      </c>
      <c r="N365" s="114">
        <f t="shared" si="6"/>
        <v>0</v>
      </c>
    </row>
    <row r="366" spans="1:14">
      <c r="A366" s="82" t="s">
        <v>1173</v>
      </c>
      <c r="B366" s="1" t="s">
        <v>1098</v>
      </c>
      <c r="C366" s="1" t="s">
        <v>29</v>
      </c>
      <c r="D366" s="24">
        <v>1057</v>
      </c>
      <c r="E366" s="25" t="s">
        <v>14</v>
      </c>
      <c r="F366" s="26">
        <v>44334</v>
      </c>
      <c r="G366" s="43" t="s">
        <v>39</v>
      </c>
      <c r="H366" s="43" t="s">
        <v>39</v>
      </c>
      <c r="I366" s="43" t="s">
        <v>39</v>
      </c>
      <c r="J366" s="43" t="s">
        <v>39</v>
      </c>
      <c r="K366" s="43" t="s">
        <v>39</v>
      </c>
      <c r="L366" s="15">
        <v>0</v>
      </c>
      <c r="M366" s="86">
        <v>0</v>
      </c>
      <c r="N366" s="114">
        <f t="shared" si="6"/>
        <v>0</v>
      </c>
    </row>
    <row r="367" spans="1:14">
      <c r="A367" s="82" t="s">
        <v>1174</v>
      </c>
      <c r="B367" s="1" t="s">
        <v>1100</v>
      </c>
      <c r="C367" s="1" t="s">
        <v>51</v>
      </c>
      <c r="D367" s="24">
        <v>1057</v>
      </c>
      <c r="E367" s="25" t="s">
        <v>14</v>
      </c>
      <c r="F367" s="26">
        <v>44334</v>
      </c>
      <c r="G367" s="43" t="s">
        <v>39</v>
      </c>
      <c r="H367" s="43" t="s">
        <v>39</v>
      </c>
      <c r="I367" s="43" t="s">
        <v>39</v>
      </c>
      <c r="J367" s="43" t="s">
        <v>39</v>
      </c>
      <c r="K367" s="43" t="s">
        <v>39</v>
      </c>
      <c r="L367" s="15">
        <v>0</v>
      </c>
      <c r="M367" s="86">
        <v>0</v>
      </c>
      <c r="N367" s="114">
        <f t="shared" si="6"/>
        <v>0</v>
      </c>
    </row>
    <row r="368" spans="1:14">
      <c r="A368" s="82" t="s">
        <v>1175</v>
      </c>
      <c r="B368" s="1" t="s">
        <v>1101</v>
      </c>
      <c r="C368" s="1" t="s">
        <v>34</v>
      </c>
      <c r="D368" s="24">
        <v>1057</v>
      </c>
      <c r="E368" s="25" t="s">
        <v>14</v>
      </c>
      <c r="F368" s="26">
        <v>44334</v>
      </c>
      <c r="G368" s="43" t="s">
        <v>39</v>
      </c>
      <c r="H368" s="43" t="s">
        <v>39</v>
      </c>
      <c r="I368" s="43" t="s">
        <v>39</v>
      </c>
      <c r="J368" s="43" t="s">
        <v>39</v>
      </c>
      <c r="K368" s="43" t="s">
        <v>39</v>
      </c>
      <c r="L368" s="15">
        <v>0</v>
      </c>
      <c r="M368" s="86">
        <v>0</v>
      </c>
      <c r="N368" s="114">
        <f t="shared" si="6"/>
        <v>0</v>
      </c>
    </row>
    <row r="369" spans="1:14">
      <c r="A369" s="81" t="s">
        <v>1176</v>
      </c>
      <c r="B369" s="1" t="s">
        <v>1103</v>
      </c>
      <c r="C369" s="1" t="s">
        <v>29</v>
      </c>
      <c r="D369" s="55">
        <v>728</v>
      </c>
      <c r="E369" s="25" t="s">
        <v>14</v>
      </c>
      <c r="F369" s="26">
        <v>44560</v>
      </c>
      <c r="G369" s="43" t="s">
        <v>39</v>
      </c>
      <c r="H369" s="43" t="s">
        <v>39</v>
      </c>
      <c r="I369" s="43" t="s">
        <v>39</v>
      </c>
      <c r="J369" s="43" t="s">
        <v>39</v>
      </c>
      <c r="K369" s="43" t="s">
        <v>39</v>
      </c>
      <c r="L369" s="15">
        <v>0</v>
      </c>
      <c r="M369" s="86">
        <v>0</v>
      </c>
      <c r="N369" s="114">
        <f t="shared" si="6"/>
        <v>0</v>
      </c>
    </row>
    <row r="370" spans="1:14">
      <c r="A370" s="82" t="s">
        <v>1177</v>
      </c>
      <c r="B370" s="1" t="s">
        <v>1104</v>
      </c>
      <c r="C370" s="1" t="s">
        <v>34</v>
      </c>
      <c r="D370" s="55">
        <v>728</v>
      </c>
      <c r="E370" s="25" t="s">
        <v>14</v>
      </c>
      <c r="F370" s="26">
        <v>44362</v>
      </c>
      <c r="G370" s="43" t="s">
        <v>39</v>
      </c>
      <c r="H370" s="43" t="s">
        <v>39</v>
      </c>
      <c r="I370" s="43" t="s">
        <v>39</v>
      </c>
      <c r="J370" s="43" t="s">
        <v>39</v>
      </c>
      <c r="K370" s="43" t="s">
        <v>39</v>
      </c>
      <c r="L370" s="15">
        <v>0</v>
      </c>
      <c r="M370" s="86">
        <v>0</v>
      </c>
      <c r="N370" s="114">
        <f t="shared" si="6"/>
        <v>0</v>
      </c>
    </row>
    <row r="371" spans="1:14">
      <c r="A371" s="82" t="s">
        <v>1178</v>
      </c>
      <c r="B371" s="1" t="s">
        <v>1105</v>
      </c>
      <c r="C371" s="1" t="s">
        <v>34</v>
      </c>
      <c r="D371" s="55">
        <v>728</v>
      </c>
      <c r="E371" s="25" t="s">
        <v>14</v>
      </c>
      <c r="F371" s="26">
        <v>44362</v>
      </c>
      <c r="G371" s="43" t="s">
        <v>39</v>
      </c>
      <c r="H371" s="43" t="s">
        <v>39</v>
      </c>
      <c r="I371" s="43" t="s">
        <v>39</v>
      </c>
      <c r="J371" s="43" t="s">
        <v>39</v>
      </c>
      <c r="K371" s="43" t="s">
        <v>39</v>
      </c>
      <c r="L371" s="15">
        <v>0</v>
      </c>
      <c r="M371" s="86">
        <v>0</v>
      </c>
      <c r="N371" s="114">
        <f t="shared" si="6"/>
        <v>0</v>
      </c>
    </row>
    <row r="372" spans="1:14">
      <c r="A372" s="82" t="s">
        <v>1179</v>
      </c>
      <c r="B372" s="1" t="s">
        <v>1109</v>
      </c>
      <c r="C372" s="1" t="s">
        <v>34</v>
      </c>
      <c r="D372" s="55">
        <v>728</v>
      </c>
      <c r="E372" s="25" t="s">
        <v>14</v>
      </c>
      <c r="F372" s="26">
        <v>44362</v>
      </c>
      <c r="G372" s="43" t="s">
        <v>39</v>
      </c>
      <c r="H372" s="43" t="s">
        <v>39</v>
      </c>
      <c r="I372" s="43" t="s">
        <v>39</v>
      </c>
      <c r="J372" s="43" t="s">
        <v>39</v>
      </c>
      <c r="K372" s="43" t="s">
        <v>39</v>
      </c>
      <c r="L372" s="15">
        <v>0</v>
      </c>
      <c r="M372" s="86">
        <v>0</v>
      </c>
      <c r="N372" s="114">
        <f t="shared" si="6"/>
        <v>0</v>
      </c>
    </row>
    <row r="373" spans="1:14">
      <c r="A373" s="82" t="s">
        <v>1180</v>
      </c>
      <c r="B373" s="1" t="s">
        <v>1110</v>
      </c>
      <c r="C373" s="1" t="s">
        <v>34</v>
      </c>
      <c r="D373" s="55">
        <v>728</v>
      </c>
      <c r="E373" s="25" t="s">
        <v>14</v>
      </c>
      <c r="F373" s="26">
        <v>44362</v>
      </c>
      <c r="G373" s="43" t="s">
        <v>39</v>
      </c>
      <c r="H373" s="43" t="s">
        <v>39</v>
      </c>
      <c r="I373" s="43" t="s">
        <v>39</v>
      </c>
      <c r="J373" s="43" t="s">
        <v>39</v>
      </c>
      <c r="K373" s="43" t="s">
        <v>39</v>
      </c>
      <c r="L373" s="15">
        <v>0</v>
      </c>
      <c r="M373" s="86">
        <v>0</v>
      </c>
      <c r="N373" s="114">
        <f t="shared" si="6"/>
        <v>0</v>
      </c>
    </row>
    <row r="374" spans="1:14">
      <c r="A374" s="82" t="s">
        <v>1112</v>
      </c>
      <c r="B374" s="1" t="s">
        <v>1113</v>
      </c>
      <c r="C374" s="1" t="s">
        <v>34</v>
      </c>
      <c r="D374" s="55">
        <v>728</v>
      </c>
      <c r="E374" s="25" t="s">
        <v>14</v>
      </c>
      <c r="F374" s="26">
        <v>44410</v>
      </c>
      <c r="G374" s="43" t="s">
        <v>39</v>
      </c>
      <c r="H374" s="43" t="s">
        <v>39</v>
      </c>
      <c r="I374" s="43" t="s">
        <v>39</v>
      </c>
      <c r="J374" s="43" t="s">
        <v>39</v>
      </c>
      <c r="K374" s="43" t="s">
        <v>39</v>
      </c>
      <c r="L374" s="15">
        <v>0</v>
      </c>
      <c r="M374" s="86">
        <v>0</v>
      </c>
      <c r="N374" s="114">
        <f t="shared" si="6"/>
        <v>0</v>
      </c>
    </row>
    <row r="375" spans="1:14">
      <c r="A375" s="82" t="s">
        <v>1181</v>
      </c>
      <c r="B375" s="1" t="s">
        <v>1116</v>
      </c>
      <c r="C375" s="1" t="s">
        <v>1117</v>
      </c>
      <c r="D375" s="55">
        <v>728</v>
      </c>
      <c r="E375" s="25" t="s">
        <v>14</v>
      </c>
      <c r="F375" s="26">
        <v>44434</v>
      </c>
      <c r="G375" s="43" t="s">
        <v>39</v>
      </c>
      <c r="H375" s="43" t="s">
        <v>39</v>
      </c>
      <c r="I375" s="43" t="s">
        <v>39</v>
      </c>
      <c r="J375" s="43" t="s">
        <v>39</v>
      </c>
      <c r="K375" s="43" t="s">
        <v>39</v>
      </c>
      <c r="L375" s="15">
        <v>0</v>
      </c>
      <c r="M375" s="86">
        <v>0</v>
      </c>
      <c r="N375" s="114">
        <f t="shared" si="6"/>
        <v>0</v>
      </c>
    </row>
    <row r="376" spans="1:14">
      <c r="A376" s="82" t="s">
        <v>1182</v>
      </c>
      <c r="B376" s="1" t="s">
        <v>1118</v>
      </c>
      <c r="C376" s="1" t="s">
        <v>34</v>
      </c>
      <c r="D376" s="55">
        <v>728</v>
      </c>
      <c r="E376" s="25" t="s">
        <v>14</v>
      </c>
      <c r="F376" s="26">
        <v>44410</v>
      </c>
      <c r="G376" s="43" t="s">
        <v>39</v>
      </c>
      <c r="H376" s="43" t="s">
        <v>39</v>
      </c>
      <c r="I376" s="43" t="s">
        <v>39</v>
      </c>
      <c r="J376" s="43" t="s">
        <v>39</v>
      </c>
      <c r="K376" s="43" t="s">
        <v>39</v>
      </c>
      <c r="L376" s="15">
        <v>0</v>
      </c>
      <c r="M376" s="86">
        <v>0</v>
      </c>
      <c r="N376" s="114">
        <f t="shared" si="6"/>
        <v>0</v>
      </c>
    </row>
    <row r="377" spans="1:14">
      <c r="A377" s="82" t="s">
        <v>1183</v>
      </c>
      <c r="B377" s="1" t="s">
        <v>1119</v>
      </c>
      <c r="C377" s="1" t="s">
        <v>34</v>
      </c>
      <c r="D377" s="55">
        <v>728</v>
      </c>
      <c r="E377" s="25" t="s">
        <v>14</v>
      </c>
      <c r="F377" s="26">
        <v>44410</v>
      </c>
      <c r="G377" s="43" t="s">
        <v>39</v>
      </c>
      <c r="H377" s="43" t="s">
        <v>39</v>
      </c>
      <c r="I377" s="43" t="s">
        <v>39</v>
      </c>
      <c r="J377" s="43" t="s">
        <v>39</v>
      </c>
      <c r="K377" s="43" t="s">
        <v>39</v>
      </c>
      <c r="L377" s="15">
        <v>0</v>
      </c>
      <c r="M377" s="86">
        <v>0</v>
      </c>
      <c r="N377" s="114">
        <f t="shared" si="6"/>
        <v>0</v>
      </c>
    </row>
    <row r="378" spans="1:14">
      <c r="A378" s="82" t="s">
        <v>1121</v>
      </c>
      <c r="B378" s="1" t="s">
        <v>1122</v>
      </c>
      <c r="C378" s="1" t="s">
        <v>34</v>
      </c>
      <c r="D378" s="55">
        <v>728</v>
      </c>
      <c r="E378" s="25" t="s">
        <v>14</v>
      </c>
      <c r="F378" s="26">
        <v>44482</v>
      </c>
      <c r="G378" s="43" t="s">
        <v>39</v>
      </c>
      <c r="H378" s="43" t="s">
        <v>39</v>
      </c>
      <c r="I378" s="43" t="s">
        <v>39</v>
      </c>
      <c r="J378" s="43" t="s">
        <v>39</v>
      </c>
      <c r="K378" s="43" t="s">
        <v>39</v>
      </c>
      <c r="L378" s="15">
        <v>0</v>
      </c>
      <c r="M378" s="86">
        <v>0</v>
      </c>
      <c r="N378" s="114">
        <f t="shared" si="6"/>
        <v>0</v>
      </c>
    </row>
    <row r="379" spans="1:14">
      <c r="A379" s="82" t="s">
        <v>1125</v>
      </c>
      <c r="B379" s="1" t="s">
        <v>1126</v>
      </c>
      <c r="C379" s="1" t="s">
        <v>51</v>
      </c>
      <c r="D379" s="55">
        <v>728</v>
      </c>
      <c r="E379" s="25" t="s">
        <v>14</v>
      </c>
      <c r="F379" s="26">
        <v>44505</v>
      </c>
      <c r="G379" s="43" t="s">
        <v>39</v>
      </c>
      <c r="H379" s="43" t="s">
        <v>39</v>
      </c>
      <c r="I379" s="43" t="s">
        <v>39</v>
      </c>
      <c r="J379" s="43" t="s">
        <v>39</v>
      </c>
      <c r="K379" s="43" t="s">
        <v>39</v>
      </c>
      <c r="L379" s="15">
        <v>0</v>
      </c>
      <c r="M379" s="86">
        <v>0</v>
      </c>
      <c r="N379" s="114">
        <f t="shared" si="6"/>
        <v>0</v>
      </c>
    </row>
    <row r="380" spans="1:14">
      <c r="A380" s="82" t="s">
        <v>1127</v>
      </c>
      <c r="B380" s="1" t="s">
        <v>1128</v>
      </c>
      <c r="C380" s="1" t="s">
        <v>60</v>
      </c>
      <c r="D380" s="55">
        <v>728</v>
      </c>
      <c r="E380" s="25" t="s">
        <v>14</v>
      </c>
      <c r="F380" s="26">
        <v>44504</v>
      </c>
      <c r="G380" s="43" t="s">
        <v>39</v>
      </c>
      <c r="H380" s="43" t="s">
        <v>39</v>
      </c>
      <c r="I380" s="43" t="s">
        <v>39</v>
      </c>
      <c r="J380" s="43" t="s">
        <v>39</v>
      </c>
      <c r="K380" s="43" t="s">
        <v>39</v>
      </c>
      <c r="L380" s="15">
        <v>0</v>
      </c>
      <c r="M380" s="86">
        <v>0</v>
      </c>
      <c r="N380" s="114">
        <f t="shared" si="6"/>
        <v>0</v>
      </c>
    </row>
    <row r="381" spans="1:14">
      <c r="A381" s="82" t="s">
        <v>1184</v>
      </c>
      <c r="B381" s="1" t="s">
        <v>1129</v>
      </c>
      <c r="C381" s="1" t="s">
        <v>37</v>
      </c>
      <c r="D381" s="55">
        <v>728</v>
      </c>
      <c r="E381" s="25" t="s">
        <v>14</v>
      </c>
      <c r="F381" s="26">
        <v>44504</v>
      </c>
      <c r="G381" s="43" t="s">
        <v>39</v>
      </c>
      <c r="H381" s="43" t="s">
        <v>39</v>
      </c>
      <c r="I381" s="43" t="s">
        <v>39</v>
      </c>
      <c r="J381" s="43" t="s">
        <v>39</v>
      </c>
      <c r="K381" s="43" t="s">
        <v>39</v>
      </c>
      <c r="L381" s="15">
        <v>0</v>
      </c>
      <c r="M381" s="86">
        <v>0</v>
      </c>
      <c r="N381" s="114">
        <f t="shared" si="6"/>
        <v>0</v>
      </c>
    </row>
    <row r="382" spans="1:14">
      <c r="A382" s="82" t="s">
        <v>1132</v>
      </c>
      <c r="B382" s="1" t="s">
        <v>1133</v>
      </c>
      <c r="C382" s="1" t="s">
        <v>34</v>
      </c>
      <c r="D382" s="55">
        <v>728</v>
      </c>
      <c r="E382" s="25" t="s">
        <v>14</v>
      </c>
      <c r="F382" s="26">
        <v>44504</v>
      </c>
      <c r="G382" s="43" t="s">
        <v>39</v>
      </c>
      <c r="H382" s="43" t="s">
        <v>39</v>
      </c>
      <c r="I382" s="43" t="s">
        <v>39</v>
      </c>
      <c r="J382" s="43" t="s">
        <v>39</v>
      </c>
      <c r="K382" s="43" t="s">
        <v>39</v>
      </c>
      <c r="L382" s="15">
        <v>0</v>
      </c>
      <c r="M382" s="86">
        <v>0</v>
      </c>
      <c r="N382" s="114">
        <f t="shared" si="6"/>
        <v>0</v>
      </c>
    </row>
    <row r="383" spans="1:14">
      <c r="A383" s="82" t="s">
        <v>1185</v>
      </c>
      <c r="B383" s="1" t="s">
        <v>1134</v>
      </c>
      <c r="C383" s="1" t="s">
        <v>34</v>
      </c>
      <c r="D383" s="55">
        <v>728</v>
      </c>
      <c r="E383" s="25" t="s">
        <v>14</v>
      </c>
      <c r="F383" s="26">
        <v>44522</v>
      </c>
      <c r="G383" s="43" t="s">
        <v>39</v>
      </c>
      <c r="H383" s="43" t="s">
        <v>39</v>
      </c>
      <c r="I383" s="43" t="s">
        <v>39</v>
      </c>
      <c r="J383" s="43" t="s">
        <v>39</v>
      </c>
      <c r="K383" s="43" t="s">
        <v>39</v>
      </c>
      <c r="L383" s="15">
        <v>0</v>
      </c>
      <c r="M383" s="86">
        <v>0</v>
      </c>
      <c r="N383" s="114">
        <f t="shared" si="6"/>
        <v>0</v>
      </c>
    </row>
    <row r="384" spans="1:14">
      <c r="A384" s="82" t="s">
        <v>1186</v>
      </c>
      <c r="B384" s="1" t="s">
        <v>1135</v>
      </c>
      <c r="C384" s="1" t="s">
        <v>51</v>
      </c>
      <c r="D384" s="55">
        <v>728</v>
      </c>
      <c r="E384" s="25" t="s">
        <v>14</v>
      </c>
      <c r="F384" s="26">
        <v>44504</v>
      </c>
      <c r="G384" s="43" t="s">
        <v>39</v>
      </c>
      <c r="H384" s="43" t="s">
        <v>39</v>
      </c>
      <c r="I384" s="43" t="s">
        <v>39</v>
      </c>
      <c r="J384" s="43" t="s">
        <v>39</v>
      </c>
      <c r="K384" s="43" t="s">
        <v>39</v>
      </c>
      <c r="L384" s="15">
        <v>0</v>
      </c>
      <c r="M384" s="86">
        <v>0</v>
      </c>
      <c r="N384" s="114">
        <f t="shared" si="6"/>
        <v>0</v>
      </c>
    </row>
    <row r="385" spans="1:18">
      <c r="A385" s="82" t="s">
        <v>1136</v>
      </c>
      <c r="B385" s="1" t="s">
        <v>1137</v>
      </c>
      <c r="C385" s="1" t="s">
        <v>51</v>
      </c>
      <c r="D385" s="55">
        <v>728</v>
      </c>
      <c r="E385" s="25" t="s">
        <v>14</v>
      </c>
      <c r="F385" s="26">
        <v>44504</v>
      </c>
      <c r="G385" s="43" t="s">
        <v>39</v>
      </c>
      <c r="H385" s="43" t="s">
        <v>39</v>
      </c>
      <c r="I385" s="43" t="s">
        <v>39</v>
      </c>
      <c r="J385" s="43" t="s">
        <v>39</v>
      </c>
      <c r="K385" s="43" t="s">
        <v>39</v>
      </c>
      <c r="L385" s="15">
        <v>0</v>
      </c>
      <c r="M385" s="86">
        <v>0</v>
      </c>
      <c r="N385" s="114">
        <f t="shared" si="6"/>
        <v>0</v>
      </c>
    </row>
    <row r="386" spans="1:18">
      <c r="A386" s="82" t="s">
        <v>1187</v>
      </c>
      <c r="B386" s="78" t="s">
        <v>1140</v>
      </c>
      <c r="C386" s="78" t="s">
        <v>60</v>
      </c>
      <c r="D386" s="55">
        <v>728</v>
      </c>
      <c r="E386" s="25" t="s">
        <v>14</v>
      </c>
      <c r="F386" s="74">
        <v>44553</v>
      </c>
      <c r="G386" s="43" t="s">
        <v>39</v>
      </c>
      <c r="H386" s="43" t="s">
        <v>39</v>
      </c>
      <c r="I386" s="43" t="s">
        <v>39</v>
      </c>
      <c r="J386" s="43" t="s">
        <v>39</v>
      </c>
      <c r="K386" s="43" t="s">
        <v>39</v>
      </c>
      <c r="L386" s="15">
        <v>0</v>
      </c>
      <c r="M386" s="86">
        <v>0</v>
      </c>
      <c r="N386" s="114">
        <f t="shared" si="6"/>
        <v>0</v>
      </c>
    </row>
    <row r="387" spans="1:18">
      <c r="A387" s="81" t="s">
        <v>1141</v>
      </c>
      <c r="B387" s="1" t="s">
        <v>1142</v>
      </c>
      <c r="C387" s="1" t="s">
        <v>34</v>
      </c>
      <c r="D387" s="55">
        <v>728</v>
      </c>
      <c r="E387" s="25" t="s">
        <v>14</v>
      </c>
      <c r="F387" s="26">
        <v>44560</v>
      </c>
      <c r="G387" s="43" t="s">
        <v>39</v>
      </c>
      <c r="H387" s="43" t="s">
        <v>39</v>
      </c>
      <c r="I387" s="43" t="s">
        <v>39</v>
      </c>
      <c r="J387" s="43" t="s">
        <v>39</v>
      </c>
      <c r="K387" s="43" t="s">
        <v>39</v>
      </c>
      <c r="L387" s="15">
        <v>0</v>
      </c>
      <c r="M387" s="86">
        <v>0</v>
      </c>
      <c r="N387" s="114">
        <f t="shared" si="6"/>
        <v>0</v>
      </c>
    </row>
    <row r="388" spans="1:18">
      <c r="A388" s="79" t="s">
        <v>1188</v>
      </c>
      <c r="B388" s="78" t="s">
        <v>1143</v>
      </c>
      <c r="C388" s="78" t="s">
        <v>60</v>
      </c>
      <c r="D388" s="55">
        <v>728</v>
      </c>
      <c r="E388" s="25" t="s">
        <v>14</v>
      </c>
      <c r="F388" s="74">
        <v>44560</v>
      </c>
      <c r="G388" s="43" t="s">
        <v>39</v>
      </c>
      <c r="H388" s="43" t="s">
        <v>39</v>
      </c>
      <c r="I388" s="43" t="s">
        <v>39</v>
      </c>
      <c r="J388" s="43" t="s">
        <v>39</v>
      </c>
      <c r="K388" s="43" t="s">
        <v>39</v>
      </c>
      <c r="L388" s="15">
        <v>0</v>
      </c>
      <c r="M388" s="86">
        <v>0</v>
      </c>
      <c r="N388" s="114">
        <f t="shared" si="6"/>
        <v>0</v>
      </c>
    </row>
    <row r="389" spans="1:18">
      <c r="A389" s="79" t="s">
        <v>1189</v>
      </c>
      <c r="B389" s="78" t="s">
        <v>1144</v>
      </c>
      <c r="C389" s="78" t="s">
        <v>1145</v>
      </c>
      <c r="D389" s="55">
        <v>728</v>
      </c>
      <c r="E389" s="25" t="s">
        <v>14</v>
      </c>
      <c r="F389" s="74">
        <v>44553</v>
      </c>
      <c r="G389" s="43" t="s">
        <v>39</v>
      </c>
      <c r="H389" s="43" t="s">
        <v>39</v>
      </c>
      <c r="I389" s="43" t="s">
        <v>39</v>
      </c>
      <c r="J389" s="43" t="s">
        <v>39</v>
      </c>
      <c r="K389" s="43" t="s">
        <v>39</v>
      </c>
      <c r="L389" s="15">
        <v>0</v>
      </c>
      <c r="M389" s="86">
        <v>0</v>
      </c>
      <c r="N389" s="114">
        <f t="shared" si="6"/>
        <v>0</v>
      </c>
    </row>
    <row r="390" spans="1:18">
      <c r="A390" s="81" t="s">
        <v>1148</v>
      </c>
      <c r="B390" s="1" t="s">
        <v>1149</v>
      </c>
      <c r="C390" s="1" t="s">
        <v>34</v>
      </c>
      <c r="D390" s="55">
        <v>728</v>
      </c>
      <c r="E390" s="25" t="s">
        <v>14</v>
      </c>
      <c r="F390" s="74">
        <v>44560</v>
      </c>
      <c r="G390" s="43" t="s">
        <v>39</v>
      </c>
      <c r="H390" s="43" t="s">
        <v>39</v>
      </c>
      <c r="I390" s="43" t="s">
        <v>39</v>
      </c>
      <c r="J390" s="43" t="s">
        <v>39</v>
      </c>
      <c r="K390" s="43" t="s">
        <v>39</v>
      </c>
      <c r="L390" s="15">
        <v>0</v>
      </c>
      <c r="M390" s="86">
        <v>0</v>
      </c>
      <c r="N390" s="114">
        <f t="shared" si="6"/>
        <v>0</v>
      </c>
    </row>
    <row r="395" spans="1:18">
      <c r="A395" s="78"/>
      <c r="G395" s="115" t="s">
        <v>1190</v>
      </c>
      <c r="H395" s="116" t="s">
        <v>1191</v>
      </c>
      <c r="I395" s="116" t="s">
        <v>1192</v>
      </c>
      <c r="J395" s="116" t="s">
        <v>1193</v>
      </c>
      <c r="K395" s="116" t="s">
        <v>1194</v>
      </c>
      <c r="L395" s="116" t="s">
        <v>1195</v>
      </c>
      <c r="M395" s="117" t="s">
        <v>1196</v>
      </c>
      <c r="N395" s="118" t="s">
        <v>1197</v>
      </c>
      <c r="O395" s="119" t="s">
        <v>1198</v>
      </c>
      <c r="P395" s="119" t="s">
        <v>1199</v>
      </c>
      <c r="Q395" s="119" t="s">
        <v>1200</v>
      </c>
      <c r="R395" s="119" t="s">
        <v>1201</v>
      </c>
    </row>
    <row r="396" spans="1:18">
      <c r="G396" s="115"/>
      <c r="H396" s="116">
        <v>8</v>
      </c>
      <c r="I396" s="116"/>
      <c r="J396" s="116"/>
      <c r="K396" s="116"/>
      <c r="L396" s="116"/>
      <c r="M396" s="117"/>
      <c r="N396" s="118"/>
      <c r="O396" s="119"/>
      <c r="P396" s="119"/>
      <c r="Q396" s="119"/>
      <c r="R396" s="119"/>
    </row>
    <row r="397" spans="1:18">
      <c r="A397" s="78"/>
      <c r="G397" s="119">
        <v>20</v>
      </c>
      <c r="H397" s="120">
        <v>20</v>
      </c>
      <c r="I397" s="120">
        <v>23</v>
      </c>
      <c r="J397" s="119">
        <v>20</v>
      </c>
      <c r="K397" s="121">
        <v>21</v>
      </c>
      <c r="L397" s="116">
        <v>21</v>
      </c>
      <c r="M397" s="122">
        <v>20</v>
      </c>
      <c r="N397" s="116">
        <v>20</v>
      </c>
      <c r="O397" s="116">
        <v>22</v>
      </c>
      <c r="P397" s="116">
        <v>19</v>
      </c>
      <c r="Q397" s="118">
        <v>20</v>
      </c>
      <c r="R397" s="118">
        <v>19</v>
      </c>
    </row>
    <row r="398" spans="1:18">
      <c r="G398" s="116">
        <f t="shared" ref="G398:H398" si="7">G397*$H$396</f>
        <v>160</v>
      </c>
      <c r="H398" s="116">
        <f t="shared" si="7"/>
        <v>160</v>
      </c>
      <c r="I398" s="116">
        <f>I397*$H$396</f>
        <v>184</v>
      </c>
      <c r="J398" s="116">
        <f t="shared" ref="J398:R398" si="8">J397*$H$396</f>
        <v>160</v>
      </c>
      <c r="K398" s="116">
        <f t="shared" si="8"/>
        <v>168</v>
      </c>
      <c r="L398" s="116">
        <f t="shared" si="8"/>
        <v>168</v>
      </c>
      <c r="M398" s="122">
        <f t="shared" si="8"/>
        <v>160</v>
      </c>
      <c r="N398" s="116">
        <f t="shared" si="8"/>
        <v>160</v>
      </c>
      <c r="O398" s="116">
        <f t="shared" si="8"/>
        <v>176</v>
      </c>
      <c r="P398" s="116">
        <f t="shared" si="8"/>
        <v>152</v>
      </c>
      <c r="Q398" s="116">
        <f t="shared" si="8"/>
        <v>160</v>
      </c>
      <c r="R398" s="116">
        <f t="shared" si="8"/>
        <v>152</v>
      </c>
    </row>
    <row r="400" spans="1:18">
      <c r="I400" s="87"/>
    </row>
    <row r="401" spans="1:8">
      <c r="A401" s="78"/>
      <c r="H401" s="16"/>
    </row>
    <row r="402" spans="1:8">
      <c r="A402" s="78"/>
    </row>
    <row r="403" spans="1:8">
      <c r="A403" s="78"/>
    </row>
    <row r="406" spans="1:8">
      <c r="A406" s="78"/>
    </row>
    <row r="407" spans="1:8">
      <c r="A407" s="78"/>
    </row>
    <row r="408" spans="1:8">
      <c r="A408" s="78"/>
    </row>
  </sheetData>
  <autoFilter ref="A4:L390"/>
  <mergeCells count="1">
    <mergeCell ref="A1:L1"/>
  </mergeCells>
  <conditionalFormatting sqref="B310:B312">
    <cfRule type="duplicateValues" dxfId="52" priority="44"/>
  </conditionalFormatting>
  <conditionalFormatting sqref="B347:B353 B2:B22 B24:B345 B355:B389 B391:B1048576">
    <cfRule type="duplicateValues" dxfId="51" priority="52"/>
  </conditionalFormatting>
  <conditionalFormatting sqref="B332:B345">
    <cfRule type="duplicateValues" dxfId="50" priority="57"/>
  </conditionalFormatting>
  <conditionalFormatting sqref="B291:B331 B5:B22 B24:B289">
    <cfRule type="duplicateValues" dxfId="49" priority="58"/>
  </conditionalFormatting>
  <conditionalFormatting sqref="B291:B331 B4:B22 B24:B289">
    <cfRule type="duplicateValues" dxfId="48" priority="61"/>
  </conditionalFormatting>
  <conditionalFormatting sqref="B23">
    <cfRule type="duplicateValues" dxfId="47" priority="4"/>
  </conditionalFormatting>
  <conditionalFormatting sqref="B23">
    <cfRule type="duplicateValues" dxfId="46" priority="5"/>
  </conditionalFormatting>
  <conditionalFormatting sqref="B23">
    <cfRule type="duplicateValues" dxfId="45" priority="6"/>
  </conditionalFormatting>
  <conditionalFormatting sqref="B346">
    <cfRule type="duplicateValues" dxfId="44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2"/>
  <sheetViews>
    <sheetView tabSelected="1" zoomScale="80" zoomScaleNormal="80" workbookViewId="0">
      <pane ySplit="1" topLeftCell="A4" activePane="bottomLeft" state="frozen"/>
      <selection pane="bottomLeft" activeCell="H5" sqref="H5"/>
    </sheetView>
  </sheetViews>
  <sheetFormatPr baseColWidth="10" defaultRowHeight="12.75"/>
  <cols>
    <col min="2" max="2" width="33.5703125" customWidth="1"/>
    <col min="3" max="3" width="19.42578125" customWidth="1"/>
    <col min="8" max="8" width="13.5703125" customWidth="1"/>
    <col min="9" max="10" width="11" customWidth="1"/>
    <col min="11" max="11" width="12.28515625" customWidth="1"/>
    <col min="12" max="13" width="11" customWidth="1"/>
    <col min="14" max="14" width="10.140625" customWidth="1"/>
    <col min="15" max="15" width="16.42578125" customWidth="1"/>
    <col min="16" max="16" width="12.140625" customWidth="1"/>
    <col min="17" max="20" width="17.5703125" customWidth="1"/>
  </cols>
  <sheetData>
    <row r="1" spans="1:20" s="1" customFormat="1" ht="33" customHeight="1">
      <c r="A1" s="126" t="s">
        <v>1204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2" spans="1:20" s="1" customFormat="1" ht="15">
      <c r="A2" s="3"/>
      <c r="D2" s="2"/>
      <c r="E2" s="2"/>
      <c r="I2" s="28"/>
      <c r="J2" s="28"/>
      <c r="K2" s="29"/>
      <c r="L2" s="29"/>
    </row>
    <row r="3" spans="1:20" s="1" customFormat="1" ht="15">
      <c r="A3" s="3"/>
      <c r="D3" s="2"/>
      <c r="E3" s="2"/>
    </row>
    <row r="4" spans="1:20" s="1" customFormat="1" ht="76.5" customHeight="1">
      <c r="A4" s="107" t="s">
        <v>0</v>
      </c>
      <c r="B4" s="108" t="s">
        <v>1</v>
      </c>
      <c r="C4" s="108" t="s">
        <v>2</v>
      </c>
      <c r="D4" s="109" t="s">
        <v>3</v>
      </c>
      <c r="E4" s="109" t="s">
        <v>4</v>
      </c>
      <c r="F4" s="109" t="s">
        <v>5</v>
      </c>
      <c r="G4" s="110" t="s">
        <v>6</v>
      </c>
      <c r="H4" s="111" t="s">
        <v>1051</v>
      </c>
      <c r="I4" s="111" t="s">
        <v>7</v>
      </c>
      <c r="J4" s="111" t="s">
        <v>8</v>
      </c>
      <c r="K4" s="111" t="s">
        <v>9</v>
      </c>
      <c r="L4" s="111" t="s">
        <v>10</v>
      </c>
      <c r="M4" s="112" t="s">
        <v>713</v>
      </c>
      <c r="N4" s="109" t="s">
        <v>1050</v>
      </c>
      <c r="O4" s="111" t="s">
        <v>1202</v>
      </c>
      <c r="P4" s="113" t="s">
        <v>1069</v>
      </c>
      <c r="Q4" s="128" t="s">
        <v>1205</v>
      </c>
      <c r="R4" s="128" t="s">
        <v>1206</v>
      </c>
      <c r="S4" s="128" t="s">
        <v>1207</v>
      </c>
      <c r="T4" s="129" t="s">
        <v>1208</v>
      </c>
    </row>
    <row r="5" spans="1:20" ht="15">
      <c r="A5" s="97" t="s">
        <v>826</v>
      </c>
      <c r="B5" s="98" t="s">
        <v>1052</v>
      </c>
      <c r="C5" s="99" t="s">
        <v>37</v>
      </c>
      <c r="D5" s="100">
        <v>728</v>
      </c>
      <c r="E5" s="101" t="s">
        <v>38</v>
      </c>
      <c r="F5" s="102">
        <v>43864</v>
      </c>
      <c r="G5" s="103">
        <v>43921</v>
      </c>
      <c r="H5" s="104">
        <v>4</v>
      </c>
      <c r="I5" s="104" t="s">
        <v>39</v>
      </c>
      <c r="J5" s="104" t="s">
        <v>39</v>
      </c>
      <c r="K5" s="104" t="s">
        <v>39</v>
      </c>
      <c r="L5" s="104" t="s">
        <v>39</v>
      </c>
      <c r="M5" s="105">
        <f>SUM(H5:L5)</f>
        <v>4</v>
      </c>
      <c r="N5" s="98"/>
      <c r="O5" s="106">
        <v>0</v>
      </c>
      <c r="P5" s="130">
        <f>M5+O5</f>
        <v>4</v>
      </c>
    </row>
    <row r="6" spans="1:20" ht="15">
      <c r="A6" s="57" t="s">
        <v>42</v>
      </c>
      <c r="B6" s="53" t="s">
        <v>1053</v>
      </c>
      <c r="C6" s="58" t="s">
        <v>51</v>
      </c>
      <c r="D6" s="55">
        <v>728</v>
      </c>
      <c r="E6" s="56" t="s">
        <v>38</v>
      </c>
      <c r="F6" s="26">
        <v>43817</v>
      </c>
      <c r="G6" s="67">
        <v>44001</v>
      </c>
      <c r="H6" s="8">
        <v>11.75</v>
      </c>
      <c r="I6" s="8" t="s">
        <v>39</v>
      </c>
      <c r="J6" s="8" t="s">
        <v>39</v>
      </c>
      <c r="K6" s="8" t="s">
        <v>39</v>
      </c>
      <c r="L6" s="8" t="s">
        <v>39</v>
      </c>
      <c r="M6" s="83">
        <f>SUM(H6:L6)</f>
        <v>11.75</v>
      </c>
      <c r="N6" s="53"/>
      <c r="O6" s="89">
        <v>0</v>
      </c>
      <c r="P6" s="131">
        <f t="shared" ref="P6:P69" si="0">M6+O6</f>
        <v>11.75</v>
      </c>
    </row>
    <row r="7" spans="1:20" ht="15">
      <c r="A7" s="57" t="s">
        <v>44</v>
      </c>
      <c r="B7" s="53" t="s">
        <v>1054</v>
      </c>
      <c r="C7" s="58" t="s">
        <v>60</v>
      </c>
      <c r="D7" s="55">
        <v>728</v>
      </c>
      <c r="E7" s="56" t="s">
        <v>38</v>
      </c>
      <c r="F7" s="26">
        <v>43784</v>
      </c>
      <c r="G7" s="67">
        <v>44075</v>
      </c>
      <c r="H7" s="8">
        <v>13.333333333333334</v>
      </c>
      <c r="I7" s="8" t="s">
        <v>39</v>
      </c>
      <c r="J7" s="8" t="s">
        <v>39</v>
      </c>
      <c r="K7" s="8" t="s">
        <v>39</v>
      </c>
      <c r="L7" s="8" t="s">
        <v>39</v>
      </c>
      <c r="M7" s="83">
        <f>SUM(H7:L7)</f>
        <v>13.333333333333334</v>
      </c>
      <c r="N7" s="53"/>
      <c r="O7" s="89">
        <v>0</v>
      </c>
      <c r="P7" s="131">
        <f t="shared" si="0"/>
        <v>13.333333333333334</v>
      </c>
    </row>
    <row r="8" spans="1:20" ht="15">
      <c r="A8" s="57" t="s">
        <v>46</v>
      </c>
      <c r="B8" s="53" t="s">
        <v>1055</v>
      </c>
      <c r="C8" s="54" t="s">
        <v>34</v>
      </c>
      <c r="D8" s="55">
        <v>728</v>
      </c>
      <c r="E8" s="56" t="s">
        <v>38</v>
      </c>
      <c r="F8" s="26">
        <v>43767</v>
      </c>
      <c r="G8" s="67">
        <v>44075</v>
      </c>
      <c r="H8" s="8">
        <v>33.125</v>
      </c>
      <c r="I8" s="8" t="s">
        <v>39</v>
      </c>
      <c r="J8" s="8" t="s">
        <v>39</v>
      </c>
      <c r="K8" s="8" t="s">
        <v>39</v>
      </c>
      <c r="L8" s="8" t="s">
        <v>39</v>
      </c>
      <c r="M8" s="83">
        <f>SUM(H8:L8)</f>
        <v>33.125</v>
      </c>
      <c r="N8" s="53"/>
      <c r="O8" s="89">
        <v>0</v>
      </c>
      <c r="P8" s="131">
        <f t="shared" si="0"/>
        <v>33.125</v>
      </c>
    </row>
    <row r="9" spans="1:20" ht="15">
      <c r="A9" s="59" t="s">
        <v>205</v>
      </c>
      <c r="B9" s="53" t="s">
        <v>1056</v>
      </c>
      <c r="C9" s="54" t="s">
        <v>34</v>
      </c>
      <c r="D9" s="55">
        <v>728</v>
      </c>
      <c r="E9" s="56" t="s">
        <v>38</v>
      </c>
      <c r="F9" s="26">
        <v>43852</v>
      </c>
      <c r="G9" s="67">
        <v>44197</v>
      </c>
      <c r="H9" s="8">
        <v>7.583333333333333</v>
      </c>
      <c r="I9" s="8">
        <v>0</v>
      </c>
      <c r="J9" s="8">
        <v>0</v>
      </c>
      <c r="K9" s="8">
        <v>0</v>
      </c>
      <c r="L9" s="8">
        <v>0</v>
      </c>
      <c r="M9" s="83">
        <f>SUM(H9:L9)</f>
        <v>7.583333333333333</v>
      </c>
      <c r="N9" s="53"/>
      <c r="O9" s="89">
        <v>0</v>
      </c>
      <c r="P9" s="131">
        <f t="shared" si="0"/>
        <v>7.583333333333333</v>
      </c>
    </row>
    <row r="10" spans="1:20" ht="15">
      <c r="A10" s="59" t="s">
        <v>210</v>
      </c>
      <c r="B10" s="53" t="s">
        <v>1057</v>
      </c>
      <c r="C10" s="58" t="s">
        <v>60</v>
      </c>
      <c r="D10" s="55">
        <v>728</v>
      </c>
      <c r="E10" s="56" t="s">
        <v>38</v>
      </c>
      <c r="F10" s="26">
        <v>43878</v>
      </c>
      <c r="G10" s="22" t="s">
        <v>211</v>
      </c>
      <c r="H10" s="8">
        <v>35.858333333333334</v>
      </c>
      <c r="I10" s="8">
        <v>2.5</v>
      </c>
      <c r="J10" s="8">
        <v>1.6666666666666667</v>
      </c>
      <c r="K10" s="8">
        <v>0</v>
      </c>
      <c r="L10" s="8" t="s">
        <v>39</v>
      </c>
      <c r="M10" s="83">
        <f>H10+I10+J10</f>
        <v>40.024999999999999</v>
      </c>
      <c r="N10" s="53"/>
      <c r="O10" s="89">
        <v>0</v>
      </c>
      <c r="P10" s="131">
        <f t="shared" si="0"/>
        <v>40.024999999999999</v>
      </c>
    </row>
    <row r="11" spans="1:20" ht="15">
      <c r="A11" s="57" t="s">
        <v>48</v>
      </c>
      <c r="B11" s="53" t="s">
        <v>1058</v>
      </c>
      <c r="C11" s="58" t="s">
        <v>34</v>
      </c>
      <c r="D11" s="55">
        <v>728</v>
      </c>
      <c r="E11" s="56" t="s">
        <v>38</v>
      </c>
      <c r="F11" s="26">
        <v>43721</v>
      </c>
      <c r="G11" s="67">
        <v>44075</v>
      </c>
      <c r="H11" s="8">
        <v>14.791666666666666</v>
      </c>
      <c r="I11" s="8" t="s">
        <v>39</v>
      </c>
      <c r="J11" s="8" t="s">
        <v>39</v>
      </c>
      <c r="K11" s="8" t="s">
        <v>39</v>
      </c>
      <c r="L11" s="8" t="s">
        <v>39</v>
      </c>
      <c r="M11" s="83">
        <f>H11</f>
        <v>14.791666666666666</v>
      </c>
      <c r="N11" s="53"/>
      <c r="O11" s="89">
        <v>0</v>
      </c>
      <c r="P11" s="131">
        <f t="shared" si="0"/>
        <v>14.791666666666666</v>
      </c>
    </row>
    <row r="12" spans="1:20" ht="15">
      <c r="A12" s="59" t="s">
        <v>236</v>
      </c>
      <c r="B12" s="53" t="s">
        <v>1059</v>
      </c>
      <c r="C12" s="58" t="s">
        <v>60</v>
      </c>
      <c r="D12" s="55">
        <v>728</v>
      </c>
      <c r="E12" s="56" t="s">
        <v>38</v>
      </c>
      <c r="F12" s="26">
        <v>43790</v>
      </c>
      <c r="G12" s="67">
        <v>44105</v>
      </c>
      <c r="H12" s="8">
        <v>20.393055555555556</v>
      </c>
      <c r="I12" s="8">
        <v>2.0833333333333335</v>
      </c>
      <c r="J12" s="8" t="s">
        <v>39</v>
      </c>
      <c r="K12" s="8" t="s">
        <v>39</v>
      </c>
      <c r="L12" s="8" t="s">
        <v>39</v>
      </c>
      <c r="M12" s="83">
        <f>H12+I12</f>
        <v>22.476388888888888</v>
      </c>
      <c r="N12" s="53"/>
      <c r="O12" s="89">
        <v>0</v>
      </c>
      <c r="P12" s="131">
        <f t="shared" si="0"/>
        <v>22.476388888888888</v>
      </c>
    </row>
    <row r="13" spans="1:20" ht="15">
      <c r="A13" s="59" t="s">
        <v>247</v>
      </c>
      <c r="B13" s="53" t="s">
        <v>1060</v>
      </c>
      <c r="C13" s="58" t="s">
        <v>77</v>
      </c>
      <c r="D13" s="55">
        <v>728</v>
      </c>
      <c r="E13" s="56" t="s">
        <v>38</v>
      </c>
      <c r="F13" s="26">
        <v>43789</v>
      </c>
      <c r="G13" s="67">
        <v>44104</v>
      </c>
      <c r="H13" s="8">
        <v>2.625</v>
      </c>
      <c r="I13" s="8">
        <v>0</v>
      </c>
      <c r="J13" s="8" t="s">
        <v>39</v>
      </c>
      <c r="K13" s="8" t="s">
        <v>39</v>
      </c>
      <c r="L13" s="8" t="s">
        <v>39</v>
      </c>
      <c r="M13" s="83">
        <f t="shared" ref="M13:M18" si="1">H13</f>
        <v>2.625</v>
      </c>
      <c r="N13" s="53"/>
      <c r="O13" s="89">
        <v>0</v>
      </c>
      <c r="P13" s="131">
        <f t="shared" si="0"/>
        <v>2.625</v>
      </c>
    </row>
    <row r="14" spans="1:20" ht="15">
      <c r="A14" s="21" t="s">
        <v>395</v>
      </c>
      <c r="B14" s="53" t="s">
        <v>1062</v>
      </c>
      <c r="C14" s="58" t="s">
        <v>142</v>
      </c>
      <c r="D14" s="55">
        <v>728</v>
      </c>
      <c r="E14" s="56" t="s">
        <v>38</v>
      </c>
      <c r="F14" s="26">
        <v>43696</v>
      </c>
      <c r="G14" s="67">
        <v>44161</v>
      </c>
      <c r="H14" s="8">
        <v>21.5</v>
      </c>
      <c r="I14" s="8">
        <v>0</v>
      </c>
      <c r="J14" s="8">
        <v>0</v>
      </c>
      <c r="K14" s="8">
        <v>0</v>
      </c>
      <c r="L14" s="8" t="s">
        <v>39</v>
      </c>
      <c r="M14" s="83">
        <f t="shared" si="1"/>
        <v>21.5</v>
      </c>
      <c r="N14" s="53"/>
      <c r="O14" s="89">
        <v>0</v>
      </c>
      <c r="P14" s="131">
        <f t="shared" si="0"/>
        <v>21.5</v>
      </c>
    </row>
    <row r="15" spans="1:20" ht="15">
      <c r="A15" s="57" t="s">
        <v>53</v>
      </c>
      <c r="B15" s="53" t="s">
        <v>1063</v>
      </c>
      <c r="C15" s="58" t="s">
        <v>34</v>
      </c>
      <c r="D15" s="55">
        <v>728</v>
      </c>
      <c r="E15" s="56" t="s">
        <v>38</v>
      </c>
      <c r="F15" s="26">
        <v>43067</v>
      </c>
      <c r="G15" s="67">
        <v>44074</v>
      </c>
      <c r="H15" s="8">
        <v>25.833333333333332</v>
      </c>
      <c r="I15" s="8" t="s">
        <v>39</v>
      </c>
      <c r="J15" s="8" t="s">
        <v>39</v>
      </c>
      <c r="K15" s="8" t="s">
        <v>39</v>
      </c>
      <c r="L15" s="8" t="s">
        <v>39</v>
      </c>
      <c r="M15" s="83">
        <f t="shared" si="1"/>
        <v>25.833333333333332</v>
      </c>
      <c r="N15" s="53"/>
      <c r="O15" s="89">
        <v>0</v>
      </c>
      <c r="P15" s="131">
        <f t="shared" si="0"/>
        <v>25.833333333333332</v>
      </c>
    </row>
    <row r="16" spans="1:20" ht="15">
      <c r="A16" s="59" t="s">
        <v>825</v>
      </c>
      <c r="B16" s="53" t="s">
        <v>1064</v>
      </c>
      <c r="C16" s="58" t="s">
        <v>51</v>
      </c>
      <c r="D16" s="55">
        <v>728</v>
      </c>
      <c r="E16" s="56" t="s">
        <v>38</v>
      </c>
      <c r="F16" s="26">
        <v>43318</v>
      </c>
      <c r="G16" s="67">
        <v>44132</v>
      </c>
      <c r="H16" s="8">
        <v>28.75</v>
      </c>
      <c r="I16" s="8"/>
      <c r="J16" s="8"/>
      <c r="K16" s="8" t="s">
        <v>39</v>
      </c>
      <c r="L16" s="8" t="s">
        <v>39</v>
      </c>
      <c r="M16" s="83">
        <f t="shared" si="1"/>
        <v>28.75</v>
      </c>
      <c r="N16" s="53"/>
      <c r="O16" s="89">
        <v>0</v>
      </c>
      <c r="P16" s="131">
        <f t="shared" si="0"/>
        <v>28.75</v>
      </c>
    </row>
    <row r="17" spans="1:16" ht="15">
      <c r="A17" s="57" t="s">
        <v>55</v>
      </c>
      <c r="B17" s="53" t="s">
        <v>1065</v>
      </c>
      <c r="C17" s="58" t="s">
        <v>60</v>
      </c>
      <c r="D17" s="55">
        <v>728</v>
      </c>
      <c r="E17" s="56" t="s">
        <v>38</v>
      </c>
      <c r="F17" s="26">
        <v>40725</v>
      </c>
      <c r="G17" s="67">
        <v>43952</v>
      </c>
      <c r="H17" s="8">
        <v>10.666666666666666</v>
      </c>
      <c r="I17" s="8" t="s">
        <v>39</v>
      </c>
      <c r="J17" s="8" t="s">
        <v>39</v>
      </c>
      <c r="K17" s="8" t="s">
        <v>39</v>
      </c>
      <c r="L17" s="8" t="s">
        <v>39</v>
      </c>
      <c r="M17" s="83">
        <f t="shared" si="1"/>
        <v>10.666666666666666</v>
      </c>
      <c r="N17" s="53"/>
      <c r="O17" s="89">
        <v>0</v>
      </c>
      <c r="P17" s="131">
        <f t="shared" si="0"/>
        <v>10.666666666666666</v>
      </c>
    </row>
    <row r="18" spans="1:16" ht="15">
      <c r="A18" s="57" t="s">
        <v>58</v>
      </c>
      <c r="B18" s="53" t="s">
        <v>1066</v>
      </c>
      <c r="C18" s="58" t="s">
        <v>34</v>
      </c>
      <c r="D18" s="55">
        <v>728</v>
      </c>
      <c r="E18" s="56" t="s">
        <v>38</v>
      </c>
      <c r="F18" s="26">
        <v>43374</v>
      </c>
      <c r="G18" s="67">
        <v>44067</v>
      </c>
      <c r="H18" s="8">
        <v>38</v>
      </c>
      <c r="I18" s="8" t="s">
        <v>39</v>
      </c>
      <c r="J18" s="8" t="s">
        <v>39</v>
      </c>
      <c r="K18" s="8" t="s">
        <v>39</v>
      </c>
      <c r="L18" s="8" t="s">
        <v>39</v>
      </c>
      <c r="M18" s="83">
        <f t="shared" si="1"/>
        <v>38</v>
      </c>
      <c r="N18" s="53"/>
      <c r="O18" s="89">
        <v>0</v>
      </c>
      <c r="P18" s="131">
        <f t="shared" si="0"/>
        <v>38</v>
      </c>
    </row>
    <row r="19" spans="1:16" ht="15">
      <c r="A19" s="59" t="s">
        <v>497</v>
      </c>
      <c r="B19" s="53" t="s">
        <v>1068</v>
      </c>
      <c r="C19" s="58" t="s">
        <v>60</v>
      </c>
      <c r="D19" s="55">
        <v>1057</v>
      </c>
      <c r="E19" s="56" t="s">
        <v>38</v>
      </c>
      <c r="F19" s="26">
        <v>41739</v>
      </c>
      <c r="G19" s="67">
        <v>44105</v>
      </c>
      <c r="H19" s="8">
        <v>23.333333333333332</v>
      </c>
      <c r="I19" s="8">
        <v>1.6666666666666667</v>
      </c>
      <c r="J19" s="8" t="s">
        <v>39</v>
      </c>
      <c r="K19" s="8" t="s">
        <v>39</v>
      </c>
      <c r="L19" s="8" t="s">
        <v>39</v>
      </c>
      <c r="M19" s="83">
        <f>H19+I19</f>
        <v>25</v>
      </c>
      <c r="N19" s="53"/>
      <c r="O19" s="89">
        <v>0</v>
      </c>
      <c r="P19" s="131">
        <f t="shared" si="0"/>
        <v>25</v>
      </c>
    </row>
    <row r="20" spans="1:16" ht="15">
      <c r="A20" s="59" t="s">
        <v>498</v>
      </c>
      <c r="B20" s="53" t="s">
        <v>1067</v>
      </c>
      <c r="C20" s="58" t="s">
        <v>29</v>
      </c>
      <c r="D20" s="55">
        <v>1057</v>
      </c>
      <c r="E20" s="56" t="s">
        <v>38</v>
      </c>
      <c r="F20" s="67">
        <v>43796</v>
      </c>
      <c r="G20" s="67">
        <v>44136</v>
      </c>
      <c r="H20" s="8">
        <v>38.679861111111116</v>
      </c>
      <c r="I20" s="8">
        <v>1.3333333333333333</v>
      </c>
      <c r="J20" s="8">
        <v>0.83333333333333337</v>
      </c>
      <c r="K20" s="8" t="s">
        <v>39</v>
      </c>
      <c r="L20" s="8" t="s">
        <v>39</v>
      </c>
      <c r="M20" s="83">
        <f t="shared" ref="M20:M26" si="2">H20+I20+J20</f>
        <v>40.846527777777787</v>
      </c>
      <c r="N20" s="53"/>
      <c r="O20" s="89">
        <v>0</v>
      </c>
      <c r="P20" s="131">
        <f t="shared" si="0"/>
        <v>40.846527777777787</v>
      </c>
    </row>
    <row r="21" spans="1:16" ht="15">
      <c r="A21" s="59" t="s">
        <v>569</v>
      </c>
      <c r="B21" s="34" t="s">
        <v>570</v>
      </c>
      <c r="C21" s="58" t="s">
        <v>51</v>
      </c>
      <c r="D21" s="55">
        <v>1057</v>
      </c>
      <c r="E21" s="56" t="s">
        <v>38</v>
      </c>
      <c r="F21" s="67">
        <v>43794</v>
      </c>
      <c r="G21" s="67">
        <v>44116</v>
      </c>
      <c r="H21" s="8">
        <v>27.083333333333332</v>
      </c>
      <c r="I21" s="8">
        <v>0</v>
      </c>
      <c r="J21" s="8">
        <v>0</v>
      </c>
      <c r="K21" s="8" t="s">
        <v>39</v>
      </c>
      <c r="L21" s="8" t="s">
        <v>39</v>
      </c>
      <c r="M21" s="83">
        <f>H21</f>
        <v>27.083333333333332</v>
      </c>
      <c r="N21" s="53"/>
      <c r="O21" s="89">
        <v>0</v>
      </c>
      <c r="P21" s="131">
        <f t="shared" si="0"/>
        <v>27.083333333333332</v>
      </c>
    </row>
    <row r="22" spans="1:16" ht="15">
      <c r="A22" s="57" t="s">
        <v>61</v>
      </c>
      <c r="B22" s="23" t="s">
        <v>610</v>
      </c>
      <c r="C22" s="58" t="s">
        <v>611</v>
      </c>
      <c r="D22" s="55">
        <v>1057</v>
      </c>
      <c r="E22" s="56" t="s">
        <v>38</v>
      </c>
      <c r="F22" s="26">
        <v>43784</v>
      </c>
      <c r="G22" s="67">
        <v>44044</v>
      </c>
      <c r="H22" s="8">
        <v>32.083333333333336</v>
      </c>
      <c r="I22" s="8" t="s">
        <v>39</v>
      </c>
      <c r="J22" s="8" t="s">
        <v>39</v>
      </c>
      <c r="K22" s="8" t="s">
        <v>39</v>
      </c>
      <c r="L22" s="8" t="s">
        <v>39</v>
      </c>
      <c r="M22" s="83">
        <f>H22</f>
        <v>32.083333333333336</v>
      </c>
      <c r="N22" s="53"/>
      <c r="O22" s="89">
        <v>0</v>
      </c>
      <c r="P22" s="131">
        <f t="shared" si="0"/>
        <v>32.083333333333336</v>
      </c>
    </row>
    <row r="23" spans="1:16" ht="15">
      <c r="A23" s="59" t="s">
        <v>641</v>
      </c>
      <c r="B23" s="31" t="s">
        <v>642</v>
      </c>
      <c r="C23" s="54" t="s">
        <v>34</v>
      </c>
      <c r="D23" s="55">
        <v>1057</v>
      </c>
      <c r="E23" s="56" t="s">
        <v>38</v>
      </c>
      <c r="F23" s="67">
        <v>43794</v>
      </c>
      <c r="G23" s="61">
        <v>44116</v>
      </c>
      <c r="H23" s="8">
        <v>35.524305555555557</v>
      </c>
      <c r="I23" s="8">
        <v>0.83333333333333337</v>
      </c>
      <c r="J23" s="8">
        <v>0.83333333333333337</v>
      </c>
      <c r="K23" s="8" t="s">
        <v>39</v>
      </c>
      <c r="L23" s="8" t="s">
        <v>39</v>
      </c>
      <c r="M23" s="83">
        <f>H23+I23+J23</f>
        <v>37.190972222222229</v>
      </c>
      <c r="N23" s="53"/>
      <c r="O23" s="89">
        <v>0</v>
      </c>
      <c r="P23" s="131">
        <f t="shared" si="0"/>
        <v>37.190972222222229</v>
      </c>
    </row>
    <row r="24" spans="1:16" ht="15">
      <c r="A24" s="59" t="s">
        <v>666</v>
      </c>
      <c r="B24" s="69" t="s">
        <v>667</v>
      </c>
      <c r="C24" s="54" t="s">
        <v>34</v>
      </c>
      <c r="D24" s="55">
        <v>1057</v>
      </c>
      <c r="E24" s="56" t="s">
        <v>38</v>
      </c>
      <c r="F24" s="26">
        <v>43067</v>
      </c>
      <c r="G24" s="67">
        <v>44166</v>
      </c>
      <c r="H24" s="8">
        <v>23.833333333333332</v>
      </c>
      <c r="I24" s="8">
        <v>0</v>
      </c>
      <c r="J24" s="8">
        <v>0</v>
      </c>
      <c r="K24" s="8">
        <v>0</v>
      </c>
      <c r="L24" s="8" t="s">
        <v>39</v>
      </c>
      <c r="M24" s="83">
        <f t="shared" si="2"/>
        <v>23.833333333333332</v>
      </c>
      <c r="N24" s="53"/>
      <c r="O24" s="89">
        <v>0</v>
      </c>
      <c r="P24" s="131">
        <f t="shared" si="0"/>
        <v>23.833333333333332</v>
      </c>
    </row>
    <row r="25" spans="1:16" ht="15">
      <c r="A25" s="59" t="s">
        <v>685</v>
      </c>
      <c r="B25" s="22" t="s">
        <v>686</v>
      </c>
      <c r="C25" s="58" t="s">
        <v>60</v>
      </c>
      <c r="D25" s="55">
        <v>1057</v>
      </c>
      <c r="E25" s="56" t="s">
        <v>38</v>
      </c>
      <c r="F25" s="26">
        <v>43243</v>
      </c>
      <c r="G25" s="67">
        <v>44166</v>
      </c>
      <c r="H25" s="8">
        <v>0</v>
      </c>
      <c r="I25" s="8">
        <v>0</v>
      </c>
      <c r="J25" s="8">
        <v>0</v>
      </c>
      <c r="K25" s="8">
        <v>0</v>
      </c>
      <c r="L25" s="8" t="s">
        <v>39</v>
      </c>
      <c r="M25" s="83">
        <f t="shared" si="2"/>
        <v>0</v>
      </c>
      <c r="N25" s="53"/>
      <c r="O25" s="89">
        <v>0</v>
      </c>
      <c r="P25" s="131">
        <f t="shared" si="0"/>
        <v>0</v>
      </c>
    </row>
    <row r="26" spans="1:16" s="1" customFormat="1" ht="15">
      <c r="A26" s="59" t="s">
        <v>268</v>
      </c>
      <c r="B26" s="62" t="s">
        <v>269</v>
      </c>
      <c r="C26" s="58" t="s">
        <v>37</v>
      </c>
      <c r="D26" s="55">
        <v>728</v>
      </c>
      <c r="E26" s="56" t="s">
        <v>38</v>
      </c>
      <c r="F26" s="26">
        <v>41061</v>
      </c>
      <c r="G26" s="67">
        <v>44127</v>
      </c>
      <c r="H26" s="8">
        <v>36.875</v>
      </c>
      <c r="I26" s="8">
        <v>0</v>
      </c>
      <c r="J26" s="8">
        <v>0</v>
      </c>
      <c r="K26" s="8" t="s">
        <v>39</v>
      </c>
      <c r="L26" s="8" t="s">
        <v>39</v>
      </c>
      <c r="M26" s="83">
        <f t="shared" si="2"/>
        <v>36.875</v>
      </c>
      <c r="N26" s="70"/>
      <c r="O26" s="89">
        <v>0</v>
      </c>
      <c r="P26" s="131">
        <f t="shared" si="0"/>
        <v>36.875</v>
      </c>
    </row>
    <row r="27" spans="1:16" ht="15">
      <c r="A27" s="59" t="s">
        <v>716</v>
      </c>
      <c r="B27" s="22" t="s">
        <v>717</v>
      </c>
      <c r="C27" s="58" t="s">
        <v>34</v>
      </c>
      <c r="D27" s="55">
        <v>728</v>
      </c>
      <c r="E27" s="56" t="s">
        <v>38</v>
      </c>
      <c r="F27" s="26">
        <v>44090</v>
      </c>
      <c r="G27" s="67">
        <v>44109</v>
      </c>
      <c r="H27" s="9" t="s">
        <v>39</v>
      </c>
      <c r="I27" s="8">
        <v>0</v>
      </c>
      <c r="J27" s="8" t="s">
        <v>39</v>
      </c>
      <c r="K27" s="8" t="s">
        <v>39</v>
      </c>
      <c r="L27" s="8" t="s">
        <v>39</v>
      </c>
      <c r="M27" s="83">
        <v>0</v>
      </c>
      <c r="N27" s="53"/>
      <c r="O27" s="89">
        <v>0</v>
      </c>
      <c r="P27" s="131">
        <f t="shared" si="0"/>
        <v>0</v>
      </c>
    </row>
    <row r="28" spans="1:16" ht="15">
      <c r="A28" s="75" t="s">
        <v>553</v>
      </c>
      <c r="B28" s="60" t="s">
        <v>554</v>
      </c>
      <c r="C28" s="54" t="s">
        <v>34</v>
      </c>
      <c r="D28" s="55">
        <v>728</v>
      </c>
      <c r="E28" s="56" t="s">
        <v>38</v>
      </c>
      <c r="F28" s="26">
        <v>44362</v>
      </c>
      <c r="G28" s="67">
        <v>44520</v>
      </c>
      <c r="H28" s="10">
        <v>22.916666666666668</v>
      </c>
      <c r="I28" s="10">
        <v>0</v>
      </c>
      <c r="J28" s="10">
        <v>0</v>
      </c>
      <c r="K28" s="10">
        <v>0.83333333333333337</v>
      </c>
      <c r="L28" s="10">
        <v>0</v>
      </c>
      <c r="M28" s="83">
        <f>SUM(H28:L28)</f>
        <v>23.75</v>
      </c>
      <c r="N28" s="53"/>
      <c r="O28" s="89">
        <v>0</v>
      </c>
      <c r="P28" s="131">
        <f t="shared" si="0"/>
        <v>23.75</v>
      </c>
    </row>
    <row r="29" spans="1:16" ht="15">
      <c r="A29" s="59" t="s">
        <v>734</v>
      </c>
      <c r="B29" s="60" t="s">
        <v>735</v>
      </c>
      <c r="C29" s="54" t="s">
        <v>34</v>
      </c>
      <c r="D29" s="55">
        <v>1057</v>
      </c>
      <c r="E29" s="56" t="s">
        <v>38</v>
      </c>
      <c r="F29" s="26">
        <v>44133</v>
      </c>
      <c r="G29" s="67">
        <v>44321</v>
      </c>
      <c r="H29" s="11" t="s">
        <v>39</v>
      </c>
      <c r="I29" s="12" t="s">
        <v>39</v>
      </c>
      <c r="J29" s="12" t="s">
        <v>39</v>
      </c>
      <c r="K29" s="10">
        <v>0</v>
      </c>
      <c r="L29" s="10">
        <v>0</v>
      </c>
      <c r="M29" s="83">
        <f>SUM(H29:L29)</f>
        <v>0</v>
      </c>
      <c r="N29" s="53"/>
      <c r="O29" s="89">
        <v>0</v>
      </c>
      <c r="P29" s="131">
        <f t="shared" si="0"/>
        <v>0</v>
      </c>
    </row>
    <row r="30" spans="1:16" ht="15">
      <c r="A30" s="75" t="s">
        <v>286</v>
      </c>
      <c r="B30" s="22" t="s">
        <v>287</v>
      </c>
      <c r="C30" s="58" t="s">
        <v>34</v>
      </c>
      <c r="D30" s="55">
        <v>1057</v>
      </c>
      <c r="E30" s="56" t="s">
        <v>38</v>
      </c>
      <c r="F30" s="26">
        <v>44132</v>
      </c>
      <c r="G30" s="67">
        <v>44520</v>
      </c>
      <c r="H30" s="10">
        <v>12.5</v>
      </c>
      <c r="I30" s="10">
        <v>2.352777777777777</v>
      </c>
      <c r="J30" s="10">
        <v>0</v>
      </c>
      <c r="K30" s="10">
        <v>0</v>
      </c>
      <c r="L30" s="10">
        <v>0</v>
      </c>
      <c r="M30" s="83">
        <f>SUM(H30:L30)</f>
        <v>14.852777777777778</v>
      </c>
      <c r="N30" s="76"/>
      <c r="O30" s="89">
        <v>0</v>
      </c>
      <c r="P30" s="131">
        <f t="shared" si="0"/>
        <v>14.852777777777778</v>
      </c>
    </row>
    <row r="31" spans="1:16" ht="15">
      <c r="A31" s="59" t="s">
        <v>294</v>
      </c>
      <c r="B31" s="60" t="s">
        <v>295</v>
      </c>
      <c r="C31" s="58" t="s">
        <v>51</v>
      </c>
      <c r="D31" s="55">
        <v>728</v>
      </c>
      <c r="E31" s="56" t="s">
        <v>38</v>
      </c>
      <c r="F31" s="26">
        <v>42240</v>
      </c>
      <c r="G31" s="67">
        <v>44161</v>
      </c>
      <c r="H31" s="10">
        <v>30.75</v>
      </c>
      <c r="I31" s="10">
        <v>0</v>
      </c>
      <c r="J31" s="10">
        <v>0</v>
      </c>
      <c r="K31" s="10">
        <v>0</v>
      </c>
      <c r="L31" s="10">
        <v>0</v>
      </c>
      <c r="M31" s="83">
        <f>SUM(H31:L31)</f>
        <v>30.75</v>
      </c>
      <c r="N31" s="53"/>
      <c r="O31" s="89">
        <v>0</v>
      </c>
      <c r="P31" s="131">
        <f t="shared" si="0"/>
        <v>30.75</v>
      </c>
    </row>
    <row r="32" spans="1:16" ht="15">
      <c r="A32" s="59" t="s">
        <v>330</v>
      </c>
      <c r="B32" s="60" t="s">
        <v>331</v>
      </c>
      <c r="C32" s="58" t="s">
        <v>34</v>
      </c>
      <c r="D32" s="55">
        <v>728</v>
      </c>
      <c r="E32" s="56" t="s">
        <v>38</v>
      </c>
      <c r="F32" s="26">
        <v>43374</v>
      </c>
      <c r="G32" s="67">
        <v>44243</v>
      </c>
      <c r="H32" s="10">
        <v>13.661111111111111</v>
      </c>
      <c r="I32" s="10">
        <v>0.83333333333333337</v>
      </c>
      <c r="J32" s="10">
        <v>0</v>
      </c>
      <c r="K32" s="10">
        <v>0</v>
      </c>
      <c r="L32" s="10">
        <v>0</v>
      </c>
      <c r="M32" s="83">
        <f>H32+I32</f>
        <v>14.494444444444445</v>
      </c>
      <c r="N32" s="53"/>
      <c r="O32" s="89">
        <v>0</v>
      </c>
      <c r="P32" s="131">
        <f t="shared" si="0"/>
        <v>14.494444444444445</v>
      </c>
    </row>
    <row r="33" spans="1:16" ht="15">
      <c r="A33" s="59" t="s">
        <v>334</v>
      </c>
      <c r="B33" s="60" t="s">
        <v>335</v>
      </c>
      <c r="C33" s="58" t="s">
        <v>51</v>
      </c>
      <c r="D33" s="55">
        <v>728</v>
      </c>
      <c r="E33" s="56" t="s">
        <v>38</v>
      </c>
      <c r="F33" s="26">
        <v>43832</v>
      </c>
      <c r="G33" s="67">
        <v>44189</v>
      </c>
      <c r="H33" s="10">
        <v>4.166666666666667</v>
      </c>
      <c r="I33" s="10">
        <v>0</v>
      </c>
      <c r="J33" s="10">
        <v>0</v>
      </c>
      <c r="K33" s="10">
        <v>0</v>
      </c>
      <c r="L33" s="10">
        <v>0</v>
      </c>
      <c r="M33" s="83">
        <f t="shared" ref="M33:M40" si="3">SUM(H33:L33)</f>
        <v>4.166666666666667</v>
      </c>
      <c r="N33" s="53"/>
      <c r="O33" s="89">
        <v>0</v>
      </c>
      <c r="P33" s="131">
        <f t="shared" si="0"/>
        <v>4.166666666666667</v>
      </c>
    </row>
    <row r="34" spans="1:16" ht="15">
      <c r="A34" s="59" t="s">
        <v>615</v>
      </c>
      <c r="B34" s="60" t="s">
        <v>616</v>
      </c>
      <c r="C34" s="54" t="s">
        <v>34</v>
      </c>
      <c r="D34" s="55">
        <v>1057</v>
      </c>
      <c r="E34" s="56" t="s">
        <v>38</v>
      </c>
      <c r="F34" s="26">
        <v>43067</v>
      </c>
      <c r="G34" s="67">
        <v>44188</v>
      </c>
      <c r="H34" s="10">
        <v>12.5</v>
      </c>
      <c r="I34" s="10">
        <v>0.83333333333333337</v>
      </c>
      <c r="J34" s="10">
        <v>0</v>
      </c>
      <c r="K34" s="10">
        <v>0</v>
      </c>
      <c r="L34" s="10">
        <v>0</v>
      </c>
      <c r="M34" s="83">
        <f t="shared" si="3"/>
        <v>13.333333333333334</v>
      </c>
      <c r="N34" s="53"/>
      <c r="O34" s="89">
        <v>0</v>
      </c>
      <c r="P34" s="131">
        <f t="shared" si="0"/>
        <v>13.333333333333334</v>
      </c>
    </row>
    <row r="35" spans="1:16" ht="15">
      <c r="A35" s="59" t="s">
        <v>626</v>
      </c>
      <c r="B35" s="60" t="s">
        <v>627</v>
      </c>
      <c r="C35" s="58" t="s">
        <v>34</v>
      </c>
      <c r="D35" s="55">
        <v>1057</v>
      </c>
      <c r="E35" s="56" t="s">
        <v>38</v>
      </c>
      <c r="F35" s="26">
        <v>43734</v>
      </c>
      <c r="G35" s="67">
        <v>44188</v>
      </c>
      <c r="H35" s="10">
        <v>14.583333333333334</v>
      </c>
      <c r="I35" s="10">
        <v>1.6666666666666667</v>
      </c>
      <c r="J35" s="10">
        <v>0</v>
      </c>
      <c r="K35" s="10">
        <v>0</v>
      </c>
      <c r="L35" s="10">
        <v>0</v>
      </c>
      <c r="M35" s="83">
        <f t="shared" si="3"/>
        <v>16.25</v>
      </c>
      <c r="N35" s="53"/>
      <c r="O35" s="89">
        <v>0</v>
      </c>
      <c r="P35" s="131">
        <f t="shared" si="0"/>
        <v>16.25</v>
      </c>
    </row>
    <row r="36" spans="1:16" ht="15">
      <c r="A36" s="59" t="s">
        <v>630</v>
      </c>
      <c r="B36" s="63" t="s">
        <v>1041</v>
      </c>
      <c r="C36" s="54" t="s">
        <v>34</v>
      </c>
      <c r="D36" s="55">
        <v>1057</v>
      </c>
      <c r="E36" s="56" t="s">
        <v>38</v>
      </c>
      <c r="F36" s="26">
        <v>44132</v>
      </c>
      <c r="G36" s="67">
        <v>44560</v>
      </c>
      <c r="H36" s="10">
        <v>10.416666666666666</v>
      </c>
      <c r="I36" s="13" t="s">
        <v>39</v>
      </c>
      <c r="J36" s="10">
        <v>0</v>
      </c>
      <c r="K36" s="10">
        <v>0</v>
      </c>
      <c r="L36" s="10">
        <v>0</v>
      </c>
      <c r="M36" s="83">
        <f t="shared" si="3"/>
        <v>10.416666666666666</v>
      </c>
      <c r="N36" s="53"/>
      <c r="O36" s="89">
        <v>0</v>
      </c>
      <c r="P36" s="131">
        <f t="shared" si="0"/>
        <v>10.416666666666666</v>
      </c>
    </row>
    <row r="37" spans="1:16" ht="15">
      <c r="A37" s="59" t="s">
        <v>742</v>
      </c>
      <c r="B37" s="60" t="s">
        <v>743</v>
      </c>
      <c r="C37" s="54" t="s">
        <v>34</v>
      </c>
      <c r="D37" s="55">
        <v>1057</v>
      </c>
      <c r="E37" s="56" t="s">
        <v>38</v>
      </c>
      <c r="F37" s="26">
        <v>44133</v>
      </c>
      <c r="G37" s="67">
        <v>44228</v>
      </c>
      <c r="H37" s="11" t="s">
        <v>39</v>
      </c>
      <c r="I37" s="12" t="s">
        <v>39</v>
      </c>
      <c r="J37" s="10">
        <v>0</v>
      </c>
      <c r="K37" s="10">
        <v>0</v>
      </c>
      <c r="L37" s="10">
        <v>0</v>
      </c>
      <c r="M37" s="83">
        <f t="shared" si="3"/>
        <v>0</v>
      </c>
      <c r="N37" s="53"/>
      <c r="O37" s="89">
        <v>0</v>
      </c>
      <c r="P37" s="131">
        <f t="shared" si="0"/>
        <v>0</v>
      </c>
    </row>
    <row r="38" spans="1:16" ht="15">
      <c r="A38" s="59" t="s">
        <v>757</v>
      </c>
      <c r="B38" s="60" t="s">
        <v>758</v>
      </c>
      <c r="C38" s="54" t="s">
        <v>34</v>
      </c>
      <c r="D38" s="55">
        <v>728</v>
      </c>
      <c r="E38" s="56" t="s">
        <v>38</v>
      </c>
      <c r="F38" s="26">
        <v>44117</v>
      </c>
      <c r="G38" s="67">
        <v>44202</v>
      </c>
      <c r="H38" s="11" t="s">
        <v>39</v>
      </c>
      <c r="I38" s="12" t="s">
        <v>39</v>
      </c>
      <c r="J38" s="10">
        <v>3.4972222222222227</v>
      </c>
      <c r="K38" s="10">
        <v>0</v>
      </c>
      <c r="L38" s="10">
        <v>1.2951388888888893</v>
      </c>
      <c r="M38" s="83">
        <f t="shared" si="3"/>
        <v>4.792361111111112</v>
      </c>
      <c r="N38" s="53"/>
      <c r="O38" s="89">
        <v>0</v>
      </c>
      <c r="P38" s="131">
        <f t="shared" si="0"/>
        <v>4.792361111111112</v>
      </c>
    </row>
    <row r="39" spans="1:16" ht="15">
      <c r="A39" s="59" t="s">
        <v>752</v>
      </c>
      <c r="B39" s="64" t="s">
        <v>804</v>
      </c>
      <c r="C39" s="54" t="s">
        <v>51</v>
      </c>
      <c r="D39" s="55">
        <v>1057</v>
      </c>
      <c r="E39" s="56" t="s">
        <v>38</v>
      </c>
      <c r="F39" s="26">
        <v>44131</v>
      </c>
      <c r="G39" s="67">
        <v>44517</v>
      </c>
      <c r="H39" s="11" t="s">
        <v>39</v>
      </c>
      <c r="I39" s="12" t="s">
        <v>39</v>
      </c>
      <c r="J39" s="12" t="s">
        <v>39</v>
      </c>
      <c r="K39" s="10">
        <v>1.5506944444444448</v>
      </c>
      <c r="L39" s="10">
        <v>0</v>
      </c>
      <c r="M39" s="83">
        <f t="shared" si="3"/>
        <v>1.5506944444444448</v>
      </c>
      <c r="N39" s="53"/>
      <c r="O39" s="89">
        <v>0</v>
      </c>
      <c r="P39" s="131">
        <f t="shared" si="0"/>
        <v>1.5506944444444448</v>
      </c>
    </row>
    <row r="40" spans="1:16" ht="15">
      <c r="A40" s="59" t="s">
        <v>482</v>
      </c>
      <c r="B40" s="64" t="s">
        <v>806</v>
      </c>
      <c r="C40" s="58" t="s">
        <v>51</v>
      </c>
      <c r="D40" s="55">
        <v>728</v>
      </c>
      <c r="E40" s="56" t="s">
        <v>38</v>
      </c>
      <c r="F40" s="26">
        <v>42109</v>
      </c>
      <c r="G40" s="67">
        <v>44257</v>
      </c>
      <c r="H40" s="10">
        <v>38.333333333333336</v>
      </c>
      <c r="I40" s="13">
        <v>3.1666666666666665</v>
      </c>
      <c r="J40" s="10">
        <v>2.5</v>
      </c>
      <c r="K40" s="10">
        <v>2.5</v>
      </c>
      <c r="L40" s="10">
        <v>2.5</v>
      </c>
      <c r="M40" s="83">
        <f t="shared" si="3"/>
        <v>49</v>
      </c>
      <c r="N40" s="53"/>
      <c r="O40" s="89">
        <v>0</v>
      </c>
      <c r="P40" s="131">
        <f t="shared" si="0"/>
        <v>49</v>
      </c>
    </row>
    <row r="41" spans="1:16" ht="15">
      <c r="A41" s="59" t="s">
        <v>740</v>
      </c>
      <c r="B41" s="65" t="s">
        <v>741</v>
      </c>
      <c r="C41" s="54" t="s">
        <v>77</v>
      </c>
      <c r="D41" s="55">
        <v>1057</v>
      </c>
      <c r="E41" s="56" t="s">
        <v>38</v>
      </c>
      <c r="F41" s="26">
        <v>44131</v>
      </c>
      <c r="G41" s="67">
        <v>44553</v>
      </c>
      <c r="H41" s="27" t="s">
        <v>39</v>
      </c>
      <c r="I41" s="66">
        <v>0</v>
      </c>
      <c r="J41" s="66">
        <v>0</v>
      </c>
      <c r="K41" s="66">
        <v>0</v>
      </c>
      <c r="L41" s="66">
        <v>0</v>
      </c>
      <c r="M41" s="83">
        <v>0</v>
      </c>
      <c r="N41" s="53"/>
      <c r="O41" s="89">
        <v>0</v>
      </c>
      <c r="P41" s="131">
        <f t="shared" si="0"/>
        <v>0</v>
      </c>
    </row>
    <row r="42" spans="1:16" ht="15">
      <c r="A42" s="59" t="s">
        <v>199</v>
      </c>
      <c r="B42" s="60" t="s">
        <v>200</v>
      </c>
      <c r="C42" s="58" t="s">
        <v>34</v>
      </c>
      <c r="D42" s="55">
        <v>728</v>
      </c>
      <c r="E42" s="56" t="s">
        <v>38</v>
      </c>
      <c r="F42" s="26">
        <v>43264</v>
      </c>
      <c r="G42" s="67">
        <v>44520</v>
      </c>
      <c r="H42" s="10">
        <v>2.8465277777777778</v>
      </c>
      <c r="I42" s="29">
        <v>3.3333333333333335</v>
      </c>
      <c r="J42" s="66">
        <v>0</v>
      </c>
      <c r="K42" s="29">
        <v>3.1569444444444446</v>
      </c>
      <c r="L42" s="66">
        <v>0</v>
      </c>
      <c r="M42" s="84">
        <f t="shared" ref="M42:M53" si="4">SUM(H42:L42)</f>
        <v>9.3368055555555554</v>
      </c>
      <c r="N42" s="53"/>
      <c r="O42" s="89">
        <v>0</v>
      </c>
      <c r="P42" s="131">
        <f t="shared" si="0"/>
        <v>9.3368055555555554</v>
      </c>
    </row>
    <row r="43" spans="1:16" s="1" customFormat="1" ht="15">
      <c r="A43" s="21" t="s">
        <v>112</v>
      </c>
      <c r="B43" s="51" t="s">
        <v>113</v>
      </c>
      <c r="C43" s="23" t="s">
        <v>34</v>
      </c>
      <c r="D43" s="24">
        <v>728</v>
      </c>
      <c r="E43" s="56" t="s">
        <v>38</v>
      </c>
      <c r="F43" s="26">
        <v>42963</v>
      </c>
      <c r="G43" s="67">
        <v>44262</v>
      </c>
      <c r="H43" s="27">
        <v>0</v>
      </c>
      <c r="I43" s="28">
        <v>0.41666666666666669</v>
      </c>
      <c r="J43" s="28">
        <v>0</v>
      </c>
      <c r="K43" s="29">
        <v>0</v>
      </c>
      <c r="L43" s="29">
        <v>0</v>
      </c>
      <c r="M43" s="84">
        <f t="shared" si="4"/>
        <v>0.41666666666666669</v>
      </c>
      <c r="N43" s="70"/>
      <c r="O43" s="89">
        <v>0</v>
      </c>
      <c r="P43" s="131">
        <f t="shared" si="0"/>
        <v>0.41666666666666669</v>
      </c>
    </row>
    <row r="44" spans="1:16" s="1" customFormat="1" ht="15">
      <c r="A44" s="21" t="s">
        <v>759</v>
      </c>
      <c r="B44" s="22" t="s">
        <v>760</v>
      </c>
      <c r="C44" s="23" t="s">
        <v>60</v>
      </c>
      <c r="D44" s="24">
        <v>728</v>
      </c>
      <c r="E44" s="56" t="s">
        <v>38</v>
      </c>
      <c r="F44" s="26">
        <v>44161</v>
      </c>
      <c r="G44" s="67">
        <v>44347</v>
      </c>
      <c r="H44" s="11" t="s">
        <v>39</v>
      </c>
      <c r="I44" s="32" t="s">
        <v>39</v>
      </c>
      <c r="J44" s="32" t="s">
        <v>39</v>
      </c>
      <c r="K44" s="29">
        <v>0</v>
      </c>
      <c r="L44" s="29">
        <v>0</v>
      </c>
      <c r="M44" s="84">
        <f t="shared" si="4"/>
        <v>0</v>
      </c>
      <c r="N44" s="70"/>
      <c r="O44" s="89">
        <v>0</v>
      </c>
      <c r="P44" s="131">
        <f t="shared" si="0"/>
        <v>0</v>
      </c>
    </row>
    <row r="45" spans="1:16" s="1" customFormat="1" ht="15">
      <c r="A45" s="21" t="s">
        <v>186</v>
      </c>
      <c r="B45" s="22" t="s">
        <v>187</v>
      </c>
      <c r="C45" s="23" t="s">
        <v>188</v>
      </c>
      <c r="D45" s="24">
        <v>728</v>
      </c>
      <c r="E45" s="56" t="s">
        <v>38</v>
      </c>
      <c r="F45" s="26">
        <v>43699</v>
      </c>
      <c r="G45" s="67">
        <v>44272</v>
      </c>
      <c r="H45" s="27">
        <v>0</v>
      </c>
      <c r="I45" s="28">
        <v>0</v>
      </c>
      <c r="J45" s="28">
        <v>0</v>
      </c>
      <c r="K45" s="29">
        <v>0</v>
      </c>
      <c r="L45" s="29">
        <v>0</v>
      </c>
      <c r="M45" s="84">
        <f t="shared" si="4"/>
        <v>0</v>
      </c>
      <c r="N45" s="70"/>
      <c r="O45" s="89">
        <v>0</v>
      </c>
      <c r="P45" s="131">
        <f t="shared" si="0"/>
        <v>0</v>
      </c>
    </row>
    <row r="46" spans="1:16" s="1" customFormat="1" ht="15">
      <c r="A46" s="21" t="s">
        <v>557</v>
      </c>
      <c r="B46" s="51" t="s">
        <v>558</v>
      </c>
      <c r="C46" s="23" t="s">
        <v>51</v>
      </c>
      <c r="D46" s="24">
        <v>1057</v>
      </c>
      <c r="E46" s="56" t="s">
        <v>38</v>
      </c>
      <c r="F46" s="26">
        <v>43073</v>
      </c>
      <c r="G46" s="67">
        <v>44172</v>
      </c>
      <c r="H46" s="27">
        <v>38.333333333333336</v>
      </c>
      <c r="I46" s="28">
        <v>1.6666666666666667</v>
      </c>
      <c r="J46" s="28">
        <v>0</v>
      </c>
      <c r="K46" s="29">
        <v>0</v>
      </c>
      <c r="L46" s="29">
        <v>3.3333333333333335</v>
      </c>
      <c r="M46" s="84">
        <f t="shared" si="4"/>
        <v>43.333333333333336</v>
      </c>
      <c r="N46" s="70"/>
      <c r="O46" s="89">
        <v>0</v>
      </c>
      <c r="P46" s="131">
        <f t="shared" si="0"/>
        <v>43.333333333333336</v>
      </c>
    </row>
    <row r="47" spans="1:16" s="1" customFormat="1" ht="15">
      <c r="A47" s="21" t="s">
        <v>763</v>
      </c>
      <c r="B47" s="22" t="s">
        <v>764</v>
      </c>
      <c r="C47" s="23" t="s">
        <v>149</v>
      </c>
      <c r="D47" s="24">
        <v>728</v>
      </c>
      <c r="E47" s="56" t="s">
        <v>38</v>
      </c>
      <c r="F47" s="26">
        <v>44137</v>
      </c>
      <c r="G47" s="67">
        <v>44277</v>
      </c>
      <c r="H47" s="11" t="s">
        <v>39</v>
      </c>
      <c r="I47" s="32" t="s">
        <v>39</v>
      </c>
      <c r="J47" s="32" t="s">
        <v>39</v>
      </c>
      <c r="K47" s="29">
        <v>0</v>
      </c>
      <c r="L47" s="29">
        <v>0</v>
      </c>
      <c r="M47" s="84">
        <f t="shared" si="4"/>
        <v>0</v>
      </c>
      <c r="N47" s="70"/>
      <c r="O47" s="89">
        <v>0</v>
      </c>
      <c r="P47" s="131">
        <f t="shared" si="0"/>
        <v>0</v>
      </c>
    </row>
    <row r="48" spans="1:16" s="1" customFormat="1" ht="15">
      <c r="A48" s="75" t="s">
        <v>468</v>
      </c>
      <c r="B48" s="51" t="s">
        <v>469</v>
      </c>
      <c r="C48" s="23" t="s">
        <v>60</v>
      </c>
      <c r="D48" s="24">
        <v>1057</v>
      </c>
      <c r="E48" s="56" t="s">
        <v>38</v>
      </c>
      <c r="F48" s="26">
        <v>44131</v>
      </c>
      <c r="G48" s="67">
        <v>44332</v>
      </c>
      <c r="H48" s="27">
        <v>21.541666666666668</v>
      </c>
      <c r="I48" s="28">
        <v>0.97500000000000053</v>
      </c>
      <c r="J48" s="28">
        <v>0.8909722222222225</v>
      </c>
      <c r="K48" s="29">
        <v>0</v>
      </c>
      <c r="L48" s="29">
        <v>0</v>
      </c>
      <c r="M48" s="84">
        <f>H48+I48+J48</f>
        <v>23.40763888888889</v>
      </c>
      <c r="N48" s="70"/>
      <c r="O48" s="89">
        <v>0</v>
      </c>
      <c r="P48" s="131">
        <f t="shared" si="0"/>
        <v>23.40763888888889</v>
      </c>
    </row>
    <row r="49" spans="1:16" s="4" customFormat="1" ht="15">
      <c r="A49" s="21" t="s">
        <v>697</v>
      </c>
      <c r="B49" s="51" t="s">
        <v>698</v>
      </c>
      <c r="C49" s="23" t="s">
        <v>34</v>
      </c>
      <c r="D49" s="24">
        <v>1057</v>
      </c>
      <c r="E49" s="56" t="s">
        <v>38</v>
      </c>
      <c r="F49" s="26">
        <v>43637</v>
      </c>
      <c r="G49" s="67">
        <v>44208</v>
      </c>
      <c r="H49" s="27">
        <v>14.708333333333334</v>
      </c>
      <c r="I49" s="28">
        <v>0</v>
      </c>
      <c r="J49" s="28">
        <v>0</v>
      </c>
      <c r="K49" s="29">
        <v>0</v>
      </c>
      <c r="L49" s="29">
        <v>0</v>
      </c>
      <c r="M49" s="84">
        <f t="shared" si="4"/>
        <v>14.708333333333334</v>
      </c>
      <c r="N49" s="71"/>
      <c r="O49" s="89">
        <v>0</v>
      </c>
      <c r="P49" s="131">
        <f t="shared" si="0"/>
        <v>14.708333333333334</v>
      </c>
    </row>
    <row r="50" spans="1:16" s="4" customFormat="1" ht="15">
      <c r="A50" s="21" t="s">
        <v>695</v>
      </c>
      <c r="B50" s="22" t="s">
        <v>696</v>
      </c>
      <c r="C50" s="23" t="s">
        <v>34</v>
      </c>
      <c r="D50" s="24">
        <v>1057</v>
      </c>
      <c r="E50" s="56" t="s">
        <v>38</v>
      </c>
      <c r="F50" s="26">
        <v>43637</v>
      </c>
      <c r="G50" s="67">
        <v>44188</v>
      </c>
      <c r="H50" s="27">
        <v>26.958333333333332</v>
      </c>
      <c r="I50" s="28">
        <v>0</v>
      </c>
      <c r="J50" s="28">
        <v>0</v>
      </c>
      <c r="K50" s="29">
        <v>0</v>
      </c>
      <c r="L50" s="29">
        <v>0</v>
      </c>
      <c r="M50" s="84">
        <f t="shared" si="4"/>
        <v>26.958333333333332</v>
      </c>
      <c r="N50" s="71"/>
      <c r="O50" s="89">
        <v>0</v>
      </c>
      <c r="P50" s="131">
        <f t="shared" si="0"/>
        <v>26.958333333333332</v>
      </c>
    </row>
    <row r="51" spans="1:16" s="1" customFormat="1" ht="15">
      <c r="A51" s="21" t="s">
        <v>426</v>
      </c>
      <c r="B51" s="22" t="s">
        <v>427</v>
      </c>
      <c r="C51" s="23" t="s">
        <v>142</v>
      </c>
      <c r="D51" s="24">
        <v>728</v>
      </c>
      <c r="E51" s="56" t="s">
        <v>38</v>
      </c>
      <c r="F51" s="26">
        <v>43791</v>
      </c>
      <c r="G51" s="67">
        <v>44272</v>
      </c>
      <c r="H51" s="27">
        <v>0</v>
      </c>
      <c r="I51" s="28">
        <v>0</v>
      </c>
      <c r="J51" s="28">
        <v>0</v>
      </c>
      <c r="K51" s="29">
        <v>0</v>
      </c>
      <c r="L51" s="29">
        <v>0</v>
      </c>
      <c r="M51" s="84">
        <f t="shared" si="4"/>
        <v>0</v>
      </c>
      <c r="N51" s="70"/>
      <c r="O51" s="89">
        <v>0</v>
      </c>
      <c r="P51" s="131">
        <f t="shared" si="0"/>
        <v>0</v>
      </c>
    </row>
    <row r="52" spans="1:16" s="1" customFormat="1" ht="15">
      <c r="A52" s="21" t="s">
        <v>761</v>
      </c>
      <c r="B52" s="22" t="s">
        <v>762</v>
      </c>
      <c r="C52" s="23" t="s">
        <v>34</v>
      </c>
      <c r="D52" s="24">
        <v>728</v>
      </c>
      <c r="E52" s="56" t="s">
        <v>38</v>
      </c>
      <c r="F52" s="26">
        <v>44138</v>
      </c>
      <c r="G52" s="67">
        <v>44196</v>
      </c>
      <c r="H52" s="11" t="s">
        <v>39</v>
      </c>
      <c r="I52" s="32" t="s">
        <v>39</v>
      </c>
      <c r="J52" s="32" t="s">
        <v>39</v>
      </c>
      <c r="K52" s="29">
        <v>0</v>
      </c>
      <c r="L52" s="29">
        <v>0</v>
      </c>
      <c r="M52" s="84">
        <f t="shared" si="4"/>
        <v>0</v>
      </c>
      <c r="N52" s="70"/>
      <c r="O52" s="89">
        <v>0</v>
      </c>
      <c r="P52" s="131">
        <f t="shared" si="0"/>
        <v>0</v>
      </c>
    </row>
    <row r="53" spans="1:16" s="1" customFormat="1" ht="15">
      <c r="A53" s="21" t="s">
        <v>230</v>
      </c>
      <c r="B53" s="22" t="s">
        <v>231</v>
      </c>
      <c r="C53" s="23" t="s">
        <v>34</v>
      </c>
      <c r="D53" s="24">
        <v>728</v>
      </c>
      <c r="E53" s="56" t="s">
        <v>38</v>
      </c>
      <c r="F53" s="26">
        <v>42514</v>
      </c>
      <c r="G53" s="67">
        <v>44286</v>
      </c>
      <c r="H53" s="27">
        <v>20.583333333333332</v>
      </c>
      <c r="I53" s="28">
        <v>1.6666666666666667</v>
      </c>
      <c r="J53" s="28">
        <v>0.83333333333333337</v>
      </c>
      <c r="K53" s="29">
        <v>0</v>
      </c>
      <c r="L53" s="29">
        <v>0</v>
      </c>
      <c r="M53" s="84">
        <f t="shared" si="4"/>
        <v>23.083333333333332</v>
      </c>
      <c r="N53" s="70"/>
      <c r="O53" s="89">
        <v>0</v>
      </c>
      <c r="P53" s="131">
        <f t="shared" si="0"/>
        <v>23.083333333333332</v>
      </c>
    </row>
    <row r="54" spans="1:16" s="1" customFormat="1" ht="15">
      <c r="A54" s="21" t="s">
        <v>191</v>
      </c>
      <c r="B54" s="22" t="s">
        <v>192</v>
      </c>
      <c r="C54" s="23" t="s">
        <v>34</v>
      </c>
      <c r="D54" s="24">
        <v>728</v>
      </c>
      <c r="E54" s="56" t="s">
        <v>38</v>
      </c>
      <c r="F54" s="26">
        <v>42493</v>
      </c>
      <c r="G54" s="68">
        <v>44286</v>
      </c>
      <c r="H54" s="27">
        <v>20</v>
      </c>
      <c r="I54" s="28">
        <v>0</v>
      </c>
      <c r="J54" s="28">
        <v>0</v>
      </c>
      <c r="K54" s="29">
        <v>0</v>
      </c>
      <c r="L54" s="29">
        <v>0</v>
      </c>
      <c r="M54" s="84">
        <v>20</v>
      </c>
      <c r="N54" s="70"/>
      <c r="O54" s="89">
        <v>0</v>
      </c>
      <c r="P54" s="131">
        <f t="shared" si="0"/>
        <v>20</v>
      </c>
    </row>
    <row r="55" spans="1:16" s="6" customFormat="1" ht="15">
      <c r="A55" s="35" t="s">
        <v>61</v>
      </c>
      <c r="B55" s="51" t="s">
        <v>62</v>
      </c>
      <c r="C55" s="23" t="s">
        <v>34</v>
      </c>
      <c r="D55" s="24">
        <v>728</v>
      </c>
      <c r="E55" s="56" t="s">
        <v>38</v>
      </c>
      <c r="F55" s="26">
        <v>35977</v>
      </c>
      <c r="G55" s="67">
        <v>44187</v>
      </c>
      <c r="H55" s="27">
        <v>38.333333333333336</v>
      </c>
      <c r="I55" s="28">
        <v>2.5</v>
      </c>
      <c r="J55" s="28">
        <v>0</v>
      </c>
      <c r="K55" s="29">
        <v>0</v>
      </c>
      <c r="L55" s="29">
        <v>0</v>
      </c>
      <c r="M55" s="84">
        <f>SUM(H55:L55)</f>
        <v>40.833333333333336</v>
      </c>
      <c r="N55" s="72" t="s">
        <v>1047</v>
      </c>
      <c r="O55" s="89">
        <v>0</v>
      </c>
      <c r="P55" s="131">
        <f t="shared" si="0"/>
        <v>40.833333333333336</v>
      </c>
    </row>
    <row r="56" spans="1:16" s="1" customFormat="1" ht="15">
      <c r="A56" s="75" t="s">
        <v>517</v>
      </c>
      <c r="B56" s="51" t="s">
        <v>518</v>
      </c>
      <c r="C56" s="23" t="s">
        <v>34</v>
      </c>
      <c r="D56" s="24">
        <v>1057</v>
      </c>
      <c r="E56" s="56" t="s">
        <v>38</v>
      </c>
      <c r="F56" s="26">
        <v>43794</v>
      </c>
      <c r="G56" s="67">
        <v>44336</v>
      </c>
      <c r="H56" s="27">
        <v>37.708333333333336</v>
      </c>
      <c r="I56" s="28">
        <v>1.25</v>
      </c>
      <c r="J56" s="28">
        <v>0</v>
      </c>
      <c r="K56" s="29">
        <v>0</v>
      </c>
      <c r="L56" s="29">
        <v>0</v>
      </c>
      <c r="M56" s="84">
        <f t="shared" ref="M56" si="5">SUM(H56:L56)</f>
        <v>38.958333333333336</v>
      </c>
      <c r="N56" s="76" t="s">
        <v>1091</v>
      </c>
      <c r="O56" s="89">
        <v>0</v>
      </c>
      <c r="P56" s="131">
        <f t="shared" si="0"/>
        <v>38.958333333333336</v>
      </c>
    </row>
    <row r="57" spans="1:16" s="1" customFormat="1" ht="15">
      <c r="A57" s="21" t="s">
        <v>95</v>
      </c>
      <c r="B57" s="69" t="s">
        <v>96</v>
      </c>
      <c r="C57" s="23" t="s">
        <v>34</v>
      </c>
      <c r="D57" s="24">
        <v>728</v>
      </c>
      <c r="E57" s="56" t="s">
        <v>38</v>
      </c>
      <c r="F57" s="26">
        <v>42240</v>
      </c>
      <c r="G57" s="67">
        <v>44187</v>
      </c>
      <c r="H57" s="27">
        <v>28.283333333333331</v>
      </c>
      <c r="I57" s="28">
        <v>1.6666666666666667</v>
      </c>
      <c r="J57" s="28">
        <v>0.83333333333333337</v>
      </c>
      <c r="K57" s="29">
        <v>0</v>
      </c>
      <c r="L57" s="29">
        <v>0</v>
      </c>
      <c r="M57" s="84">
        <f>SUM(H57:L57)</f>
        <v>30.783333333333331</v>
      </c>
      <c r="N57" s="72" t="s">
        <v>1047</v>
      </c>
      <c r="O57" s="89">
        <v>0</v>
      </c>
      <c r="P57" s="131">
        <f t="shared" si="0"/>
        <v>30.783333333333331</v>
      </c>
    </row>
    <row r="58" spans="1:16" s="1" customFormat="1" ht="15">
      <c r="A58" s="21" t="s">
        <v>110</v>
      </c>
      <c r="B58" s="51" t="s">
        <v>111</v>
      </c>
      <c r="C58" s="23" t="s">
        <v>51</v>
      </c>
      <c r="D58" s="24">
        <v>728</v>
      </c>
      <c r="E58" s="56" t="s">
        <v>38</v>
      </c>
      <c r="F58" s="26">
        <v>43074</v>
      </c>
      <c r="G58" s="67">
        <v>44187</v>
      </c>
      <c r="H58" s="27">
        <v>35.833333333333336</v>
      </c>
      <c r="I58" s="28">
        <v>7.083333333333333</v>
      </c>
      <c r="J58" s="28">
        <v>4.166666666666667</v>
      </c>
      <c r="K58" s="29">
        <v>0</v>
      </c>
      <c r="L58" s="29">
        <v>0</v>
      </c>
      <c r="M58" s="84">
        <f>SUM(H58:L58)</f>
        <v>47.083333333333336</v>
      </c>
      <c r="N58" s="72" t="s">
        <v>1047</v>
      </c>
      <c r="O58" s="89">
        <v>0</v>
      </c>
      <c r="P58" s="131">
        <f t="shared" si="0"/>
        <v>47.083333333333336</v>
      </c>
    </row>
    <row r="59" spans="1:16" s="1" customFormat="1" ht="15">
      <c r="A59" s="21" t="s">
        <v>136</v>
      </c>
      <c r="B59" s="51" t="s">
        <v>137</v>
      </c>
      <c r="C59" s="23" t="s">
        <v>34</v>
      </c>
      <c r="D59" s="24">
        <v>728</v>
      </c>
      <c r="E59" s="56" t="s">
        <v>38</v>
      </c>
      <c r="F59" s="26">
        <v>43374</v>
      </c>
      <c r="G59" s="67">
        <v>44194</v>
      </c>
      <c r="H59" s="27">
        <v>29.361805555555552</v>
      </c>
      <c r="I59" s="28">
        <v>1.4388888888888891</v>
      </c>
      <c r="J59" s="28">
        <v>0</v>
      </c>
      <c r="K59" s="29">
        <v>3.973611111111111</v>
      </c>
      <c r="L59" s="29">
        <v>0</v>
      </c>
      <c r="M59" s="84">
        <f>SUM(H59:L59)</f>
        <v>34.77430555555555</v>
      </c>
      <c r="N59" s="72" t="s">
        <v>1048</v>
      </c>
      <c r="O59" s="89">
        <v>0</v>
      </c>
      <c r="P59" s="131">
        <f t="shared" si="0"/>
        <v>34.77430555555555</v>
      </c>
    </row>
    <row r="60" spans="1:16" s="1" customFormat="1" ht="15">
      <c r="A60" s="21" t="s">
        <v>162</v>
      </c>
      <c r="B60" s="51" t="s">
        <v>163</v>
      </c>
      <c r="C60" s="23" t="s">
        <v>34</v>
      </c>
      <c r="D60" s="24">
        <v>728</v>
      </c>
      <c r="E60" s="56" t="s">
        <v>38</v>
      </c>
      <c r="F60" s="26">
        <v>41680</v>
      </c>
      <c r="G60" s="67">
        <v>44187</v>
      </c>
      <c r="H60" s="27">
        <v>29.918055555555554</v>
      </c>
      <c r="I60" s="28">
        <v>0.83333333333333337</v>
      </c>
      <c r="J60" s="28">
        <v>2.0833333333333335</v>
      </c>
      <c r="K60" s="29">
        <v>0</v>
      </c>
      <c r="L60" s="29">
        <v>0</v>
      </c>
      <c r="M60" s="84">
        <f>SUM(H60:L60)</f>
        <v>32.834722222222219</v>
      </c>
      <c r="N60" s="72" t="s">
        <v>1047</v>
      </c>
      <c r="O60" s="89">
        <v>0</v>
      </c>
      <c r="P60" s="131">
        <f t="shared" si="0"/>
        <v>32.834722222222219</v>
      </c>
    </row>
    <row r="61" spans="1:16" s="1" customFormat="1" ht="15">
      <c r="A61" s="21" t="s">
        <v>215</v>
      </c>
      <c r="B61" s="51" t="s">
        <v>811</v>
      </c>
      <c r="C61" s="23" t="s">
        <v>34</v>
      </c>
      <c r="D61" s="24">
        <v>728</v>
      </c>
      <c r="E61" s="56" t="s">
        <v>38</v>
      </c>
      <c r="F61" s="26">
        <v>40136</v>
      </c>
      <c r="G61" s="67">
        <v>44244</v>
      </c>
      <c r="H61" s="27">
        <v>29.150694444444444</v>
      </c>
      <c r="I61" s="28">
        <v>1.6666666666666667</v>
      </c>
      <c r="J61" s="28">
        <v>0</v>
      </c>
      <c r="K61" s="29">
        <v>0</v>
      </c>
      <c r="L61" s="29">
        <v>0</v>
      </c>
      <c r="M61" s="84">
        <f>H61+I61</f>
        <v>30.817361111111111</v>
      </c>
      <c r="N61" s="72" t="s">
        <v>1049</v>
      </c>
      <c r="O61" s="89">
        <v>0</v>
      </c>
      <c r="P61" s="131">
        <f t="shared" si="0"/>
        <v>30.817361111111111</v>
      </c>
    </row>
    <row r="62" spans="1:16" s="1" customFormat="1" ht="15">
      <c r="A62" s="21" t="s">
        <v>252</v>
      </c>
      <c r="B62" s="51" t="s">
        <v>253</v>
      </c>
      <c r="C62" s="23" t="s">
        <v>34</v>
      </c>
      <c r="D62" s="24">
        <v>728</v>
      </c>
      <c r="E62" s="56" t="s">
        <v>38</v>
      </c>
      <c r="F62" s="26">
        <v>42115</v>
      </c>
      <c r="G62" s="67">
        <v>44187</v>
      </c>
      <c r="H62" s="27">
        <v>34.799305555555556</v>
      </c>
      <c r="I62" s="28">
        <v>4.1291666666666664</v>
      </c>
      <c r="J62" s="28">
        <v>0</v>
      </c>
      <c r="K62" s="29">
        <v>0</v>
      </c>
      <c r="L62" s="29">
        <v>0</v>
      </c>
      <c r="M62" s="84">
        <f>H62+I62</f>
        <v>38.928472222222226</v>
      </c>
      <c r="N62" s="72" t="s">
        <v>1047</v>
      </c>
      <c r="O62" s="89">
        <v>0</v>
      </c>
      <c r="P62" s="131">
        <f t="shared" si="0"/>
        <v>38.928472222222226</v>
      </c>
    </row>
    <row r="63" spans="1:16" s="1" customFormat="1" ht="15">
      <c r="A63" s="21" t="s">
        <v>254</v>
      </c>
      <c r="B63" s="51" t="s">
        <v>255</v>
      </c>
      <c r="C63" s="23" t="s">
        <v>34</v>
      </c>
      <c r="D63" s="24">
        <v>728</v>
      </c>
      <c r="E63" s="56" t="s">
        <v>38</v>
      </c>
      <c r="F63" s="26">
        <v>42430</v>
      </c>
      <c r="G63" s="67">
        <v>44193</v>
      </c>
      <c r="H63" s="27">
        <v>27.482638888888889</v>
      </c>
      <c r="I63" s="28">
        <v>0</v>
      </c>
      <c r="J63" s="28">
        <v>0</v>
      </c>
      <c r="K63" s="29">
        <v>0</v>
      </c>
      <c r="L63" s="29">
        <v>0</v>
      </c>
      <c r="M63" s="84">
        <f>H63</f>
        <v>27.482638888888889</v>
      </c>
      <c r="N63" s="72" t="s">
        <v>1048</v>
      </c>
      <c r="O63" s="89">
        <v>0</v>
      </c>
      <c r="P63" s="131">
        <f t="shared" si="0"/>
        <v>27.482638888888889</v>
      </c>
    </row>
    <row r="64" spans="1:16" s="1" customFormat="1" ht="15">
      <c r="A64" s="21" t="s">
        <v>326</v>
      </c>
      <c r="B64" s="51" t="s">
        <v>327</v>
      </c>
      <c r="C64" s="23" t="s">
        <v>34</v>
      </c>
      <c r="D64" s="24">
        <v>728</v>
      </c>
      <c r="E64" s="56" t="s">
        <v>38</v>
      </c>
      <c r="F64" s="26">
        <v>40120</v>
      </c>
      <c r="G64" s="67">
        <v>44187</v>
      </c>
      <c r="H64" s="27">
        <v>27.305555555555557</v>
      </c>
      <c r="I64" s="28">
        <v>1.6666666666666667</v>
      </c>
      <c r="J64" s="28">
        <v>0</v>
      </c>
      <c r="K64" s="29">
        <v>0</v>
      </c>
      <c r="L64" s="29">
        <v>0</v>
      </c>
      <c r="M64" s="84">
        <f>H64+I64</f>
        <v>28.972222222222225</v>
      </c>
      <c r="N64" s="72" t="s">
        <v>1047</v>
      </c>
      <c r="O64" s="89">
        <v>0</v>
      </c>
      <c r="P64" s="131">
        <f t="shared" si="0"/>
        <v>28.972222222222225</v>
      </c>
    </row>
    <row r="65" spans="1:16" s="1" customFormat="1" ht="15">
      <c r="A65" s="21" t="s">
        <v>356</v>
      </c>
      <c r="B65" s="51" t="s">
        <v>357</v>
      </c>
      <c r="C65" s="23" t="s">
        <v>34</v>
      </c>
      <c r="D65" s="24">
        <v>728</v>
      </c>
      <c r="E65" s="56" t="s">
        <v>38</v>
      </c>
      <c r="F65" s="26">
        <v>42159</v>
      </c>
      <c r="G65" s="67">
        <v>44187</v>
      </c>
      <c r="H65" s="27">
        <v>0</v>
      </c>
      <c r="I65" s="28">
        <v>1.9979166666666659</v>
      </c>
      <c r="J65" s="28">
        <v>0</v>
      </c>
      <c r="K65" s="29">
        <v>0</v>
      </c>
      <c r="L65" s="29">
        <v>0</v>
      </c>
      <c r="M65" s="84">
        <f>SUM(H65:L65)</f>
        <v>1.9979166666666659</v>
      </c>
      <c r="N65" s="72" t="s">
        <v>1047</v>
      </c>
      <c r="O65" s="89">
        <v>0</v>
      </c>
      <c r="P65" s="131">
        <f t="shared" si="0"/>
        <v>1.9979166666666659</v>
      </c>
    </row>
    <row r="66" spans="1:16" s="4" customFormat="1" ht="15">
      <c r="A66" s="21" t="s">
        <v>462</v>
      </c>
      <c r="B66" s="51" t="s">
        <v>463</v>
      </c>
      <c r="C66" s="23" t="s">
        <v>34</v>
      </c>
      <c r="D66" s="24">
        <v>728</v>
      </c>
      <c r="E66" s="56" t="s">
        <v>38</v>
      </c>
      <c r="F66" s="26">
        <v>42550</v>
      </c>
      <c r="G66" s="67">
        <v>44187</v>
      </c>
      <c r="H66" s="27">
        <v>12.096527777777778</v>
      </c>
      <c r="I66" s="28">
        <v>1.6666666666666667</v>
      </c>
      <c r="J66" s="28">
        <v>1.7034722222222225</v>
      </c>
      <c r="K66" s="29">
        <v>0</v>
      </c>
      <c r="L66" s="29">
        <v>0.5812500000000016</v>
      </c>
      <c r="M66" s="84">
        <f>H66+I66+J66+L66</f>
        <v>16.047916666666669</v>
      </c>
      <c r="N66" s="72" t="s">
        <v>1047</v>
      </c>
      <c r="O66" s="89">
        <v>0</v>
      </c>
      <c r="P66" s="131">
        <f t="shared" si="0"/>
        <v>16.047916666666669</v>
      </c>
    </row>
    <row r="67" spans="1:16" s="4" customFormat="1" ht="15">
      <c r="A67" s="21" t="s">
        <v>448</v>
      </c>
      <c r="B67" s="51" t="s">
        <v>800</v>
      </c>
      <c r="C67" s="23" t="s">
        <v>34</v>
      </c>
      <c r="D67" s="24">
        <v>728</v>
      </c>
      <c r="E67" s="56" t="s">
        <v>38</v>
      </c>
      <c r="F67" s="26">
        <v>38908</v>
      </c>
      <c r="G67" s="67">
        <v>44193</v>
      </c>
      <c r="H67" s="27">
        <v>30.139583333333334</v>
      </c>
      <c r="I67" s="28">
        <v>1.6666666666666667</v>
      </c>
      <c r="J67" s="28">
        <v>0</v>
      </c>
      <c r="K67" s="29">
        <v>0</v>
      </c>
      <c r="L67" s="29">
        <v>0</v>
      </c>
      <c r="M67" s="84">
        <f>H67+I67</f>
        <v>31.806250000000002</v>
      </c>
      <c r="N67" s="72" t="s">
        <v>1048</v>
      </c>
      <c r="O67" s="89">
        <v>0</v>
      </c>
      <c r="P67" s="131">
        <f t="shared" si="0"/>
        <v>31.806250000000002</v>
      </c>
    </row>
    <row r="68" spans="1:16" s="1" customFormat="1" ht="15">
      <c r="A68" s="21" t="s">
        <v>290</v>
      </c>
      <c r="B68" s="51" t="s">
        <v>291</v>
      </c>
      <c r="C68" s="23" t="s">
        <v>34</v>
      </c>
      <c r="D68" s="24">
        <v>728</v>
      </c>
      <c r="E68" s="56" t="s">
        <v>38</v>
      </c>
      <c r="F68" s="26">
        <v>41913</v>
      </c>
      <c r="G68" s="67">
        <v>44187</v>
      </c>
      <c r="H68" s="27">
        <v>26.854166666666668</v>
      </c>
      <c r="I68" s="28">
        <v>1.6666666666666667</v>
      </c>
      <c r="J68" s="28">
        <v>0</v>
      </c>
      <c r="K68" s="29">
        <v>0</v>
      </c>
      <c r="L68" s="29">
        <v>0</v>
      </c>
      <c r="M68" s="84">
        <f>H68+I68</f>
        <v>28.520833333333336</v>
      </c>
      <c r="N68" s="72" t="s">
        <v>1047</v>
      </c>
      <c r="O68" s="89">
        <v>0</v>
      </c>
      <c r="P68" s="131">
        <f t="shared" si="0"/>
        <v>28.520833333333336</v>
      </c>
    </row>
    <row r="69" spans="1:16" s="1" customFormat="1" ht="15">
      <c r="A69" s="21" t="s">
        <v>93</v>
      </c>
      <c r="B69" s="51" t="s">
        <v>94</v>
      </c>
      <c r="C69" s="23" t="s">
        <v>34</v>
      </c>
      <c r="D69" s="24">
        <v>728</v>
      </c>
      <c r="E69" s="56" t="s">
        <v>38</v>
      </c>
      <c r="F69" s="26">
        <v>42263</v>
      </c>
      <c r="G69" s="67">
        <v>44187</v>
      </c>
      <c r="H69" s="27">
        <v>31.25</v>
      </c>
      <c r="I69" s="28">
        <v>0</v>
      </c>
      <c r="J69" s="28">
        <v>0</v>
      </c>
      <c r="K69" s="29">
        <v>0</v>
      </c>
      <c r="L69" s="29">
        <v>0</v>
      </c>
      <c r="M69" s="84">
        <f>SUM(H69:L69)</f>
        <v>31.25</v>
      </c>
      <c r="N69" s="72" t="s">
        <v>1047</v>
      </c>
      <c r="O69" s="89">
        <v>0</v>
      </c>
      <c r="P69" s="131">
        <f t="shared" si="0"/>
        <v>31.25</v>
      </c>
    </row>
    <row r="70" spans="1:16" s="1" customFormat="1" ht="15">
      <c r="A70" s="80" t="s">
        <v>768</v>
      </c>
      <c r="B70" s="33" t="s">
        <v>769</v>
      </c>
      <c r="C70" s="23" t="s">
        <v>51</v>
      </c>
      <c r="D70" s="24">
        <v>728</v>
      </c>
      <c r="E70" s="25" t="s">
        <v>38</v>
      </c>
      <c r="F70" s="26">
        <v>44167</v>
      </c>
      <c r="G70" s="90">
        <v>44227</v>
      </c>
      <c r="H70" s="47" t="s">
        <v>39</v>
      </c>
      <c r="I70" s="32" t="s">
        <v>39</v>
      </c>
      <c r="J70" s="32" t="s">
        <v>39</v>
      </c>
      <c r="K70" s="43" t="s">
        <v>39</v>
      </c>
      <c r="L70" s="29">
        <v>0</v>
      </c>
      <c r="M70" s="84">
        <v>0</v>
      </c>
      <c r="N70" s="27"/>
      <c r="O70" s="89">
        <v>0</v>
      </c>
      <c r="P70" s="131">
        <f t="shared" ref="P70:P82" si="6">M70+O70</f>
        <v>0</v>
      </c>
    </row>
    <row r="71" spans="1:16" ht="15">
      <c r="A71" s="52" t="s">
        <v>1150</v>
      </c>
      <c r="B71" s="53" t="s">
        <v>1082</v>
      </c>
      <c r="C71" s="53" t="s">
        <v>34</v>
      </c>
      <c r="D71" s="24">
        <v>728</v>
      </c>
      <c r="E71" s="25" t="s">
        <v>38</v>
      </c>
      <c r="F71" s="26">
        <v>44239</v>
      </c>
      <c r="G71" s="91">
        <v>44255</v>
      </c>
      <c r="H71" s="43" t="s">
        <v>39</v>
      </c>
      <c r="I71" s="43" t="s">
        <v>39</v>
      </c>
      <c r="J71" s="43" t="s">
        <v>39</v>
      </c>
      <c r="K71" s="43" t="s">
        <v>39</v>
      </c>
      <c r="L71" s="43" t="s">
        <v>39</v>
      </c>
      <c r="M71" s="84">
        <v>0</v>
      </c>
      <c r="N71" s="53"/>
      <c r="O71" s="89">
        <v>0</v>
      </c>
      <c r="P71" s="131">
        <f t="shared" si="6"/>
        <v>0</v>
      </c>
    </row>
    <row r="72" spans="1:16" ht="15">
      <c r="A72" s="52" t="s">
        <v>1151</v>
      </c>
      <c r="B72" s="53" t="s">
        <v>1099</v>
      </c>
      <c r="C72" s="53" t="s">
        <v>34</v>
      </c>
      <c r="D72" s="24">
        <v>1057</v>
      </c>
      <c r="E72" s="25" t="s">
        <v>38</v>
      </c>
      <c r="F72" s="26">
        <v>44334</v>
      </c>
      <c r="G72" s="26">
        <v>44397</v>
      </c>
      <c r="H72" s="43" t="s">
        <v>39</v>
      </c>
      <c r="I72" s="43" t="s">
        <v>39</v>
      </c>
      <c r="J72" s="43" t="s">
        <v>39</v>
      </c>
      <c r="K72" s="43" t="s">
        <v>39</v>
      </c>
      <c r="L72" s="43" t="s">
        <v>39</v>
      </c>
      <c r="M72" s="84">
        <v>0</v>
      </c>
      <c r="N72" s="53"/>
      <c r="O72" s="89">
        <v>0</v>
      </c>
      <c r="P72" s="131">
        <f t="shared" si="6"/>
        <v>0</v>
      </c>
    </row>
    <row r="73" spans="1:16" s="1" customFormat="1" ht="15">
      <c r="A73" s="92" t="s">
        <v>1152</v>
      </c>
      <c r="B73" s="76" t="s">
        <v>1095</v>
      </c>
      <c r="C73" s="70" t="s">
        <v>34</v>
      </c>
      <c r="D73" s="24">
        <v>1057</v>
      </c>
      <c r="E73" s="25" t="s">
        <v>38</v>
      </c>
      <c r="F73" s="26">
        <v>44334</v>
      </c>
      <c r="G73" s="26">
        <v>44396</v>
      </c>
      <c r="H73" s="43" t="s">
        <v>39</v>
      </c>
      <c r="I73" s="43" t="s">
        <v>39</v>
      </c>
      <c r="J73" s="43" t="s">
        <v>39</v>
      </c>
      <c r="K73" s="43" t="s">
        <v>39</v>
      </c>
      <c r="L73" s="43" t="s">
        <v>39</v>
      </c>
      <c r="M73" s="84">
        <v>0</v>
      </c>
      <c r="N73" s="93"/>
      <c r="O73" s="89">
        <v>0</v>
      </c>
      <c r="P73" s="131">
        <f t="shared" si="6"/>
        <v>0</v>
      </c>
    </row>
    <row r="74" spans="1:16" ht="15">
      <c r="A74" s="52" t="s">
        <v>1153</v>
      </c>
      <c r="B74" s="94" t="s">
        <v>1102</v>
      </c>
      <c r="C74" s="70" t="s">
        <v>34</v>
      </c>
      <c r="D74" s="24">
        <v>728</v>
      </c>
      <c r="E74" s="25" t="s">
        <v>38</v>
      </c>
      <c r="F74" s="26">
        <v>44362</v>
      </c>
      <c r="G74" s="26">
        <v>44454</v>
      </c>
      <c r="H74" s="43" t="s">
        <v>39</v>
      </c>
      <c r="I74" s="43" t="s">
        <v>39</v>
      </c>
      <c r="J74" s="43" t="s">
        <v>39</v>
      </c>
      <c r="K74" s="43" t="s">
        <v>39</v>
      </c>
      <c r="L74" s="43" t="s">
        <v>39</v>
      </c>
      <c r="M74" s="84">
        <v>0</v>
      </c>
      <c r="N74" s="53"/>
      <c r="O74" s="89">
        <v>0</v>
      </c>
      <c r="P74" s="131">
        <f t="shared" si="6"/>
        <v>0</v>
      </c>
    </row>
    <row r="75" spans="1:16" ht="15">
      <c r="A75" s="52" t="s">
        <v>1106</v>
      </c>
      <c r="B75" s="94" t="s">
        <v>1107</v>
      </c>
      <c r="C75" s="53" t="s">
        <v>1108</v>
      </c>
      <c r="D75" s="24">
        <v>728</v>
      </c>
      <c r="E75" s="25" t="s">
        <v>38</v>
      </c>
      <c r="F75" s="26">
        <v>44362</v>
      </c>
      <c r="G75" s="26">
        <v>44454</v>
      </c>
      <c r="H75" s="43" t="s">
        <v>39</v>
      </c>
      <c r="I75" s="43" t="s">
        <v>39</v>
      </c>
      <c r="J75" s="43" t="s">
        <v>39</v>
      </c>
      <c r="K75" s="43" t="s">
        <v>39</v>
      </c>
      <c r="L75" s="43" t="s">
        <v>39</v>
      </c>
      <c r="M75" s="84">
        <v>0</v>
      </c>
      <c r="N75" s="53"/>
      <c r="O75" s="89">
        <v>0</v>
      </c>
      <c r="P75" s="131">
        <f t="shared" si="6"/>
        <v>0</v>
      </c>
    </row>
    <row r="76" spans="1:16" ht="15">
      <c r="A76" s="52" t="s">
        <v>1154</v>
      </c>
      <c r="B76" s="94" t="s">
        <v>1111</v>
      </c>
      <c r="C76" s="53" t="s">
        <v>780</v>
      </c>
      <c r="D76" s="24">
        <v>728</v>
      </c>
      <c r="E76" s="25" t="s">
        <v>38</v>
      </c>
      <c r="F76" s="26">
        <v>44362</v>
      </c>
      <c r="G76" s="26">
        <v>44466</v>
      </c>
      <c r="H76" s="43" t="s">
        <v>39</v>
      </c>
      <c r="I76" s="43" t="s">
        <v>39</v>
      </c>
      <c r="J76" s="43" t="s">
        <v>39</v>
      </c>
      <c r="K76" s="43" t="s">
        <v>39</v>
      </c>
      <c r="L76" s="43" t="s">
        <v>39</v>
      </c>
      <c r="M76" s="84">
        <v>0</v>
      </c>
      <c r="N76" s="53"/>
      <c r="O76" s="89">
        <v>0</v>
      </c>
      <c r="P76" s="131">
        <f t="shared" si="6"/>
        <v>0</v>
      </c>
    </row>
    <row r="77" spans="1:16" ht="15">
      <c r="A77" s="52" t="s">
        <v>1155</v>
      </c>
      <c r="B77" s="94" t="s">
        <v>1114</v>
      </c>
      <c r="C77" s="53" t="s">
        <v>1115</v>
      </c>
      <c r="D77" s="24">
        <v>728</v>
      </c>
      <c r="E77" s="25" t="s">
        <v>38</v>
      </c>
      <c r="F77" s="26">
        <v>44418</v>
      </c>
      <c r="G77" s="26">
        <v>44480</v>
      </c>
      <c r="H77" s="43" t="s">
        <v>39</v>
      </c>
      <c r="I77" s="43" t="s">
        <v>39</v>
      </c>
      <c r="J77" s="43" t="s">
        <v>39</v>
      </c>
      <c r="K77" s="43" t="s">
        <v>39</v>
      </c>
      <c r="L77" s="43" t="s">
        <v>39</v>
      </c>
      <c r="M77" s="84">
        <v>0</v>
      </c>
      <c r="N77" s="53"/>
      <c r="O77" s="89">
        <v>0</v>
      </c>
      <c r="P77" s="131">
        <f t="shared" si="6"/>
        <v>0</v>
      </c>
    </row>
    <row r="78" spans="1:16" ht="15">
      <c r="A78" s="52" t="s">
        <v>1156</v>
      </c>
      <c r="B78" s="94" t="s">
        <v>1120</v>
      </c>
      <c r="C78" s="70" t="s">
        <v>34</v>
      </c>
      <c r="D78" s="24">
        <v>728</v>
      </c>
      <c r="E78" s="25" t="s">
        <v>38</v>
      </c>
      <c r="F78" s="91">
        <v>44482</v>
      </c>
      <c r="G78" s="91">
        <v>44506</v>
      </c>
      <c r="H78" s="43" t="s">
        <v>39</v>
      </c>
      <c r="I78" s="43" t="s">
        <v>39</v>
      </c>
      <c r="J78" s="43" t="s">
        <v>39</v>
      </c>
      <c r="K78" s="43" t="s">
        <v>39</v>
      </c>
      <c r="L78" s="43" t="s">
        <v>39</v>
      </c>
      <c r="M78" s="84">
        <v>0</v>
      </c>
      <c r="N78" s="53"/>
      <c r="O78" s="89">
        <v>0</v>
      </c>
      <c r="P78" s="131">
        <f t="shared" si="6"/>
        <v>0</v>
      </c>
    </row>
    <row r="79" spans="1:16" ht="15">
      <c r="A79" s="52" t="s">
        <v>1123</v>
      </c>
      <c r="B79" s="94" t="s">
        <v>1124</v>
      </c>
      <c r="C79" s="53" t="s">
        <v>29</v>
      </c>
      <c r="D79" s="24">
        <v>728</v>
      </c>
      <c r="E79" s="25" t="s">
        <v>38</v>
      </c>
      <c r="F79" s="91">
        <v>44482</v>
      </c>
      <c r="G79" s="91">
        <v>44561</v>
      </c>
      <c r="H79" s="43" t="s">
        <v>39</v>
      </c>
      <c r="I79" s="43" t="s">
        <v>39</v>
      </c>
      <c r="J79" s="43" t="s">
        <v>39</v>
      </c>
      <c r="K79" s="43" t="s">
        <v>39</v>
      </c>
      <c r="L79" s="43" t="s">
        <v>39</v>
      </c>
      <c r="M79" s="84">
        <v>0</v>
      </c>
      <c r="N79" s="53"/>
      <c r="O79" s="89">
        <v>0</v>
      </c>
      <c r="P79" s="131">
        <f t="shared" si="6"/>
        <v>0</v>
      </c>
    </row>
    <row r="80" spans="1:16" s="1" customFormat="1" ht="15">
      <c r="A80" s="92" t="s">
        <v>1130</v>
      </c>
      <c r="B80" s="33" t="s">
        <v>1131</v>
      </c>
      <c r="C80" s="70" t="s">
        <v>34</v>
      </c>
      <c r="D80" s="24">
        <v>728</v>
      </c>
      <c r="E80" s="25" t="s">
        <v>38</v>
      </c>
      <c r="F80" s="26">
        <v>44520</v>
      </c>
      <c r="G80" s="91">
        <v>44522</v>
      </c>
      <c r="H80" s="43" t="s">
        <v>39</v>
      </c>
      <c r="I80" s="43" t="s">
        <v>39</v>
      </c>
      <c r="J80" s="43" t="s">
        <v>39</v>
      </c>
      <c r="K80" s="43" t="s">
        <v>39</v>
      </c>
      <c r="L80" s="43" t="s">
        <v>39</v>
      </c>
      <c r="M80" s="84">
        <v>0</v>
      </c>
      <c r="N80" s="93"/>
      <c r="O80" s="89">
        <v>0</v>
      </c>
      <c r="P80" s="131">
        <f t="shared" si="6"/>
        <v>0</v>
      </c>
    </row>
    <row r="81" spans="1:16" ht="15">
      <c r="A81" s="52" t="s">
        <v>1157</v>
      </c>
      <c r="B81" s="94" t="s">
        <v>1138</v>
      </c>
      <c r="C81" s="53" t="s">
        <v>1139</v>
      </c>
      <c r="D81" s="24">
        <v>728</v>
      </c>
      <c r="E81" s="25" t="s">
        <v>38</v>
      </c>
      <c r="F81" s="26">
        <v>44553</v>
      </c>
      <c r="G81" s="91">
        <v>44561</v>
      </c>
      <c r="H81" s="43" t="s">
        <v>39</v>
      </c>
      <c r="I81" s="43" t="s">
        <v>39</v>
      </c>
      <c r="J81" s="43" t="s">
        <v>39</v>
      </c>
      <c r="K81" s="43" t="s">
        <v>39</v>
      </c>
      <c r="L81" s="43" t="s">
        <v>39</v>
      </c>
      <c r="M81" s="84">
        <v>0</v>
      </c>
      <c r="N81" s="53"/>
      <c r="O81" s="89">
        <v>0</v>
      </c>
      <c r="P81" s="131">
        <f t="shared" si="6"/>
        <v>0</v>
      </c>
    </row>
    <row r="82" spans="1:16" ht="15">
      <c r="A82" s="95" t="s">
        <v>1147</v>
      </c>
      <c r="B82" s="96" t="s">
        <v>1146</v>
      </c>
      <c r="C82" s="70" t="s">
        <v>51</v>
      </c>
      <c r="D82" s="55">
        <v>728</v>
      </c>
      <c r="E82" s="25" t="s">
        <v>38</v>
      </c>
      <c r="F82" s="90">
        <v>44560</v>
      </c>
      <c r="G82" s="90">
        <v>44560</v>
      </c>
      <c r="H82" s="43" t="s">
        <v>39</v>
      </c>
      <c r="I82" s="43" t="s">
        <v>39</v>
      </c>
      <c r="J82" s="43" t="s">
        <v>39</v>
      </c>
      <c r="K82" s="43" t="s">
        <v>39</v>
      </c>
      <c r="L82" s="43" t="s">
        <v>39</v>
      </c>
      <c r="M82" s="84">
        <v>0</v>
      </c>
      <c r="N82" s="53"/>
      <c r="O82" s="89">
        <v>0</v>
      </c>
      <c r="P82" s="131">
        <f t="shared" si="6"/>
        <v>0</v>
      </c>
    </row>
  </sheetData>
  <autoFilter ref="A4:M27"/>
  <mergeCells count="1">
    <mergeCell ref="A1:N1"/>
  </mergeCells>
  <conditionalFormatting sqref="B39:B40">
    <cfRule type="duplicateValues" dxfId="43" priority="99"/>
  </conditionalFormatting>
  <conditionalFormatting sqref="B41">
    <cfRule type="duplicateValues" dxfId="42" priority="92"/>
  </conditionalFormatting>
  <conditionalFormatting sqref="B28:B38">
    <cfRule type="duplicateValues" dxfId="41" priority="118"/>
  </conditionalFormatting>
  <conditionalFormatting sqref="B28:B40">
    <cfRule type="duplicateValues" dxfId="40" priority="122"/>
  </conditionalFormatting>
  <conditionalFormatting sqref="B55">
    <cfRule type="duplicateValues" dxfId="39" priority="83"/>
  </conditionalFormatting>
  <conditionalFormatting sqref="B57">
    <cfRule type="duplicateValues" dxfId="38" priority="80"/>
  </conditionalFormatting>
  <conditionalFormatting sqref="B58">
    <cfRule type="duplicateValues" dxfId="37" priority="74"/>
  </conditionalFormatting>
  <conditionalFormatting sqref="B43">
    <cfRule type="duplicateValues" dxfId="36" priority="71"/>
  </conditionalFormatting>
  <conditionalFormatting sqref="B59 B44">
    <cfRule type="duplicateValues" dxfId="35" priority="68"/>
  </conditionalFormatting>
  <conditionalFormatting sqref="B60">
    <cfRule type="duplicateValues" dxfId="34" priority="65"/>
  </conditionalFormatting>
  <conditionalFormatting sqref="B45">
    <cfRule type="duplicateValues" dxfId="33" priority="62"/>
  </conditionalFormatting>
  <conditionalFormatting sqref="B46">
    <cfRule type="duplicateValues" dxfId="32" priority="59"/>
  </conditionalFormatting>
  <conditionalFormatting sqref="B61">
    <cfRule type="duplicateValues" dxfId="31" priority="56"/>
  </conditionalFormatting>
  <conditionalFormatting sqref="B47">
    <cfRule type="duplicateValues" dxfId="30" priority="53"/>
  </conditionalFormatting>
  <conditionalFormatting sqref="B62">
    <cfRule type="duplicateValues" dxfId="29" priority="50"/>
  </conditionalFormatting>
  <conditionalFormatting sqref="B63">
    <cfRule type="duplicateValues" dxfId="28" priority="47"/>
  </conditionalFormatting>
  <conditionalFormatting sqref="B64">
    <cfRule type="duplicateValues" dxfId="27" priority="44"/>
  </conditionalFormatting>
  <conditionalFormatting sqref="B65">
    <cfRule type="duplicateValues" dxfId="26" priority="41"/>
  </conditionalFormatting>
  <conditionalFormatting sqref="B48">
    <cfRule type="duplicateValues" dxfId="25" priority="39"/>
  </conditionalFormatting>
  <conditionalFormatting sqref="B49">
    <cfRule type="duplicateValues" dxfId="24" priority="36"/>
  </conditionalFormatting>
  <conditionalFormatting sqref="B66 B50">
    <cfRule type="duplicateValues" dxfId="23" priority="33"/>
  </conditionalFormatting>
  <conditionalFormatting sqref="B67">
    <cfRule type="duplicateValues" dxfId="22" priority="29"/>
  </conditionalFormatting>
  <conditionalFormatting sqref="B51">
    <cfRule type="duplicateValues" dxfId="21" priority="26"/>
  </conditionalFormatting>
  <conditionalFormatting sqref="B68">
    <cfRule type="duplicateValues" dxfId="20" priority="23"/>
  </conditionalFormatting>
  <conditionalFormatting sqref="B69">
    <cfRule type="duplicateValues" dxfId="19" priority="17"/>
  </conditionalFormatting>
  <conditionalFormatting sqref="B69">
    <cfRule type="duplicateValues" dxfId="18" priority="18"/>
  </conditionalFormatting>
  <conditionalFormatting sqref="B69">
    <cfRule type="duplicateValues" dxfId="17" priority="19"/>
  </conditionalFormatting>
  <conditionalFormatting sqref="B52">
    <cfRule type="duplicateValues" dxfId="16" priority="14"/>
  </conditionalFormatting>
  <conditionalFormatting sqref="B52">
    <cfRule type="duplicateValues" dxfId="15" priority="15"/>
  </conditionalFormatting>
  <conditionalFormatting sqref="B52">
    <cfRule type="duplicateValues" dxfId="14" priority="16"/>
  </conditionalFormatting>
  <conditionalFormatting sqref="B53">
    <cfRule type="duplicateValues" dxfId="13" priority="11"/>
  </conditionalFormatting>
  <conditionalFormatting sqref="B53">
    <cfRule type="duplicateValues" dxfId="12" priority="12"/>
  </conditionalFormatting>
  <conditionalFormatting sqref="B53">
    <cfRule type="duplicateValues" dxfId="11" priority="13"/>
  </conditionalFormatting>
  <conditionalFormatting sqref="B54">
    <cfRule type="duplicateValues" dxfId="10" priority="8"/>
  </conditionalFormatting>
  <conditionalFormatting sqref="B54">
    <cfRule type="duplicateValues" dxfId="9" priority="9"/>
  </conditionalFormatting>
  <conditionalFormatting sqref="B54">
    <cfRule type="duplicateValues" dxfId="8" priority="10"/>
  </conditionalFormatting>
  <conditionalFormatting sqref="B70">
    <cfRule type="duplicateValues" dxfId="7" priority="5"/>
  </conditionalFormatting>
  <conditionalFormatting sqref="B70">
    <cfRule type="duplicateValues" dxfId="6" priority="6"/>
  </conditionalFormatting>
  <conditionalFormatting sqref="B70">
    <cfRule type="duplicateValues" dxfId="5" priority="7"/>
  </conditionalFormatting>
  <conditionalFormatting sqref="B73">
    <cfRule type="duplicateValues" dxfId="4" priority="4"/>
  </conditionalFormatting>
  <conditionalFormatting sqref="B80">
    <cfRule type="duplicateValues" dxfId="3" priority="3"/>
  </conditionalFormatting>
  <conditionalFormatting sqref="B82">
    <cfRule type="duplicateValues" dxfId="2" priority="2"/>
  </conditionalFormatting>
  <conditionalFormatting sqref="B56">
    <cfRule type="duplicateValues" dxfId="1" priority="1"/>
  </conditionalFormatting>
  <conditionalFormatting sqref="B42">
    <cfRule type="duplicateValues" dxfId="0" priority="12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Activos</vt:lpstr>
      <vt:lpstr>Baja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Publico</dc:creator>
  <cp:lastModifiedBy>Usuario de Windows</cp:lastModifiedBy>
  <dcterms:created xsi:type="dcterms:W3CDTF">2021-03-12T19:59:31Z</dcterms:created>
  <dcterms:modified xsi:type="dcterms:W3CDTF">2022-03-23T20:23:54Z</dcterms:modified>
</cp:coreProperties>
</file>