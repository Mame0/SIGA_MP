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0730" windowHeight="11760"/>
  </bookViews>
  <sheets>
    <sheet name="D.L.728 - 12-09-2021" sheetId="1" r:id="rId1"/>
    <sheet name="PEA" sheetId="3" state="hidden" r:id="rId2"/>
    <sheet name="TABLA" sheetId="2" state="hidden" r:id="rId3"/>
  </sheets>
  <definedNames>
    <definedName name="_xlnm._FilterDatabase" localSheetId="0" hidden="1">'D.L.728 - 12-09-2021'!$A$2:$AW$248</definedName>
    <definedName name="_xlnm._FilterDatabase" localSheetId="1" hidden="1">PEA!$A$2:$AA$295</definedName>
    <definedName name="_xlnm.Database" localSheetId="1">PEA!$A$2:$G$293</definedName>
    <definedName name="_xlnm.Database">'D.L.728 - 12-09-2021'!$B$2:$I$232</definedName>
  </definedNames>
  <calcPr calcId="12451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A236" i="1"/>
  <c r="Y236"/>
  <c r="W236"/>
  <c r="U236"/>
  <c r="S236"/>
  <c r="Q236"/>
  <c r="N236"/>
  <c r="AF236" s="1"/>
  <c r="AH236" s="1"/>
  <c r="AJ236" l="1"/>
  <c r="AC236"/>
  <c r="AK236" s="1"/>
  <c r="AI250" l="1"/>
  <c r="W4"/>
  <c r="W5"/>
  <c r="W240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90"/>
  <c r="W91"/>
  <c r="W92"/>
  <c r="W237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241"/>
  <c r="W131"/>
  <c r="W132"/>
  <c r="W133"/>
  <c r="W134"/>
  <c r="W135"/>
  <c r="W136"/>
  <c r="W137"/>
  <c r="W138"/>
  <c r="W139"/>
  <c r="W140"/>
  <c r="W141"/>
  <c r="W142"/>
  <c r="W143"/>
  <c r="W144"/>
  <c r="W146"/>
  <c r="W147"/>
  <c r="W148"/>
  <c r="W149"/>
  <c r="W150"/>
  <c r="W151"/>
  <c r="W152"/>
  <c r="W153"/>
  <c r="W154"/>
  <c r="W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77"/>
  <c r="W178"/>
  <c r="W179"/>
  <c r="W180"/>
  <c r="W181"/>
  <c r="W182"/>
  <c r="W183"/>
  <c r="W184"/>
  <c r="W185"/>
  <c r="W187"/>
  <c r="W188"/>
  <c r="W189"/>
  <c r="W190"/>
  <c r="W191"/>
  <c r="W192"/>
  <c r="W193"/>
  <c r="W194"/>
  <c r="W195"/>
  <c r="W196"/>
  <c r="W197"/>
  <c r="W198"/>
  <c r="W199"/>
  <c r="W200"/>
  <c r="W201"/>
  <c r="W202"/>
  <c r="W203"/>
  <c r="W204"/>
  <c r="W206"/>
  <c r="W207"/>
  <c r="W208"/>
  <c r="W209"/>
  <c r="W210"/>
  <c r="W211"/>
  <c r="W212"/>
  <c r="W213"/>
  <c r="W214"/>
  <c r="W215"/>
  <c r="W216"/>
  <c r="W218"/>
  <c r="W219"/>
  <c r="W220"/>
  <c r="W221"/>
  <c r="W222"/>
  <c r="W223"/>
  <c r="W224"/>
  <c r="W225"/>
  <c r="W226"/>
  <c r="W227"/>
  <c r="W228"/>
  <c r="W229"/>
  <c r="W230"/>
  <c r="W231"/>
  <c r="W232"/>
  <c r="W246"/>
  <c r="W233"/>
  <c r="W234"/>
  <c r="W235"/>
  <c r="W244"/>
  <c r="W238"/>
  <c r="W239"/>
  <c r="W242"/>
  <c r="W243"/>
  <c r="W245"/>
  <c r="W247"/>
  <c r="W248"/>
  <c r="U4"/>
  <c r="U5"/>
  <c r="U240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90"/>
  <c r="U91"/>
  <c r="U92"/>
  <c r="U237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241"/>
  <c r="U131"/>
  <c r="U132"/>
  <c r="U133"/>
  <c r="U134"/>
  <c r="U135"/>
  <c r="U136"/>
  <c r="U137"/>
  <c r="U138"/>
  <c r="U139"/>
  <c r="U140"/>
  <c r="U141"/>
  <c r="U142"/>
  <c r="U143"/>
  <c r="U144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U163"/>
  <c r="U164"/>
  <c r="U165"/>
  <c r="U166"/>
  <c r="U167"/>
  <c r="U168"/>
  <c r="U169"/>
  <c r="U170"/>
  <c r="U171"/>
  <c r="U172"/>
  <c r="U173"/>
  <c r="U174"/>
  <c r="U175"/>
  <c r="U176"/>
  <c r="U177"/>
  <c r="U178"/>
  <c r="U179"/>
  <c r="U180"/>
  <c r="U181"/>
  <c r="U182"/>
  <c r="U183"/>
  <c r="U184"/>
  <c r="U185"/>
  <c r="U187"/>
  <c r="U188"/>
  <c r="U189"/>
  <c r="U190"/>
  <c r="U191"/>
  <c r="U192"/>
  <c r="U193"/>
  <c r="U194"/>
  <c r="U195"/>
  <c r="U196"/>
  <c r="U197"/>
  <c r="U198"/>
  <c r="U199"/>
  <c r="U200"/>
  <c r="U201"/>
  <c r="U202"/>
  <c r="U203"/>
  <c r="U204"/>
  <c r="U206"/>
  <c r="U207"/>
  <c r="U208"/>
  <c r="U209"/>
  <c r="U210"/>
  <c r="U211"/>
  <c r="U212"/>
  <c r="U213"/>
  <c r="U214"/>
  <c r="U215"/>
  <c r="U216"/>
  <c r="U218"/>
  <c r="U219"/>
  <c r="U220"/>
  <c r="U221"/>
  <c r="U222"/>
  <c r="U223"/>
  <c r="U224"/>
  <c r="U225"/>
  <c r="U226"/>
  <c r="U227"/>
  <c r="U228"/>
  <c r="U229"/>
  <c r="U230"/>
  <c r="U231"/>
  <c r="U232"/>
  <c r="U246"/>
  <c r="U233"/>
  <c r="U234"/>
  <c r="U235"/>
  <c r="U244"/>
  <c r="U238"/>
  <c r="U239"/>
  <c r="U242"/>
  <c r="U243"/>
  <c r="U245"/>
  <c r="U247"/>
  <c r="U248"/>
  <c r="U3"/>
  <c r="AG250" s="1"/>
  <c r="N4"/>
  <c r="AF4" s="1"/>
  <c r="AH4" s="1"/>
  <c r="N5"/>
  <c r="AF5" s="1"/>
  <c r="AH5" s="1"/>
  <c r="N240"/>
  <c r="AF240" s="1"/>
  <c r="AH240" s="1"/>
  <c r="N6"/>
  <c r="AF6" s="1"/>
  <c r="AH6" s="1"/>
  <c r="N7"/>
  <c r="AF7" s="1"/>
  <c r="AH7" s="1"/>
  <c r="N8"/>
  <c r="AF8" s="1"/>
  <c r="AH8" s="1"/>
  <c r="N9"/>
  <c r="AF9" s="1"/>
  <c r="AH9" s="1"/>
  <c r="N10"/>
  <c r="AF10" s="1"/>
  <c r="AH10" s="1"/>
  <c r="N11"/>
  <c r="AF11" s="1"/>
  <c r="AH11" s="1"/>
  <c r="N12"/>
  <c r="AF12" s="1"/>
  <c r="AH12" s="1"/>
  <c r="N13"/>
  <c r="AF13" s="1"/>
  <c r="AH13" s="1"/>
  <c r="N14"/>
  <c r="AF14" s="1"/>
  <c r="AH14" s="1"/>
  <c r="N15"/>
  <c r="AF15" s="1"/>
  <c r="AH15" s="1"/>
  <c r="N16"/>
  <c r="AF16" s="1"/>
  <c r="AH16" s="1"/>
  <c r="N17"/>
  <c r="AF17" s="1"/>
  <c r="AH17" s="1"/>
  <c r="N18"/>
  <c r="AF18" s="1"/>
  <c r="AH18" s="1"/>
  <c r="N19"/>
  <c r="AF19" s="1"/>
  <c r="AH19" s="1"/>
  <c r="N20"/>
  <c r="AF20" s="1"/>
  <c r="AH20" s="1"/>
  <c r="N21"/>
  <c r="AF21" s="1"/>
  <c r="AH21" s="1"/>
  <c r="N22"/>
  <c r="AF22" s="1"/>
  <c r="AH22" s="1"/>
  <c r="N23"/>
  <c r="AF23" s="1"/>
  <c r="AH23" s="1"/>
  <c r="N24"/>
  <c r="AF24" s="1"/>
  <c r="AH24" s="1"/>
  <c r="N25"/>
  <c r="AF25" s="1"/>
  <c r="AH25" s="1"/>
  <c r="N26"/>
  <c r="AF26" s="1"/>
  <c r="AH26" s="1"/>
  <c r="N27"/>
  <c r="AF27" s="1"/>
  <c r="AH27" s="1"/>
  <c r="N28"/>
  <c r="AF28" s="1"/>
  <c r="AH28" s="1"/>
  <c r="N29"/>
  <c r="AF29" s="1"/>
  <c r="AH29" s="1"/>
  <c r="N30"/>
  <c r="AF30" s="1"/>
  <c r="AH30" s="1"/>
  <c r="N31"/>
  <c r="AF31" s="1"/>
  <c r="AH31" s="1"/>
  <c r="N32"/>
  <c r="AF32" s="1"/>
  <c r="AH32" s="1"/>
  <c r="N33"/>
  <c r="AF33" s="1"/>
  <c r="AH33" s="1"/>
  <c r="N34"/>
  <c r="AF34" s="1"/>
  <c r="AH34" s="1"/>
  <c r="N35"/>
  <c r="AF35" s="1"/>
  <c r="AH35" s="1"/>
  <c r="N36"/>
  <c r="AF36" s="1"/>
  <c r="AH36" s="1"/>
  <c r="N37"/>
  <c r="AF37" s="1"/>
  <c r="AH37" s="1"/>
  <c r="N38"/>
  <c r="AF38" s="1"/>
  <c r="AH38" s="1"/>
  <c r="N39"/>
  <c r="AF39" s="1"/>
  <c r="AH39" s="1"/>
  <c r="N40"/>
  <c r="AF40" s="1"/>
  <c r="AH40" s="1"/>
  <c r="N41"/>
  <c r="AF41" s="1"/>
  <c r="AH41" s="1"/>
  <c r="N42"/>
  <c r="AF42" s="1"/>
  <c r="AH42" s="1"/>
  <c r="N43"/>
  <c r="AF43" s="1"/>
  <c r="AH43" s="1"/>
  <c r="N44"/>
  <c r="AF44" s="1"/>
  <c r="AH44" s="1"/>
  <c r="N45"/>
  <c r="AF45" s="1"/>
  <c r="AH45" s="1"/>
  <c r="N46"/>
  <c r="AF46" s="1"/>
  <c r="AH46" s="1"/>
  <c r="N47"/>
  <c r="AF47" s="1"/>
  <c r="AH47" s="1"/>
  <c r="N48"/>
  <c r="AF48" s="1"/>
  <c r="AH48" s="1"/>
  <c r="N49"/>
  <c r="AF49" s="1"/>
  <c r="AH49" s="1"/>
  <c r="N50"/>
  <c r="AF50" s="1"/>
  <c r="AH50" s="1"/>
  <c r="N51"/>
  <c r="AF51" s="1"/>
  <c r="AH51" s="1"/>
  <c r="N52"/>
  <c r="AF52" s="1"/>
  <c r="AH52" s="1"/>
  <c r="N53"/>
  <c r="AF53" s="1"/>
  <c r="AH53" s="1"/>
  <c r="N54"/>
  <c r="AF54" s="1"/>
  <c r="AH54" s="1"/>
  <c r="N55"/>
  <c r="AF55" s="1"/>
  <c r="AH55" s="1"/>
  <c r="N56"/>
  <c r="AF56" s="1"/>
  <c r="AH56" s="1"/>
  <c r="N57"/>
  <c r="AF57" s="1"/>
  <c r="AH57" s="1"/>
  <c r="N58"/>
  <c r="AF58" s="1"/>
  <c r="AH58" s="1"/>
  <c r="N59"/>
  <c r="AF59" s="1"/>
  <c r="AH59" s="1"/>
  <c r="N60"/>
  <c r="AF60" s="1"/>
  <c r="AH60" s="1"/>
  <c r="N61"/>
  <c r="AF61" s="1"/>
  <c r="AH61" s="1"/>
  <c r="N62"/>
  <c r="AF62" s="1"/>
  <c r="AH62" s="1"/>
  <c r="N63"/>
  <c r="AF63" s="1"/>
  <c r="AH63" s="1"/>
  <c r="N64"/>
  <c r="AF64" s="1"/>
  <c r="AH64" s="1"/>
  <c r="N65"/>
  <c r="AF65" s="1"/>
  <c r="AH65" s="1"/>
  <c r="N66"/>
  <c r="AF66" s="1"/>
  <c r="AH66" s="1"/>
  <c r="N67"/>
  <c r="AF67" s="1"/>
  <c r="AH67" s="1"/>
  <c r="N68"/>
  <c r="AF68" s="1"/>
  <c r="AH68" s="1"/>
  <c r="N69"/>
  <c r="AF69" s="1"/>
  <c r="AH69" s="1"/>
  <c r="N70"/>
  <c r="AF70" s="1"/>
  <c r="AH70" s="1"/>
  <c r="N71"/>
  <c r="AF71" s="1"/>
  <c r="AH71" s="1"/>
  <c r="N72"/>
  <c r="AF72" s="1"/>
  <c r="AH72" s="1"/>
  <c r="N73"/>
  <c r="AF73" s="1"/>
  <c r="AH73" s="1"/>
  <c r="N74"/>
  <c r="AF74" s="1"/>
  <c r="AH74" s="1"/>
  <c r="N75"/>
  <c r="AF75" s="1"/>
  <c r="AH75" s="1"/>
  <c r="N76"/>
  <c r="AF76" s="1"/>
  <c r="AH76" s="1"/>
  <c r="N77"/>
  <c r="AF77" s="1"/>
  <c r="AH77" s="1"/>
  <c r="N78"/>
  <c r="AF78" s="1"/>
  <c r="AH78" s="1"/>
  <c r="N79"/>
  <c r="AF79" s="1"/>
  <c r="AH79" s="1"/>
  <c r="N80"/>
  <c r="AF80" s="1"/>
  <c r="AH80" s="1"/>
  <c r="N81"/>
  <c r="AF81" s="1"/>
  <c r="AH81" s="1"/>
  <c r="N82"/>
  <c r="AF82" s="1"/>
  <c r="AH82" s="1"/>
  <c r="N83"/>
  <c r="AF83" s="1"/>
  <c r="AH83" s="1"/>
  <c r="N84"/>
  <c r="AF84" s="1"/>
  <c r="AH84" s="1"/>
  <c r="N85"/>
  <c r="AF85" s="1"/>
  <c r="AH85" s="1"/>
  <c r="N86"/>
  <c r="AF86" s="1"/>
  <c r="AH86" s="1"/>
  <c r="N87"/>
  <c r="AF87" s="1"/>
  <c r="AH87" s="1"/>
  <c r="N88"/>
  <c r="AF88" s="1"/>
  <c r="AH88" s="1"/>
  <c r="N89"/>
  <c r="AF89" s="1"/>
  <c r="AH89" s="1"/>
  <c r="N90"/>
  <c r="AF90" s="1"/>
  <c r="AH90" s="1"/>
  <c r="N91"/>
  <c r="AF91" s="1"/>
  <c r="AH91" s="1"/>
  <c r="N92"/>
  <c r="AF92" s="1"/>
  <c r="AH92" s="1"/>
  <c r="N237"/>
  <c r="AF237" s="1"/>
  <c r="AH237" s="1"/>
  <c r="N93"/>
  <c r="AF93" s="1"/>
  <c r="N94"/>
  <c r="AF94" s="1"/>
  <c r="AH94" s="1"/>
  <c r="N95"/>
  <c r="AF95" s="1"/>
  <c r="N96"/>
  <c r="AF96" s="1"/>
  <c r="AH96" s="1"/>
  <c r="N97"/>
  <c r="AF97" s="1"/>
  <c r="AH97" s="1"/>
  <c r="N98"/>
  <c r="AF98" s="1"/>
  <c r="AH98" s="1"/>
  <c r="N99"/>
  <c r="AF99" s="1"/>
  <c r="AH99" s="1"/>
  <c r="N100"/>
  <c r="AF100" s="1"/>
  <c r="AH100" s="1"/>
  <c r="N101"/>
  <c r="AF101" s="1"/>
  <c r="AH101" s="1"/>
  <c r="N102"/>
  <c r="AF102" s="1"/>
  <c r="AH102" s="1"/>
  <c r="N103"/>
  <c r="AF103" s="1"/>
  <c r="AH103" s="1"/>
  <c r="N104"/>
  <c r="AF104" s="1"/>
  <c r="AH104" s="1"/>
  <c r="N105"/>
  <c r="AF105" s="1"/>
  <c r="N106"/>
  <c r="AF106" s="1"/>
  <c r="AH106" s="1"/>
  <c r="N107"/>
  <c r="AF107" s="1"/>
  <c r="N108"/>
  <c r="AF108" s="1"/>
  <c r="AH108" s="1"/>
  <c r="N109"/>
  <c r="AF109" s="1"/>
  <c r="AH109" s="1"/>
  <c r="N110"/>
  <c r="AF110" s="1"/>
  <c r="AH110" s="1"/>
  <c r="N111"/>
  <c r="AF111" s="1"/>
  <c r="AH111" s="1"/>
  <c r="N112"/>
  <c r="AF112" s="1"/>
  <c r="AH112" s="1"/>
  <c r="N113"/>
  <c r="AF113" s="1"/>
  <c r="AH113" s="1"/>
  <c r="N114"/>
  <c r="AF114" s="1"/>
  <c r="AH114" s="1"/>
  <c r="N115"/>
  <c r="AF115" s="1"/>
  <c r="AH115" s="1"/>
  <c r="N116"/>
  <c r="AF116" s="1"/>
  <c r="AH116" s="1"/>
  <c r="N117"/>
  <c r="AF117" s="1"/>
  <c r="N118"/>
  <c r="AF118" s="1"/>
  <c r="AH118" s="1"/>
  <c r="N119"/>
  <c r="AF119" s="1"/>
  <c r="N120"/>
  <c r="AF120" s="1"/>
  <c r="AH120" s="1"/>
  <c r="N121"/>
  <c r="AF121" s="1"/>
  <c r="AH121" s="1"/>
  <c r="N122"/>
  <c r="AF122" s="1"/>
  <c r="AH122" s="1"/>
  <c r="N123"/>
  <c r="AF123" s="1"/>
  <c r="AH123" s="1"/>
  <c r="N124"/>
  <c r="AF124" s="1"/>
  <c r="AH124" s="1"/>
  <c r="N125"/>
  <c r="AF125" s="1"/>
  <c r="AH125" s="1"/>
  <c r="N126"/>
  <c r="AF126" s="1"/>
  <c r="AH126" s="1"/>
  <c r="N127"/>
  <c r="AF127" s="1"/>
  <c r="AH127" s="1"/>
  <c r="N128"/>
  <c r="AF128" s="1"/>
  <c r="AH128" s="1"/>
  <c r="N129"/>
  <c r="AF129" s="1"/>
  <c r="N130"/>
  <c r="AF130" s="1"/>
  <c r="AH130" s="1"/>
  <c r="N241"/>
  <c r="AF241" s="1"/>
  <c r="N131"/>
  <c r="AF131" s="1"/>
  <c r="AH131" s="1"/>
  <c r="N132"/>
  <c r="AF132" s="1"/>
  <c r="AH132" s="1"/>
  <c r="N133"/>
  <c r="AF133" s="1"/>
  <c r="AH133" s="1"/>
  <c r="N134"/>
  <c r="AF134" s="1"/>
  <c r="AH134" s="1"/>
  <c r="N135"/>
  <c r="AF135" s="1"/>
  <c r="AH135" s="1"/>
  <c r="N136"/>
  <c r="AF136" s="1"/>
  <c r="AH136" s="1"/>
  <c r="N137"/>
  <c r="AF137" s="1"/>
  <c r="AH137" s="1"/>
  <c r="N138"/>
  <c r="AF138" s="1"/>
  <c r="AH138" s="1"/>
  <c r="N139"/>
  <c r="AF139" s="1"/>
  <c r="AH139" s="1"/>
  <c r="N140"/>
  <c r="AF140" s="1"/>
  <c r="N141"/>
  <c r="AF141" s="1"/>
  <c r="AH141" s="1"/>
  <c r="N142"/>
  <c r="AF142" s="1"/>
  <c r="N143"/>
  <c r="AF143" s="1"/>
  <c r="AH143" s="1"/>
  <c r="N144"/>
  <c r="AF144" s="1"/>
  <c r="AH144" s="1"/>
  <c r="N145"/>
  <c r="AF145" s="1"/>
  <c r="AH145" s="1"/>
  <c r="N146"/>
  <c r="AF146" s="1"/>
  <c r="AH146" s="1"/>
  <c r="N147"/>
  <c r="AF147" s="1"/>
  <c r="N148"/>
  <c r="AF148" s="1"/>
  <c r="AH148" s="1"/>
  <c r="N149"/>
  <c r="AF149" s="1"/>
  <c r="AH149" s="1"/>
  <c r="N150"/>
  <c r="AF150" s="1"/>
  <c r="AH150" s="1"/>
  <c r="N151"/>
  <c r="AF151" s="1"/>
  <c r="AH151" s="1"/>
  <c r="N152"/>
  <c r="AF152" s="1"/>
  <c r="N153"/>
  <c r="AF153" s="1"/>
  <c r="N154"/>
  <c r="AF154" s="1"/>
  <c r="AH154" s="1"/>
  <c r="N155"/>
  <c r="AF155" s="1"/>
  <c r="N156"/>
  <c r="AF156" s="1"/>
  <c r="AH156" s="1"/>
  <c r="N157"/>
  <c r="AF157" s="1"/>
  <c r="AH157" s="1"/>
  <c r="N158"/>
  <c r="AF158" s="1"/>
  <c r="AH158" s="1"/>
  <c r="N159"/>
  <c r="AF159" s="1"/>
  <c r="N160"/>
  <c r="AF160" s="1"/>
  <c r="AH160" s="1"/>
  <c r="N161"/>
  <c r="AF161" s="1"/>
  <c r="AH161" s="1"/>
  <c r="N162"/>
  <c r="AF162" s="1"/>
  <c r="AH162" s="1"/>
  <c r="N163"/>
  <c r="AF163" s="1"/>
  <c r="AH163" s="1"/>
  <c r="N164"/>
  <c r="AF164" s="1"/>
  <c r="N165"/>
  <c r="AF165" s="1"/>
  <c r="N166"/>
  <c r="AF166" s="1"/>
  <c r="AH166" s="1"/>
  <c r="N167"/>
  <c r="AF167" s="1"/>
  <c r="N168"/>
  <c r="AF168" s="1"/>
  <c r="AH168" s="1"/>
  <c r="N169"/>
  <c r="AF169" s="1"/>
  <c r="AH169" s="1"/>
  <c r="N170"/>
  <c r="AF170" s="1"/>
  <c r="AH170" s="1"/>
  <c r="N171"/>
  <c r="AF171" s="1"/>
  <c r="N172"/>
  <c r="AF172" s="1"/>
  <c r="AH172" s="1"/>
  <c r="N173"/>
  <c r="AF173" s="1"/>
  <c r="AH173" s="1"/>
  <c r="N174"/>
  <c r="AF174" s="1"/>
  <c r="AH174" s="1"/>
  <c r="N175"/>
  <c r="AF175" s="1"/>
  <c r="AH175" s="1"/>
  <c r="N176"/>
  <c r="AF176" s="1"/>
  <c r="N177"/>
  <c r="AF177" s="1"/>
  <c r="N178"/>
  <c r="AF178" s="1"/>
  <c r="AH178" s="1"/>
  <c r="N179"/>
  <c r="AF179" s="1"/>
  <c r="N180"/>
  <c r="AF180" s="1"/>
  <c r="AH180" s="1"/>
  <c r="N181"/>
  <c r="AF181" s="1"/>
  <c r="AH181" s="1"/>
  <c r="N182"/>
  <c r="AF182" s="1"/>
  <c r="AH182" s="1"/>
  <c r="N183"/>
  <c r="AF183" s="1"/>
  <c r="N184"/>
  <c r="AF184" s="1"/>
  <c r="AH184" s="1"/>
  <c r="N185"/>
  <c r="AF185" s="1"/>
  <c r="AH185" s="1"/>
  <c r="N186"/>
  <c r="AF186" s="1"/>
  <c r="AH186" s="1"/>
  <c r="N187"/>
  <c r="AF187" s="1"/>
  <c r="AH187" s="1"/>
  <c r="N188"/>
  <c r="AF188" s="1"/>
  <c r="AH188" s="1"/>
  <c r="N189"/>
  <c r="AF189" s="1"/>
  <c r="AH189" s="1"/>
  <c r="N190"/>
  <c r="AF190" s="1"/>
  <c r="N191"/>
  <c r="AF191" s="1"/>
  <c r="AH191" s="1"/>
  <c r="N192"/>
  <c r="AF192" s="1"/>
  <c r="N193"/>
  <c r="AF193" s="1"/>
  <c r="AH193" s="1"/>
  <c r="N194"/>
  <c r="AF194" s="1"/>
  <c r="AH194" s="1"/>
  <c r="N195"/>
  <c r="AF195" s="1"/>
  <c r="AH195" s="1"/>
  <c r="N196"/>
  <c r="AF196" s="1"/>
  <c r="AH196" s="1"/>
  <c r="N197"/>
  <c r="AF197" s="1"/>
  <c r="AH197" s="1"/>
  <c r="N198"/>
  <c r="AF198" s="1"/>
  <c r="AH198" s="1"/>
  <c r="N199"/>
  <c r="AF199" s="1"/>
  <c r="AH199" s="1"/>
  <c r="N200"/>
  <c r="AF200" s="1"/>
  <c r="AH200" s="1"/>
  <c r="N201"/>
  <c r="AF201" s="1"/>
  <c r="AH201" s="1"/>
  <c r="N202"/>
  <c r="AF202" s="1"/>
  <c r="N203"/>
  <c r="AF203" s="1"/>
  <c r="AH203" s="1"/>
  <c r="N204"/>
  <c r="AF204" s="1"/>
  <c r="N205"/>
  <c r="AF205" s="1"/>
  <c r="AH205" s="1"/>
  <c r="N206"/>
  <c r="AF206" s="1"/>
  <c r="AH206" s="1"/>
  <c r="N207"/>
  <c r="AF207" s="1"/>
  <c r="AH207" s="1"/>
  <c r="N208"/>
  <c r="AF208" s="1"/>
  <c r="AH208" s="1"/>
  <c r="N209"/>
  <c r="AF209" s="1"/>
  <c r="AH209" s="1"/>
  <c r="N210"/>
  <c r="AF210" s="1"/>
  <c r="AH210" s="1"/>
  <c r="N211"/>
  <c r="AF211" s="1"/>
  <c r="AH211" s="1"/>
  <c r="N212"/>
  <c r="AF212" s="1"/>
  <c r="AH212" s="1"/>
  <c r="N213"/>
  <c r="AF213" s="1"/>
  <c r="AH213" s="1"/>
  <c r="N214"/>
  <c r="AF214" s="1"/>
  <c r="N215"/>
  <c r="AF215" s="1"/>
  <c r="N216"/>
  <c r="AF216" s="1"/>
  <c r="AH216" s="1"/>
  <c r="N217"/>
  <c r="AF217" s="1"/>
  <c r="AH217" s="1"/>
  <c r="N218"/>
  <c r="AF218" s="1"/>
  <c r="N219"/>
  <c r="AF219" s="1"/>
  <c r="AH219" s="1"/>
  <c r="N220"/>
  <c r="AF220" s="1"/>
  <c r="AH220" s="1"/>
  <c r="N221"/>
  <c r="AF221" s="1"/>
  <c r="AH221" s="1"/>
  <c r="N222"/>
  <c r="AF222" s="1"/>
  <c r="AH222" s="1"/>
  <c r="N223"/>
  <c r="AF223" s="1"/>
  <c r="AH223" s="1"/>
  <c r="N224"/>
  <c r="AF224" s="1"/>
  <c r="AH224" s="1"/>
  <c r="N225"/>
  <c r="AF225" s="1"/>
  <c r="AH225" s="1"/>
  <c r="N226"/>
  <c r="AF226" s="1"/>
  <c r="AH226" s="1"/>
  <c r="N227"/>
  <c r="AF227" s="1"/>
  <c r="N228"/>
  <c r="AF228" s="1"/>
  <c r="N229"/>
  <c r="AF229" s="1"/>
  <c r="AH229" s="1"/>
  <c r="N230"/>
  <c r="AF230" s="1"/>
  <c r="N231"/>
  <c r="AF231" s="1"/>
  <c r="AH231" s="1"/>
  <c r="N232"/>
  <c r="AF232" s="1"/>
  <c r="AH232" s="1"/>
  <c r="N246"/>
  <c r="AF246" s="1"/>
  <c r="AH246" s="1"/>
  <c r="N233"/>
  <c r="AF233" s="1"/>
  <c r="AH233" s="1"/>
  <c r="N234"/>
  <c r="AF234" s="1"/>
  <c r="AH234" s="1"/>
  <c r="N235"/>
  <c r="AF235" s="1"/>
  <c r="AH235" s="1"/>
  <c r="N244"/>
  <c r="AF244" s="1"/>
  <c r="AH244" s="1"/>
  <c r="N238"/>
  <c r="AF238" s="1"/>
  <c r="AH238" s="1"/>
  <c r="N239"/>
  <c r="AF239" s="1"/>
  <c r="N242"/>
  <c r="AF242" s="1"/>
  <c r="N243"/>
  <c r="AF243" s="1"/>
  <c r="AH243" s="1"/>
  <c r="N245"/>
  <c r="AF245" s="1"/>
  <c r="N247"/>
  <c r="AF247" s="1"/>
  <c r="AH247" s="1"/>
  <c r="N248"/>
  <c r="AF248" s="1"/>
  <c r="AH248" s="1"/>
  <c r="AH214" l="1"/>
  <c r="AH202"/>
  <c r="AH190"/>
  <c r="AH142"/>
  <c r="AH241"/>
  <c r="AH119"/>
  <c r="AH107"/>
  <c r="AH95"/>
  <c r="AH165"/>
  <c r="AH177"/>
  <c r="AH153"/>
  <c r="AH176"/>
  <c r="AH164"/>
  <c r="AH152"/>
  <c r="AH140"/>
  <c r="AH129"/>
  <c r="AH117"/>
  <c r="AH105"/>
  <c r="AH93"/>
  <c r="AH183"/>
  <c r="AH171"/>
  <c r="AH159"/>
  <c r="AH147"/>
  <c r="AH245"/>
  <c r="AH230"/>
  <c r="AH218"/>
  <c r="AH228"/>
  <c r="AH192"/>
  <c r="AH242"/>
  <c r="AH204"/>
  <c r="AH239"/>
  <c r="AH227"/>
  <c r="AH215"/>
  <c r="AH179"/>
  <c r="AH167"/>
  <c r="AH155"/>
  <c r="AA164"/>
  <c r="Y164"/>
  <c r="S164"/>
  <c r="AJ164" s="1"/>
  <c r="AA248"/>
  <c r="Y248"/>
  <c r="S248"/>
  <c r="AJ248" s="1"/>
  <c r="Q248"/>
  <c r="AC164" l="1"/>
  <c r="AK164" s="1"/>
  <c r="AC248"/>
  <c r="AK248" s="1"/>
  <c r="AA246"/>
  <c r="Y246"/>
  <c r="S246"/>
  <c r="AJ246" s="1"/>
  <c r="Q246"/>
  <c r="AA247"/>
  <c r="Y247"/>
  <c r="S247"/>
  <c r="AJ247" s="1"/>
  <c r="Q247"/>
  <c r="AA217"/>
  <c r="Y217"/>
  <c r="S217"/>
  <c r="Q217"/>
  <c r="AA205"/>
  <c r="Y205"/>
  <c r="S205"/>
  <c r="Q205"/>
  <c r="AA186"/>
  <c r="Y186"/>
  <c r="S186"/>
  <c r="Q186"/>
  <c r="AA145"/>
  <c r="Y145"/>
  <c r="S145"/>
  <c r="Q145"/>
  <c r="AA136"/>
  <c r="Y136"/>
  <c r="S136"/>
  <c r="Q136"/>
  <c r="AA134"/>
  <c r="Y134"/>
  <c r="S134"/>
  <c r="Q134"/>
  <c r="AA241"/>
  <c r="Y241"/>
  <c r="S241"/>
  <c r="AJ241" s="1"/>
  <c r="Q241"/>
  <c r="AA119"/>
  <c r="Y119"/>
  <c r="S119"/>
  <c r="Q119"/>
  <c r="AA237"/>
  <c r="Y237"/>
  <c r="S237"/>
  <c r="AJ237" s="1"/>
  <c r="Q237"/>
  <c r="AA89"/>
  <c r="Y89"/>
  <c r="S89"/>
  <c r="Q89"/>
  <c r="AA88"/>
  <c r="Y88"/>
  <c r="S88"/>
  <c r="Q88"/>
  <c r="AA87"/>
  <c r="Y87"/>
  <c r="S87"/>
  <c r="Q87"/>
  <c r="AA19"/>
  <c r="Y19"/>
  <c r="S19"/>
  <c r="Q19"/>
  <c r="AA240"/>
  <c r="Y240"/>
  <c r="S240"/>
  <c r="AJ240" s="1"/>
  <c r="Q240"/>
  <c r="AJ134" l="1"/>
  <c r="AC134"/>
  <c r="AK134" s="1"/>
  <c r="AJ19"/>
  <c r="AC19"/>
  <c r="AK19" s="1"/>
  <c r="AJ88"/>
  <c r="AC88"/>
  <c r="AK88" s="1"/>
  <c r="AJ89"/>
  <c r="AC89"/>
  <c r="AK89" s="1"/>
  <c r="AJ186"/>
  <c r="AC186"/>
  <c r="AK186" s="1"/>
  <c r="AJ136"/>
  <c r="AC136"/>
  <c r="AK136" s="1"/>
  <c r="AJ205"/>
  <c r="AC205"/>
  <c r="AK205" s="1"/>
  <c r="AJ87"/>
  <c r="AC87"/>
  <c r="AK87" s="1"/>
  <c r="AJ119"/>
  <c r="AC119"/>
  <c r="AK119" s="1"/>
  <c r="AJ145"/>
  <c r="AC145"/>
  <c r="AK145" s="1"/>
  <c r="AJ217"/>
  <c r="AC217"/>
  <c r="AK217" s="1"/>
  <c r="AC237"/>
  <c r="AK237" s="1"/>
  <c r="AC240"/>
  <c r="AK240" s="1"/>
  <c r="AC246"/>
  <c r="AK246" s="1"/>
  <c r="AC241"/>
  <c r="AK241" s="1"/>
  <c r="AC247"/>
  <c r="AK247" s="1"/>
  <c r="AA243"/>
  <c r="Y243"/>
  <c r="S243"/>
  <c r="AJ243" s="1"/>
  <c r="Q243"/>
  <c r="AA207"/>
  <c r="Y207"/>
  <c r="S207"/>
  <c r="Q207"/>
  <c r="AA203"/>
  <c r="Y203"/>
  <c r="S203"/>
  <c r="Q203"/>
  <c r="AA169"/>
  <c r="Y169"/>
  <c r="S169"/>
  <c r="Q169"/>
  <c r="AA128"/>
  <c r="Y128"/>
  <c r="S128"/>
  <c r="AJ128" l="1"/>
  <c r="AC128"/>
  <c r="AK128" s="1"/>
  <c r="AJ169"/>
  <c r="AC169"/>
  <c r="AK169" s="1"/>
  <c r="AJ207"/>
  <c r="AC207"/>
  <c r="AK207" s="1"/>
  <c r="AJ203"/>
  <c r="AC203"/>
  <c r="AK203" s="1"/>
  <c r="AC243"/>
  <c r="AK243" s="1"/>
  <c r="AA21"/>
  <c r="Y21"/>
  <c r="S21"/>
  <c r="Q21"/>
  <c r="AA6"/>
  <c r="Y6"/>
  <c r="S6"/>
  <c r="AJ21" l="1"/>
  <c r="AC21"/>
  <c r="AK21" s="1"/>
  <c r="AJ6"/>
  <c r="AC6"/>
  <c r="AK6" s="1"/>
  <c r="S232"/>
  <c r="S233"/>
  <c r="AJ233" s="1"/>
  <c r="S234"/>
  <c r="AJ234" s="1"/>
  <c r="S235"/>
  <c r="AJ235" s="1"/>
  <c r="S244"/>
  <c r="AJ244" s="1"/>
  <c r="S238"/>
  <c r="AJ238" s="1"/>
  <c r="S239"/>
  <c r="AJ239" s="1"/>
  <c r="S242"/>
  <c r="AJ242" s="1"/>
  <c r="S245"/>
  <c r="AJ245" s="1"/>
  <c r="AA242"/>
  <c r="Y242"/>
  <c r="Q242"/>
  <c r="AA188"/>
  <c r="Y188"/>
  <c r="S188"/>
  <c r="Q188"/>
  <c r="AA218"/>
  <c r="Y218"/>
  <c r="S218"/>
  <c r="Q218"/>
  <c r="AA212"/>
  <c r="Y212"/>
  <c r="S212"/>
  <c r="Q212"/>
  <c r="AA202"/>
  <c r="Y202"/>
  <c r="S202"/>
  <c r="Q202"/>
  <c r="AA183"/>
  <c r="Y183"/>
  <c r="S183"/>
  <c r="Q183"/>
  <c r="AA167"/>
  <c r="Y167"/>
  <c r="S167"/>
  <c r="Q167"/>
  <c r="AA166"/>
  <c r="Y166"/>
  <c r="S166"/>
  <c r="Q166"/>
  <c r="AA165"/>
  <c r="Y165"/>
  <c r="S165"/>
  <c r="Q165"/>
  <c r="AA151"/>
  <c r="Y151"/>
  <c r="S151"/>
  <c r="Q151"/>
  <c r="AA148"/>
  <c r="Y148"/>
  <c r="S148"/>
  <c r="Q148"/>
  <c r="AA111"/>
  <c r="Y111"/>
  <c r="S111"/>
  <c r="Q111"/>
  <c r="AA92"/>
  <c r="Y92"/>
  <c r="S92"/>
  <c r="Q92"/>
  <c r="AA56"/>
  <c r="Y56"/>
  <c r="S56"/>
  <c r="Q56"/>
  <c r="AA11"/>
  <c r="Y11"/>
  <c r="S11"/>
  <c r="Q11"/>
  <c r="AJ92" l="1"/>
  <c r="AC92"/>
  <c r="AK92" s="1"/>
  <c r="AJ165"/>
  <c r="AC165"/>
  <c r="AK165" s="1"/>
  <c r="AJ202"/>
  <c r="AC202"/>
  <c r="AK202" s="1"/>
  <c r="AJ111"/>
  <c r="AC111"/>
  <c r="AK111" s="1"/>
  <c r="AJ166"/>
  <c r="AC166"/>
  <c r="AK166" s="1"/>
  <c r="AJ212"/>
  <c r="AC212"/>
  <c r="AK212" s="1"/>
  <c r="AJ232"/>
  <c r="AJ11"/>
  <c r="AC11"/>
  <c r="AK11" s="1"/>
  <c r="AJ148"/>
  <c r="AC148"/>
  <c r="AK148" s="1"/>
  <c r="AJ167"/>
  <c r="AC167"/>
  <c r="AK167" s="1"/>
  <c r="AJ218"/>
  <c r="AC218"/>
  <c r="AK218" s="1"/>
  <c r="AJ56"/>
  <c r="AC56"/>
  <c r="AK56" s="1"/>
  <c r="AJ151"/>
  <c r="AC151"/>
  <c r="AK151" s="1"/>
  <c r="AJ183"/>
  <c r="AC183"/>
  <c r="AK183" s="1"/>
  <c r="AJ188"/>
  <c r="AC188"/>
  <c r="AK188" s="1"/>
  <c r="AC242"/>
  <c r="AK242" s="1"/>
  <c r="AA235"/>
  <c r="Y235"/>
  <c r="Q235"/>
  <c r="AA234"/>
  <c r="Y234"/>
  <c r="Q234"/>
  <c r="AA233"/>
  <c r="Y233"/>
  <c r="Q233"/>
  <c r="Y73"/>
  <c r="S73"/>
  <c r="Q73"/>
  <c r="AA73" s="1"/>
  <c r="AA185"/>
  <c r="Y185"/>
  <c r="S185"/>
  <c r="Q185"/>
  <c r="AA137"/>
  <c r="Y137"/>
  <c r="S137"/>
  <c r="Q137"/>
  <c r="AA82"/>
  <c r="Y82"/>
  <c r="S82"/>
  <c r="Q82"/>
  <c r="AJ185" l="1"/>
  <c r="AC185"/>
  <c r="AK185" s="1"/>
  <c r="AJ73"/>
  <c r="AC73"/>
  <c r="AK73" s="1"/>
  <c r="AJ82"/>
  <c r="AC82"/>
  <c r="AK82" s="1"/>
  <c r="AJ137"/>
  <c r="AC137"/>
  <c r="AK137" s="1"/>
  <c r="AC234"/>
  <c r="AK234" s="1"/>
  <c r="AC233"/>
  <c r="AK233" s="1"/>
  <c r="AC235"/>
  <c r="AK235" s="1"/>
  <c r="AA133"/>
  <c r="Y133"/>
  <c r="S133"/>
  <c r="Q133"/>
  <c r="AA224"/>
  <c r="Y224"/>
  <c r="S224"/>
  <c r="Q224"/>
  <c r="AA105"/>
  <c r="Y105"/>
  <c r="S105"/>
  <c r="Q105"/>
  <c r="AA106"/>
  <c r="Y106"/>
  <c r="S106"/>
  <c r="Q106"/>
  <c r="AA39"/>
  <c r="Y39"/>
  <c r="S39"/>
  <c r="Q39"/>
  <c r="AJ133" l="1"/>
  <c r="AC133"/>
  <c r="AK133" s="1"/>
  <c r="AJ39"/>
  <c r="AC39"/>
  <c r="AK39" s="1"/>
  <c r="AJ106"/>
  <c r="AC106"/>
  <c r="AK106" s="1"/>
  <c r="AJ105"/>
  <c r="AC105"/>
  <c r="AK105" s="1"/>
  <c r="AJ224"/>
  <c r="AC224"/>
  <c r="AK224" s="1"/>
  <c r="U250"/>
  <c r="AA239" l="1"/>
  <c r="AA238"/>
  <c r="AA232"/>
  <c r="AA231"/>
  <c r="AA230"/>
  <c r="AA229"/>
  <c r="AA228"/>
  <c r="AA227"/>
  <c r="AA226"/>
  <c r="AA225"/>
  <c r="AA223"/>
  <c r="AA222"/>
  <c r="AA221"/>
  <c r="AA220"/>
  <c r="AA219"/>
  <c r="AA216"/>
  <c r="AA215"/>
  <c r="AA214"/>
  <c r="AA213"/>
  <c r="AA211"/>
  <c r="AA210"/>
  <c r="AA209"/>
  <c r="AA208"/>
  <c r="AA206"/>
  <c r="AA204"/>
  <c r="AA201"/>
  <c r="AA200"/>
  <c r="AA199"/>
  <c r="AA198"/>
  <c r="AA197"/>
  <c r="AA196"/>
  <c r="AA195"/>
  <c r="AA194"/>
  <c r="AA193"/>
  <c r="AA192"/>
  <c r="AA191"/>
  <c r="AA190"/>
  <c r="AA189"/>
  <c r="AA187"/>
  <c r="AA184"/>
  <c r="AA182"/>
  <c r="AA181"/>
  <c r="AA180"/>
  <c r="AA179"/>
  <c r="AA178"/>
  <c r="AA177"/>
  <c r="AA176"/>
  <c r="AA175"/>
  <c r="AA174"/>
  <c r="AA173"/>
  <c r="AA172"/>
  <c r="AA171"/>
  <c r="AA168"/>
  <c r="AA163"/>
  <c r="AA162"/>
  <c r="AA161"/>
  <c r="AA160"/>
  <c r="AA159"/>
  <c r="AA158"/>
  <c r="AA157"/>
  <c r="AA156"/>
  <c r="AA155"/>
  <c r="AA153"/>
  <c r="AA152"/>
  <c r="AA150"/>
  <c r="AA149"/>
  <c r="AA147"/>
  <c r="AA146"/>
  <c r="AA144"/>
  <c r="AA143"/>
  <c r="AA142"/>
  <c r="AA141"/>
  <c r="AA140"/>
  <c r="AA139"/>
  <c r="AA131"/>
  <c r="AA130"/>
  <c r="AA129"/>
  <c r="AA127"/>
  <c r="AA125"/>
  <c r="AA124"/>
  <c r="AA123"/>
  <c r="AA122"/>
  <c r="AA121"/>
  <c r="AA120"/>
  <c r="AA118"/>
  <c r="AA117"/>
  <c r="AA115"/>
  <c r="AA114"/>
  <c r="AA113"/>
  <c r="AA112"/>
  <c r="AA110"/>
  <c r="AA109"/>
  <c r="AA135"/>
  <c r="AA108"/>
  <c r="AA107"/>
  <c r="AA104"/>
  <c r="AA103"/>
  <c r="AA245"/>
  <c r="AA102"/>
  <c r="AA101"/>
  <c r="AA100"/>
  <c r="AA99"/>
  <c r="AA97"/>
  <c r="AA96"/>
  <c r="AA95"/>
  <c r="AA94"/>
  <c r="AA93"/>
  <c r="AA91"/>
  <c r="AA90"/>
  <c r="AA86"/>
  <c r="AA85"/>
  <c r="AA84"/>
  <c r="AA83"/>
  <c r="AA80"/>
  <c r="AA79"/>
  <c r="AA78"/>
  <c r="AA77"/>
  <c r="AA76"/>
  <c r="AA74"/>
  <c r="AA72"/>
  <c r="AA71"/>
  <c r="AA70"/>
  <c r="AA69"/>
  <c r="AA68"/>
  <c r="AA67"/>
  <c r="AA66"/>
  <c r="AA64"/>
  <c r="AA63"/>
  <c r="AA62"/>
  <c r="AA61"/>
  <c r="AA60"/>
  <c r="AA59"/>
  <c r="AA58"/>
  <c r="AA57"/>
  <c r="AA55"/>
  <c r="AA54"/>
  <c r="AA53"/>
  <c r="AA52"/>
  <c r="AA51"/>
  <c r="AA49"/>
  <c r="AA48"/>
  <c r="AA47"/>
  <c r="AA46"/>
  <c r="AA45"/>
  <c r="AA44"/>
  <c r="AA43"/>
  <c r="AA42"/>
  <c r="AA41"/>
  <c r="AA40"/>
  <c r="AA38"/>
  <c r="AA37"/>
  <c r="AA36"/>
  <c r="AA34"/>
  <c r="AA33"/>
  <c r="AA32"/>
  <c r="AA31"/>
  <c r="AA30"/>
  <c r="AA29"/>
  <c r="AA28"/>
  <c r="AA27"/>
  <c r="AA25"/>
  <c r="AA24"/>
  <c r="AA23"/>
  <c r="AA22"/>
  <c r="AA20"/>
  <c r="AA18"/>
  <c r="AA17"/>
  <c r="AA16"/>
  <c r="AA14"/>
  <c r="AA13"/>
  <c r="AA12"/>
  <c r="AA10"/>
  <c r="AA9"/>
  <c r="AA8"/>
  <c r="AA7"/>
  <c r="AA5"/>
  <c r="AA4"/>
  <c r="AA3"/>
  <c r="Y239"/>
  <c r="Y238"/>
  <c r="Y232"/>
  <c r="Y231"/>
  <c r="Y230"/>
  <c r="Y229"/>
  <c r="Y228"/>
  <c r="Y227"/>
  <c r="Y226"/>
  <c r="Y225"/>
  <c r="Y223"/>
  <c r="Y222"/>
  <c r="Y221"/>
  <c r="Y220"/>
  <c r="Y219"/>
  <c r="Y216"/>
  <c r="Y215"/>
  <c r="Y214"/>
  <c r="Y213"/>
  <c r="Y211"/>
  <c r="Y210"/>
  <c r="Y209"/>
  <c r="Y208"/>
  <c r="Y206"/>
  <c r="Y204"/>
  <c r="Y201"/>
  <c r="Y200"/>
  <c r="Y199"/>
  <c r="Y198"/>
  <c r="Y197"/>
  <c r="Y196"/>
  <c r="Y195"/>
  <c r="Y194"/>
  <c r="Y193"/>
  <c r="Y192"/>
  <c r="Y191"/>
  <c r="Y190"/>
  <c r="Y189"/>
  <c r="Y187"/>
  <c r="Y184"/>
  <c r="Y182"/>
  <c r="Y181"/>
  <c r="Y180"/>
  <c r="Y179"/>
  <c r="Y178"/>
  <c r="Y177"/>
  <c r="Y176"/>
  <c r="Y175"/>
  <c r="Y174"/>
  <c r="Y173"/>
  <c r="Y172"/>
  <c r="Y171"/>
  <c r="Y170"/>
  <c r="Y168"/>
  <c r="Y163"/>
  <c r="Y162"/>
  <c r="Y161"/>
  <c r="Y160"/>
  <c r="Y159"/>
  <c r="Y158"/>
  <c r="Y157"/>
  <c r="Y156"/>
  <c r="Y155"/>
  <c r="Y154"/>
  <c r="Y153"/>
  <c r="Y152"/>
  <c r="Y150"/>
  <c r="Y149"/>
  <c r="Y147"/>
  <c r="Y146"/>
  <c r="Y144"/>
  <c r="Y143"/>
  <c r="Y142"/>
  <c r="Y141"/>
  <c r="Y140"/>
  <c r="Y139"/>
  <c r="Y138"/>
  <c r="Y132"/>
  <c r="Y131"/>
  <c r="Y130"/>
  <c r="Y129"/>
  <c r="Y127"/>
  <c r="Y126"/>
  <c r="Y125"/>
  <c r="Y124"/>
  <c r="Y123"/>
  <c r="Y122"/>
  <c r="Y121"/>
  <c r="Y120"/>
  <c r="Y118"/>
  <c r="Y117"/>
  <c r="Y244"/>
  <c r="Y116"/>
  <c r="Y115"/>
  <c r="Y114"/>
  <c r="Y113"/>
  <c r="Y112"/>
  <c r="Y110"/>
  <c r="Y109"/>
  <c r="Y135"/>
  <c r="Y108"/>
  <c r="Y107"/>
  <c r="Y104"/>
  <c r="Y103"/>
  <c r="Y245"/>
  <c r="Y102"/>
  <c r="Y101"/>
  <c r="Y100"/>
  <c r="Y99"/>
  <c r="Y98"/>
  <c r="Y97"/>
  <c r="Y96"/>
  <c r="Y95"/>
  <c r="Y94"/>
  <c r="Y93"/>
  <c r="Y91"/>
  <c r="Y90"/>
  <c r="Y86"/>
  <c r="Y85"/>
  <c r="Y84"/>
  <c r="Y83"/>
  <c r="Y81"/>
  <c r="Y80"/>
  <c r="Y79"/>
  <c r="Y78"/>
  <c r="Y77"/>
  <c r="Y76"/>
  <c r="Y75"/>
  <c r="Y74"/>
  <c r="Y72"/>
  <c r="Y71"/>
  <c r="Y70"/>
  <c r="Y69"/>
  <c r="Y68"/>
  <c r="Y67"/>
  <c r="Y66"/>
  <c r="Y65"/>
  <c r="Y64"/>
  <c r="Y63"/>
  <c r="Y62"/>
  <c r="Y61"/>
  <c r="Y60"/>
  <c r="Y59"/>
  <c r="Y58"/>
  <c r="Y57"/>
  <c r="Y55"/>
  <c r="Y54"/>
  <c r="Y53"/>
  <c r="Y52"/>
  <c r="Y51"/>
  <c r="Y50"/>
  <c r="Y49"/>
  <c r="Y48"/>
  <c r="Y47"/>
  <c r="Y46"/>
  <c r="Y45"/>
  <c r="Y44"/>
  <c r="Y43"/>
  <c r="Y42"/>
  <c r="Y41"/>
  <c r="Y40"/>
  <c r="Y38"/>
  <c r="Y37"/>
  <c r="Y36"/>
  <c r="Y35"/>
  <c r="Y34"/>
  <c r="Y33"/>
  <c r="Y32"/>
  <c r="Y31"/>
  <c r="Y30"/>
  <c r="Y29"/>
  <c r="Y28"/>
  <c r="Y27"/>
  <c r="Y26"/>
  <c r="Y25"/>
  <c r="Y24"/>
  <c r="Y23"/>
  <c r="Y22"/>
  <c r="Y20"/>
  <c r="Y18"/>
  <c r="Y17"/>
  <c r="Y16"/>
  <c r="Y15"/>
  <c r="Y14"/>
  <c r="Y13"/>
  <c r="Y12"/>
  <c r="Y10"/>
  <c r="Y9"/>
  <c r="Y8"/>
  <c r="Y7"/>
  <c r="Y5"/>
  <c r="Y4"/>
  <c r="Y3"/>
  <c r="W3"/>
  <c r="Y250" l="1"/>
  <c r="AC232"/>
  <c r="AK232" s="1"/>
  <c r="AC239"/>
  <c r="AK239" s="1"/>
  <c r="AC238"/>
  <c r="AK238" s="1"/>
  <c r="AC245"/>
  <c r="AK245" s="1"/>
  <c r="W250"/>
  <c r="Q239"/>
  <c r="Q238"/>
  <c r="Q4"/>
  <c r="Q5"/>
  <c r="Q7"/>
  <c r="Q8"/>
  <c r="Q9"/>
  <c r="Q10"/>
  <c r="Q12"/>
  <c r="Q13"/>
  <c r="Q14"/>
  <c r="Q15"/>
  <c r="AA15" s="1"/>
  <c r="Q16"/>
  <c r="Q17"/>
  <c r="Q18"/>
  <c r="Q20"/>
  <c r="Q22"/>
  <c r="Q23"/>
  <c r="Q24"/>
  <c r="Q25"/>
  <c r="Q26"/>
  <c r="AA26" s="1"/>
  <c r="Q27"/>
  <c r="Q28"/>
  <c r="Q29"/>
  <c r="Q30"/>
  <c r="Q31"/>
  <c r="Q32"/>
  <c r="Q33"/>
  <c r="Q34"/>
  <c r="Q35"/>
  <c r="AA35" s="1"/>
  <c r="Q36"/>
  <c r="Q37"/>
  <c r="Q38"/>
  <c r="Q40"/>
  <c r="Q41"/>
  <c r="Q42"/>
  <c r="Q43"/>
  <c r="Q44"/>
  <c r="Q45"/>
  <c r="Q46"/>
  <c r="Q47"/>
  <c r="Q48"/>
  <c r="Q49"/>
  <c r="Q50"/>
  <c r="AA50" s="1"/>
  <c r="Q51"/>
  <c r="Q52"/>
  <c r="Q53"/>
  <c r="Q54"/>
  <c r="Q55"/>
  <c r="Q57"/>
  <c r="Q58"/>
  <c r="Q59"/>
  <c r="Q60"/>
  <c r="Q61"/>
  <c r="Q62"/>
  <c r="Q63"/>
  <c r="Q64"/>
  <c r="Q65"/>
  <c r="AA65" s="1"/>
  <c r="Q66"/>
  <c r="Q67"/>
  <c r="Q68"/>
  <c r="Q69"/>
  <c r="Q70"/>
  <c r="Q71"/>
  <c r="Q72"/>
  <c r="Q74"/>
  <c r="Q75"/>
  <c r="AA75" s="1"/>
  <c r="Q76"/>
  <c r="Q77"/>
  <c r="Q78"/>
  <c r="Q79"/>
  <c r="Q80"/>
  <c r="Q81"/>
  <c r="AA81" s="1"/>
  <c r="Q83"/>
  <c r="Q84"/>
  <c r="Q85"/>
  <c r="Q86"/>
  <c r="Q90"/>
  <c r="Q91"/>
  <c r="Q93"/>
  <c r="Q94"/>
  <c r="Q95"/>
  <c r="Q96"/>
  <c r="Q97"/>
  <c r="Q98"/>
  <c r="AA98" s="1"/>
  <c r="Q99"/>
  <c r="Q100"/>
  <c r="Q101"/>
  <c r="Q102"/>
  <c r="Q245"/>
  <c r="Q103"/>
  <c r="Q104"/>
  <c r="Q107"/>
  <c r="Q108"/>
  <c r="Q135"/>
  <c r="Q109"/>
  <c r="Q110"/>
  <c r="Q112"/>
  <c r="Q113"/>
  <c r="Q114"/>
  <c r="Q115"/>
  <c r="Q116"/>
  <c r="AA116" s="1"/>
  <c r="Q244"/>
  <c r="AA244" s="1"/>
  <c r="AC244" s="1"/>
  <c r="AK244" s="1"/>
  <c r="Q117"/>
  <c r="Q118"/>
  <c r="Q120"/>
  <c r="Q121"/>
  <c r="Q122"/>
  <c r="Q123"/>
  <c r="Q124"/>
  <c r="Q125"/>
  <c r="Q126"/>
  <c r="AA126" s="1"/>
  <c r="Q127"/>
  <c r="Q129"/>
  <c r="Q130"/>
  <c r="Q131"/>
  <c r="Q132"/>
  <c r="AA132" s="1"/>
  <c r="Q138"/>
  <c r="AA138" s="1"/>
  <c r="Q139"/>
  <c r="Q140"/>
  <c r="Q141"/>
  <c r="Q142"/>
  <c r="Q143"/>
  <c r="Q144"/>
  <c r="Q146"/>
  <c r="Q147"/>
  <c r="Q149"/>
  <c r="Q150"/>
  <c r="Q152"/>
  <c r="Q153"/>
  <c r="Q154"/>
  <c r="AA154" s="1"/>
  <c r="Q155"/>
  <c r="Q156"/>
  <c r="Q157"/>
  <c r="Q158"/>
  <c r="Q159"/>
  <c r="Q160"/>
  <c r="Q161"/>
  <c r="Q162"/>
  <c r="Q163"/>
  <c r="Q168"/>
  <c r="Q170"/>
  <c r="AA170" s="1"/>
  <c r="Q171"/>
  <c r="Q172"/>
  <c r="Q173"/>
  <c r="Q174"/>
  <c r="Q175"/>
  <c r="Q176"/>
  <c r="Q177"/>
  <c r="Q178"/>
  <c r="Q179"/>
  <c r="Q180"/>
  <c r="Q181"/>
  <c r="Q182"/>
  <c r="Q184"/>
  <c r="Q187"/>
  <c r="Q189"/>
  <c r="Q190"/>
  <c r="Q191"/>
  <c r="Q192"/>
  <c r="Q193"/>
  <c r="Q194"/>
  <c r="Q195"/>
  <c r="Q196"/>
  <c r="Q197"/>
  <c r="Q198"/>
  <c r="Q199"/>
  <c r="Q200"/>
  <c r="Q201"/>
  <c r="Q204"/>
  <c r="Q206"/>
  <c r="Q208"/>
  <c r="Q209"/>
  <c r="Q210"/>
  <c r="Q211"/>
  <c r="Q213"/>
  <c r="Q214"/>
  <c r="Q215"/>
  <c r="Q216"/>
  <c r="Q219"/>
  <c r="Q220"/>
  <c r="Q221"/>
  <c r="Q222"/>
  <c r="Q223"/>
  <c r="Q225"/>
  <c r="Q226"/>
  <c r="Q227"/>
  <c r="Q228"/>
  <c r="Q229"/>
  <c r="Q230"/>
  <c r="Q231"/>
  <c r="Q232"/>
  <c r="AA250" l="1"/>
  <c r="S4" l="1"/>
  <c r="AC4" s="1"/>
  <c r="AK4" s="1"/>
  <c r="S5"/>
  <c r="AC5" s="1"/>
  <c r="AK5" s="1"/>
  <c r="S7"/>
  <c r="AC7" s="1"/>
  <c r="AK7" s="1"/>
  <c r="S8"/>
  <c r="AC8" s="1"/>
  <c r="AK8" s="1"/>
  <c r="S9"/>
  <c r="AC9" s="1"/>
  <c r="AK9" s="1"/>
  <c r="S10"/>
  <c r="AC10" s="1"/>
  <c r="AK10" s="1"/>
  <c r="S12"/>
  <c r="AC12" s="1"/>
  <c r="AK12" s="1"/>
  <c r="S13"/>
  <c r="AC13" s="1"/>
  <c r="AK13" s="1"/>
  <c r="S14"/>
  <c r="AC14" s="1"/>
  <c r="AK14" s="1"/>
  <c r="S15"/>
  <c r="AC15" s="1"/>
  <c r="AK15" s="1"/>
  <c r="S16"/>
  <c r="AC16" s="1"/>
  <c r="AK16" s="1"/>
  <c r="S17"/>
  <c r="AC17" s="1"/>
  <c r="AK17" s="1"/>
  <c r="S18"/>
  <c r="AC18" s="1"/>
  <c r="AK18" s="1"/>
  <c r="S20"/>
  <c r="AC20" s="1"/>
  <c r="AK20" s="1"/>
  <c r="S22"/>
  <c r="AC22" s="1"/>
  <c r="AK22" s="1"/>
  <c r="S23"/>
  <c r="AC23" s="1"/>
  <c r="AK23" s="1"/>
  <c r="S24"/>
  <c r="AC24" s="1"/>
  <c r="AK24" s="1"/>
  <c r="S25"/>
  <c r="AC25" s="1"/>
  <c r="AK25" s="1"/>
  <c r="S26"/>
  <c r="AC26" s="1"/>
  <c r="AK26" s="1"/>
  <c r="S27"/>
  <c r="AC27" s="1"/>
  <c r="AK27" s="1"/>
  <c r="S28"/>
  <c r="AC28" s="1"/>
  <c r="AK28" s="1"/>
  <c r="S29"/>
  <c r="AC29" s="1"/>
  <c r="AK29" s="1"/>
  <c r="S30"/>
  <c r="AC30" s="1"/>
  <c r="AK30" s="1"/>
  <c r="S31"/>
  <c r="AC31" s="1"/>
  <c r="AK31" s="1"/>
  <c r="S32"/>
  <c r="AC32" s="1"/>
  <c r="AK32" s="1"/>
  <c r="S33"/>
  <c r="AC33" s="1"/>
  <c r="AK33" s="1"/>
  <c r="S34"/>
  <c r="AC34" s="1"/>
  <c r="AK34" s="1"/>
  <c r="S35"/>
  <c r="AC35" s="1"/>
  <c r="AK35" s="1"/>
  <c r="S36"/>
  <c r="AC36" s="1"/>
  <c r="AK36" s="1"/>
  <c r="S37"/>
  <c r="AC37" s="1"/>
  <c r="AK37" s="1"/>
  <c r="S38"/>
  <c r="AC38" s="1"/>
  <c r="AK38" s="1"/>
  <c r="S40"/>
  <c r="AC40" s="1"/>
  <c r="AK40" s="1"/>
  <c r="S41"/>
  <c r="AC41" s="1"/>
  <c r="AK41" s="1"/>
  <c r="S42"/>
  <c r="AC42" s="1"/>
  <c r="AK42" s="1"/>
  <c r="S43"/>
  <c r="AC43" s="1"/>
  <c r="AK43" s="1"/>
  <c r="S44"/>
  <c r="AC44" s="1"/>
  <c r="AK44" s="1"/>
  <c r="S45"/>
  <c r="AC45" s="1"/>
  <c r="AK45" s="1"/>
  <c r="S46"/>
  <c r="AC46" s="1"/>
  <c r="AK46" s="1"/>
  <c r="S47"/>
  <c r="AC47" s="1"/>
  <c r="AK47" s="1"/>
  <c r="S48"/>
  <c r="AC48" s="1"/>
  <c r="AK48" s="1"/>
  <c r="S49"/>
  <c r="AC49" s="1"/>
  <c r="AK49" s="1"/>
  <c r="S50"/>
  <c r="AC50" s="1"/>
  <c r="AK50" s="1"/>
  <c r="S51"/>
  <c r="AC51" s="1"/>
  <c r="AK51" s="1"/>
  <c r="S52"/>
  <c r="AC52" s="1"/>
  <c r="AK52" s="1"/>
  <c r="S53"/>
  <c r="AC53" s="1"/>
  <c r="AK53" s="1"/>
  <c r="S54"/>
  <c r="AC54" s="1"/>
  <c r="AK54" s="1"/>
  <c r="S55"/>
  <c r="AC55" s="1"/>
  <c r="AK55" s="1"/>
  <c r="S57"/>
  <c r="AC57" s="1"/>
  <c r="AK57" s="1"/>
  <c r="S58"/>
  <c r="AC58" s="1"/>
  <c r="AK58" s="1"/>
  <c r="S59"/>
  <c r="AC59" s="1"/>
  <c r="AK59" s="1"/>
  <c r="S60"/>
  <c r="AC60" s="1"/>
  <c r="AK60" s="1"/>
  <c r="S61"/>
  <c r="AC61" s="1"/>
  <c r="AK61" s="1"/>
  <c r="S62"/>
  <c r="AC62" s="1"/>
  <c r="AK62" s="1"/>
  <c r="S63"/>
  <c r="AC63" s="1"/>
  <c r="AK63" s="1"/>
  <c r="S64"/>
  <c r="AC64" s="1"/>
  <c r="AK64" s="1"/>
  <c r="S65"/>
  <c r="AC65" s="1"/>
  <c r="AK65" s="1"/>
  <c r="S66"/>
  <c r="AC66" s="1"/>
  <c r="AK66" s="1"/>
  <c r="S67"/>
  <c r="AC67" s="1"/>
  <c r="AK67" s="1"/>
  <c r="S68"/>
  <c r="AC68" s="1"/>
  <c r="AK68" s="1"/>
  <c r="S69"/>
  <c r="AC69" s="1"/>
  <c r="AK69" s="1"/>
  <c r="S70"/>
  <c r="AC70" s="1"/>
  <c r="AK70" s="1"/>
  <c r="S71"/>
  <c r="AC71" s="1"/>
  <c r="AK71" s="1"/>
  <c r="S72"/>
  <c r="AC72" s="1"/>
  <c r="AK72" s="1"/>
  <c r="S74"/>
  <c r="AC74" s="1"/>
  <c r="AK74" s="1"/>
  <c r="S75"/>
  <c r="AC75" s="1"/>
  <c r="AK75" s="1"/>
  <c r="S76"/>
  <c r="AC76" s="1"/>
  <c r="AK76" s="1"/>
  <c r="S77"/>
  <c r="AC77" s="1"/>
  <c r="AK77" s="1"/>
  <c r="S78"/>
  <c r="AC78" s="1"/>
  <c r="AK78" s="1"/>
  <c r="S79"/>
  <c r="AC79" s="1"/>
  <c r="AK79" s="1"/>
  <c r="S80"/>
  <c r="AC80" s="1"/>
  <c r="AK80" s="1"/>
  <c r="S81"/>
  <c r="AC81" s="1"/>
  <c r="AK81" s="1"/>
  <c r="S83"/>
  <c r="AC83" s="1"/>
  <c r="AK83" s="1"/>
  <c r="S84"/>
  <c r="AC84" s="1"/>
  <c r="AK84" s="1"/>
  <c r="S85"/>
  <c r="AC85" s="1"/>
  <c r="AK85" s="1"/>
  <c r="S86"/>
  <c r="AC86" s="1"/>
  <c r="AK86" s="1"/>
  <c r="S90"/>
  <c r="AC90" s="1"/>
  <c r="AK90" s="1"/>
  <c r="S91"/>
  <c r="AC91" s="1"/>
  <c r="AK91" s="1"/>
  <c r="S93"/>
  <c r="AC93" s="1"/>
  <c r="AK93" s="1"/>
  <c r="S94"/>
  <c r="AC94" s="1"/>
  <c r="AK94" s="1"/>
  <c r="S95"/>
  <c r="AC95" s="1"/>
  <c r="AK95" s="1"/>
  <c r="S96"/>
  <c r="AC96" s="1"/>
  <c r="AK96" s="1"/>
  <c r="S97"/>
  <c r="AC97" s="1"/>
  <c r="AK97" s="1"/>
  <c r="S98"/>
  <c r="AC98" s="1"/>
  <c r="AK98" s="1"/>
  <c r="S99"/>
  <c r="AC99" s="1"/>
  <c r="AK99" s="1"/>
  <c r="S100"/>
  <c r="AC100" s="1"/>
  <c r="AK100" s="1"/>
  <c r="S101"/>
  <c r="AC101" s="1"/>
  <c r="AK101" s="1"/>
  <c r="S102"/>
  <c r="AC102" s="1"/>
  <c r="AK102" s="1"/>
  <c r="S103"/>
  <c r="AC103" s="1"/>
  <c r="AK103" s="1"/>
  <c r="S104"/>
  <c r="AC104" s="1"/>
  <c r="AK104" s="1"/>
  <c r="S107"/>
  <c r="AC107" s="1"/>
  <c r="AK107" s="1"/>
  <c r="S108"/>
  <c r="AC108" s="1"/>
  <c r="AK108" s="1"/>
  <c r="S135"/>
  <c r="AC135" s="1"/>
  <c r="AK135" s="1"/>
  <c r="S109"/>
  <c r="AC109" s="1"/>
  <c r="AK109" s="1"/>
  <c r="S110"/>
  <c r="AC110" s="1"/>
  <c r="AK110" s="1"/>
  <c r="S112"/>
  <c r="AC112" s="1"/>
  <c r="AK112" s="1"/>
  <c r="S113"/>
  <c r="AC113" s="1"/>
  <c r="AK113" s="1"/>
  <c r="S114"/>
  <c r="AC114" s="1"/>
  <c r="AK114" s="1"/>
  <c r="S115"/>
  <c r="AC115" s="1"/>
  <c r="AK115" s="1"/>
  <c r="S116"/>
  <c r="AC116" s="1"/>
  <c r="AK116" s="1"/>
  <c r="S117"/>
  <c r="AC117" s="1"/>
  <c r="AK117" s="1"/>
  <c r="S118"/>
  <c r="AC118" s="1"/>
  <c r="AK118" s="1"/>
  <c r="S120"/>
  <c r="AC120" s="1"/>
  <c r="AK120" s="1"/>
  <c r="S121"/>
  <c r="AC121" s="1"/>
  <c r="AK121" s="1"/>
  <c r="S122"/>
  <c r="AC122" s="1"/>
  <c r="AK122" s="1"/>
  <c r="S123"/>
  <c r="AC123" s="1"/>
  <c r="AK123" s="1"/>
  <c r="S124"/>
  <c r="AC124" s="1"/>
  <c r="AK124" s="1"/>
  <c r="S125"/>
  <c r="AC125" s="1"/>
  <c r="AK125" s="1"/>
  <c r="S126"/>
  <c r="AC126" s="1"/>
  <c r="AK126" s="1"/>
  <c r="S127"/>
  <c r="AC127" s="1"/>
  <c r="AK127" s="1"/>
  <c r="S129"/>
  <c r="AC129" s="1"/>
  <c r="AK129" s="1"/>
  <c r="S130"/>
  <c r="AC130" s="1"/>
  <c r="AK130" s="1"/>
  <c r="S131"/>
  <c r="AC131" s="1"/>
  <c r="AK131" s="1"/>
  <c r="S132"/>
  <c r="AC132" s="1"/>
  <c r="AK132" s="1"/>
  <c r="S138"/>
  <c r="AC138" s="1"/>
  <c r="AK138" s="1"/>
  <c r="S139"/>
  <c r="AC139" s="1"/>
  <c r="AK139" s="1"/>
  <c r="S140"/>
  <c r="AC140" s="1"/>
  <c r="AK140" s="1"/>
  <c r="S141"/>
  <c r="AC141" s="1"/>
  <c r="AK141" s="1"/>
  <c r="S142"/>
  <c r="AC142" s="1"/>
  <c r="AK142" s="1"/>
  <c r="S143"/>
  <c r="AC143" s="1"/>
  <c r="AK143" s="1"/>
  <c r="S144"/>
  <c r="AC144" s="1"/>
  <c r="AK144" s="1"/>
  <c r="S146"/>
  <c r="AC146" s="1"/>
  <c r="AK146" s="1"/>
  <c r="S147"/>
  <c r="AC147" s="1"/>
  <c r="AK147" s="1"/>
  <c r="S149"/>
  <c r="AC149" s="1"/>
  <c r="AK149" s="1"/>
  <c r="S150"/>
  <c r="AC150" s="1"/>
  <c r="AK150" s="1"/>
  <c r="S152"/>
  <c r="AC152" s="1"/>
  <c r="AK152" s="1"/>
  <c r="S153"/>
  <c r="AC153" s="1"/>
  <c r="AK153" s="1"/>
  <c r="S154"/>
  <c r="AC154" s="1"/>
  <c r="AK154" s="1"/>
  <c r="S155"/>
  <c r="AC155" s="1"/>
  <c r="AK155" s="1"/>
  <c r="S156"/>
  <c r="AC156" s="1"/>
  <c r="AK156" s="1"/>
  <c r="S157"/>
  <c r="AC157" s="1"/>
  <c r="AK157" s="1"/>
  <c r="S158"/>
  <c r="AC158" s="1"/>
  <c r="AK158" s="1"/>
  <c r="S159"/>
  <c r="AC159" s="1"/>
  <c r="AK159" s="1"/>
  <c r="S160"/>
  <c r="AC160" s="1"/>
  <c r="AK160" s="1"/>
  <c r="S161"/>
  <c r="AC161" s="1"/>
  <c r="AK161" s="1"/>
  <c r="S162"/>
  <c r="AC162" s="1"/>
  <c r="AK162" s="1"/>
  <c r="S163"/>
  <c r="AC163" s="1"/>
  <c r="AK163" s="1"/>
  <c r="S168"/>
  <c r="AC168" s="1"/>
  <c r="AK168" s="1"/>
  <c r="S170"/>
  <c r="AC170" s="1"/>
  <c r="AK170" s="1"/>
  <c r="S171"/>
  <c r="AC171" s="1"/>
  <c r="AK171" s="1"/>
  <c r="S172"/>
  <c r="AC172" s="1"/>
  <c r="AK172" s="1"/>
  <c r="S173"/>
  <c r="AC173" s="1"/>
  <c r="AK173" s="1"/>
  <c r="S174"/>
  <c r="AC174" s="1"/>
  <c r="AK174" s="1"/>
  <c r="S175"/>
  <c r="AC175" s="1"/>
  <c r="AK175" s="1"/>
  <c r="S176"/>
  <c r="AC176" s="1"/>
  <c r="AK176" s="1"/>
  <c r="S177"/>
  <c r="AC177" s="1"/>
  <c r="AK177" s="1"/>
  <c r="S178"/>
  <c r="AC178" s="1"/>
  <c r="AK178" s="1"/>
  <c r="S179"/>
  <c r="AC179" s="1"/>
  <c r="AK179" s="1"/>
  <c r="S180"/>
  <c r="AC180" s="1"/>
  <c r="AK180" s="1"/>
  <c r="S181"/>
  <c r="AC181" s="1"/>
  <c r="AK181" s="1"/>
  <c r="S182"/>
  <c r="AC182" s="1"/>
  <c r="AK182" s="1"/>
  <c r="S184"/>
  <c r="AC184" s="1"/>
  <c r="AK184" s="1"/>
  <c r="S187"/>
  <c r="AC187" s="1"/>
  <c r="AK187" s="1"/>
  <c r="S189"/>
  <c r="AC189" s="1"/>
  <c r="AK189" s="1"/>
  <c r="S190"/>
  <c r="AC190" s="1"/>
  <c r="AK190" s="1"/>
  <c r="S191"/>
  <c r="AC191" s="1"/>
  <c r="AK191" s="1"/>
  <c r="S192"/>
  <c r="AC192" s="1"/>
  <c r="AK192" s="1"/>
  <c r="S193"/>
  <c r="AC193" s="1"/>
  <c r="AK193" s="1"/>
  <c r="S194"/>
  <c r="AC194" s="1"/>
  <c r="AK194" s="1"/>
  <c r="S195"/>
  <c r="AC195" s="1"/>
  <c r="AK195" s="1"/>
  <c r="S196"/>
  <c r="AC196" s="1"/>
  <c r="AK196" s="1"/>
  <c r="S197"/>
  <c r="AC197" s="1"/>
  <c r="AK197" s="1"/>
  <c r="S198"/>
  <c r="AC198" s="1"/>
  <c r="AK198" s="1"/>
  <c r="S199"/>
  <c r="AC199" s="1"/>
  <c r="AK199" s="1"/>
  <c r="S200"/>
  <c r="AC200" s="1"/>
  <c r="AK200" s="1"/>
  <c r="S201"/>
  <c r="AC201" s="1"/>
  <c r="AK201" s="1"/>
  <c r="S204"/>
  <c r="AC204" s="1"/>
  <c r="AK204" s="1"/>
  <c r="S206"/>
  <c r="AC206" s="1"/>
  <c r="AK206" s="1"/>
  <c r="S208"/>
  <c r="AC208" s="1"/>
  <c r="AK208" s="1"/>
  <c r="S209"/>
  <c r="AC209" s="1"/>
  <c r="AK209" s="1"/>
  <c r="S210"/>
  <c r="AC210" s="1"/>
  <c r="AK210" s="1"/>
  <c r="S211"/>
  <c r="AC211" s="1"/>
  <c r="AK211" s="1"/>
  <c r="S213"/>
  <c r="AC213" s="1"/>
  <c r="AK213" s="1"/>
  <c r="S214"/>
  <c r="AC214" s="1"/>
  <c r="AK214" s="1"/>
  <c r="S215"/>
  <c r="AC215" s="1"/>
  <c r="AK215" s="1"/>
  <c r="S216"/>
  <c r="AC216" s="1"/>
  <c r="AK216" s="1"/>
  <c r="S219"/>
  <c r="AC219" s="1"/>
  <c r="AK219" s="1"/>
  <c r="S220"/>
  <c r="AC220" s="1"/>
  <c r="AK220" s="1"/>
  <c r="S221"/>
  <c r="AC221" s="1"/>
  <c r="AK221" s="1"/>
  <c r="S222"/>
  <c r="AC222" s="1"/>
  <c r="AK222" s="1"/>
  <c r="S223"/>
  <c r="AC223" s="1"/>
  <c r="AK223" s="1"/>
  <c r="S225"/>
  <c r="AC225" s="1"/>
  <c r="AK225" s="1"/>
  <c r="S226"/>
  <c r="AC226" s="1"/>
  <c r="AK226" s="1"/>
  <c r="S227"/>
  <c r="AC227" s="1"/>
  <c r="AK227" s="1"/>
  <c r="S228"/>
  <c r="AC228" s="1"/>
  <c r="AK228" s="1"/>
  <c r="S229"/>
  <c r="AC229" s="1"/>
  <c r="AK229" s="1"/>
  <c r="S230"/>
  <c r="AC230" s="1"/>
  <c r="AK230" s="1"/>
  <c r="S231"/>
  <c r="AC231" s="1"/>
  <c r="AK231" s="1"/>
  <c r="S3"/>
  <c r="AJ181" l="1"/>
  <c r="AJ62"/>
  <c r="AJ208"/>
  <c r="AJ192"/>
  <c r="AJ176"/>
  <c r="AJ159"/>
  <c r="AJ144"/>
  <c r="AJ126"/>
  <c r="AJ113"/>
  <c r="AJ99"/>
  <c r="AJ83"/>
  <c r="AJ69"/>
  <c r="AJ57"/>
  <c r="AJ44"/>
  <c r="AJ31"/>
  <c r="AJ17"/>
  <c r="AJ175"/>
  <c r="AJ98"/>
  <c r="AJ16"/>
  <c r="AJ204"/>
  <c r="AJ190"/>
  <c r="AJ174"/>
  <c r="AJ157"/>
  <c r="AJ142"/>
  <c r="AJ124"/>
  <c r="AJ110"/>
  <c r="AJ97"/>
  <c r="AJ80"/>
  <c r="AJ67"/>
  <c r="AJ54"/>
  <c r="AJ42"/>
  <c r="AJ29"/>
  <c r="AJ15"/>
  <c r="AJ158"/>
  <c r="AJ81"/>
  <c r="AJ55"/>
  <c r="AJ201"/>
  <c r="AJ189"/>
  <c r="AJ173"/>
  <c r="AJ156"/>
  <c r="AJ141"/>
  <c r="AJ123"/>
  <c r="AJ109"/>
  <c r="AJ96"/>
  <c r="AJ79"/>
  <c r="AJ66"/>
  <c r="AJ53"/>
  <c r="AJ41"/>
  <c r="AJ28"/>
  <c r="AJ14"/>
  <c r="AJ191"/>
  <c r="AJ125"/>
  <c r="AJ68"/>
  <c r="AJ200"/>
  <c r="AJ187"/>
  <c r="AJ172"/>
  <c r="AJ155"/>
  <c r="AJ140"/>
  <c r="AJ122"/>
  <c r="AJ135"/>
  <c r="AJ95"/>
  <c r="AJ78"/>
  <c r="AJ65"/>
  <c r="AJ52"/>
  <c r="AJ40"/>
  <c r="AJ27"/>
  <c r="AJ13"/>
  <c r="AJ206"/>
  <c r="AJ112"/>
  <c r="AJ43"/>
  <c r="AJ199"/>
  <c r="AJ184"/>
  <c r="AJ171"/>
  <c r="AJ154"/>
  <c r="AJ139"/>
  <c r="AJ121"/>
  <c r="AJ108"/>
  <c r="AJ94"/>
  <c r="AJ77"/>
  <c r="AJ64"/>
  <c r="AJ51"/>
  <c r="AJ38"/>
  <c r="AJ26"/>
  <c r="AJ12"/>
  <c r="AJ143"/>
  <c r="AJ30"/>
  <c r="AJ198"/>
  <c r="AJ182"/>
  <c r="AJ170"/>
  <c r="AJ153"/>
  <c r="AJ138"/>
  <c r="AJ120"/>
  <c r="AJ107"/>
  <c r="AJ93"/>
  <c r="AJ76"/>
  <c r="AJ63"/>
  <c r="AJ50"/>
  <c r="AJ37"/>
  <c r="AJ25"/>
  <c r="AJ10"/>
  <c r="AJ152"/>
  <c r="AJ91"/>
  <c r="AJ49"/>
  <c r="AJ196"/>
  <c r="AJ180"/>
  <c r="AJ163"/>
  <c r="AJ150"/>
  <c r="AJ131"/>
  <c r="AJ117"/>
  <c r="AJ103"/>
  <c r="AJ90"/>
  <c r="AJ74"/>
  <c r="AJ61"/>
  <c r="AJ48"/>
  <c r="AJ35"/>
  <c r="AJ23"/>
  <c r="AJ8"/>
  <c r="AJ197"/>
  <c r="AJ132"/>
  <c r="AJ75"/>
  <c r="AJ24"/>
  <c r="AJ195"/>
  <c r="AJ179"/>
  <c r="AJ162"/>
  <c r="AJ149"/>
  <c r="AJ130"/>
  <c r="AJ116"/>
  <c r="AJ102"/>
  <c r="AJ86"/>
  <c r="AJ72"/>
  <c r="AJ60"/>
  <c r="AJ47"/>
  <c r="AJ34"/>
  <c r="AJ22"/>
  <c r="AJ7"/>
  <c r="AJ168"/>
  <c r="AJ104"/>
  <c r="AJ36"/>
  <c r="AJ194"/>
  <c r="AJ178"/>
  <c r="AJ161"/>
  <c r="AJ147"/>
  <c r="AJ129"/>
  <c r="AJ115"/>
  <c r="AJ101"/>
  <c r="AJ85"/>
  <c r="AJ71"/>
  <c r="AJ59"/>
  <c r="AJ46"/>
  <c r="AJ33"/>
  <c r="AJ20"/>
  <c r="AJ5"/>
  <c r="AJ118"/>
  <c r="AJ9"/>
  <c r="AJ209"/>
  <c r="AJ193"/>
  <c r="AJ177"/>
  <c r="AJ160"/>
  <c r="AJ146"/>
  <c r="AJ127"/>
  <c r="AJ114"/>
  <c r="AJ100"/>
  <c r="AJ84"/>
  <c r="AJ70"/>
  <c r="AJ58"/>
  <c r="AJ45"/>
  <c r="AJ32"/>
  <c r="AJ18"/>
  <c r="AJ4"/>
  <c r="AJ223"/>
  <c r="AJ221"/>
  <c r="AJ225"/>
  <c r="AJ219"/>
  <c r="AJ222"/>
  <c r="AJ231"/>
  <c r="AJ216"/>
  <c r="AJ215"/>
  <c r="AJ229"/>
  <c r="AJ214"/>
  <c r="AJ213"/>
  <c r="AJ228"/>
  <c r="AJ227"/>
  <c r="AJ211"/>
  <c r="AJ220"/>
  <c r="AJ230"/>
  <c r="AJ226"/>
  <c r="AJ210"/>
  <c r="S250"/>
  <c r="AA295" i="3"/>
  <c r="Z295"/>
  <c r="Y295"/>
  <c r="W295"/>
  <c r="T295"/>
  <c r="R295"/>
  <c r="P295"/>
  <c r="O295"/>
  <c r="N295"/>
  <c r="M295"/>
  <c r="L295"/>
  <c r="J295"/>
  <c r="I295"/>
  <c r="H295"/>
  <c r="X294"/>
  <c r="V294"/>
  <c r="Q294"/>
  <c r="S294" s="1"/>
  <c r="K294"/>
  <c r="X293"/>
  <c r="V293"/>
  <c r="Q293"/>
  <c r="S293" s="1"/>
  <c r="K293"/>
  <c r="X292"/>
  <c r="V292"/>
  <c r="Q292"/>
  <c r="S292" s="1"/>
  <c r="K292"/>
  <c r="X291"/>
  <c r="V291"/>
  <c r="Q291"/>
  <c r="K291"/>
  <c r="X290"/>
  <c r="V290"/>
  <c r="Q290"/>
  <c r="S290" s="1"/>
  <c r="K290"/>
  <c r="X289"/>
  <c r="V289"/>
  <c r="Q289"/>
  <c r="S289" s="1"/>
  <c r="K289"/>
  <c r="X288"/>
  <c r="V288"/>
  <c r="Q288"/>
  <c r="S288" s="1"/>
  <c r="K288"/>
  <c r="X287"/>
  <c r="V287"/>
  <c r="Q287"/>
  <c r="S287" s="1"/>
  <c r="K287"/>
  <c r="X286"/>
  <c r="V286"/>
  <c r="Q286"/>
  <c r="S286" s="1"/>
  <c r="K286"/>
  <c r="X285"/>
  <c r="V285"/>
  <c r="Q285"/>
  <c r="S285" s="1"/>
  <c r="K285"/>
  <c r="X284"/>
  <c r="V284"/>
  <c r="Q284"/>
  <c r="S284" s="1"/>
  <c r="K284"/>
  <c r="X283"/>
  <c r="V283"/>
  <c r="Q283"/>
  <c r="S283" s="1"/>
  <c r="K283"/>
  <c r="X282"/>
  <c r="V282"/>
  <c r="Q282"/>
  <c r="K282"/>
  <c r="X281"/>
  <c r="V281"/>
  <c r="Q281"/>
  <c r="S281" s="1"/>
  <c r="K281"/>
  <c r="X280"/>
  <c r="V280"/>
  <c r="Q280"/>
  <c r="S280" s="1"/>
  <c r="K280"/>
  <c r="X279"/>
  <c r="V279"/>
  <c r="Q279"/>
  <c r="S279" s="1"/>
  <c r="K279"/>
  <c r="X278"/>
  <c r="V278"/>
  <c r="Q278"/>
  <c r="S278" s="1"/>
  <c r="K278"/>
  <c r="X277"/>
  <c r="V277"/>
  <c r="Q277"/>
  <c r="S277" s="1"/>
  <c r="K277"/>
  <c r="X276"/>
  <c r="V276"/>
  <c r="Q276"/>
  <c r="S276" s="1"/>
  <c r="K276"/>
  <c r="X275"/>
  <c r="V275"/>
  <c r="Q275"/>
  <c r="S275" s="1"/>
  <c r="K275"/>
  <c r="X274"/>
  <c r="V274"/>
  <c r="Q274"/>
  <c r="S274" s="1"/>
  <c r="K274"/>
  <c r="X273"/>
  <c r="V273"/>
  <c r="Q273"/>
  <c r="S273" s="1"/>
  <c r="K273"/>
  <c r="X272"/>
  <c r="V272"/>
  <c r="Q272"/>
  <c r="S272" s="1"/>
  <c r="K272"/>
  <c r="X271"/>
  <c r="V271"/>
  <c r="Q271"/>
  <c r="K271"/>
  <c r="X270"/>
  <c r="V270"/>
  <c r="Q270"/>
  <c r="S270" s="1"/>
  <c r="K270"/>
  <c r="X269"/>
  <c r="V269"/>
  <c r="Q269"/>
  <c r="S269" s="1"/>
  <c r="K269"/>
  <c r="X268"/>
  <c r="V268"/>
  <c r="Q268"/>
  <c r="S268" s="1"/>
  <c r="K268"/>
  <c r="X267"/>
  <c r="V267"/>
  <c r="Q267"/>
  <c r="S267" s="1"/>
  <c r="K267"/>
  <c r="X266"/>
  <c r="V266"/>
  <c r="Q266"/>
  <c r="S266" s="1"/>
  <c r="K266"/>
  <c r="X265"/>
  <c r="V265"/>
  <c r="Q265"/>
  <c r="S265" s="1"/>
  <c r="K265"/>
  <c r="X264"/>
  <c r="V264"/>
  <c r="Q264"/>
  <c r="S264" s="1"/>
  <c r="K264"/>
  <c r="X263"/>
  <c r="V263"/>
  <c r="Q263"/>
  <c r="S263" s="1"/>
  <c r="K263"/>
  <c r="X262"/>
  <c r="V262"/>
  <c r="Q262"/>
  <c r="S262" s="1"/>
  <c r="K262"/>
  <c r="X261"/>
  <c r="V261"/>
  <c r="Q261"/>
  <c r="S261" s="1"/>
  <c r="K261"/>
  <c r="X260"/>
  <c r="V260"/>
  <c r="Q260"/>
  <c r="S260" s="1"/>
  <c r="K260"/>
  <c r="X259"/>
  <c r="V259"/>
  <c r="Q259"/>
  <c r="K259"/>
  <c r="X258"/>
  <c r="V258"/>
  <c r="Q258"/>
  <c r="S258" s="1"/>
  <c r="K258"/>
  <c r="X257"/>
  <c r="V257"/>
  <c r="Q257"/>
  <c r="S257" s="1"/>
  <c r="K257"/>
  <c r="X256"/>
  <c r="V256"/>
  <c r="Q256"/>
  <c r="S256" s="1"/>
  <c r="K256"/>
  <c r="X255"/>
  <c r="V255"/>
  <c r="Q255"/>
  <c r="S255" s="1"/>
  <c r="K255"/>
  <c r="X254"/>
  <c r="V254"/>
  <c r="Q254"/>
  <c r="S254" s="1"/>
  <c r="K254"/>
  <c r="X253"/>
  <c r="V253"/>
  <c r="Q253"/>
  <c r="S253" s="1"/>
  <c r="K253"/>
  <c r="X252"/>
  <c r="V252"/>
  <c r="Q252"/>
  <c r="S252" s="1"/>
  <c r="K252"/>
  <c r="X251"/>
  <c r="V251"/>
  <c r="Q251"/>
  <c r="S251" s="1"/>
  <c r="K251"/>
  <c r="X250"/>
  <c r="V250"/>
  <c r="Q250"/>
  <c r="K250"/>
  <c r="X249"/>
  <c r="V249"/>
  <c r="Q249"/>
  <c r="S249" s="1"/>
  <c r="K249"/>
  <c r="X248"/>
  <c r="V248"/>
  <c r="Q248"/>
  <c r="S248" s="1"/>
  <c r="K248"/>
  <c r="X247"/>
  <c r="V247"/>
  <c r="Q247"/>
  <c r="S247" s="1"/>
  <c r="K247"/>
  <c r="X246"/>
  <c r="V246"/>
  <c r="Q246"/>
  <c r="S246" s="1"/>
  <c r="K246"/>
  <c r="X245"/>
  <c r="V245"/>
  <c r="Q245"/>
  <c r="S245" s="1"/>
  <c r="K245"/>
  <c r="X244"/>
  <c r="V244"/>
  <c r="Q244"/>
  <c r="S244" s="1"/>
  <c r="K244"/>
  <c r="X243"/>
  <c r="V243"/>
  <c r="Q243"/>
  <c r="S243" s="1"/>
  <c r="K243"/>
  <c r="X242"/>
  <c r="V242"/>
  <c r="Q242"/>
  <c r="S242" s="1"/>
  <c r="K242"/>
  <c r="X241"/>
  <c r="V241"/>
  <c r="Q241"/>
  <c r="S241" s="1"/>
  <c r="K241"/>
  <c r="X240"/>
  <c r="V240"/>
  <c r="Q240"/>
  <c r="S240" s="1"/>
  <c r="K240"/>
  <c r="X239"/>
  <c r="V239"/>
  <c r="Q239"/>
  <c r="K239"/>
  <c r="X238"/>
  <c r="V238"/>
  <c r="Q238"/>
  <c r="S238" s="1"/>
  <c r="K238"/>
  <c r="X237"/>
  <c r="V237"/>
  <c r="Q237"/>
  <c r="S237" s="1"/>
  <c r="K237"/>
  <c r="X236"/>
  <c r="V236"/>
  <c r="Q236"/>
  <c r="S236" s="1"/>
  <c r="K236"/>
  <c r="X235"/>
  <c r="V235"/>
  <c r="Q235"/>
  <c r="S235" s="1"/>
  <c r="K235"/>
  <c r="X234"/>
  <c r="V234"/>
  <c r="Q234"/>
  <c r="S234" s="1"/>
  <c r="K234"/>
  <c r="X233"/>
  <c r="V233"/>
  <c r="Q233"/>
  <c r="S233" s="1"/>
  <c r="K233"/>
  <c r="X232"/>
  <c r="V232"/>
  <c r="Q232"/>
  <c r="S232" s="1"/>
  <c r="K232"/>
  <c r="X231"/>
  <c r="V231"/>
  <c r="Q231"/>
  <c r="S231" s="1"/>
  <c r="K231"/>
  <c r="X230"/>
  <c r="V230"/>
  <c r="Q230"/>
  <c r="S230" s="1"/>
  <c r="K230"/>
  <c r="X229"/>
  <c r="V229"/>
  <c r="Q229"/>
  <c r="S229" s="1"/>
  <c r="K229"/>
  <c r="X228"/>
  <c r="V228"/>
  <c r="Q228"/>
  <c r="S228" s="1"/>
  <c r="K228"/>
  <c r="X227"/>
  <c r="V227"/>
  <c r="Q227"/>
  <c r="K227"/>
  <c r="X226"/>
  <c r="V226"/>
  <c r="Q226"/>
  <c r="S226" s="1"/>
  <c r="K226"/>
  <c r="X225"/>
  <c r="V225"/>
  <c r="Q225"/>
  <c r="S225" s="1"/>
  <c r="K225"/>
  <c r="X224"/>
  <c r="V224"/>
  <c r="Q224"/>
  <c r="S224" s="1"/>
  <c r="K224"/>
  <c r="X223"/>
  <c r="V223"/>
  <c r="Q223"/>
  <c r="S223" s="1"/>
  <c r="K223"/>
  <c r="X222"/>
  <c r="V222"/>
  <c r="Q222"/>
  <c r="S222" s="1"/>
  <c r="K222"/>
  <c r="X221"/>
  <c r="V221"/>
  <c r="Q221"/>
  <c r="S221" s="1"/>
  <c r="K221"/>
  <c r="X220"/>
  <c r="V220"/>
  <c r="Q220"/>
  <c r="S220" s="1"/>
  <c r="K220"/>
  <c r="X219"/>
  <c r="V219"/>
  <c r="Q219"/>
  <c r="S219" s="1"/>
  <c r="K219"/>
  <c r="X218"/>
  <c r="V218"/>
  <c r="Q218"/>
  <c r="S218" s="1"/>
  <c r="K218"/>
  <c r="X217"/>
  <c r="V217"/>
  <c r="Q217"/>
  <c r="S217" s="1"/>
  <c r="K217"/>
  <c r="X216"/>
  <c r="V216"/>
  <c r="Q216"/>
  <c r="S216" s="1"/>
  <c r="K216"/>
  <c r="X215"/>
  <c r="V215"/>
  <c r="Q215"/>
  <c r="S215" s="1"/>
  <c r="K215"/>
  <c r="X214"/>
  <c r="V214"/>
  <c r="Q214"/>
  <c r="S214" s="1"/>
  <c r="K214"/>
  <c r="X213"/>
  <c r="V213"/>
  <c r="Q213"/>
  <c r="S213" s="1"/>
  <c r="K213"/>
  <c r="X212"/>
  <c r="V212"/>
  <c r="Q212"/>
  <c r="S212" s="1"/>
  <c r="K212"/>
  <c r="X211"/>
  <c r="V211"/>
  <c r="Q211"/>
  <c r="S211" s="1"/>
  <c r="K211"/>
  <c r="X210"/>
  <c r="V210"/>
  <c r="Q210"/>
  <c r="S210" s="1"/>
  <c r="K210"/>
  <c r="X209"/>
  <c r="V209"/>
  <c r="Q209"/>
  <c r="S209" s="1"/>
  <c r="K209"/>
  <c r="X208"/>
  <c r="V208"/>
  <c r="Q208"/>
  <c r="S208" s="1"/>
  <c r="K208"/>
  <c r="X207"/>
  <c r="V207"/>
  <c r="Q207"/>
  <c r="K207"/>
  <c r="X206"/>
  <c r="V206"/>
  <c r="Q206"/>
  <c r="S206" s="1"/>
  <c r="K206"/>
  <c r="X205"/>
  <c r="V205"/>
  <c r="Q205"/>
  <c r="S205" s="1"/>
  <c r="K205"/>
  <c r="X204"/>
  <c r="V204"/>
  <c r="Q204"/>
  <c r="S204" s="1"/>
  <c r="K204"/>
  <c r="X203"/>
  <c r="V203"/>
  <c r="Q203"/>
  <c r="S203" s="1"/>
  <c r="K203"/>
  <c r="X202"/>
  <c r="V202"/>
  <c r="Q202"/>
  <c r="S202" s="1"/>
  <c r="K202"/>
  <c r="X201"/>
  <c r="V201"/>
  <c r="Q201"/>
  <c r="S201" s="1"/>
  <c r="K201"/>
  <c r="X200"/>
  <c r="V200"/>
  <c r="Q200"/>
  <c r="S200" s="1"/>
  <c r="K200"/>
  <c r="X199"/>
  <c r="V199"/>
  <c r="Q199"/>
  <c r="S199" s="1"/>
  <c r="K199"/>
  <c r="X198"/>
  <c r="V198"/>
  <c r="Q198"/>
  <c r="S198" s="1"/>
  <c r="K198"/>
  <c r="X197"/>
  <c r="V197"/>
  <c r="Q197"/>
  <c r="S197" s="1"/>
  <c r="K197"/>
  <c r="X196"/>
  <c r="V196"/>
  <c r="Q196"/>
  <c r="S196" s="1"/>
  <c r="K196"/>
  <c r="X195"/>
  <c r="V195"/>
  <c r="Q195"/>
  <c r="K195"/>
  <c r="X194"/>
  <c r="V194"/>
  <c r="Q194"/>
  <c r="S194" s="1"/>
  <c r="K194"/>
  <c r="X193"/>
  <c r="V193"/>
  <c r="Q193"/>
  <c r="S193" s="1"/>
  <c r="K193"/>
  <c r="X192"/>
  <c r="V192"/>
  <c r="Q192"/>
  <c r="S192" s="1"/>
  <c r="K192"/>
  <c r="X191"/>
  <c r="V191"/>
  <c r="Q191"/>
  <c r="S191" s="1"/>
  <c r="K191"/>
  <c r="X190"/>
  <c r="V190"/>
  <c r="Q190"/>
  <c r="S190" s="1"/>
  <c r="K190"/>
  <c r="X189"/>
  <c r="V189"/>
  <c r="Q189"/>
  <c r="S189" s="1"/>
  <c r="K189"/>
  <c r="X188"/>
  <c r="V188"/>
  <c r="Q188"/>
  <c r="S188" s="1"/>
  <c r="K188"/>
  <c r="X187"/>
  <c r="V187"/>
  <c r="Q187"/>
  <c r="S187" s="1"/>
  <c r="K187"/>
  <c r="X186"/>
  <c r="V186"/>
  <c r="Q186"/>
  <c r="S186" s="1"/>
  <c r="K186"/>
  <c r="X185"/>
  <c r="V185"/>
  <c r="Q185"/>
  <c r="S185" s="1"/>
  <c r="K185"/>
  <c r="X184"/>
  <c r="V184"/>
  <c r="Q184"/>
  <c r="S184" s="1"/>
  <c r="K184"/>
  <c r="X183"/>
  <c r="V183"/>
  <c r="Q183"/>
  <c r="S183" s="1"/>
  <c r="K183"/>
  <c r="X182"/>
  <c r="V182"/>
  <c r="Q182"/>
  <c r="S182" s="1"/>
  <c r="K182"/>
  <c r="X181"/>
  <c r="V181"/>
  <c r="Q181"/>
  <c r="S181" s="1"/>
  <c r="K181"/>
  <c r="X180"/>
  <c r="V180"/>
  <c r="Q180"/>
  <c r="S180" s="1"/>
  <c r="K180"/>
  <c r="X179"/>
  <c r="V179"/>
  <c r="Q179"/>
  <c r="S179" s="1"/>
  <c r="K179"/>
  <c r="X178"/>
  <c r="V178"/>
  <c r="Q178"/>
  <c r="S178" s="1"/>
  <c r="K178"/>
  <c r="X177"/>
  <c r="V177"/>
  <c r="Q177"/>
  <c r="S177" s="1"/>
  <c r="K177"/>
  <c r="X176"/>
  <c r="V176"/>
  <c r="Q176"/>
  <c r="S176" s="1"/>
  <c r="K176"/>
  <c r="X175"/>
  <c r="V175"/>
  <c r="Q175"/>
  <c r="K175"/>
  <c r="X174"/>
  <c r="V174"/>
  <c r="Q174"/>
  <c r="S174" s="1"/>
  <c r="K174"/>
  <c r="X173"/>
  <c r="V173"/>
  <c r="Q173"/>
  <c r="S173" s="1"/>
  <c r="K173"/>
  <c r="X172"/>
  <c r="V172"/>
  <c r="Q172"/>
  <c r="S172" s="1"/>
  <c r="K172"/>
  <c r="X171"/>
  <c r="V171"/>
  <c r="Q171"/>
  <c r="S171" s="1"/>
  <c r="K171"/>
  <c r="X170"/>
  <c r="V170"/>
  <c r="Q170"/>
  <c r="S170" s="1"/>
  <c r="K170"/>
  <c r="X169"/>
  <c r="V169"/>
  <c r="Q169"/>
  <c r="S169" s="1"/>
  <c r="K169"/>
  <c r="X168"/>
  <c r="V168"/>
  <c r="Q168"/>
  <c r="S168" s="1"/>
  <c r="K168"/>
  <c r="X167"/>
  <c r="V167"/>
  <c r="Q167"/>
  <c r="S167" s="1"/>
  <c r="K167"/>
  <c r="X166"/>
  <c r="V166"/>
  <c r="Q166"/>
  <c r="S166" s="1"/>
  <c r="K166"/>
  <c r="X165"/>
  <c r="V165"/>
  <c r="Q165"/>
  <c r="S165" s="1"/>
  <c r="K165"/>
  <c r="X164"/>
  <c r="V164"/>
  <c r="Q164"/>
  <c r="S164" s="1"/>
  <c r="K164"/>
  <c r="X163"/>
  <c r="V163"/>
  <c r="Q163"/>
  <c r="K163"/>
  <c r="X162"/>
  <c r="V162"/>
  <c r="Q162"/>
  <c r="S162" s="1"/>
  <c r="K162"/>
  <c r="X161"/>
  <c r="V161"/>
  <c r="Q161"/>
  <c r="S161" s="1"/>
  <c r="K161"/>
  <c r="X160"/>
  <c r="V160"/>
  <c r="Q160"/>
  <c r="S160" s="1"/>
  <c r="K160"/>
  <c r="X159"/>
  <c r="V159"/>
  <c r="Q159"/>
  <c r="S159" s="1"/>
  <c r="K159"/>
  <c r="X158"/>
  <c r="V158"/>
  <c r="Q158"/>
  <c r="S158" s="1"/>
  <c r="K158"/>
  <c r="X157"/>
  <c r="V157"/>
  <c r="Q157"/>
  <c r="S157" s="1"/>
  <c r="K157"/>
  <c r="X156"/>
  <c r="V156"/>
  <c r="Q156"/>
  <c r="S156" s="1"/>
  <c r="K156"/>
  <c r="X155"/>
  <c r="V155"/>
  <c r="Q155"/>
  <c r="S155" s="1"/>
  <c r="K155"/>
  <c r="X154"/>
  <c r="V154"/>
  <c r="Q154"/>
  <c r="S154" s="1"/>
  <c r="K154"/>
  <c r="X153"/>
  <c r="V153"/>
  <c r="Q153"/>
  <c r="S153" s="1"/>
  <c r="K153"/>
  <c r="X152"/>
  <c r="V152"/>
  <c r="Q152"/>
  <c r="S152" s="1"/>
  <c r="K152"/>
  <c r="X151"/>
  <c r="V151"/>
  <c r="Q151"/>
  <c r="S151" s="1"/>
  <c r="K151"/>
  <c r="X150"/>
  <c r="V150"/>
  <c r="Q150"/>
  <c r="S150" s="1"/>
  <c r="K150"/>
  <c r="X149"/>
  <c r="V149"/>
  <c r="Q149"/>
  <c r="S149" s="1"/>
  <c r="K149"/>
  <c r="X148"/>
  <c r="V148"/>
  <c r="Q148"/>
  <c r="S148" s="1"/>
  <c r="K148"/>
  <c r="X147"/>
  <c r="V147"/>
  <c r="Q147"/>
  <c r="S147" s="1"/>
  <c r="K147"/>
  <c r="X146"/>
  <c r="V146"/>
  <c r="Q146"/>
  <c r="S146" s="1"/>
  <c r="K146"/>
  <c r="X145"/>
  <c r="V145"/>
  <c r="Q145"/>
  <c r="S145" s="1"/>
  <c r="K145"/>
  <c r="X144"/>
  <c r="V144"/>
  <c r="Q144"/>
  <c r="S144" s="1"/>
  <c r="K144"/>
  <c r="X143"/>
  <c r="V143"/>
  <c r="Q143"/>
  <c r="K143"/>
  <c r="X142"/>
  <c r="V142"/>
  <c r="Q142"/>
  <c r="S142" s="1"/>
  <c r="K142"/>
  <c r="X141"/>
  <c r="V141"/>
  <c r="Q141"/>
  <c r="S141" s="1"/>
  <c r="K141"/>
  <c r="X140"/>
  <c r="V140"/>
  <c r="Q140"/>
  <c r="S140" s="1"/>
  <c r="K140"/>
  <c r="X139"/>
  <c r="V139"/>
  <c r="Q139"/>
  <c r="S139" s="1"/>
  <c r="K139"/>
  <c r="X138"/>
  <c r="V138"/>
  <c r="Q138"/>
  <c r="S138" s="1"/>
  <c r="K138"/>
  <c r="X137"/>
  <c r="V137"/>
  <c r="Q137"/>
  <c r="S137" s="1"/>
  <c r="K137"/>
  <c r="X136"/>
  <c r="V136"/>
  <c r="Q136"/>
  <c r="S136" s="1"/>
  <c r="K136"/>
  <c r="X135"/>
  <c r="V135"/>
  <c r="Q135"/>
  <c r="S135" s="1"/>
  <c r="K135"/>
  <c r="X134"/>
  <c r="V134"/>
  <c r="Q134"/>
  <c r="S134" s="1"/>
  <c r="K134"/>
  <c r="X133"/>
  <c r="V133"/>
  <c r="Q133"/>
  <c r="S133" s="1"/>
  <c r="K133"/>
  <c r="X132"/>
  <c r="V132"/>
  <c r="Q132"/>
  <c r="S132" s="1"/>
  <c r="K132"/>
  <c r="X131"/>
  <c r="V131"/>
  <c r="Q131"/>
  <c r="K131"/>
  <c r="X130"/>
  <c r="V130"/>
  <c r="Q130"/>
  <c r="S130" s="1"/>
  <c r="K130"/>
  <c r="X129"/>
  <c r="V129"/>
  <c r="Q129"/>
  <c r="S129" s="1"/>
  <c r="K129"/>
  <c r="X128"/>
  <c r="V128"/>
  <c r="Q128"/>
  <c r="S128" s="1"/>
  <c r="K128"/>
  <c r="X127"/>
  <c r="V127"/>
  <c r="Q127"/>
  <c r="S127" s="1"/>
  <c r="K127"/>
  <c r="X126"/>
  <c r="V126"/>
  <c r="Q126"/>
  <c r="S126" s="1"/>
  <c r="K126"/>
  <c r="X125"/>
  <c r="V125"/>
  <c r="Q125"/>
  <c r="S125" s="1"/>
  <c r="K125"/>
  <c r="X124"/>
  <c r="V124"/>
  <c r="Q124"/>
  <c r="S124" s="1"/>
  <c r="K124"/>
  <c r="X123"/>
  <c r="V123"/>
  <c r="Q123"/>
  <c r="S123" s="1"/>
  <c r="K123"/>
  <c r="X122"/>
  <c r="V122"/>
  <c r="Q122"/>
  <c r="S122" s="1"/>
  <c r="K122"/>
  <c r="X121"/>
  <c r="V121"/>
  <c r="Q121"/>
  <c r="S121" s="1"/>
  <c r="K121"/>
  <c r="X120"/>
  <c r="V120"/>
  <c r="Q120"/>
  <c r="S120" s="1"/>
  <c r="K120"/>
  <c r="X119"/>
  <c r="V119"/>
  <c r="Q119"/>
  <c r="S119" s="1"/>
  <c r="K119"/>
  <c r="X118"/>
  <c r="V118"/>
  <c r="Q118"/>
  <c r="S118" s="1"/>
  <c r="K118"/>
  <c r="X117"/>
  <c r="V117"/>
  <c r="Q117"/>
  <c r="S117" s="1"/>
  <c r="K117"/>
  <c r="X116"/>
  <c r="V116"/>
  <c r="Q116"/>
  <c r="S116" s="1"/>
  <c r="K116"/>
  <c r="X115"/>
  <c r="V115"/>
  <c r="Q115"/>
  <c r="S115" s="1"/>
  <c r="K115"/>
  <c r="X114"/>
  <c r="V114"/>
  <c r="Q114"/>
  <c r="S114" s="1"/>
  <c r="K114"/>
  <c r="X113"/>
  <c r="V113"/>
  <c r="Q113"/>
  <c r="S113" s="1"/>
  <c r="K113"/>
  <c r="X112"/>
  <c r="V112"/>
  <c r="Q112"/>
  <c r="S112" s="1"/>
  <c r="K112"/>
  <c r="X111"/>
  <c r="V111"/>
  <c r="Q111"/>
  <c r="K111"/>
  <c r="X110"/>
  <c r="V110"/>
  <c r="Q110"/>
  <c r="S110" s="1"/>
  <c r="K110"/>
  <c r="X109"/>
  <c r="V109"/>
  <c r="Q109"/>
  <c r="S109" s="1"/>
  <c r="K109"/>
  <c r="X108"/>
  <c r="V108"/>
  <c r="Q108"/>
  <c r="S108" s="1"/>
  <c r="K108"/>
  <c r="X107"/>
  <c r="V107"/>
  <c r="Q107"/>
  <c r="S107" s="1"/>
  <c r="K107"/>
  <c r="X106"/>
  <c r="V106"/>
  <c r="Q106"/>
  <c r="S106" s="1"/>
  <c r="K106"/>
  <c r="X105"/>
  <c r="V105"/>
  <c r="Q105"/>
  <c r="S105" s="1"/>
  <c r="K105"/>
  <c r="X104"/>
  <c r="V104"/>
  <c r="Q104"/>
  <c r="S104" s="1"/>
  <c r="K104"/>
  <c r="X103"/>
  <c r="V103"/>
  <c r="Q103"/>
  <c r="S103" s="1"/>
  <c r="K103"/>
  <c r="X102"/>
  <c r="V102"/>
  <c r="Q102"/>
  <c r="S102" s="1"/>
  <c r="K102"/>
  <c r="X101"/>
  <c r="V101"/>
  <c r="Q101"/>
  <c r="S101" s="1"/>
  <c r="K101"/>
  <c r="X100"/>
  <c r="V100"/>
  <c r="Q100"/>
  <c r="S100" s="1"/>
  <c r="K100"/>
  <c r="X99"/>
  <c r="V99"/>
  <c r="Q99"/>
  <c r="K99"/>
  <c r="X98"/>
  <c r="V98"/>
  <c r="Q98"/>
  <c r="S98" s="1"/>
  <c r="K98"/>
  <c r="X97"/>
  <c r="V97"/>
  <c r="Q97"/>
  <c r="S97" s="1"/>
  <c r="K97"/>
  <c r="X96"/>
  <c r="V96"/>
  <c r="Q96"/>
  <c r="S96" s="1"/>
  <c r="K96"/>
  <c r="X95"/>
  <c r="V95"/>
  <c r="Q95"/>
  <c r="S95" s="1"/>
  <c r="K95"/>
  <c r="X94"/>
  <c r="V94"/>
  <c r="Q94"/>
  <c r="S94" s="1"/>
  <c r="K94"/>
  <c r="X93"/>
  <c r="V93"/>
  <c r="Q93"/>
  <c r="S93" s="1"/>
  <c r="K93"/>
  <c r="X92"/>
  <c r="V92"/>
  <c r="Q92"/>
  <c r="S92" s="1"/>
  <c r="K92"/>
  <c r="X91"/>
  <c r="V91"/>
  <c r="Q91"/>
  <c r="S91" s="1"/>
  <c r="K91"/>
  <c r="X90"/>
  <c r="V90"/>
  <c r="Q90"/>
  <c r="S90" s="1"/>
  <c r="K90"/>
  <c r="X89"/>
  <c r="V89"/>
  <c r="Q89"/>
  <c r="S89" s="1"/>
  <c r="K89"/>
  <c r="X88"/>
  <c r="V88"/>
  <c r="Q88"/>
  <c r="S88" s="1"/>
  <c r="K88"/>
  <c r="X87"/>
  <c r="V87"/>
  <c r="Q87"/>
  <c r="S87" s="1"/>
  <c r="K87"/>
  <c r="X86"/>
  <c r="V86"/>
  <c r="Q86"/>
  <c r="S86" s="1"/>
  <c r="K86"/>
  <c r="X85"/>
  <c r="V85"/>
  <c r="Q85"/>
  <c r="S85" s="1"/>
  <c r="K85"/>
  <c r="X84"/>
  <c r="V84"/>
  <c r="Q84"/>
  <c r="S84" s="1"/>
  <c r="K84"/>
  <c r="X83"/>
  <c r="V83"/>
  <c r="Q83"/>
  <c r="S83" s="1"/>
  <c r="K83"/>
  <c r="X82"/>
  <c r="V82"/>
  <c r="Q82"/>
  <c r="S82" s="1"/>
  <c r="K82"/>
  <c r="X81"/>
  <c r="V81"/>
  <c r="Q81"/>
  <c r="S81" s="1"/>
  <c r="K81"/>
  <c r="X80"/>
  <c r="V80"/>
  <c r="Q80"/>
  <c r="S80" s="1"/>
  <c r="K80"/>
  <c r="X79"/>
  <c r="V79"/>
  <c r="Q79"/>
  <c r="K79"/>
  <c r="X78"/>
  <c r="V78"/>
  <c r="Q78"/>
  <c r="S78" s="1"/>
  <c r="K78"/>
  <c r="X77"/>
  <c r="V77"/>
  <c r="Q77"/>
  <c r="S77" s="1"/>
  <c r="K77"/>
  <c r="X76"/>
  <c r="V76"/>
  <c r="Q76"/>
  <c r="S76" s="1"/>
  <c r="K76"/>
  <c r="X75"/>
  <c r="V75"/>
  <c r="Q75"/>
  <c r="K75"/>
  <c r="X74"/>
  <c r="V74"/>
  <c r="Q74"/>
  <c r="S74" s="1"/>
  <c r="K74"/>
  <c r="X73"/>
  <c r="V73"/>
  <c r="Q73"/>
  <c r="S73" s="1"/>
  <c r="K73"/>
  <c r="X72"/>
  <c r="V72"/>
  <c r="Q72"/>
  <c r="S72" s="1"/>
  <c r="K72"/>
  <c r="X71"/>
  <c r="V71"/>
  <c r="Q71"/>
  <c r="S71" s="1"/>
  <c r="K71"/>
  <c r="X70"/>
  <c r="V70"/>
  <c r="Q70"/>
  <c r="S70" s="1"/>
  <c r="K70"/>
  <c r="X69"/>
  <c r="V69"/>
  <c r="Q69"/>
  <c r="S69" s="1"/>
  <c r="K69"/>
  <c r="X68"/>
  <c r="V68"/>
  <c r="Q68"/>
  <c r="S68" s="1"/>
  <c r="K68"/>
  <c r="X67"/>
  <c r="V67"/>
  <c r="Q67"/>
  <c r="S67" s="1"/>
  <c r="K67"/>
  <c r="X66"/>
  <c r="V66"/>
  <c r="Q66"/>
  <c r="S66" s="1"/>
  <c r="K66"/>
  <c r="X65"/>
  <c r="V65"/>
  <c r="Q65"/>
  <c r="S65" s="1"/>
  <c r="K65"/>
  <c r="X64"/>
  <c r="V64"/>
  <c r="Q64"/>
  <c r="S64" s="1"/>
  <c r="K64"/>
  <c r="X63"/>
  <c r="V63"/>
  <c r="Q63"/>
  <c r="S63" s="1"/>
  <c r="K63"/>
  <c r="X62"/>
  <c r="V62"/>
  <c r="Q62"/>
  <c r="S62" s="1"/>
  <c r="K62"/>
  <c r="X61"/>
  <c r="V61"/>
  <c r="Q61"/>
  <c r="S61" s="1"/>
  <c r="K61"/>
  <c r="X60"/>
  <c r="V60"/>
  <c r="Q60"/>
  <c r="S60" s="1"/>
  <c r="K60"/>
  <c r="X59"/>
  <c r="V59"/>
  <c r="Q59"/>
  <c r="S59" s="1"/>
  <c r="K59"/>
  <c r="X58"/>
  <c r="V58"/>
  <c r="Q58"/>
  <c r="S58" s="1"/>
  <c r="K58"/>
  <c r="X57"/>
  <c r="V57"/>
  <c r="Q57"/>
  <c r="S57" s="1"/>
  <c r="K57"/>
  <c r="X56"/>
  <c r="V56"/>
  <c r="Q56"/>
  <c r="S56" s="1"/>
  <c r="K56"/>
  <c r="X55"/>
  <c r="V55"/>
  <c r="Q55"/>
  <c r="S55" s="1"/>
  <c r="K55"/>
  <c r="X54"/>
  <c r="V54"/>
  <c r="Q54"/>
  <c r="S54" s="1"/>
  <c r="K54"/>
  <c r="X53"/>
  <c r="V53"/>
  <c r="Q53"/>
  <c r="S53" s="1"/>
  <c r="K53"/>
  <c r="X52"/>
  <c r="V52"/>
  <c r="Q52"/>
  <c r="S52" s="1"/>
  <c r="K52"/>
  <c r="X51"/>
  <c r="V51"/>
  <c r="Q51"/>
  <c r="S51" s="1"/>
  <c r="K51"/>
  <c r="X50"/>
  <c r="V50"/>
  <c r="Q50"/>
  <c r="S50" s="1"/>
  <c r="K50"/>
  <c r="X49"/>
  <c r="V49"/>
  <c r="Q49"/>
  <c r="S49" s="1"/>
  <c r="K49"/>
  <c r="X48"/>
  <c r="V48"/>
  <c r="Q48"/>
  <c r="S48" s="1"/>
  <c r="K48"/>
  <c r="X47"/>
  <c r="V47"/>
  <c r="Q47"/>
  <c r="K47"/>
  <c r="X46"/>
  <c r="V46"/>
  <c r="Q46"/>
  <c r="S46" s="1"/>
  <c r="K46"/>
  <c r="X45"/>
  <c r="V45"/>
  <c r="Q45"/>
  <c r="S45" s="1"/>
  <c r="K45"/>
  <c r="X44"/>
  <c r="V44"/>
  <c r="Q44"/>
  <c r="S44" s="1"/>
  <c r="K44"/>
  <c r="X43"/>
  <c r="V43"/>
  <c r="Q43"/>
  <c r="S43" s="1"/>
  <c r="K43"/>
  <c r="X42"/>
  <c r="V42"/>
  <c r="Q42"/>
  <c r="S42" s="1"/>
  <c r="K42"/>
  <c r="X41"/>
  <c r="V41"/>
  <c r="Q41"/>
  <c r="S41" s="1"/>
  <c r="K41"/>
  <c r="X40"/>
  <c r="V40"/>
  <c r="Q40"/>
  <c r="S40" s="1"/>
  <c r="K40"/>
  <c r="X39"/>
  <c r="V39"/>
  <c r="Q39"/>
  <c r="S39" s="1"/>
  <c r="K39"/>
  <c r="X38"/>
  <c r="V38"/>
  <c r="Q38"/>
  <c r="S38" s="1"/>
  <c r="K38"/>
  <c r="X37"/>
  <c r="V37"/>
  <c r="Q37"/>
  <c r="S37" s="1"/>
  <c r="K37"/>
  <c r="X36"/>
  <c r="V36"/>
  <c r="Q36"/>
  <c r="S36" s="1"/>
  <c r="K36"/>
  <c r="X35"/>
  <c r="V35"/>
  <c r="Q35"/>
  <c r="S35" s="1"/>
  <c r="K35"/>
  <c r="X34"/>
  <c r="V34"/>
  <c r="Q34"/>
  <c r="S34" s="1"/>
  <c r="K34"/>
  <c r="X33"/>
  <c r="V33"/>
  <c r="Q33"/>
  <c r="S33" s="1"/>
  <c r="K33"/>
  <c r="X32"/>
  <c r="V32"/>
  <c r="Q32"/>
  <c r="S32" s="1"/>
  <c r="K32"/>
  <c r="X31"/>
  <c r="V31"/>
  <c r="Q31"/>
  <c r="S31" s="1"/>
  <c r="K31"/>
  <c r="X30"/>
  <c r="V30"/>
  <c r="Q30"/>
  <c r="S30" s="1"/>
  <c r="K30"/>
  <c r="X29"/>
  <c r="V29"/>
  <c r="Q29"/>
  <c r="K29"/>
  <c r="X28"/>
  <c r="V28"/>
  <c r="Q28"/>
  <c r="S28" s="1"/>
  <c r="K28"/>
  <c r="X27"/>
  <c r="V27"/>
  <c r="Q27"/>
  <c r="S27" s="1"/>
  <c r="K27"/>
  <c r="X26"/>
  <c r="V26"/>
  <c r="Q26"/>
  <c r="S26" s="1"/>
  <c r="K26"/>
  <c r="X25"/>
  <c r="V25"/>
  <c r="Q25"/>
  <c r="S25" s="1"/>
  <c r="K25"/>
  <c r="X24"/>
  <c r="V24"/>
  <c r="Q24"/>
  <c r="S24" s="1"/>
  <c r="K24"/>
  <c r="X23"/>
  <c r="V23"/>
  <c r="Q23"/>
  <c r="S23" s="1"/>
  <c r="K23"/>
  <c r="X22"/>
  <c r="V22"/>
  <c r="Q22"/>
  <c r="S22" s="1"/>
  <c r="K22"/>
  <c r="X21"/>
  <c r="V21"/>
  <c r="Q21"/>
  <c r="S21" s="1"/>
  <c r="K21"/>
  <c r="X20"/>
  <c r="V20"/>
  <c r="Q20"/>
  <c r="S20" s="1"/>
  <c r="K20"/>
  <c r="X19"/>
  <c r="V19"/>
  <c r="Q19"/>
  <c r="S19" s="1"/>
  <c r="K19"/>
  <c r="X18"/>
  <c r="V18"/>
  <c r="Q18"/>
  <c r="S18" s="1"/>
  <c r="K18"/>
  <c r="X17"/>
  <c r="V17"/>
  <c r="Q17"/>
  <c r="S17" s="1"/>
  <c r="K17"/>
  <c r="X16"/>
  <c r="V16"/>
  <c r="Q16"/>
  <c r="S16" s="1"/>
  <c r="K16"/>
  <c r="X15"/>
  <c r="V15"/>
  <c r="Q15"/>
  <c r="K15"/>
  <c r="X14"/>
  <c r="V14"/>
  <c r="Q14"/>
  <c r="S14" s="1"/>
  <c r="K14"/>
  <c r="X13"/>
  <c r="V13"/>
  <c r="Q13"/>
  <c r="S13" s="1"/>
  <c r="K13"/>
  <c r="X12"/>
  <c r="V12"/>
  <c r="Q12"/>
  <c r="S12" s="1"/>
  <c r="K12"/>
  <c r="X11"/>
  <c r="V11"/>
  <c r="Q11"/>
  <c r="K11"/>
  <c r="X10"/>
  <c r="V10"/>
  <c r="Q10"/>
  <c r="S10" s="1"/>
  <c r="K10"/>
  <c r="X9"/>
  <c r="V9"/>
  <c r="Q9"/>
  <c r="S9" s="1"/>
  <c r="K9"/>
  <c r="X8"/>
  <c r="V8"/>
  <c r="Q8"/>
  <c r="S8" s="1"/>
  <c r="K8"/>
  <c r="X7"/>
  <c r="V7"/>
  <c r="Q7"/>
  <c r="S7" s="1"/>
  <c r="K7"/>
  <c r="X6"/>
  <c r="V6"/>
  <c r="Q6"/>
  <c r="S6" s="1"/>
  <c r="K6"/>
  <c r="X5"/>
  <c r="V5"/>
  <c r="Q5"/>
  <c r="S5" s="1"/>
  <c r="K5"/>
  <c r="X4"/>
  <c r="V4"/>
  <c r="Q4"/>
  <c r="S4" s="1"/>
  <c r="K4"/>
  <c r="X3"/>
  <c r="V3"/>
  <c r="Q3"/>
  <c r="S3" s="1"/>
  <c r="K3"/>
  <c r="AB153" l="1"/>
  <c r="AB159"/>
  <c r="AB177"/>
  <c r="AB223"/>
  <c r="AB247"/>
  <c r="AB165"/>
  <c r="AB237"/>
  <c r="AB209"/>
  <c r="AB215"/>
  <c r="AB122"/>
  <c r="AB128"/>
  <c r="AB41"/>
  <c r="AB45"/>
  <c r="AB3"/>
  <c r="AB78"/>
  <c r="AB173"/>
  <c r="AB51"/>
  <c r="AB118"/>
  <c r="AB134"/>
  <c r="AB73"/>
  <c r="AB212"/>
  <c r="AB16"/>
  <c r="AB52"/>
  <c r="AB288"/>
  <c r="AB87"/>
  <c r="AB101"/>
  <c r="AB200"/>
  <c r="AB42"/>
  <c r="AB72"/>
  <c r="AB145"/>
  <c r="AB230"/>
  <c r="AB238"/>
  <c r="AB242"/>
  <c r="AB246"/>
  <c r="AB278"/>
  <c r="AB71"/>
  <c r="AB86"/>
  <c r="AB137"/>
  <c r="AB283"/>
  <c r="AB270"/>
  <c r="AB83"/>
  <c r="AB39"/>
  <c r="AB97"/>
  <c r="AB169"/>
  <c r="AB24"/>
  <c r="AB55"/>
  <c r="AB84"/>
  <c r="AB95"/>
  <c r="AB109"/>
  <c r="AB142"/>
  <c r="AB154"/>
  <c r="AB179"/>
  <c r="AB206"/>
  <c r="AB210"/>
  <c r="AB255"/>
  <c r="AB265"/>
  <c r="AB277"/>
  <c r="AB269"/>
  <c r="AB77"/>
  <c r="AB110"/>
  <c r="AB205"/>
  <c r="AB262"/>
  <c r="AB81"/>
  <c r="AB186"/>
  <c r="AB211"/>
  <c r="AB105"/>
  <c r="AB198"/>
  <c r="AB26"/>
  <c r="AB35"/>
  <c r="AB82"/>
  <c r="AB100"/>
  <c r="AB113"/>
  <c r="AB150"/>
  <c r="AB191"/>
  <c r="AB214"/>
  <c r="AB225"/>
  <c r="AB251"/>
  <c r="AB281"/>
  <c r="AB141"/>
  <c r="AB199"/>
  <c r="AB233"/>
  <c r="AB241"/>
  <c r="AB7"/>
  <c r="AB46"/>
  <c r="AB90"/>
  <c r="AB119"/>
  <c r="AB129"/>
  <c r="AB170"/>
  <c r="AB187"/>
  <c r="AB197"/>
  <c r="AB218"/>
  <c r="AB228"/>
  <c r="AB232"/>
  <c r="AB244"/>
  <c r="AB256"/>
  <c r="AB293"/>
  <c r="AB22"/>
  <c r="AB5"/>
  <c r="AB23"/>
  <c r="AB149"/>
  <c r="S29"/>
  <c r="AB29" s="1"/>
  <c r="AB202"/>
  <c r="AB58"/>
  <c r="AB130"/>
  <c r="AB117"/>
  <c r="S250"/>
  <c r="AB250" s="1"/>
  <c r="S282"/>
  <c r="AB282" s="1"/>
  <c r="AB57"/>
  <c r="AB70"/>
  <c r="AB127"/>
  <c r="AB231"/>
  <c r="AB13"/>
  <c r="AB103"/>
  <c r="AB182"/>
  <c r="AB254"/>
  <c r="AB20"/>
  <c r="AB30"/>
  <c r="AB37"/>
  <c r="AB54"/>
  <c r="AB66"/>
  <c r="AB104"/>
  <c r="AB116"/>
  <c r="AB126"/>
  <c r="AB160"/>
  <c r="AB181"/>
  <c r="AB185"/>
  <c r="AB226"/>
  <c r="AB260"/>
  <c r="AB263"/>
  <c r="AB285"/>
  <c r="AB286"/>
  <c r="AB292"/>
  <c r="AB162"/>
  <c r="AB123"/>
  <c r="AB155"/>
  <c r="AB194"/>
  <c r="AB234"/>
  <c r="X295"/>
  <c r="AB222"/>
  <c r="AB257"/>
  <c r="AB19"/>
  <c r="AB74"/>
  <c r="AB94"/>
  <c r="AB61"/>
  <c r="AB67"/>
  <c r="AB98"/>
  <c r="AB102"/>
  <c r="AB114"/>
  <c r="AB132"/>
  <c r="AB135"/>
  <c r="AB157"/>
  <c r="AB158"/>
  <c r="AB164"/>
  <c r="AB167"/>
  <c r="AB178"/>
  <c r="AB180"/>
  <c r="AB192"/>
  <c r="AB213"/>
  <c r="AB219"/>
  <c r="AB264"/>
  <c r="AB65"/>
  <c r="AB245"/>
  <c r="AB6"/>
  <c r="AB289"/>
  <c r="AB38"/>
  <c r="AB106"/>
  <c r="V295"/>
  <c r="AB18"/>
  <c r="AB266"/>
  <c r="AB287"/>
  <c r="AB138"/>
  <c r="AB9"/>
  <c r="AB17"/>
  <c r="AB10"/>
  <c r="AB25"/>
  <c r="AB32"/>
  <c r="AB68"/>
  <c r="AB85"/>
  <c r="AB91"/>
  <c r="AB136"/>
  <c r="AB168"/>
  <c r="AB190"/>
  <c r="AB196"/>
  <c r="AB229"/>
  <c r="AB258"/>
  <c r="AB273"/>
  <c r="AB290"/>
  <c r="S143"/>
  <c r="AB143" s="1"/>
  <c r="S259"/>
  <c r="AB259" s="1"/>
  <c r="AB21"/>
  <c r="AB49"/>
  <c r="AB125"/>
  <c r="AB253"/>
  <c r="AB4"/>
  <c r="S175"/>
  <c r="AB175" s="1"/>
  <c r="AB151"/>
  <c r="AB161"/>
  <c r="AB279"/>
  <c r="K295"/>
  <c r="AB34"/>
  <c r="AB40"/>
  <c r="S79"/>
  <c r="AB79" s="1"/>
  <c r="AB89"/>
  <c r="AB115"/>
  <c r="S195"/>
  <c r="AB195" s="1"/>
  <c r="S207"/>
  <c r="AB207" s="1"/>
  <c r="AB217"/>
  <c r="AB243"/>
  <c r="S131"/>
  <c r="AB131" s="1"/>
  <c r="S271"/>
  <c r="AB271" s="1"/>
  <c r="S75"/>
  <c r="AB75" s="1"/>
  <c r="S11"/>
  <c r="AB11" s="1"/>
  <c r="S163"/>
  <c r="AB163" s="1"/>
  <c r="AB27"/>
  <c r="AB53"/>
  <c r="AB183"/>
  <c r="AB189"/>
  <c r="AB193"/>
  <c r="S15"/>
  <c r="AB15" s="1"/>
  <c r="AB50"/>
  <c r="AB56"/>
  <c r="S99"/>
  <c r="AB99" s="1"/>
  <c r="S111"/>
  <c r="AB111" s="1"/>
  <c r="AB121"/>
  <c r="AB147"/>
  <c r="AB174"/>
  <c r="S227"/>
  <c r="AB227" s="1"/>
  <c r="S239"/>
  <c r="AB239" s="1"/>
  <c r="AB249"/>
  <c r="AB275"/>
  <c r="S47"/>
  <c r="AB47" s="1"/>
  <c r="S291"/>
  <c r="AB291" s="1"/>
  <c r="AB63"/>
  <c r="Q295"/>
  <c r="AB43"/>
  <c r="AB48"/>
  <c r="AB62"/>
  <c r="AB8"/>
  <c r="AB14"/>
  <c r="AB31"/>
  <c r="AB33"/>
  <c r="AB36"/>
  <c r="AB59"/>
  <c r="AB64"/>
  <c r="AB69"/>
  <c r="AB93"/>
  <c r="AB96"/>
  <c r="AB133"/>
  <c r="AB146"/>
  <c r="AB148"/>
  <c r="AB166"/>
  <c r="AB201"/>
  <c r="AB221"/>
  <c r="AB224"/>
  <c r="AB261"/>
  <c r="AB274"/>
  <c r="AB276"/>
  <c r="AB294"/>
  <c r="AB92"/>
  <c r="AB124"/>
  <c r="AB156"/>
  <c r="AB188"/>
  <c r="AB220"/>
  <c r="AB252"/>
  <c r="AB284"/>
  <c r="AB80"/>
  <c r="AB112"/>
  <c r="AB144"/>
  <c r="AB176"/>
  <c r="AB208"/>
  <c r="AB240"/>
  <c r="AB272"/>
  <c r="AB88"/>
  <c r="AB107"/>
  <c r="AB120"/>
  <c r="AB139"/>
  <c r="AB152"/>
  <c r="AB171"/>
  <c r="AB184"/>
  <c r="AB203"/>
  <c r="AB216"/>
  <c r="AB235"/>
  <c r="AB248"/>
  <c r="AB267"/>
  <c r="AB280"/>
  <c r="AB12"/>
  <c r="AB28"/>
  <c r="AB44"/>
  <c r="AB60"/>
  <c r="AB76"/>
  <c r="AB108"/>
  <c r="AB140"/>
  <c r="AB172"/>
  <c r="AB204"/>
  <c r="AB236"/>
  <c r="AB268"/>
  <c r="AB295" l="1"/>
  <c r="S295"/>
  <c r="L85" i="2" l="1"/>
  <c r="K85"/>
  <c r="J85"/>
  <c r="I85"/>
  <c r="H85"/>
  <c r="G85"/>
  <c r="F85"/>
  <c r="E85"/>
  <c r="D85"/>
  <c r="C85"/>
  <c r="B85"/>
  <c r="M84"/>
  <c r="M83"/>
  <c r="M82"/>
  <c r="M81"/>
  <c r="M80"/>
  <c r="M79"/>
  <c r="M85" l="1"/>
  <c r="H11"/>
  <c r="N3" i="1" l="1"/>
  <c r="AF3" s="1"/>
  <c r="AH3" l="1"/>
  <c r="AF250"/>
  <c r="AC3"/>
  <c r="AJ3"/>
  <c r="AK3" l="1"/>
  <c r="AH250"/>
  <c r="AJ250"/>
  <c r="AC250"/>
  <c r="AK250" l="1"/>
</calcChain>
</file>

<file path=xl/sharedStrings.xml><?xml version="1.0" encoding="utf-8"?>
<sst xmlns="http://schemas.openxmlformats.org/spreadsheetml/2006/main" count="5200" uniqueCount="926">
  <si>
    <t>CODI_EMPL_</t>
  </si>
  <si>
    <t>NOMB_CORT_</t>
  </si>
  <si>
    <t>META_SIIAF</t>
  </si>
  <si>
    <t>CARGO_ENC</t>
  </si>
  <si>
    <t>EPS</t>
  </si>
  <si>
    <t>CONLAB</t>
  </si>
  <si>
    <t>NIVEL</t>
  </si>
  <si>
    <t>0003</t>
  </si>
  <si>
    <t>RIMAC EPS EMPRESA PRESTADORA DE SALUD</t>
  </si>
  <si>
    <t>CONTRATO A PLAZO INDETERMINADO</t>
  </si>
  <si>
    <t>ASISTENTE ADMINISTRATIVO.</t>
  </si>
  <si>
    <t>ALFARO DELGADO, ADRIANO PERCY</t>
  </si>
  <si>
    <t>0001</t>
  </si>
  <si>
    <t>TECNOLOGO MEDICO</t>
  </si>
  <si>
    <t>0002</t>
  </si>
  <si>
    <t>ASIST.FUNC.FISCAL</t>
  </si>
  <si>
    <t>ABOGADO</t>
  </si>
  <si>
    <t>ALI GOMEZ, VIDAL ELOY</t>
  </si>
  <si>
    <t>ALIAGA HUERTA, MARTHA MARLENE</t>
  </si>
  <si>
    <t>ANALISTA</t>
  </si>
  <si>
    <t>ALMONTE MAMANI, ABDON</t>
  </si>
  <si>
    <t>ALVAREZ TINAGEROS, KAROL LIZBETH</t>
  </si>
  <si>
    <t>ALVARO HUANCA, MARISOL SAYDA</t>
  </si>
  <si>
    <t>TECNICO NECROPSIADOR</t>
  </si>
  <si>
    <t>APAZA CHAMBI, LINDA GIANNINA</t>
  </si>
  <si>
    <t>0009</t>
  </si>
  <si>
    <t>CONTRATADO A PLAZO FIJO</t>
  </si>
  <si>
    <t>AQUINO MARQUEZ, GRETHEL ROSARIO ZITA</t>
  </si>
  <si>
    <t>AUXILIAR</t>
  </si>
  <si>
    <t>ARAGON VELA, ERNESTO</t>
  </si>
  <si>
    <t>CIRUJANO DENTISTA</t>
  </si>
  <si>
    <t>ARAPA CANO, WILLIAN FREDDY</t>
  </si>
  <si>
    <t>ARCE CAYRO, PAUL CARLOS</t>
  </si>
  <si>
    <t>ARCE GODOY, WILLY</t>
  </si>
  <si>
    <t>ARCE SONCO, DANILA</t>
  </si>
  <si>
    <t>ARCOS NAQUIRA, MARIA ELENA</t>
  </si>
  <si>
    <t>0004</t>
  </si>
  <si>
    <t>PSICOLOGO</t>
  </si>
  <si>
    <t>ARENAS PEREZ, PAUL</t>
  </si>
  <si>
    <t>ARIAS MEDINA, MARIA DEL PILAR</t>
  </si>
  <si>
    <t>ARIAS YLAQUITA, JUDIHT</t>
  </si>
  <si>
    <t>AYALA AGUILAR, FANNY YVONNE</t>
  </si>
  <si>
    <t>BALLON DIAZ, MARIA LOURDES</t>
  </si>
  <si>
    <t>BARLETTI HERRERA, VANESSA ALEJANDRA</t>
  </si>
  <si>
    <t>BARRIGA MENDOZA, ZOILA JENNY</t>
  </si>
  <si>
    <t>0005</t>
  </si>
  <si>
    <t>ADMINISTRADOR</t>
  </si>
  <si>
    <t>BEDOYA BARRIGA, JUAN PABLO</t>
  </si>
  <si>
    <t>BEGAZO BARREDA, GUSTAVO ALBERTO</t>
  </si>
  <si>
    <t>QUIMICO FARMACEUTICO</t>
  </si>
  <si>
    <t>BERNABE GUERRA, ZENAIDA PILAR</t>
  </si>
  <si>
    <t>BOLAÐOS DE LA CUBA, MARIA VIRGINIA</t>
  </si>
  <si>
    <t>BRICEÐO NEYRA, ALONSO ADALBERTO</t>
  </si>
  <si>
    <t>SUBGERENTE</t>
  </si>
  <si>
    <t>BUTRON VELARDE, HUGO FELIX</t>
  </si>
  <si>
    <t>CABRERA MENDOZA, DENNIS LUIS</t>
  </si>
  <si>
    <t>CALIZAYA SONCCO, JOVITA</t>
  </si>
  <si>
    <t>CALLATA LLERENA, GUISELA JENNIFER</t>
  </si>
  <si>
    <t>CALLE MAMANI, JULISSA NOEMI</t>
  </si>
  <si>
    <t>CANALES MEZA, HOLGER ALFREDO</t>
  </si>
  <si>
    <t>CANAZA HALLASI, CARLOS ALBERTO</t>
  </si>
  <si>
    <t>CARBAJAL ANCHAPURI, CAROLINA</t>
  </si>
  <si>
    <t>CARCASI TITO, LUDWING</t>
  </si>
  <si>
    <t>CARDENAS CACERES, SARA ROSAURA</t>
  </si>
  <si>
    <t>CARDENAS PORTUGAL, MARCOS ANTONIO</t>
  </si>
  <si>
    <t>CASILLAS RODRIGUEZ, MARIBEL YESENIA</t>
  </si>
  <si>
    <t>CASTILLO RUIZ, KAROLL MILAGROS</t>
  </si>
  <si>
    <t>CATERIANO VERA, YESICA MARLENE</t>
  </si>
  <si>
    <t>CAYTANO VALDEZ, SANTOS JESUS</t>
  </si>
  <si>
    <t>CCOA QUIÐONES, ROBERTO</t>
  </si>
  <si>
    <t>CHAMBI HUAYTA, JAVIER ORLANDO</t>
  </si>
  <si>
    <t>CHANINI GARATE, NORMA LUZ</t>
  </si>
  <si>
    <t>CHAVEZ MAMANI, VERONICA LUCIA</t>
  </si>
  <si>
    <t>CHAVEZ MEDINA, FABRIZIO</t>
  </si>
  <si>
    <t>CHIPANA CALCINA, JENNY ELIZABETH</t>
  </si>
  <si>
    <t>CHIPANA MENDOZA, WILLIAM MARCELO</t>
  </si>
  <si>
    <t>CHIRINOS GALLEGOS, FERNANDO JORGE</t>
  </si>
  <si>
    <t>CHIRINOS OCAMPO, MARIA DEL CARMEN</t>
  </si>
  <si>
    <t>CHIRINOS PINTO, JORGE LUIS</t>
  </si>
  <si>
    <t>CHOQUE CHOQUE, VALENTIN</t>
  </si>
  <si>
    <t>ESPECIALISTA ADM.</t>
  </si>
  <si>
    <t>CHOQUE MAMANI, JAVIER</t>
  </si>
  <si>
    <t>CHURATA QUISPE, PERCY ALBERTO</t>
  </si>
  <si>
    <t>COAGUILA MAMANI, CELESTINO JUSTO</t>
  </si>
  <si>
    <t>CONDORI JUAREZ, JORGE ANGEL</t>
  </si>
  <si>
    <t>CONDORI PACOMPIA, ANGEL SERAFIN</t>
  </si>
  <si>
    <t>CONDORI QUISPE, JUAN CARLOS</t>
  </si>
  <si>
    <t>CONTRERAS ROSAS, LUZ MARINA</t>
  </si>
  <si>
    <t>CORDOVA YUCRA, ELIZABETH MARIA</t>
  </si>
  <si>
    <t>CORIMANYA LAZARO, JOSE LUIS JUAN</t>
  </si>
  <si>
    <t>CORNEJO MAMANI, MARIO HERNAN</t>
  </si>
  <si>
    <t>CORNEJO MEDINA, JAEMY MAYRA</t>
  </si>
  <si>
    <t>CRUZ CCUNO, DORIS GLADYS</t>
  </si>
  <si>
    <t>CRUZ CHIQUI, NELLY MYRIAM</t>
  </si>
  <si>
    <t>CUELA CANAZA, JOHANNA CANDY</t>
  </si>
  <si>
    <t>CUELA TAPIA, EDUARDO LUIS</t>
  </si>
  <si>
    <t>CUEVA VILLAFUERTE, DARWIN ALEX</t>
  </si>
  <si>
    <t>CUTIPA VARA, WILLIAMS ROGELIO</t>
  </si>
  <si>
    <t>DE LA TORRE LUNA, LIZBET PAOLA</t>
  </si>
  <si>
    <t>DEL ARROYO CARNERO, YDELSA MARIA ANTONIETA</t>
  </si>
  <si>
    <t>DEL PINO BELLINA, PATRICIA VERONIKHA</t>
  </si>
  <si>
    <t>DELGADO CCANA, LOURDES</t>
  </si>
  <si>
    <t>DELGADO CUADROS, WILBERT</t>
  </si>
  <si>
    <t>DELGADO GONZALES, KATHERINE BELISA</t>
  </si>
  <si>
    <t>DELGADO SILVA, LICELI MAGALI</t>
  </si>
  <si>
    <t>DIAZ AGUILAR, HECTOR</t>
  </si>
  <si>
    <t>DIAZ CCASSA, PATRICIA MILAGROS</t>
  </si>
  <si>
    <t>ECHEVARRIA RIVERA, ENMANUELL MODESTO</t>
  </si>
  <si>
    <t>ESCALANTE CONDORI, CARLOS ELIAS</t>
  </si>
  <si>
    <t>ESCAPA TORRES, SINAHYDA DEL CARMEN</t>
  </si>
  <si>
    <t>ESPINOZA PACHECO, LENY FABIANA</t>
  </si>
  <si>
    <t>ESPINOZA QUISPE, FLOR ELIZABETH</t>
  </si>
  <si>
    <t>FAJARDO VILCA, MARCO ANTONIO</t>
  </si>
  <si>
    <t>FERIA AYTA, RUTH</t>
  </si>
  <si>
    <t>FLORES QUISPE, BETTY ROSALINDA</t>
  </si>
  <si>
    <t>OPERADOR ADMINISTRATIVO</t>
  </si>
  <si>
    <t>GALAGARZA PEREZ, LISHA YOLANDA</t>
  </si>
  <si>
    <t>GALLEGOS RODRIGUEZ, ADRIANA</t>
  </si>
  <si>
    <t>GOMEZ MENDOZA, YAISIÐO DONATO</t>
  </si>
  <si>
    <t>GONZALES CHALCO, JUAN CARLOS</t>
  </si>
  <si>
    <t>GUEVARA CARRILLO, DENNIS ORLANDO</t>
  </si>
  <si>
    <t>GUEVARA VELARDE, FIORELLA MARITZA</t>
  </si>
  <si>
    <t>GUILLEN RONDON DE DELGADO, MONICA MARY</t>
  </si>
  <si>
    <t>GUITTON MANRIQUE, JOSELYN MARLUVE</t>
  </si>
  <si>
    <t>GUTIERREZ CHOQUE, MARY CAROL</t>
  </si>
  <si>
    <t>GUTIERREZ RAMOS, JOSE ARTURO</t>
  </si>
  <si>
    <t>GUTIERREZ TOLEDO, MARIA DEL CARMEN</t>
  </si>
  <si>
    <t>GUZMAN ZEVALLOS, MARIELA SABINA</t>
  </si>
  <si>
    <t>HANCCO LAURA, ORLANDO</t>
  </si>
  <si>
    <t>HERMOZA KNUTZEN, LUIS ALBERTO</t>
  </si>
  <si>
    <t>HERMOZA YTO, JUAN CARLOS</t>
  </si>
  <si>
    <t>HUALPA ARAOZ, LUIS WALTER</t>
  </si>
  <si>
    <t>HUAMANI QUISPE, LEONIDAS GERARDO</t>
  </si>
  <si>
    <t>HUISACAYNA HUACASI, WILLY ALFREDO</t>
  </si>
  <si>
    <t>IDME ZEGARRA, JUAN DE DIOS</t>
  </si>
  <si>
    <t>ILACHOQUE HUALLPA, FLORENTINO</t>
  </si>
  <si>
    <t>INCA RAMOS, CARMEN</t>
  </si>
  <si>
    <t>IRIGOYEN ARBIETO, MIGUEL ANDRES</t>
  </si>
  <si>
    <t>MEDICO</t>
  </si>
  <si>
    <t>JARA MACEDO, ABEL</t>
  </si>
  <si>
    <t>JOVE CARCAUSTO, JUAN CARLOS</t>
  </si>
  <si>
    <t>LAMA CALLE, KARLA ZULEMA</t>
  </si>
  <si>
    <t>LASTEROS APAZA, ALEXANDER</t>
  </si>
  <si>
    <t>LAURENTE COAQUIRA, SILVIA VERONICA</t>
  </si>
  <si>
    <t>LAZO FLORES, ESTEFANY ROCIO</t>
  </si>
  <si>
    <t>LEYTON CERNA, OLGA HAYDEE</t>
  </si>
  <si>
    <t>LINARES GARCIA, GERARDO CESAR</t>
  </si>
  <si>
    <t>LIPA SALAS, BEATRIZ</t>
  </si>
  <si>
    <t>LOAYZA MONZON, ELEANA GREGORIA</t>
  </si>
  <si>
    <t>LOVATON LAURA, MILAGROS MARGOT</t>
  </si>
  <si>
    <t>LUNA ECHANDIA, STEFANY GINA</t>
  </si>
  <si>
    <t>LUNA REVILLA, GREMI MARGOTH</t>
  </si>
  <si>
    <t>ASISTENTE MEDICO LEGAL</t>
  </si>
  <si>
    <t>LUQUE SALAS, JAVIER ADRIAN</t>
  </si>
  <si>
    <t>MACHACA ABANTO, JUAN VICTOR</t>
  </si>
  <si>
    <t>MAMANI ANCALLE, MARILYN MARINA</t>
  </si>
  <si>
    <t>MAMANI SANCHEZ, CARLOS ALBERTO</t>
  </si>
  <si>
    <t>MANCILLA MERMA, JUAN CARLOS</t>
  </si>
  <si>
    <t>MANCILLA VENTURA, MANUEL ALEXANDER</t>
  </si>
  <si>
    <t>MANRIQUE MURILLO, ROSARIO KARINA</t>
  </si>
  <si>
    <t>GERENTE</t>
  </si>
  <si>
    <t>MANRIQUE TORRES, CLAUDIA ALEJANDRA</t>
  </si>
  <si>
    <t>MARIÐO SALAS, CARMEN GIULIANA</t>
  </si>
  <si>
    <t>MARQUINA LIMA, NATALI</t>
  </si>
  <si>
    <t>MARTINEZ ARDILES, DANNY OSCAR</t>
  </si>
  <si>
    <t>MARTINEZ SOLIS, GLENNY ZAIDA</t>
  </si>
  <si>
    <t>BIOLOGO</t>
  </si>
  <si>
    <t>MAYORIA TORRES, YEYSON MARCOS</t>
  </si>
  <si>
    <t>MEDINA GOYTENDIA, GONZALO MARTIN</t>
  </si>
  <si>
    <t>MEDINA HUARHUACHI, LUPE MARIELA</t>
  </si>
  <si>
    <t>MELGAR CARPIO, RONNY ALFREDO</t>
  </si>
  <si>
    <t>MIRANDA OJEDA, DANIELA</t>
  </si>
  <si>
    <t>MONROY ORTIZ, ROXANA YALY</t>
  </si>
  <si>
    <t>MONTES DE OCA QUINTO, WENDY YASSU</t>
  </si>
  <si>
    <t>MORA SALAZAR, VALERIE LEN</t>
  </si>
  <si>
    <t>MOSTAJO DIAZ, CLAUDIA MARIBEL</t>
  </si>
  <si>
    <t>MUJICA JIMENEZ, ELIZABETH MARGARITA</t>
  </si>
  <si>
    <t>NAJARRO ZEVALLOS, MARIVEL PAQUITA</t>
  </si>
  <si>
    <t>NUÐEZ GALLEGOS, LEONEL DUVERLY</t>
  </si>
  <si>
    <t>OCHOA MALDONADO, GINO</t>
  </si>
  <si>
    <t>OLIVERA PARICAHUA, JANETH AMPARO</t>
  </si>
  <si>
    <t>PADILLA CHAVEZ VDA DE ARIAS, MONICA TOMASA</t>
  </si>
  <si>
    <t>PALMA FERNANDEZ, JUANITA MARGOT</t>
  </si>
  <si>
    <t>PALOMINO FLOR, MARIA CRISTINA ESTELA</t>
  </si>
  <si>
    <t>PALOMINO ZEGARRA, ESBETH ANGELICA</t>
  </si>
  <si>
    <t>PAMPAMALLCO BAUTISTA, YLIANA</t>
  </si>
  <si>
    <t>PAREDES VILLANUEVA, MAGNOLY ARLETH</t>
  </si>
  <si>
    <t>PARI CHIPANA, HENRY JULIAN</t>
  </si>
  <si>
    <t>PARICAHUA GOMEZ, CHRISTIAN</t>
  </si>
  <si>
    <t>PERALTA LLAYQUI, MARIA TERESA</t>
  </si>
  <si>
    <t>PEREZ DE LA PEÐA, CLAUDIA VICTORIA</t>
  </si>
  <si>
    <t>PEREZ LINARES, MILUSKA</t>
  </si>
  <si>
    <t>PINTO BEJARANO, ERIKA MILAGROS</t>
  </si>
  <si>
    <t>PINTO VARGAS, ROSARIO</t>
  </si>
  <si>
    <t>POCCO OCHOA, VICTOR DONNIE MARTIN</t>
  </si>
  <si>
    <t>POLAR CONCHA, JENNIFER YESSENIA</t>
  </si>
  <si>
    <t>PORTUGAL UCHASARA, MARCO ANTONIO</t>
  </si>
  <si>
    <t>PRADO CHIRINOS, JUDITH MILAGROS</t>
  </si>
  <si>
    <t>PRIETO YANQUI, ERIKA ROSSEMARY</t>
  </si>
  <si>
    <t>QUICO CALSINA, ERNESTO FREDDY</t>
  </si>
  <si>
    <t>QUISPE CUTIPE, LINA JUANA</t>
  </si>
  <si>
    <t>QUISPE MAMANI, ZENEIDA</t>
  </si>
  <si>
    <t>RAIME CALLE, MARIA TERESA</t>
  </si>
  <si>
    <t>RAMIREZ CATARI, MIRIAM ELIANA</t>
  </si>
  <si>
    <t>RAMOS CALDERON, MARIA DEL CARMEN</t>
  </si>
  <si>
    <t>RAMOS MAMANI, GIOVANNA CECILIA</t>
  </si>
  <si>
    <t>RAMOS PERALTILLA, PATRICIA JACKELINE</t>
  </si>
  <si>
    <t>RAMOS RAMIREZ, ANA MARIA BELIA</t>
  </si>
  <si>
    <t>RAMOS UCEDO, SANTIAGO EUGENIO</t>
  </si>
  <si>
    <t>RIVAS TITO, PANTALEON LORENZO</t>
  </si>
  <si>
    <t>RIVERO SANCHEZ, MARCO ANTONIO</t>
  </si>
  <si>
    <t>RIVEROS ENRIQUEZ, ROBERT</t>
  </si>
  <si>
    <t>RODRIGUEZ ARIAS, OSCAR ALVARO</t>
  </si>
  <si>
    <t>RODRIGUEZ DIAZ, BRENDA LIZETT</t>
  </si>
  <si>
    <t>RODRIGUEZ PORTUGAL, DANITSA LISET</t>
  </si>
  <si>
    <t>RODRIGUEZ TALAVERA, FIORELLA BRIGETTE</t>
  </si>
  <si>
    <t>ROMERO ARCE, JENY BACILIA</t>
  </si>
  <si>
    <t>ROMERO SANCHEZ, KELLY AMALIA</t>
  </si>
  <si>
    <t>RUELAS APAZA, SANTIAGO DANIEL</t>
  </si>
  <si>
    <t>SALAZAR LLERENA, JOSE ANTONIO</t>
  </si>
  <si>
    <t>SALAZAR VERA, JAVIER HIPOLITO</t>
  </si>
  <si>
    <t>SALHUA HUAMANI, BETTY REBECA</t>
  </si>
  <si>
    <t>SALINAS TORRES, FIOLINA CANDY</t>
  </si>
  <si>
    <t>SANCHEZ CARDENAS, JUAN CARLOS</t>
  </si>
  <si>
    <t>SANCHEZ QUISANA, EDMUNDO</t>
  </si>
  <si>
    <t>SANCHEZ VARGAS, JHONY ELMER</t>
  </si>
  <si>
    <t>SANCHEZ VELARDE, ALISON ABIGAIL</t>
  </si>
  <si>
    <t>SANCHEZ YUJRA, EDGARD SIXTO</t>
  </si>
  <si>
    <t>SANTA CRUZ CARDENAS, GRETA</t>
  </si>
  <si>
    <t>SCHAFER ZEGARRA, GABRIELA AMPARO</t>
  </si>
  <si>
    <t>SILVA APAZA, NORKAIBETH CINTHYA</t>
  </si>
  <si>
    <t>SILVA ORTIZ, HEBERD YUL</t>
  </si>
  <si>
    <t>SUCASAIRE CONDORI, NANCY MATILDE</t>
  </si>
  <si>
    <t>SUMA CALLOAPAZA, JENNY NOEMI</t>
  </si>
  <si>
    <t>TERNERO ALVAREZ, ELFER RAMIRO</t>
  </si>
  <si>
    <t>TICONA ROJAS, ELIZABETH JUANA</t>
  </si>
  <si>
    <t>TICONA SALAZAR, LUDGARDO ABEL</t>
  </si>
  <si>
    <t>TORRES TAPIA, JULIO CESAR</t>
  </si>
  <si>
    <t>TOVAR FLOREZ DEL PRADO, ALEIDA</t>
  </si>
  <si>
    <t>TREVIÐO TORRES, VICTOR HUGO</t>
  </si>
  <si>
    <t>URETA BARREDA, FELIPE ROLANDO</t>
  </si>
  <si>
    <t>URQUIZO ZEBALLOS, GIOVANNA RITA</t>
  </si>
  <si>
    <t>VALDIVIA GARCIA, SANDER VICTOR</t>
  </si>
  <si>
    <t>VALENCIA SOTO, CELSO</t>
  </si>
  <si>
    <t>VARA CERCEDA, ABAD LUIS</t>
  </si>
  <si>
    <t>VARGAS MACHUCA ROJAS, KARLA VANESSA</t>
  </si>
  <si>
    <t>VASQUEZ PAUCA, MARIO JOSE</t>
  </si>
  <si>
    <t>VELARDE CABRERA, EDDY TYRONE</t>
  </si>
  <si>
    <t>VELASQUEZ BENITEZ, JESUS EDUARDO</t>
  </si>
  <si>
    <t>VELAZCO MIRABAL, RADO ULISES</t>
  </si>
  <si>
    <t>VILCA PEREZ, LOURDES EVELYN</t>
  </si>
  <si>
    <t>VILCHEZ ZEVALLOS, ANDRES VALENTIN</t>
  </si>
  <si>
    <t>VILLANUEVA ORE, NANCY ELIZABETH</t>
  </si>
  <si>
    <t>VILLAZON FLORES, LOURDES MARIEL</t>
  </si>
  <si>
    <t>VILLENA SOSA, LUCIEL VICTORIA</t>
  </si>
  <si>
    <t>ZAPANA ELSIN, MONICA ROSEMARY</t>
  </si>
  <si>
    <t>ZAPATA CANAZAS, MAXIMO JULIAN</t>
  </si>
  <si>
    <t>ZAVALA AGUILAR, JULIO CESAR CARLOS</t>
  </si>
  <si>
    <t>ZEBALLOS CAYTANO, WILBER ALFONSO</t>
  </si>
  <si>
    <t>ZEGARRA ALLASY, PERCY GREGORIO</t>
  </si>
  <si>
    <t>ZEGARRA JUAREZ, CYNTHIA VANESSA</t>
  </si>
  <si>
    <t>ZEGARRA RODRIGUEZ, CAROLA MERCEDES</t>
  </si>
  <si>
    <t>ZEVALLOS SALAZAR, XIMENA CATALINA</t>
  </si>
  <si>
    <t>ZUNIGA ACUÐA, TERRY GUILLERMO</t>
  </si>
  <si>
    <t>SUELDO</t>
  </si>
  <si>
    <t>CLAS_SUELDO</t>
  </si>
  <si>
    <t>AF</t>
  </si>
  <si>
    <t>BONO FISCAL</t>
  </si>
  <si>
    <t>CLAS_BONO</t>
  </si>
  <si>
    <t>2.1.1.1.2.99</t>
  </si>
  <si>
    <t>2.1.1.3.3.99</t>
  </si>
  <si>
    <t>ESCOLARIDAD</t>
  </si>
  <si>
    <t>CLAS_ESCOLAR</t>
  </si>
  <si>
    <t>2.1.1.9.1.3</t>
  </si>
  <si>
    <t>2.1.1.9.1.1</t>
  </si>
  <si>
    <t>CLAS_GRATI</t>
  </si>
  <si>
    <t>CLAS_9%</t>
  </si>
  <si>
    <t>2.1.1.9.3.99</t>
  </si>
  <si>
    <t>GUARDIAS</t>
  </si>
  <si>
    <t>2.1.1.3.3.1</t>
  </si>
  <si>
    <t>CLAS_GUARD</t>
  </si>
  <si>
    <t>ASIGNAC</t>
  </si>
  <si>
    <t>CLAS_ESSA</t>
  </si>
  <si>
    <t>CLAS_EPS</t>
  </si>
  <si>
    <t>2.1.3.1.1.5</t>
  </si>
  <si>
    <t>2.1.3.1.1.1</t>
  </si>
  <si>
    <t>TOTAL SUELDO</t>
  </si>
  <si>
    <t>GRATIFICACIONES</t>
  </si>
  <si>
    <t>9% GRATIFICACIONES</t>
  </si>
  <si>
    <t>ESSALUD 9% Y 6.75%</t>
  </si>
  <si>
    <t>EPS 2.25%</t>
  </si>
  <si>
    <t>número de meses</t>
  </si>
  <si>
    <t>CCAMA TURPO, OCTAVIO GUMERCINDO</t>
  </si>
  <si>
    <t>ENCALADA CARPIO, JOSE MAX</t>
  </si>
  <si>
    <t>HANCCO RAMOS, PATRICK JARED</t>
  </si>
  <si>
    <t>JUSTO CALLACONDO, WILBER LEONCIO</t>
  </si>
  <si>
    <t>MAMANI YDME, DAVID SERAFIN</t>
  </si>
  <si>
    <t>RAMOS QUISPE, GRETA ELENA</t>
  </si>
  <si>
    <t>ARANCIBIA PINEDA, HELEN</t>
  </si>
  <si>
    <t>ARISACA HUANCA, EDITH NOEMI</t>
  </si>
  <si>
    <t>FLORES VALENCIA, BRENDA LUCIA</t>
  </si>
  <si>
    <t>HUAMANI ARIAS, CESAR BENJAMIN</t>
  </si>
  <si>
    <t>MONTES DE OCA HIDALGO, KARINA DEL PILAR</t>
  </si>
  <si>
    <t>MONTOYA SUDARIO, CHRISTY ELIZABETH</t>
  </si>
  <si>
    <t>RAMIREZ CALDERON, MICHAEL</t>
  </si>
  <si>
    <t>VIDANGOS DIAZ, VICTOR CRISTIAN</t>
  </si>
  <si>
    <t>BONO</t>
  </si>
  <si>
    <t>TOTAL</t>
  </si>
  <si>
    <t>AGUILAR CALLATA, CARLOS ENRIQUE</t>
  </si>
  <si>
    <t>ALARCON MERCADO, BONI ALBINA</t>
  </si>
  <si>
    <t>ALFARO VALDIVIA, MELINA</t>
  </si>
  <si>
    <t>ALVARADO PAYIHUANCA, ZENAIDA GRISEL</t>
  </si>
  <si>
    <t>ARENAS PUMA, FELICITAS YANETH</t>
  </si>
  <si>
    <t>BENIQUE QUISPE, VICTOR RONALD</t>
  </si>
  <si>
    <t>CHAPA LOPEZ, NAISHA YANIRETH</t>
  </si>
  <si>
    <t>CHARCA ZAIRA, SANDRA INES</t>
  </si>
  <si>
    <t>COAGUILA ALEGRE, PATRICIA ALEJANDRA</t>
  </si>
  <si>
    <t>DIAZ BELTRAN, TASSIA SHARON</t>
  </si>
  <si>
    <t>DIAZ DIAZ, BANIA JAHAIRA</t>
  </si>
  <si>
    <t>DIAZ DIAZ, JOSIHARA</t>
  </si>
  <si>
    <t>DOLMOS BECERRA, CARMEN MARLA</t>
  </si>
  <si>
    <t>FERNANDEZ ALCCAHUAMAN, MONICA</t>
  </si>
  <si>
    <t>GOMEZ CACERES, YESENIA LENDY</t>
  </si>
  <si>
    <t>HUARACHI COACALLA, ALDO ANTONIO</t>
  </si>
  <si>
    <t>HUARCA MERMA, ROSSINALDO ABELARDO</t>
  </si>
  <si>
    <t>LINARES SALAS, VICTOR HUGO</t>
  </si>
  <si>
    <t>MANCHEGO PARILLO, MARIONY MICHELLE</t>
  </si>
  <si>
    <t>MENDOZA DEL CARPIO, YSABEL ANA MARIA</t>
  </si>
  <si>
    <t>MONROY VERGARA, ABDUL RASSIR</t>
  </si>
  <si>
    <t>PAREDES CARDENAS, PATRICIA AMADA</t>
  </si>
  <si>
    <t>PARRILLO TICONA, ROCIO DEL PILAR</t>
  </si>
  <si>
    <t>PONCE MALAGA, CLAUDIA CECILIA</t>
  </si>
  <si>
    <t>ROJAS RIVERO, AMERICA</t>
  </si>
  <si>
    <t>SALAS GONZALES, DILMAN MARCELO</t>
  </si>
  <si>
    <t>VEGA ZUÐIGA, YAMILET JESSENIA</t>
  </si>
  <si>
    <t>VILLALTA MIRANDA, SHEYLA MABEL</t>
  </si>
  <si>
    <t>YEPEZ ZUÐIGA, ROGER STEVE</t>
  </si>
  <si>
    <t>2.1.1.1.1.5</t>
  </si>
  <si>
    <t>2.1.1.1.1.4</t>
  </si>
  <si>
    <t>2.1.1.3.1.2</t>
  </si>
  <si>
    <t>2.1.1.3.2.2</t>
  </si>
  <si>
    <t>73144555</t>
  </si>
  <si>
    <t>29416964</t>
  </si>
  <si>
    <t>09554746</t>
  </si>
  <si>
    <t>41870106</t>
  </si>
  <si>
    <t>29562446</t>
  </si>
  <si>
    <t>29656831</t>
  </si>
  <si>
    <t>26568476</t>
  </si>
  <si>
    <t>30858138</t>
  </si>
  <si>
    <t>40307448</t>
  </si>
  <si>
    <t>29724344</t>
  </si>
  <si>
    <t>44659143</t>
  </si>
  <si>
    <t>09623679</t>
  </si>
  <si>
    <t>40060011</t>
  </si>
  <si>
    <t>47168757</t>
  </si>
  <si>
    <t>29591140</t>
  </si>
  <si>
    <t>30857065</t>
  </si>
  <si>
    <t>43227503</t>
  </si>
  <si>
    <t>29541717</t>
  </si>
  <si>
    <t>29722160</t>
  </si>
  <si>
    <t>42390734</t>
  </si>
  <si>
    <t>40888818</t>
  </si>
  <si>
    <t>24888351</t>
  </si>
  <si>
    <t>01230962</t>
  </si>
  <si>
    <t>42848413</t>
  </si>
  <si>
    <t>42597694</t>
  </si>
  <si>
    <t>10736036</t>
  </si>
  <si>
    <t>29733993</t>
  </si>
  <si>
    <t>29733965</t>
  </si>
  <si>
    <t>29645921</t>
  </si>
  <si>
    <t>80268373</t>
  </si>
  <si>
    <t>29567404</t>
  </si>
  <si>
    <t>40379342</t>
  </si>
  <si>
    <t>29418476</t>
  </si>
  <si>
    <t>29517340</t>
  </si>
  <si>
    <t>41521077</t>
  </si>
  <si>
    <t>41741088</t>
  </si>
  <si>
    <t>46267300</t>
  </si>
  <si>
    <t>CACERES YNCA, ALEXANDER ENRIQUE</t>
  </si>
  <si>
    <t>02155961</t>
  </si>
  <si>
    <t>30415947</t>
  </si>
  <si>
    <t>40697095</t>
  </si>
  <si>
    <t>29645880</t>
  </si>
  <si>
    <t>44224620</t>
  </si>
  <si>
    <t>40746883</t>
  </si>
  <si>
    <t>41312250</t>
  </si>
  <si>
    <t>41877073</t>
  </si>
  <si>
    <t>CARDENAS ARBAÐIL, YAHAMMIR WILLIAM</t>
  </si>
  <si>
    <t>45634285</t>
  </si>
  <si>
    <t>29297218</t>
  </si>
  <si>
    <t>42512427</t>
  </si>
  <si>
    <t>42262801</t>
  </si>
  <si>
    <t>29626660</t>
  </si>
  <si>
    <t>40027546</t>
  </si>
  <si>
    <t>29713300</t>
  </si>
  <si>
    <t>80025565</t>
  </si>
  <si>
    <t>29654423</t>
  </si>
  <si>
    <t>40724553</t>
  </si>
  <si>
    <t>47790136</t>
  </si>
  <si>
    <t>46425298</t>
  </si>
  <si>
    <t>40752677</t>
  </si>
  <si>
    <t>40541589</t>
  </si>
  <si>
    <t>40788304</t>
  </si>
  <si>
    <t>29607819</t>
  </si>
  <si>
    <t>29295602</t>
  </si>
  <si>
    <t>46227359</t>
  </si>
  <si>
    <t>46875324</t>
  </si>
  <si>
    <t>29698287</t>
  </si>
  <si>
    <t>41868135</t>
  </si>
  <si>
    <t>41992956</t>
  </si>
  <si>
    <t>70105112</t>
  </si>
  <si>
    <t>40600636</t>
  </si>
  <si>
    <t>29733813</t>
  </si>
  <si>
    <t>29722649</t>
  </si>
  <si>
    <t>42752116</t>
  </si>
  <si>
    <t>30480892</t>
  </si>
  <si>
    <t>40737115</t>
  </si>
  <si>
    <t>29425479</t>
  </si>
  <si>
    <t>29680743</t>
  </si>
  <si>
    <t>29735188</t>
  </si>
  <si>
    <t>01560261</t>
  </si>
  <si>
    <t>40679820</t>
  </si>
  <si>
    <t>43710282</t>
  </si>
  <si>
    <t>45481219</t>
  </si>
  <si>
    <t>45003820</t>
  </si>
  <si>
    <t>29427619</t>
  </si>
  <si>
    <t>02428802</t>
  </si>
  <si>
    <t>29226809</t>
  </si>
  <si>
    <t>25793579</t>
  </si>
  <si>
    <t>24664636</t>
  </si>
  <si>
    <t>02297515</t>
  </si>
  <si>
    <t>41362673</t>
  </si>
  <si>
    <t>41253250</t>
  </si>
  <si>
    <t>80623708</t>
  </si>
  <si>
    <t>72044225</t>
  </si>
  <si>
    <t>41828958</t>
  </si>
  <si>
    <t>46607037</t>
  </si>
  <si>
    <t>46186411</t>
  </si>
  <si>
    <t>41813001</t>
  </si>
  <si>
    <t>41618864</t>
  </si>
  <si>
    <t>41313770</t>
  </si>
  <si>
    <t>45394542</t>
  </si>
  <si>
    <t>41403576</t>
  </si>
  <si>
    <t>30423819</t>
  </si>
  <si>
    <t>40802698</t>
  </si>
  <si>
    <t>44940824</t>
  </si>
  <si>
    <t>ESPIRILLA SULLA, KATTY LUCERO</t>
  </si>
  <si>
    <t>29566489</t>
  </si>
  <si>
    <t>43889287</t>
  </si>
  <si>
    <t>FARFAN AISA, OLINDA</t>
  </si>
  <si>
    <t>30963490</t>
  </si>
  <si>
    <t>42464902</t>
  </si>
  <si>
    <t>29439146</t>
  </si>
  <si>
    <t>41861689</t>
  </si>
  <si>
    <t>42480728</t>
  </si>
  <si>
    <t>29603097</t>
  </si>
  <si>
    <t>45352164</t>
  </si>
  <si>
    <t>42118015</t>
  </si>
  <si>
    <t>29721585</t>
  </si>
  <si>
    <t>45220995</t>
  </si>
  <si>
    <t>44659157</t>
  </si>
  <si>
    <t>29417109</t>
  </si>
  <si>
    <t>46001052</t>
  </si>
  <si>
    <t>29413415</t>
  </si>
  <si>
    <t>40424780</t>
  </si>
  <si>
    <t>41129833</t>
  </si>
  <si>
    <t>30824480</t>
  </si>
  <si>
    <t>42580901</t>
  </si>
  <si>
    <t>47073619</t>
  </si>
  <si>
    <t>29616924</t>
  </si>
  <si>
    <t>29727183</t>
  </si>
  <si>
    <t>30832624</t>
  </si>
  <si>
    <t>47788775</t>
  </si>
  <si>
    <t>29458888</t>
  </si>
  <si>
    <t>44106691</t>
  </si>
  <si>
    <t>73424308</t>
  </si>
  <si>
    <t>44655272</t>
  </si>
  <si>
    <t>29582676</t>
  </si>
  <si>
    <t>43197926</t>
  </si>
  <si>
    <t>42737822</t>
  </si>
  <si>
    <t>01841288</t>
  </si>
  <si>
    <t>29568351</t>
  </si>
  <si>
    <t>47237791</t>
  </si>
  <si>
    <t>41723117</t>
  </si>
  <si>
    <t>40603426</t>
  </si>
  <si>
    <t>40534572</t>
  </si>
  <si>
    <t>40713228</t>
  </si>
  <si>
    <t>29721866</t>
  </si>
  <si>
    <t>30832681</t>
  </si>
  <si>
    <t>42274941</t>
  </si>
  <si>
    <t>41861654</t>
  </si>
  <si>
    <t>29458734</t>
  </si>
  <si>
    <t>29454026</t>
  </si>
  <si>
    <t>43985387</t>
  </si>
  <si>
    <t>29716339</t>
  </si>
  <si>
    <t>29592172</t>
  </si>
  <si>
    <t>44024656</t>
  </si>
  <si>
    <t>44812526</t>
  </si>
  <si>
    <t>41878341</t>
  </si>
  <si>
    <t>42263391</t>
  </si>
  <si>
    <t>43142843</t>
  </si>
  <si>
    <t>46754616</t>
  </si>
  <si>
    <t>29643067</t>
  </si>
  <si>
    <t>29427910</t>
  </si>
  <si>
    <t>45451782</t>
  </si>
  <si>
    <t>45196323</t>
  </si>
  <si>
    <t>29647960</t>
  </si>
  <si>
    <t>42582716</t>
  </si>
  <si>
    <t>29551667</t>
  </si>
  <si>
    <t>29601839</t>
  </si>
  <si>
    <t>40299510</t>
  </si>
  <si>
    <t>29597448</t>
  </si>
  <si>
    <t>29649420</t>
  </si>
  <si>
    <t>29433300</t>
  </si>
  <si>
    <t>41158651</t>
  </si>
  <si>
    <t>45015243</t>
  </si>
  <si>
    <t>MEZA BELTRAN, LEILA ANGELICA MARIA</t>
  </si>
  <si>
    <t>40254986</t>
  </si>
  <si>
    <t>29537013</t>
  </si>
  <si>
    <t>45775483</t>
  </si>
  <si>
    <t>70243542</t>
  </si>
  <si>
    <t>47519053</t>
  </si>
  <si>
    <t>46175326</t>
  </si>
  <si>
    <t>44884092</t>
  </si>
  <si>
    <t>41533734</t>
  </si>
  <si>
    <t>43398919</t>
  </si>
  <si>
    <t>29371114</t>
  </si>
  <si>
    <t>47257186</t>
  </si>
  <si>
    <t>NAQUICHE AREVALO, RONY REIVI</t>
  </si>
  <si>
    <t>04642381</t>
  </si>
  <si>
    <t>02445175</t>
  </si>
  <si>
    <t>02426983</t>
  </si>
  <si>
    <t>29304707</t>
  </si>
  <si>
    <t>45305342</t>
  </si>
  <si>
    <t>04642851</t>
  </si>
  <si>
    <t>40676669</t>
  </si>
  <si>
    <t>41949575</t>
  </si>
  <si>
    <t>41829957</t>
  </si>
  <si>
    <t>29531412</t>
  </si>
  <si>
    <t>42760713</t>
  </si>
  <si>
    <t>40035349</t>
  </si>
  <si>
    <t>70946971</t>
  </si>
  <si>
    <t>43898865</t>
  </si>
  <si>
    <t>40531407</t>
  </si>
  <si>
    <t>23865238</t>
  </si>
  <si>
    <t>40121708</t>
  </si>
  <si>
    <t>29605090</t>
  </si>
  <si>
    <t>42615969</t>
  </si>
  <si>
    <t>42259390</t>
  </si>
  <si>
    <t>43436552</t>
  </si>
  <si>
    <t>44043326</t>
  </si>
  <si>
    <t>29575675</t>
  </si>
  <si>
    <t>29657659</t>
  </si>
  <si>
    <t>4190365</t>
  </si>
  <si>
    <t>40125483</t>
  </si>
  <si>
    <t>42297266</t>
  </si>
  <si>
    <t>QUISPE DIAZ, SALLY VERONICA</t>
  </si>
  <si>
    <t>01327246</t>
  </si>
  <si>
    <t>40832376</t>
  </si>
  <si>
    <t>45799853</t>
  </si>
  <si>
    <t>43230559</t>
  </si>
  <si>
    <t>47490741</t>
  </si>
  <si>
    <t>40150755</t>
  </si>
  <si>
    <t>29663985</t>
  </si>
  <si>
    <t>40522981</t>
  </si>
  <si>
    <t>41167327</t>
  </si>
  <si>
    <t>29712821</t>
  </si>
  <si>
    <t>30844334</t>
  </si>
  <si>
    <t>41583054</t>
  </si>
  <si>
    <t>29645302</t>
  </si>
  <si>
    <t>29315957</t>
  </si>
  <si>
    <t>29642776</t>
  </si>
  <si>
    <t>41535997</t>
  </si>
  <si>
    <t>43160593</t>
  </si>
  <si>
    <t>40617820</t>
  </si>
  <si>
    <t>04437836</t>
  </si>
  <si>
    <t>29601954</t>
  </si>
  <si>
    <t>29223839</t>
  </si>
  <si>
    <t>29651771</t>
  </si>
  <si>
    <t>29670793</t>
  </si>
  <si>
    <t>SALAS PEREZ, KATIA ROCIO</t>
  </si>
  <si>
    <t>29628629</t>
  </si>
  <si>
    <t>29541564</t>
  </si>
  <si>
    <t>47249279</t>
  </si>
  <si>
    <t>40870728</t>
  </si>
  <si>
    <t>29607424</t>
  </si>
  <si>
    <t>45010992</t>
  </si>
  <si>
    <t>41904346</t>
  </si>
  <si>
    <t>45037930</t>
  </si>
  <si>
    <t>44837673</t>
  </si>
  <si>
    <t>40549650</t>
  </si>
  <si>
    <t>29594102</t>
  </si>
  <si>
    <t>42435246</t>
  </si>
  <si>
    <t>40152606</t>
  </si>
  <si>
    <t>29726358</t>
  </si>
  <si>
    <t>40881740</t>
  </si>
  <si>
    <t>42662742</t>
  </si>
  <si>
    <t>40418547</t>
  </si>
  <si>
    <t>80623339</t>
  </si>
  <si>
    <t>24704906</t>
  </si>
  <si>
    <t>40612387</t>
  </si>
  <si>
    <t>41424438</t>
  </si>
  <si>
    <t>29242682</t>
  </si>
  <si>
    <t>29585612</t>
  </si>
  <si>
    <t>29647364</t>
  </si>
  <si>
    <t>29428300</t>
  </si>
  <si>
    <t>28298187</t>
  </si>
  <si>
    <t>41376551</t>
  </si>
  <si>
    <t>40392272</t>
  </si>
  <si>
    <t>73238657</t>
  </si>
  <si>
    <t>29644257</t>
  </si>
  <si>
    <t>47150505</t>
  </si>
  <si>
    <t>00465086</t>
  </si>
  <si>
    <t>40203280</t>
  </si>
  <si>
    <t>29483845</t>
  </si>
  <si>
    <t>29572275</t>
  </si>
  <si>
    <t>40572157</t>
  </si>
  <si>
    <t>43122494</t>
  </si>
  <si>
    <t>41491510</t>
  </si>
  <si>
    <t>29415365</t>
  </si>
  <si>
    <t>29706821</t>
  </si>
  <si>
    <t>29724353</t>
  </si>
  <si>
    <t>29363216</t>
  </si>
  <si>
    <t>29715205</t>
  </si>
  <si>
    <t>29627090</t>
  </si>
  <si>
    <t>29300989</t>
  </si>
  <si>
    <t>43292086</t>
  </si>
  <si>
    <t>42705333</t>
  </si>
  <si>
    <t>29309104</t>
  </si>
  <si>
    <t>47050168</t>
  </si>
  <si>
    <t>46706142</t>
  </si>
  <si>
    <t>29257791</t>
  </si>
  <si>
    <t>Etiquetas de fila</t>
  </si>
  <si>
    <t>Total general</t>
  </si>
  <si>
    <t>Suma de TOTAL SUELDO</t>
  </si>
  <si>
    <t>Etiquetas de columna</t>
  </si>
  <si>
    <t>(en blanco)</t>
  </si>
  <si>
    <t>Suma de GUARDIAS</t>
  </si>
  <si>
    <t>Suma de GRATIFICACIONES</t>
  </si>
  <si>
    <t>Suma de 9% GRATIFICACIONES</t>
  </si>
  <si>
    <t>Suma de BONO FISCAL</t>
  </si>
  <si>
    <t>Suma de ESSALUD 9% Y 6.75%</t>
  </si>
  <si>
    <t>TEJADA CALDERON, KAREN</t>
  </si>
  <si>
    <t>numero de gratificaciones</t>
  </si>
  <si>
    <t>Suma de ESCOLARIDAD</t>
  </si>
  <si>
    <t>NUEVOS BÁSICOS</t>
  </si>
  <si>
    <t>APAZA RODRIGUEZ, SULLIN LORENA</t>
  </si>
  <si>
    <t>CONCEPTO</t>
  </si>
  <si>
    <t>9% GRATIFICACIÓN</t>
  </si>
  <si>
    <t>ESSALUD</t>
  </si>
  <si>
    <t>META</t>
  </si>
  <si>
    <t>PROYECCIÓN DE GASTOS EN PLANILLA DEL PERSONAL CONTRATADO BAJO EL RÉGIMEN LABORAL DEL D.L. N° 728 DEL D.F. AREQUIPA, EN APLICACIÓN DEL DECRETO SUPREMO N°322-2018-EF</t>
  </si>
  <si>
    <t>LIZARRAGA SILVA, NADIA EUDOCIA</t>
  </si>
  <si>
    <t>BARRIENTOS RIVERA, FERNANDO LUIS JESÚS</t>
  </si>
  <si>
    <t>CONDORI DE LA CRUZ, JUAN EULOGIO MANOLO</t>
  </si>
  <si>
    <t>ZUÑIGA GOMEZ, BETTY SHIRLEY</t>
  </si>
  <si>
    <t>ZUÑIGA RONDON, GUILLERMO VICENTE</t>
  </si>
  <si>
    <t>43180040</t>
  </si>
  <si>
    <t>MACEDO FERREL, GISELLE RUTH</t>
  </si>
  <si>
    <t>Suma de CARGO_ENC</t>
  </si>
  <si>
    <t>43119254</t>
  </si>
  <si>
    <t>LIZARRAGA VARGAS, LUIS CARLOS</t>
  </si>
  <si>
    <t>29645532</t>
  </si>
  <si>
    <t>SUPO HUARACHI, ALICIA ROCIO</t>
  </si>
  <si>
    <t>29721586</t>
  </si>
  <si>
    <t>FLORES PADILLA, BENITO CHRISTIAN</t>
  </si>
  <si>
    <t>GRATIFICACION</t>
  </si>
  <si>
    <t>1</t>
  </si>
  <si>
    <t>30</t>
  </si>
  <si>
    <t>10</t>
  </si>
  <si>
    <t>3</t>
  </si>
  <si>
    <t>6</t>
  </si>
  <si>
    <t>2</t>
  </si>
  <si>
    <t>4</t>
  </si>
  <si>
    <t>5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</si>
  <si>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</si>
  <si>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</si>
  <si>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</si>
  <si>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</si>
  <si>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</si>
  <si>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</si>
  <si>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</si>
  <si>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</si>
  <si>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</si>
  <si>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</si>
  <si>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</si>
  <si>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</si>
  <si>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</si>
  <si>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</si>
  <si>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</si>
  <si>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</si>
  <si>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</si>
  <si>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</si>
  <si>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</si>
  <si>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</si>
  <si>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</si>
  <si>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</si>
  <si>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</si>
  <si>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</si>
  <si>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</si>
  <si>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</si>
  <si>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</si>
  <si>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</si>
  <si>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</si>
  <si>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</si>
  <si>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</si>
  <si>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</si>
  <si>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</si>
  <si>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</si>
  <si>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</si>
  <si>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</si>
  <si>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</si>
  <si>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</si>
  <si>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</si>
  <si>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</si>
  <si>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</si>
  <si>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</si>
  <si>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</si>
  <si>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</si>
  <si>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</si>
  <si>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</si>
  <si>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</si>
  <si>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</si>
  <si>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</si>
  <si>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</si>
  <si>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</si>
  <si>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</si>
  <si>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</si>
  <si>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</si>
  <si>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</si>
  <si>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</si>
  <si>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</si>
  <si>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</si>
  <si>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</si>
  <si>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</si>
  <si>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</si>
  <si>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</si>
  <si>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</si>
  <si>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</si>
  <si>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</si>
  <si>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</si>
  <si>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</si>
  <si>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</si>
  <si>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</si>
  <si>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</si>
  <si>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</si>
  <si>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</si>
  <si>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</si>
  <si>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</si>
  <si>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</si>
  <si>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</si>
  <si>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</si>
  <si>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</si>
  <si>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</si>
  <si>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</si>
  <si>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</si>
  <si>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</si>
  <si>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</si>
  <si>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</si>
  <si>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</si>
  <si>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</si>
  <si>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</si>
  <si>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</si>
  <si>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</si>
  <si>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</si>
  <si>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</si>
  <si>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</si>
  <si>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</si>
  <si>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</si>
  <si>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</si>
  <si>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</si>
  <si>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</si>
  <si>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</si>
  <si>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</si>
  <si>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</si>
  <si>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</si>
  <si>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</si>
  <si>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</si>
  <si>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</si>
  <si>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</si>
  <si>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</si>
  <si>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</si>
  <si>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</si>
  <si>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</si>
  <si>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</si>
  <si>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</si>
  <si>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</si>
  <si>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</si>
  <si>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</si>
  <si>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</si>
  <si>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</si>
  <si>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</si>
  <si>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</si>
  <si>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</si>
  <si>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</si>
  <si>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</si>
  <si>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</si>
  <si>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</si>
  <si>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</si>
  <si>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</si>
  <si>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</si>
  <si>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</si>
  <si>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</si>
  <si>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</si>
  <si>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</si>
  <si>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</si>
  <si>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</si>
  <si>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</si>
  <si>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</si>
  <si>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</si>
  <si>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</si>
  <si>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</si>
  <si>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</si>
  <si>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</si>
  <si>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</si>
  <si>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</si>
  <si>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</si>
  <si>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</si>
  <si>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</si>
  <si>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</si>
  <si>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</si>
  <si>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</si>
  <si>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</si>
  <si>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</si>
  <si>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</si>
  <si>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</si>
  <si>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</si>
  <si>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</si>
  <si>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</si>
  <si>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</si>
  <si>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</si>
  <si>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</si>
  <si>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</si>
  <si>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</si>
  <si>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</si>
  <si>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</si>
  <si>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</si>
  <si>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</si>
  <si>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</si>
  <si>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</si>
  <si>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</si>
  <si>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</si>
  <si>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</si>
  <si>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</si>
  <si>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</si>
  <si>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</si>
  <si>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</si>
  <si>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</si>
  <si>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</si>
  <si>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</si>
  <si>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</si>
  <si>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</si>
  <si>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</si>
  <si>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</si>
  <si>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</si>
  <si>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</si>
  <si>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</si>
  <si>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</si>
  <si>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</si>
  <si>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</si>
  <si>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</si>
  <si>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</si>
  <si>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</si>
  <si>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</si>
  <si>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</si>
  <si>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</si>
  <si>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</si>
  <si>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</si>
  <si>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</si>
  <si>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</si>
  <si>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</si>
  <si>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</si>
  <si>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</si>
  <si>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</si>
  <si>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</si>
  <si>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</si>
  <si>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</si>
  <si>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</si>
  <si>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</si>
  <si>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</si>
  <si>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227</t>
  </si>
  <si>
    <t>228</t>
  </si>
  <si>
    <t>232</t>
  </si>
  <si>
    <t>235</t>
  </si>
  <si>
    <t>236</t>
  </si>
  <si>
    <t>237</t>
  </si>
  <si>
    <t>238</t>
  </si>
  <si>
    <t>242</t>
  </si>
  <si>
    <t>243</t>
  </si>
  <si>
    <t>k</t>
  </si>
  <si>
    <t>76</t>
  </si>
  <si>
    <t>78</t>
  </si>
  <si>
    <t>97</t>
  </si>
  <si>
    <t>107</t>
  </si>
  <si>
    <t>196</t>
  </si>
  <si>
    <t>CLAS_</t>
  </si>
  <si>
    <t>2.1.1.9.2.1</t>
  </si>
  <si>
    <t>TOTAL + ESSALUD</t>
  </si>
  <si>
    <t>no</t>
  </si>
  <si>
    <t>sueldo + AF</t>
  </si>
  <si>
    <t>CTS NOV</t>
  </si>
  <si>
    <t>SIN ESSALUD</t>
  </si>
  <si>
    <t>52</t>
  </si>
  <si>
    <t>221</t>
  </si>
  <si>
    <t>222</t>
  </si>
  <si>
    <t>223</t>
  </si>
  <si>
    <t>224</t>
  </si>
  <si>
    <t>225</t>
  </si>
  <si>
    <t>226</t>
  </si>
  <si>
    <t>229</t>
  </si>
  <si>
    <t>230</t>
  </si>
  <si>
    <t>231</t>
  </si>
  <si>
    <t>233</t>
  </si>
  <si>
    <t>234</t>
  </si>
  <si>
    <t>239</t>
  </si>
  <si>
    <t>240</t>
  </si>
  <si>
    <t>241</t>
  </si>
  <si>
    <t>244</t>
  </si>
  <si>
    <t>245</t>
  </si>
  <si>
    <t>246</t>
  </si>
  <si>
    <t>GRAT 9%</t>
  </si>
  <si>
    <t>MESES</t>
  </si>
  <si>
    <t>CTS</t>
  </si>
  <si>
    <t>ACTIVO/VACANTE</t>
  </si>
  <si>
    <t>gratificacion de julio</t>
  </si>
  <si>
    <t>FEC.INGRESO</t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</si>
</sst>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3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58">
    <xf numFmtId="0" fontId="0" fillId="0" borderId="0" xfId="0"/>
    <xf numFmtId="1" fontId="0" fillId="0" borderId="0" xfId="0" applyNumberFormat="1"/>
    <xf numFmtId="1" fontId="0" fillId="33" borderId="0" xfId="0" applyNumberFormat="1" applyFill="1"/>
    <xf numFmtId="0" fontId="0" fillId="33" borderId="0" xfId="0" applyFill="1"/>
    <xf numFmtId="1" fontId="0" fillId="34" borderId="0" xfId="0" applyNumberFormat="1" applyFill="1"/>
    <xf numFmtId="0" fontId="0" fillId="34" borderId="0" xfId="0" applyFill="1"/>
    <xf numFmtId="1" fontId="0" fillId="35" borderId="0" xfId="0" applyNumberFormat="1" applyFill="1"/>
    <xf numFmtId="0" fontId="0" fillId="35" borderId="0" xfId="0" applyFill="1"/>
    <xf numFmtId="1" fontId="0" fillId="36" borderId="0" xfId="0" applyNumberFormat="1" applyFill="1"/>
    <xf numFmtId="0" fontId="0" fillId="36" borderId="0" xfId="0" applyFill="1"/>
    <xf numFmtId="4" fontId="0" fillId="0" borderId="0" xfId="0" applyNumberFormat="1"/>
    <xf numFmtId="4" fontId="16" fillId="33" borderId="0" xfId="0" applyNumberFormat="1" applyFont="1" applyFill="1"/>
    <xf numFmtId="1" fontId="18" fillId="0" borderId="0" xfId="0" applyNumberFormat="1" applyFont="1" applyFill="1"/>
    <xf numFmtId="1" fontId="0" fillId="0" borderId="0" xfId="0" applyNumberFormat="1" applyFill="1"/>
    <xf numFmtId="0" fontId="0" fillId="0" borderId="0" xfId="0" applyFill="1"/>
    <xf numFmtId="4" fontId="0" fillId="36" borderId="0" xfId="0" applyNumberFormat="1" applyFill="1"/>
    <xf numFmtId="4" fontId="0" fillId="0" borderId="0" xfId="0" applyNumberFormat="1" applyFill="1"/>
    <xf numFmtId="4" fontId="0" fillId="33" borderId="0" xfId="0" applyNumberFormat="1" applyFill="1"/>
    <xf numFmtId="4" fontId="0" fillId="35" borderId="0" xfId="0" applyNumberFormat="1" applyFill="1"/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33" borderId="0" xfId="0" applyFont="1" applyFill="1"/>
    <xf numFmtId="0" fontId="16" fillId="37" borderId="1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4" fontId="0" fillId="0" borderId="10" xfId="0" applyNumberFormat="1" applyBorder="1" applyAlignment="1">
      <alignment vertical="center"/>
    </xf>
    <xf numFmtId="0" fontId="16" fillId="0" borderId="10" xfId="0" applyFont="1" applyFill="1" applyBorder="1" applyAlignment="1">
      <alignment vertical="center"/>
    </xf>
    <xf numFmtId="4" fontId="16" fillId="0" borderId="10" xfId="0" applyNumberFormat="1" applyFont="1" applyBorder="1" applyAlignment="1">
      <alignment vertical="center"/>
    </xf>
    <xf numFmtId="0" fontId="21" fillId="0" borderId="0" xfId="0" applyFont="1" applyBorder="1" applyAlignment="1">
      <alignment wrapText="1"/>
    </xf>
    <xf numFmtId="1" fontId="0" fillId="0" borderId="11" xfId="0" applyNumberFormat="1" applyBorder="1"/>
    <xf numFmtId="0" fontId="21" fillId="0" borderId="0" xfId="0" applyFont="1" applyFill="1" applyBorder="1" applyAlignment="1">
      <alignment wrapText="1"/>
    </xf>
    <xf numFmtId="1" fontId="0" fillId="0" borderId="0" xfId="0" applyNumberFormat="1" applyBorder="1"/>
    <xf numFmtId="1" fontId="22" fillId="0" borderId="0" xfId="0" applyNumberFormat="1" applyFont="1"/>
    <xf numFmtId="0" fontId="0" fillId="0" borderId="0" xfId="0" applyNumberFormat="1"/>
    <xf numFmtId="1" fontId="22" fillId="0" borderId="0" xfId="0" applyNumberFormat="1" applyFont="1" applyFill="1"/>
    <xf numFmtId="1" fontId="0" fillId="38" borderId="0" xfId="0" applyNumberFormat="1" applyFill="1"/>
    <xf numFmtId="0" fontId="18" fillId="38" borderId="0" xfId="0" applyFont="1" applyFill="1"/>
    <xf numFmtId="1" fontId="0" fillId="0" borderId="0" xfId="0" applyNumberFormat="1" applyAlignment="1">
      <alignment horizontal="center"/>
    </xf>
    <xf numFmtId="0" fontId="14" fillId="38" borderId="0" xfId="0" applyFont="1" applyFill="1"/>
    <xf numFmtId="0" fontId="14" fillId="0" borderId="0" xfId="0" applyFont="1"/>
    <xf numFmtId="1" fontId="18" fillId="38" borderId="10" xfId="0" applyNumberFormat="1" applyFont="1" applyFill="1" applyBorder="1"/>
    <xf numFmtId="0" fontId="18" fillId="38" borderId="10" xfId="0" applyFont="1" applyFill="1" applyBorder="1"/>
    <xf numFmtId="4" fontId="18" fillId="38" borderId="10" xfId="0" applyNumberFormat="1" applyFont="1" applyFill="1" applyBorder="1"/>
    <xf numFmtId="4" fontId="18" fillId="38" borderId="10" xfId="0" quotePrefix="1" applyNumberFormat="1" applyFont="1" applyFill="1" applyBorder="1"/>
    <xf numFmtId="0" fontId="0" fillId="38" borderId="0" xfId="0" quotePrefix="1" applyFill="1"/>
    <xf numFmtId="1" fontId="16" fillId="39" borderId="0" xfId="0" applyNumberFormat="1" applyFont="1" applyFill="1" applyAlignment="1">
      <alignment horizontal="center"/>
    </xf>
    <xf numFmtId="0" fontId="16" fillId="39" borderId="0" xfId="0" applyFont="1" applyFill="1" applyAlignment="1">
      <alignment horizontal="center"/>
    </xf>
    <xf numFmtId="4" fontId="0" fillId="35" borderId="0" xfId="0" applyNumberFormat="1" applyFill="1" applyBorder="1" applyAlignment="1">
      <alignment horizontal="center"/>
    </xf>
    <xf numFmtId="4" fontId="14" fillId="38" borderId="0" xfId="0" applyNumberFormat="1" applyFont="1" applyFill="1" applyBorder="1"/>
    <xf numFmtId="1" fontId="14" fillId="38" borderId="0" xfId="0" applyNumberFormat="1" applyFont="1" applyFill="1" applyBorder="1"/>
    <xf numFmtId="1" fontId="14" fillId="38" borderId="0" xfId="0" applyNumberFormat="1" applyFont="1" applyFill="1" applyBorder="1" applyAlignment="1">
      <alignment horizontal="center"/>
    </xf>
    <xf numFmtId="0" fontId="14" fillId="38" borderId="0" xfId="0" applyFont="1" applyFill="1" applyBorder="1"/>
    <xf numFmtId="0" fontId="14" fillId="39" borderId="0" xfId="0" applyFont="1" applyFill="1" applyBorder="1"/>
    <xf numFmtId="4" fontId="0" fillId="35" borderId="12" xfId="0" applyNumberFormat="1" applyFill="1" applyBorder="1" applyAlignment="1"/>
    <xf numFmtId="4" fontId="0" fillId="0" borderId="0" xfId="0" applyNumberFormat="1" applyAlignment="1">
      <alignment horizontal="center"/>
    </xf>
    <xf numFmtId="4" fontId="0" fillId="34" borderId="0" xfId="0" applyNumberFormat="1" applyFill="1" applyBorder="1" applyAlignment="1">
      <alignment horizontal="center"/>
    </xf>
    <xf numFmtId="4" fontId="0" fillId="34" borderId="0" xfId="0" applyNumberFormat="1" applyFill="1"/>
    <xf numFmtId="1" fontId="23" fillId="38" borderId="10" xfId="0" applyNumberFormat="1" applyFont="1" applyFill="1" applyBorder="1"/>
    <xf numFmtId="1" fontId="23" fillId="38" borderId="10" xfId="0" applyNumberFormat="1" applyFont="1" applyFill="1" applyBorder="1" applyAlignment="1">
      <alignment horizontal="center"/>
    </xf>
    <xf numFmtId="2" fontId="23" fillId="38" borderId="10" xfId="0" applyNumberFormat="1" applyFont="1" applyFill="1" applyBorder="1"/>
    <xf numFmtId="0" fontId="23" fillId="38" borderId="10" xfId="0" applyFont="1" applyFill="1" applyBorder="1"/>
    <xf numFmtId="4" fontId="23" fillId="38" borderId="10" xfId="0" applyNumberFormat="1" applyFont="1" applyFill="1" applyBorder="1"/>
    <xf numFmtId="4" fontId="23" fillId="38" borderId="10" xfId="0" quotePrefix="1" applyNumberFormat="1" applyFont="1" applyFill="1" applyBorder="1"/>
    <xf numFmtId="4" fontId="23" fillId="40" borderId="0" xfId="0" applyNumberFormat="1" applyFont="1" applyFill="1" applyBorder="1" applyAlignment="1">
      <alignment horizontal="center"/>
    </xf>
    <xf numFmtId="4" fontId="23" fillId="34" borderId="0" xfId="0" applyNumberFormat="1" applyFont="1" applyFill="1" applyBorder="1" applyAlignment="1">
      <alignment horizontal="center"/>
    </xf>
    <xf numFmtId="0" fontId="23" fillId="38" borderId="0" xfId="0" applyFont="1" applyFill="1"/>
    <xf numFmtId="0" fontId="18" fillId="0" borderId="0" xfId="0" applyFont="1"/>
    <xf numFmtId="4" fontId="18" fillId="39" borderId="10" xfId="0" applyNumberFormat="1" applyFont="1" applyFill="1" applyBorder="1"/>
    <xf numFmtId="1" fontId="18" fillId="39" borderId="10" xfId="0" applyNumberFormat="1" applyFont="1" applyFill="1" applyBorder="1"/>
    <xf numFmtId="4" fontId="18" fillId="35" borderId="12" xfId="0" applyNumberFormat="1" applyFont="1" applyFill="1" applyBorder="1" applyAlignment="1"/>
    <xf numFmtId="4" fontId="18" fillId="35" borderId="0" xfId="0" applyNumberFormat="1" applyFont="1" applyFill="1" applyBorder="1" applyAlignment="1">
      <alignment horizontal="center"/>
    </xf>
    <xf numFmtId="4" fontId="18" fillId="34" borderId="0" xfId="0" applyNumberFormat="1" applyFont="1" applyFill="1" applyBorder="1" applyAlignment="1">
      <alignment horizontal="center"/>
    </xf>
    <xf numFmtId="1" fontId="18" fillId="38" borderId="10" xfId="0" applyNumberFormat="1" applyFont="1" applyFill="1" applyBorder="1" applyAlignment="1">
      <alignment horizontal="center"/>
    </xf>
    <xf numFmtId="4" fontId="18" fillId="40" borderId="0" xfId="0" applyNumberFormat="1" applyFont="1" applyFill="1" applyBorder="1" applyAlignment="1">
      <alignment horizontal="center"/>
    </xf>
    <xf numFmtId="1" fontId="18" fillId="38" borderId="10" xfId="0" quotePrefix="1" applyNumberFormat="1" applyFont="1" applyFill="1" applyBorder="1"/>
    <xf numFmtId="4" fontId="26" fillId="33" borderId="0" xfId="0" applyNumberFormat="1" applyFont="1" applyFill="1"/>
    <xf numFmtId="4" fontId="26" fillId="38" borderId="0" xfId="0" applyNumberFormat="1" applyFont="1" applyFill="1" applyBorder="1"/>
    <xf numFmtId="0" fontId="26" fillId="33" borderId="0" xfId="0" applyFont="1" applyFill="1"/>
    <xf numFmtId="2" fontId="26" fillId="38" borderId="10" xfId="0" applyNumberFormat="1" applyFont="1" applyFill="1" applyBorder="1"/>
    <xf numFmtId="2" fontId="26" fillId="38" borderId="0" xfId="0" applyNumberFormat="1" applyFont="1" applyFill="1" applyBorder="1"/>
    <xf numFmtId="4" fontId="18" fillId="0" borderId="10" xfId="0" applyNumberFormat="1" applyFont="1" applyFill="1" applyBorder="1" applyAlignment="1">
      <alignment horizontal="center"/>
    </xf>
    <xf numFmtId="4" fontId="0" fillId="0" borderId="0" xfId="0" applyNumberFormat="1" applyFill="1" applyAlignment="1">
      <alignment horizontal="center"/>
    </xf>
    <xf numFmtId="4" fontId="14" fillId="0" borderId="0" xfId="0" applyNumberFormat="1" applyFont="1" applyFill="1" applyBorder="1"/>
    <xf numFmtId="1" fontId="23" fillId="0" borderId="10" xfId="0" applyNumberFormat="1" applyFont="1" applyFill="1" applyBorder="1"/>
    <xf numFmtId="0" fontId="18" fillId="0" borderId="10" xfId="0" applyFont="1" applyBorder="1"/>
    <xf numFmtId="1" fontId="27" fillId="38" borderId="10" xfId="0" applyNumberFormat="1" applyFont="1" applyFill="1" applyBorder="1"/>
    <xf numFmtId="1" fontId="27" fillId="38" borderId="10" xfId="0" applyNumberFormat="1" applyFont="1" applyFill="1" applyBorder="1" applyAlignment="1">
      <alignment horizontal="center"/>
    </xf>
    <xf numFmtId="2" fontId="27" fillId="38" borderId="10" xfId="0" applyNumberFormat="1" applyFont="1" applyFill="1" applyBorder="1"/>
    <xf numFmtId="0" fontId="27" fillId="38" borderId="10" xfId="0" applyFont="1" applyFill="1" applyBorder="1"/>
    <xf numFmtId="4" fontId="27" fillId="38" borderId="10" xfId="0" quotePrefix="1" applyNumberFormat="1" applyFont="1" applyFill="1" applyBorder="1"/>
    <xf numFmtId="4" fontId="27" fillId="40" borderId="0" xfId="0" applyNumberFormat="1" applyFont="1" applyFill="1" applyBorder="1" applyAlignment="1">
      <alignment horizontal="center"/>
    </xf>
    <xf numFmtId="0" fontId="27" fillId="38" borderId="0" xfId="0" applyFont="1" applyFill="1"/>
    <xf numFmtId="0" fontId="27" fillId="0" borderId="10" xfId="0" applyFont="1" applyBorder="1"/>
    <xf numFmtId="1" fontId="24" fillId="0" borderId="10" xfId="0" applyNumberFormat="1" applyFont="1" applyFill="1" applyBorder="1"/>
    <xf numFmtId="0" fontId="23" fillId="41" borderId="0" xfId="0" applyFont="1" applyFill="1"/>
    <xf numFmtId="2" fontId="18" fillId="0" borderId="10" xfId="0" applyNumberFormat="1" applyFont="1" applyFill="1" applyBorder="1"/>
    <xf numFmtId="0" fontId="18" fillId="38" borderId="10" xfId="0" applyNumberFormat="1" applyFont="1" applyFill="1" applyBorder="1" applyAlignment="1">
      <alignment horizontal="center"/>
    </xf>
    <xf numFmtId="4" fontId="0" fillId="0" borderId="0" xfId="0" applyNumberFormat="1" applyFill="1" applyBorder="1" applyAlignment="1"/>
    <xf numFmtId="4" fontId="18" fillId="0" borderId="13" xfId="0" applyNumberFormat="1" applyFont="1" applyFill="1" applyBorder="1" applyAlignment="1"/>
    <xf numFmtId="4" fontId="18" fillId="0" borderId="13" xfId="0" applyNumberFormat="1" applyFont="1" applyFill="1" applyBorder="1"/>
    <xf numFmtId="4" fontId="23" fillId="0" borderId="13" xfId="0" applyNumberFormat="1" applyFont="1" applyFill="1" applyBorder="1"/>
    <xf numFmtId="4" fontId="0" fillId="0" borderId="0" xfId="0" applyNumberFormat="1" applyFill="1" applyBorder="1"/>
    <xf numFmtId="4" fontId="18" fillId="35" borderId="10" xfId="0" applyNumberFormat="1" applyFont="1" applyFill="1" applyBorder="1" applyAlignment="1">
      <alignment horizontal="center"/>
    </xf>
    <xf numFmtId="0" fontId="27" fillId="38" borderId="10" xfId="0" applyNumberFormat="1" applyFont="1" applyFill="1" applyBorder="1" applyAlignment="1">
      <alignment horizontal="center"/>
    </xf>
    <xf numFmtId="0" fontId="23" fillId="38" borderId="10" xfId="0" applyNumberFormat="1" applyFont="1" applyFill="1" applyBorder="1" applyAlignment="1">
      <alignment horizontal="center"/>
    </xf>
    <xf numFmtId="1" fontId="28" fillId="39" borderId="0" xfId="0" applyNumberFormat="1" applyFont="1" applyFill="1" applyAlignment="1">
      <alignment horizontal="center"/>
    </xf>
    <xf numFmtId="1" fontId="29" fillId="0" borderId="0" xfId="0" applyNumberFormat="1" applyFont="1" applyAlignment="1">
      <alignment horizontal="center"/>
    </xf>
    <xf numFmtId="1" fontId="28" fillId="0" borderId="10" xfId="0" applyNumberFormat="1" applyFont="1" applyFill="1" applyBorder="1" applyAlignment="1">
      <alignment horizontal="center"/>
    </xf>
    <xf numFmtId="1" fontId="29" fillId="38" borderId="0" xfId="0" applyNumberFormat="1" applyFont="1" applyFill="1" applyBorder="1" applyAlignment="1">
      <alignment horizontal="center"/>
    </xf>
    <xf numFmtId="4" fontId="0" fillId="39" borderId="15" xfId="0" applyNumberFormat="1" applyFill="1" applyBorder="1" applyAlignment="1"/>
    <xf numFmtId="4" fontId="0" fillId="39" borderId="16" xfId="0" applyNumberFormat="1" applyFill="1" applyBorder="1" applyAlignment="1"/>
    <xf numFmtId="1" fontId="18" fillId="0" borderId="10" xfId="0" applyNumberFormat="1" applyFont="1" applyBorder="1"/>
    <xf numFmtId="1" fontId="18" fillId="0" borderId="10" xfId="0" applyNumberFormat="1" applyFont="1" applyFill="1" applyBorder="1"/>
    <xf numFmtId="1" fontId="18" fillId="0" borderId="10" xfId="0" applyNumberFormat="1" applyFont="1" applyBorder="1" applyAlignment="1">
      <alignment horizontal="center"/>
    </xf>
    <xf numFmtId="1" fontId="29" fillId="0" borderId="10" xfId="0" applyNumberFormat="1" applyFont="1" applyBorder="1" applyAlignment="1">
      <alignment horizontal="center"/>
    </xf>
    <xf numFmtId="1" fontId="18" fillId="33" borderId="10" xfId="0" applyNumberFormat="1" applyFont="1" applyFill="1" applyBorder="1"/>
    <xf numFmtId="4" fontId="18" fillId="35" borderId="10" xfId="0" applyNumberFormat="1" applyFont="1" applyFill="1" applyBorder="1"/>
    <xf numFmtId="1" fontId="18" fillId="35" borderId="10" xfId="0" applyNumberFormat="1" applyFont="1" applyFill="1" applyBorder="1"/>
    <xf numFmtId="1" fontId="18" fillId="34" borderId="10" xfId="0" applyNumberFormat="1" applyFont="1" applyFill="1" applyBorder="1"/>
    <xf numFmtId="4" fontId="18" fillId="35" borderId="10" xfId="0" applyNumberFormat="1" applyFont="1" applyFill="1" applyBorder="1" applyAlignment="1"/>
    <xf numFmtId="0" fontId="18" fillId="38" borderId="10" xfId="0" quotePrefix="1" applyFont="1" applyFill="1" applyBorder="1"/>
    <xf numFmtId="0" fontId="29" fillId="0" borderId="10" xfId="0" applyFont="1" applyBorder="1" applyAlignment="1">
      <alignment horizontal="center"/>
    </xf>
    <xf numFmtId="0" fontId="23" fillId="38" borderId="10" xfId="0" quotePrefix="1" applyFont="1" applyFill="1" applyBorder="1"/>
    <xf numFmtId="0" fontId="23" fillId="0" borderId="10" xfId="0" applyFont="1" applyBorder="1"/>
    <xf numFmtId="1" fontId="16" fillId="38" borderId="0" xfId="0" applyNumberFormat="1" applyFont="1" applyFill="1" applyAlignment="1">
      <alignment horizontal="center"/>
    </xf>
    <xf numFmtId="0" fontId="27" fillId="38" borderId="10" xfId="0" quotePrefix="1" applyFont="1" applyFill="1" applyBorder="1"/>
    <xf numFmtId="1" fontId="23" fillId="38" borderId="10" xfId="0" quotePrefix="1" applyNumberFormat="1" applyFont="1" applyFill="1" applyBorder="1"/>
    <xf numFmtId="4" fontId="0" fillId="35" borderId="14" xfId="0" applyNumberFormat="1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16" fillId="37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8" fillId="0" borderId="10" xfId="0" applyFont="1" applyFill="1" applyBorder="1"/>
    <xf numFmtId="0" fontId="27" fillId="0" borderId="10" xfId="0" applyFont="1" applyFill="1" applyBorder="1"/>
    <xf numFmtId="0" fontId="18" fillId="0" borderId="10" xfId="0" quotePrefix="1" applyFont="1" applyFill="1" applyBorder="1"/>
    <xf numFmtId="0" fontId="27" fillId="0" borderId="10" xfId="0" quotePrefix="1" applyFont="1" applyFill="1" applyBorder="1"/>
    <xf numFmtId="1" fontId="23" fillId="0" borderId="10" xfId="0" quotePrefix="1" applyNumberFormat="1" applyFont="1" applyFill="1" applyBorder="1"/>
    <xf numFmtId="0" fontId="23" fillId="0" borderId="10" xfId="0" applyFont="1" applyFill="1" applyBorder="1"/>
    <xf numFmtId="0" fontId="23" fillId="0" borderId="10" xfId="0" quotePrefix="1" applyFont="1" applyFill="1" applyBorder="1"/>
    <xf numFmtId="4" fontId="0" fillId="38" borderId="10" xfId="0" applyNumberFormat="1" applyFont="1" applyFill="1" applyBorder="1"/>
    <xf numFmtId="0" fontId="0" fillId="38" borderId="10" xfId="0" applyFont="1" applyFill="1" applyBorder="1"/>
    <xf numFmtId="4" fontId="0" fillId="42" borderId="10" xfId="0" applyNumberFormat="1" applyFont="1" applyFill="1" applyBorder="1"/>
    <xf numFmtId="4" fontId="16" fillId="38" borderId="10" xfId="0" applyNumberFormat="1" applyFont="1" applyFill="1" applyBorder="1"/>
    <xf numFmtId="0" fontId="16" fillId="38" borderId="10" xfId="0" applyFont="1" applyFill="1" applyBorder="1"/>
    <xf numFmtId="4" fontId="0" fillId="39" borderId="10" xfId="0" quotePrefix="1" applyNumberFormat="1" applyFont="1" applyFill="1" applyBorder="1"/>
    <xf numFmtId="0" fontId="0" fillId="39" borderId="10" xfId="0" applyFont="1" applyFill="1" applyBorder="1"/>
    <xf numFmtId="4" fontId="0" fillId="42" borderId="10" xfId="0" quotePrefix="1" applyNumberFormat="1" applyFont="1" applyFill="1" applyBorder="1"/>
    <xf numFmtId="4" fontId="16" fillId="39" borderId="10" xfId="0" quotePrefix="1" applyNumberFormat="1" applyFont="1" applyFill="1" applyBorder="1"/>
    <xf numFmtId="0" fontId="16" fillId="39" borderId="10" xfId="0" applyFont="1" applyFill="1" applyBorder="1"/>
    <xf numFmtId="0" fontId="26" fillId="0" borderId="0" xfId="0" applyFont="1" applyFill="1"/>
    <xf numFmtId="4" fontId="26" fillId="0" borderId="0" xfId="0" applyNumberFormat="1" applyFont="1" applyFill="1"/>
    <xf numFmtId="0" fontId="0" fillId="33" borderId="0" xfId="0" applyFont="1" applyFill="1"/>
    <xf numFmtId="4" fontId="0" fillId="33" borderId="0" xfId="0" applyNumberFormat="1" applyFont="1" applyFill="1"/>
    <xf numFmtId="1" fontId="0" fillId="33" borderId="10" xfId="0" applyNumberFormat="1" applyFont="1" applyFill="1" applyBorder="1"/>
    <xf numFmtId="4" fontId="16" fillId="33" borderId="10" xfId="0" applyNumberFormat="1" applyFont="1" applyFill="1" applyBorder="1"/>
    <xf numFmtId="1" fontId="16" fillId="33" borderId="10" xfId="0" applyNumberFormat="1" applyFont="1" applyFill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42"/>
    <cellStyle name="Total" xfId="17" builtinId="25" customBuiltin="1"/>
  </cellStyles>
  <dxfs count="1"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iovana" refreshedDate="43475.654291782404" createdVersion="5" refreshedVersion="5" minRefreshableVersion="3" recordCount="300">
  <cacheSource type="worksheet">
    <worksheetSource ref="D2:AC232" sheet="D.L.728 - 12-09-2021"/>
  </cacheSource>
  <cacheFields count="26">
    <cacheField name="META_SIIAF" numFmtId="1">
      <sharedItems count="6">
        <s v="0003"/>
        <s v="0005"/>
        <s v="0001"/>
        <s v="0002"/>
        <s v="0009"/>
        <s v="0004"/>
      </sharedItems>
    </cacheField>
    <cacheField name="CARGO_ENC" numFmtId="1">
      <sharedItems containsSemiMixedTypes="0" containsString="0" containsNumber="1" containsInteger="1" minValue="1" maxValue="1"/>
    </cacheField>
    <cacheField name="EPS" numFmtId="0">
      <sharedItems containsBlank="1"/>
    </cacheField>
    <cacheField name="CONLAB" numFmtId="1">
      <sharedItems/>
    </cacheField>
    <cacheField name="NIVEL" numFmtId="1">
      <sharedItems/>
    </cacheField>
    <cacheField name="SUELDO" numFmtId="0">
      <sharedItems containsSemiMixedTypes="0" containsString="0" containsNumber="1" containsInteger="1" minValue="1600" maxValue="7878"/>
    </cacheField>
    <cacheField name="ASIGNAC" numFmtId="0">
      <sharedItems containsSemiMixedTypes="0" containsString="0" containsNumber="1" containsInteger="1" minValue="720" maxValue="720"/>
    </cacheField>
    <cacheField name="AF" numFmtId="0">
      <sharedItems containsString="0" containsBlank="1" containsNumber="1" containsInteger="1" minValue="93" maxValue="93"/>
    </cacheField>
    <cacheField name="TOTAL SUELDO" numFmtId="4">
      <sharedItems containsSemiMixedTypes="0" containsString="0" containsNumber="1" containsInteger="1" minValue="27840" maxValue="103176"/>
    </cacheField>
    <cacheField name="CLAS_SUELDO" numFmtId="0">
      <sharedItems count="5">
        <s v="2.1.1.1.1.5"/>
        <s v="2.1.1.1.1.4"/>
        <s v="2.1.1.3.1.2"/>
        <s v="2.1.1.3.2.2"/>
        <e v="#N/A" u="1"/>
      </sharedItems>
    </cacheField>
    <cacheField name="GUARDIAS" numFmtId="4">
      <sharedItems containsSemiMixedTypes="0" containsString="0" containsNumber="1" minValue="0" maxValue="7363"/>
    </cacheField>
    <cacheField name="CLAS_GUARD" numFmtId="0">
      <sharedItems containsBlank="1" count="2">
        <m/>
        <s v="2.1.1.3.3.1"/>
      </sharedItems>
    </cacheField>
    <cacheField name="ESCOLARIDAD" numFmtId="0">
      <sharedItems containsSemiMixedTypes="0" containsString="0" containsNumber="1" containsInteger="1" minValue="400" maxValue="400"/>
    </cacheField>
    <cacheField name="CLAS_ESCOLAR" numFmtId="0">
      <sharedItems/>
    </cacheField>
    <cacheField name="GRATIFICACIONES" numFmtId="4">
      <sharedItems containsSemiMixedTypes="0" containsString="0" containsNumber="1" containsInteger="1" minValue="3200" maxValue="15756"/>
    </cacheField>
    <cacheField name="CLAS_GRATI" numFmtId="0">
      <sharedItems count="1">
        <s v="2.1.1.9.1.1"/>
      </sharedItems>
    </cacheField>
    <cacheField name="9% GRATIFICACIONES" numFmtId="4">
      <sharedItems containsSemiMixedTypes="0" containsString="0" containsNumber="1" minValue="288" maxValue="1418.04"/>
    </cacheField>
    <cacheField name="CLAS_9%" numFmtId="0">
      <sharedItems count="1">
        <s v="2.1.1.9.3.99"/>
      </sharedItems>
    </cacheField>
    <cacheField name="BONO" numFmtId="4">
      <sharedItems containsSemiMixedTypes="0" containsString="0" containsNumber="1" containsInteger="1" minValue="802" maxValue="2402"/>
    </cacheField>
    <cacheField name="BONO FISCAL" numFmtId="4">
      <sharedItems containsSemiMixedTypes="0" containsString="0" containsNumber="1" containsInteger="1" minValue="9624" maxValue="28824"/>
    </cacheField>
    <cacheField name="CLAS_BONO" numFmtId="0">
      <sharedItems count="2">
        <s v="2.1.1.1.2.99"/>
        <s v="2.1.1.3.3.99"/>
      </sharedItems>
    </cacheField>
    <cacheField name="ESSALUD 9% Y 6.75%" numFmtId="4">
      <sharedItems containsSemiMixedTypes="0" containsString="0" containsNumber="1" minValue="1728" maxValue="8508.24"/>
    </cacheField>
    <cacheField name="CLAS_ESSA" numFmtId="0">
      <sharedItems count="1">
        <s v="2.1.3.1.1.5"/>
      </sharedItems>
    </cacheField>
    <cacheField name="EPS 2.25%" numFmtId="0">
      <sharedItems containsNonDate="0" containsString="0" containsBlank="1"/>
    </cacheField>
    <cacheField name="CLAS_EPS" numFmtId="0">
      <sharedItems containsBlank="1"/>
    </cacheField>
    <cacheField name="TOTAL" numFmtId="4">
      <sharedItems containsSemiMixedTypes="0" containsString="0" containsNumber="1" minValue="43080" maxValue="158082.27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iovana" refreshedDate="43508.592419328706" createdVersion="5" refreshedVersion="5" minRefreshableVersion="3" recordCount="300">
  <cacheSource type="worksheet">
    <worksheetSource ref="F2:I232" sheet="D.L.728 - 12-09-2021"/>
  </cacheSource>
  <cacheFields count="4">
    <cacheField name="CARGO_ENC" numFmtId="1">
      <sharedItems containsSemiMixedTypes="0" containsString="0" containsNumber="1" containsInteger="1" minValue="1" maxValue="1" count="1">
        <n v="1"/>
      </sharedItems>
    </cacheField>
    <cacheField name="EPS" numFmtId="0">
      <sharedItems containsBlank="1"/>
    </cacheField>
    <cacheField name="CONLAB" numFmtId="1">
      <sharedItems/>
    </cacheField>
    <cacheField name="NIVEL" numFmtId="1">
      <sharedItems count="18">
        <s v="ASISTENTE ADMINISTRATIVO."/>
        <s v="GERENTE"/>
        <s v="TECNOLOGO MEDICO"/>
        <s v="ASIST.FUNC.FISCAL"/>
        <s v="ANALISTA"/>
        <s v="TECNICO NECROPSIADOR"/>
        <s v="AUXILIAR"/>
        <s v="CIRUJANO DENTISTA"/>
        <s v="PSICOLOGO"/>
        <s v="ADMINISTRADOR"/>
        <s v="QUIMICO FARMACEUTICO"/>
        <s v="ESPECIALISTA ADM."/>
        <s v="OPERADOR ADMINISTRATIVO"/>
        <s v="ABOGADO"/>
        <s v="MEDICO"/>
        <s v="ASISTENTE MEDICO LEGAL"/>
        <s v="BIOLOGO"/>
        <s v="SUBGER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Giovana" refreshedDate="43539.714749305553" createdVersion="5" refreshedVersion="5" minRefreshableVersion="3" recordCount="300">
  <cacheSource type="worksheet">
    <worksheetSource ref="D2:Z232" sheet="D.L.728 - 12-09-2021"/>
  </cacheSource>
  <cacheFields count="23">
    <cacheField name="META_SIIAF" numFmtId="1">
      <sharedItems count="6">
        <s v="0003"/>
        <s v="0005"/>
        <s v="0001"/>
        <s v="0002"/>
        <s v="0009"/>
        <s v="0004"/>
      </sharedItems>
    </cacheField>
    <cacheField name="CARGO_ENC" numFmtId="1">
      <sharedItems containsSemiMixedTypes="0" containsString="0" containsNumber="1" containsInteger="1" minValue="1" maxValue="1"/>
    </cacheField>
    <cacheField name="EPS" numFmtId="0">
      <sharedItems containsBlank="1" count="2">
        <m/>
        <s v="RIMAC EPS EMPRESA PRESTADORA DE SALUD"/>
      </sharedItems>
    </cacheField>
    <cacheField name="CONLAB" numFmtId="1">
      <sharedItems/>
    </cacheField>
    <cacheField name="NIVEL" numFmtId="1">
      <sharedItems/>
    </cacheField>
    <cacheField name="SUELDO" numFmtId="0">
      <sharedItems containsSemiMixedTypes="0" containsString="0" containsNumber="1" containsInteger="1" minValue="1600" maxValue="7878"/>
    </cacheField>
    <cacheField name="ASIGNAC" numFmtId="0">
      <sharedItems containsSemiMixedTypes="0" containsString="0" containsNumber="1" containsInteger="1" minValue="720" maxValue="720"/>
    </cacheField>
    <cacheField name="AF" numFmtId="0">
      <sharedItems containsString="0" containsBlank="1" containsNumber="1" containsInteger="1" minValue="93" maxValue="93"/>
    </cacheField>
    <cacheField name="TOTAL SUELDO" numFmtId="4">
      <sharedItems containsSemiMixedTypes="0" containsString="0" containsNumber="1" containsInteger="1" minValue="27840" maxValue="103176"/>
    </cacheField>
    <cacheField name="CLAS_SUELDO" numFmtId="0">
      <sharedItems/>
    </cacheField>
    <cacheField name="GUARDIAS" numFmtId="4">
      <sharedItems containsSemiMixedTypes="0" containsString="0" containsNumber="1" minValue="0" maxValue="7363"/>
    </cacheField>
    <cacheField name="CLAS_GUARD" numFmtId="0">
      <sharedItems containsBlank="1"/>
    </cacheField>
    <cacheField name="ESCOLARIDAD" numFmtId="0">
      <sharedItems containsSemiMixedTypes="0" containsString="0" containsNumber="1" containsInteger="1" minValue="400" maxValue="400"/>
    </cacheField>
    <cacheField name="CLAS_ESCOLAR" numFmtId="0">
      <sharedItems count="1">
        <s v="2.1.1.9.1.3"/>
      </sharedItems>
    </cacheField>
    <cacheField name="GRATIFICACIONES" numFmtId="4">
      <sharedItems containsSemiMixedTypes="0" containsString="0" containsNumber="1" containsInteger="1" minValue="3200" maxValue="15756"/>
    </cacheField>
    <cacheField name="CLAS_GRATI" numFmtId="0">
      <sharedItems/>
    </cacheField>
    <cacheField name="9% GRATIFICACIONES" numFmtId="4">
      <sharedItems containsSemiMixedTypes="0" containsString="0" containsNumber="1" minValue="288" maxValue="1418.04"/>
    </cacheField>
    <cacheField name="CLAS_9%" numFmtId="0">
      <sharedItems/>
    </cacheField>
    <cacheField name="BONO" numFmtId="4">
      <sharedItems containsSemiMixedTypes="0" containsString="0" containsNumber="1" containsInteger="1" minValue="802" maxValue="2402"/>
    </cacheField>
    <cacheField name="BONO FISCAL" numFmtId="4">
      <sharedItems containsSemiMixedTypes="0" containsString="0" containsNumber="1" containsInteger="1" minValue="9624" maxValue="28824"/>
    </cacheField>
    <cacheField name="CLAS_BONO" numFmtId="0">
      <sharedItems/>
    </cacheField>
    <cacheField name="ESSALUD 9% Y 6.75%" numFmtId="4">
      <sharedItems containsSemiMixedTypes="0" containsString="0" containsNumber="1" minValue="1728" maxValue="8508.24"/>
    </cacheField>
    <cacheField name="CLAS_ESSA" numFmtId="0">
      <sharedItems count="1">
        <s v="2.1.3.1.1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n v="1"/>
    <m/>
    <s v="CONTRATADO A PLAZO FIJO"/>
    <s v="ASISTENTE ADMINISTRATIVO."/>
    <n v="1928"/>
    <n v="720"/>
    <m/>
    <n v="31776"/>
    <x v="0"/>
    <n v="0"/>
    <x v="0"/>
    <n v="400"/>
    <s v="2.1.1.9.1.3"/>
    <n v="3856"/>
    <x v="0"/>
    <n v="347.03999999999996"/>
    <x v="0"/>
    <n v="852"/>
    <n v="10224"/>
    <x v="0"/>
    <n v="2082.2399999999998"/>
    <x v="0"/>
    <m/>
    <s v="2.1.3.1.1.1"/>
    <n v="48685.279999999999"/>
  </r>
  <r>
    <x v="1"/>
    <n v="1"/>
    <s v="RIMAC EPS EMPRESA PRESTADORA DE SALUD"/>
    <s v="CONTRATO A PLAZO INDETERMINADO"/>
    <s v="GERENTE"/>
    <n v="7878"/>
    <n v="720"/>
    <m/>
    <n v="103176"/>
    <x v="1"/>
    <n v="0"/>
    <x v="0"/>
    <n v="400"/>
    <s v="2.1.1.9.1.3"/>
    <n v="15756"/>
    <x v="0"/>
    <n v="1418.04"/>
    <x v="0"/>
    <n v="2402"/>
    <n v="28824"/>
    <x v="0"/>
    <n v="8508.24"/>
    <x v="0"/>
    <m/>
    <m/>
    <n v="158082.27999999997"/>
  </r>
  <r>
    <x v="2"/>
    <n v="1"/>
    <m/>
    <s v="CONTRATO A PLAZO INDETERMINADO"/>
    <s v="TECNOLOGO MEDICO"/>
    <n v="2378"/>
    <n v="720"/>
    <n v="93"/>
    <n v="38292"/>
    <x v="2"/>
    <n v="2427.8000000000002"/>
    <x v="1"/>
    <n v="400"/>
    <s v="2.1.1.9.1.3"/>
    <n v="4942"/>
    <x v="0"/>
    <n v="444.78"/>
    <x v="0"/>
    <n v="1302"/>
    <n v="15624"/>
    <x v="1"/>
    <n v="2887.1819999999998"/>
    <x v="0"/>
    <m/>
    <m/>
    <n v="65017.762000000002"/>
  </r>
  <r>
    <x v="3"/>
    <n v="1"/>
    <s v="RIMAC EPS EMPRESA PRESTADORA DE SALUD"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2"/>
    <n v="1"/>
    <m/>
    <s v="CONTRATO A PLAZO INDETERMINADO"/>
    <s v="ANALISTA"/>
    <n v="3978"/>
    <n v="720"/>
    <n v="93"/>
    <n v="57492"/>
    <x v="1"/>
    <n v="0"/>
    <x v="0"/>
    <n v="400"/>
    <s v="2.1.1.9.1.3"/>
    <n v="8142"/>
    <x v="0"/>
    <n v="732.78"/>
    <x v="0"/>
    <n v="802"/>
    <n v="9624"/>
    <x v="0"/>
    <n v="4396.68"/>
    <x v="0"/>
    <m/>
    <m/>
    <n v="80787.459999999992"/>
  </r>
  <r>
    <x v="2"/>
    <n v="1"/>
    <m/>
    <s v="CONTRATO A PLAZO INDETERMINADO"/>
    <s v="ANALISTA"/>
    <n v="3978"/>
    <n v="720"/>
    <m/>
    <n v="56376"/>
    <x v="1"/>
    <n v="0"/>
    <x v="0"/>
    <n v="400"/>
    <s v="2.1.1.9.1.3"/>
    <n v="7956"/>
    <x v="0"/>
    <n v="716.04"/>
    <x v="0"/>
    <n v="802"/>
    <n v="9624"/>
    <x v="0"/>
    <n v="4296.24"/>
    <x v="0"/>
    <m/>
    <m/>
    <n v="79368.280000000013"/>
  </r>
  <r>
    <x v="3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2"/>
    <n v="1"/>
    <m/>
    <s v="CONTRATO A PLAZO INDETERMINADO"/>
    <s v="TECNICO NECROPSIADOR"/>
    <n v="1928"/>
    <n v="720"/>
    <m/>
    <n v="31776"/>
    <x v="3"/>
    <n v="3638.34"/>
    <x v="1"/>
    <n v="400"/>
    <s v="2.1.1.9.1.3"/>
    <n v="3856"/>
    <x v="0"/>
    <n v="347.03999999999996"/>
    <x v="0"/>
    <n v="852"/>
    <n v="10224"/>
    <x v="1"/>
    <n v="2409.6905999999999"/>
    <x v="0"/>
    <m/>
    <m/>
    <n v="52651.070599999999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2"/>
    <n v="1"/>
    <m/>
    <s v="CONTRATADO A PLAZO FIJO"/>
    <s v="TECNICO NECROPSIADOR"/>
    <n v="1928"/>
    <n v="720"/>
    <m/>
    <n v="31776"/>
    <x v="3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2"/>
    <n v="1"/>
    <m/>
    <s v="CONTRATO A PLAZO INDETERMINADO"/>
    <s v="AUXILIAR"/>
    <n v="1600"/>
    <n v="720"/>
    <m/>
    <n v="27840"/>
    <x v="1"/>
    <n v="0"/>
    <x v="0"/>
    <n v="400"/>
    <s v="2.1.1.9.1.3"/>
    <n v="3200"/>
    <x v="0"/>
    <n v="288"/>
    <x v="0"/>
    <n v="802"/>
    <n v="9624"/>
    <x v="0"/>
    <n v="1728"/>
    <x v="0"/>
    <m/>
    <m/>
    <n v="43080"/>
  </r>
  <r>
    <x v="2"/>
    <n v="1"/>
    <m/>
    <s v="CONTRATO A PLAZO INDETERMINADO"/>
    <s v="CIRUJANO DENTISTA"/>
    <n v="2378"/>
    <n v="720"/>
    <n v="93"/>
    <n v="38292"/>
    <x v="2"/>
    <n v="3303.4"/>
    <x v="1"/>
    <n v="400"/>
    <s v="2.1.1.9.1.3"/>
    <n v="4942"/>
    <x v="0"/>
    <n v="444.78"/>
    <x v="0"/>
    <n v="1302"/>
    <n v="15624"/>
    <x v="1"/>
    <n v="2965.9859999999999"/>
    <x v="0"/>
    <m/>
    <m/>
    <n v="65972.165999999997"/>
  </r>
  <r>
    <x v="4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s v="2.1.3.1.1.1"/>
    <n v="50104.46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s v="RIMAC EPS EMPRESA PRESTADORA DE SALUD"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5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1"/>
    <n v="1"/>
    <m/>
    <s v="CONTRATO A PLAZO INDETERMINADO"/>
    <s v="ADMINISTRADOR"/>
    <n v="5478"/>
    <n v="720"/>
    <n v="93"/>
    <n v="75492"/>
    <x v="1"/>
    <n v="0"/>
    <x v="0"/>
    <n v="400"/>
    <s v="2.1.1.9.1.3"/>
    <n v="11142"/>
    <x v="0"/>
    <n v="1002.78"/>
    <x v="0"/>
    <n v="1302"/>
    <n v="15624"/>
    <x v="0"/>
    <n v="6016.68"/>
    <x v="0"/>
    <m/>
    <m/>
    <n v="109677.45999999999"/>
  </r>
  <r>
    <x v="5"/>
    <n v="1"/>
    <m/>
    <s v="CONTRATO A PLAZO INDETERMINADO"/>
    <s v="ANALISTA"/>
    <n v="3978"/>
    <n v="720"/>
    <n v="93"/>
    <n v="57492"/>
    <x v="1"/>
    <n v="0"/>
    <x v="0"/>
    <n v="400"/>
    <s v="2.1.1.9.1.3"/>
    <n v="8142"/>
    <x v="0"/>
    <n v="732.78"/>
    <x v="0"/>
    <n v="802"/>
    <n v="9624"/>
    <x v="0"/>
    <n v="4396.68"/>
    <x v="0"/>
    <m/>
    <m/>
    <n v="80787.459999999992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ADO A PLAZO FIJO"/>
    <s v="ASISTENTE ADMINISTRATIVO."/>
    <n v="1928"/>
    <n v="720"/>
    <m/>
    <n v="31776"/>
    <x v="0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5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s v="2.1.3.1.1.1"/>
    <n v="62371.46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1"/>
    <n v="1"/>
    <m/>
    <s v="CONTRATO A PLAZO INDETERMINADO"/>
    <s v="ADMINISTRADOR"/>
    <n v="5478"/>
    <n v="720"/>
    <n v="93"/>
    <n v="75492"/>
    <x v="1"/>
    <n v="0"/>
    <x v="0"/>
    <n v="400"/>
    <s v="2.1.1.9.1.3"/>
    <n v="11142"/>
    <x v="0"/>
    <n v="1002.78"/>
    <x v="0"/>
    <n v="1302"/>
    <n v="15624"/>
    <x v="0"/>
    <n v="6016.68"/>
    <x v="0"/>
    <m/>
    <m/>
    <n v="109677.45999999999"/>
  </r>
  <r>
    <x v="1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2"/>
    <n v="1"/>
    <s v="RIMAC EPS EMPRESA PRESTADORA DE SALUD"/>
    <s v="CONTRATO A PLAZO INDETERMINADO"/>
    <s v="QUIMICO FARMACEUTICO"/>
    <n v="2378"/>
    <n v="720"/>
    <n v="93"/>
    <n v="38292"/>
    <x v="2"/>
    <n v="7363"/>
    <x v="1"/>
    <n v="400"/>
    <s v="2.1.1.9.1.3"/>
    <n v="4942"/>
    <x v="0"/>
    <n v="444.78"/>
    <x v="0"/>
    <n v="1302"/>
    <n v="15624"/>
    <x v="1"/>
    <n v="3331.35"/>
    <x v="0"/>
    <m/>
    <m/>
    <n v="70397.13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2"/>
    <n v="1"/>
    <m/>
    <s v="CONTRATO A PLAZO INDETERMINADO"/>
    <s v="AUXILIAR"/>
    <n v="1600"/>
    <n v="720"/>
    <n v="93"/>
    <n v="28956"/>
    <x v="1"/>
    <n v="0"/>
    <x v="0"/>
    <n v="400"/>
    <s v="2.1.1.9.1.3"/>
    <n v="3386"/>
    <x v="0"/>
    <n v="304.74"/>
    <x v="0"/>
    <n v="802"/>
    <n v="9624"/>
    <x v="0"/>
    <n v="1828.44"/>
    <x v="0"/>
    <m/>
    <m/>
    <n v="44499.18"/>
  </r>
  <r>
    <x v="5"/>
    <n v="1"/>
    <s v="RIMAC EPS EMPRESA PRESTADORA DE SALUD"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1"/>
    <n v="1"/>
    <m/>
    <s v="CONTRATO A PLAZO INDETERMINADO"/>
    <s v="ESPECIALISTA ADM."/>
    <n v="2828"/>
    <n v="720"/>
    <n v="93"/>
    <n v="43692"/>
    <x v="1"/>
    <n v="0"/>
    <x v="0"/>
    <n v="400"/>
    <s v="2.1.1.9.1.3"/>
    <n v="5842"/>
    <x v="0"/>
    <n v="525.78"/>
    <x v="0"/>
    <n v="852"/>
    <n v="10224"/>
    <x v="0"/>
    <n v="3154.68"/>
    <x v="0"/>
    <m/>
    <m/>
    <n v="63838.4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1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ADO A PLAZO FIJO"/>
    <s v="ASISTENTE ADMINISTRATIVO."/>
    <n v="1928"/>
    <n v="720"/>
    <m/>
    <n v="31776"/>
    <x v="0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2"/>
    <n v="1"/>
    <m/>
    <s v="CONTRATO A PLAZO INDETERMINADO"/>
    <s v="TECNICO NECROPSIADOR"/>
    <n v="1928"/>
    <n v="720"/>
    <m/>
    <n v="31776"/>
    <x v="3"/>
    <n v="0"/>
    <x v="0"/>
    <n v="400"/>
    <s v="2.1.1.9.1.3"/>
    <n v="3856"/>
    <x v="0"/>
    <n v="347.03999999999996"/>
    <x v="0"/>
    <n v="852"/>
    <n v="10224"/>
    <x v="1"/>
    <n v="2082.2399999999998"/>
    <x v="0"/>
    <m/>
    <m/>
    <n v="48685.279999999999"/>
  </r>
  <r>
    <x v="2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2"/>
    <n v="1"/>
    <m/>
    <s v="CONTRATO A PLAZO INDETERMINADO"/>
    <s v="AUXILIAR"/>
    <n v="1600"/>
    <n v="720"/>
    <n v="93"/>
    <n v="28956"/>
    <x v="1"/>
    <n v="0"/>
    <x v="0"/>
    <n v="400"/>
    <s v="2.1.1.9.1.3"/>
    <n v="3386"/>
    <x v="0"/>
    <n v="304.74"/>
    <x v="0"/>
    <n v="802"/>
    <n v="9624"/>
    <x v="0"/>
    <n v="1828.44"/>
    <x v="0"/>
    <m/>
    <m/>
    <n v="44499.18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1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CIRUJANO DENTISTA"/>
    <n v="2378"/>
    <n v="720"/>
    <n v="93"/>
    <n v="38292"/>
    <x v="2"/>
    <n v="4676.5"/>
    <x v="1"/>
    <n v="400"/>
    <s v="2.1.1.9.1.3"/>
    <n v="4942"/>
    <x v="0"/>
    <n v="444.78"/>
    <x v="0"/>
    <n v="1302"/>
    <n v="15624"/>
    <x v="1"/>
    <n v="3089.5649999999996"/>
    <x v="0"/>
    <m/>
    <m/>
    <n v="67468.845000000001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5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5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ADO A PLAZO FIJO"/>
    <s v="ASIST.FUNC.FISCAL"/>
    <n v="2268"/>
    <n v="720"/>
    <n v="93"/>
    <n v="36972"/>
    <x v="0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s v="2.1.3.1.1.1"/>
    <n v="53873.68"/>
  </r>
  <r>
    <x v="0"/>
    <n v="1"/>
    <m/>
    <s v="CONTRATADO A PLAZO FIJO"/>
    <s v="ASIST.FUNC.FISCAL"/>
    <n v="2268"/>
    <n v="720"/>
    <n v="93"/>
    <n v="36972"/>
    <x v="0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5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s v="RIMAC EPS EMPRESA PRESTADORA DE SALUD"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4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1"/>
    <n v="1"/>
    <m/>
    <s v="CONTRATO A PLAZO INDETERMINADO"/>
    <s v="ESPECIALISTA ADM."/>
    <n v="2828"/>
    <n v="720"/>
    <m/>
    <n v="42576"/>
    <x v="1"/>
    <n v="0"/>
    <x v="0"/>
    <n v="400"/>
    <s v="2.1.1.9.1.3"/>
    <n v="5656"/>
    <x v="0"/>
    <n v="509.03999999999996"/>
    <x v="0"/>
    <n v="852"/>
    <n v="10224"/>
    <x v="0"/>
    <n v="3054.24"/>
    <x v="0"/>
    <m/>
    <m/>
    <n v="62419.2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4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s v="2.1.3.1.1.1"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3"/>
    <n v="1"/>
    <s v="RIMAC EPS EMPRESA PRESTADORA DE SALUD"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TECNICO NECROPSIADOR"/>
    <n v="1928"/>
    <n v="720"/>
    <m/>
    <n v="31776"/>
    <x v="3"/>
    <n v="0"/>
    <x v="0"/>
    <n v="400"/>
    <s v="2.1.1.9.1.3"/>
    <n v="3856"/>
    <x v="0"/>
    <n v="347.03999999999996"/>
    <x v="0"/>
    <n v="852"/>
    <n v="10224"/>
    <x v="1"/>
    <n v="2082.2399999999998"/>
    <x v="0"/>
    <m/>
    <m/>
    <n v="48685.279999999999"/>
  </r>
  <r>
    <x v="1"/>
    <n v="1"/>
    <m/>
    <s v="CONTRATO A PLAZO INDETERMINADO"/>
    <s v="ADMINISTRADOR"/>
    <n v="5478"/>
    <n v="720"/>
    <n v="93"/>
    <n v="75492"/>
    <x v="1"/>
    <n v="0"/>
    <x v="0"/>
    <n v="400"/>
    <s v="2.1.1.9.1.3"/>
    <n v="11142"/>
    <x v="0"/>
    <n v="1002.78"/>
    <x v="0"/>
    <n v="1302"/>
    <n v="15624"/>
    <x v="0"/>
    <n v="6016.68"/>
    <x v="0"/>
    <m/>
    <m/>
    <n v="109677.45999999999"/>
  </r>
  <r>
    <x v="5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4"/>
    <n v="1"/>
    <m/>
    <s v="CONTRATO A PLAZO INDETERMINADO"/>
    <s v="AUXILIAR"/>
    <n v="1600"/>
    <n v="720"/>
    <m/>
    <n v="27840"/>
    <x v="1"/>
    <n v="0"/>
    <x v="0"/>
    <n v="400"/>
    <s v="2.1.1.9.1.3"/>
    <n v="3200"/>
    <x v="0"/>
    <n v="288"/>
    <x v="0"/>
    <n v="802"/>
    <n v="9624"/>
    <x v="0"/>
    <n v="1728"/>
    <x v="0"/>
    <m/>
    <m/>
    <n v="43080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1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4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2"/>
    <n v="1"/>
    <m/>
    <s v="CONTRATO A PLAZO INDETERMINADO"/>
    <s v="TECNICO NECROPSIADOR"/>
    <n v="1928"/>
    <n v="720"/>
    <m/>
    <n v="31776"/>
    <x v="3"/>
    <n v="3911.81"/>
    <x v="1"/>
    <n v="400"/>
    <s v="2.1.1.9.1.3"/>
    <n v="3856"/>
    <x v="0"/>
    <n v="347.03999999999996"/>
    <x v="0"/>
    <n v="852"/>
    <n v="10224"/>
    <x v="1"/>
    <n v="2434.3028999999997"/>
    <x v="0"/>
    <m/>
    <s v="2.1.3.1.1.1"/>
    <n v="52949.152900000001"/>
  </r>
  <r>
    <x v="0"/>
    <n v="1"/>
    <s v="RIMAC EPS EMPRESA PRESTADORA DE SALUD"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4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3"/>
    <n v="1"/>
    <s v="RIMAC EPS EMPRESA PRESTADORA DE SALUD"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s v="2.1.3.1.1.1"/>
    <n v="55292.86"/>
  </r>
  <r>
    <x v="1"/>
    <n v="1"/>
    <s v="RIMAC EPS EMPRESA PRESTADORA DE SALUD"/>
    <s v="CONTRATO A PLAZO INDETERMINADO"/>
    <s v="ANALISTA"/>
    <n v="3978"/>
    <n v="720"/>
    <n v="93"/>
    <n v="57492"/>
    <x v="1"/>
    <n v="0"/>
    <x v="0"/>
    <n v="400"/>
    <s v="2.1.1.9.1.3"/>
    <n v="8142"/>
    <x v="0"/>
    <n v="732.78"/>
    <x v="0"/>
    <n v="802"/>
    <n v="9624"/>
    <x v="0"/>
    <n v="4396.68"/>
    <x v="0"/>
    <m/>
    <m/>
    <n v="80787.459999999992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s v="2.1.3.1.1.1"/>
    <n v="50104.4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2"/>
    <n v="1"/>
    <m/>
    <s v="CONTRATO A PLAZO INDETERMINADO"/>
    <s v="TECNICO NECROPSIADOR"/>
    <n v="1928"/>
    <n v="720"/>
    <m/>
    <n v="31776"/>
    <x v="3"/>
    <n v="0"/>
    <x v="0"/>
    <n v="400"/>
    <s v="2.1.1.9.1.3"/>
    <n v="3856"/>
    <x v="0"/>
    <n v="347.03999999999996"/>
    <x v="0"/>
    <n v="852"/>
    <n v="10224"/>
    <x v="1"/>
    <n v="2082.2399999999998"/>
    <x v="0"/>
    <m/>
    <m/>
    <n v="48685.279999999999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ADO A PLAZO FIJO"/>
    <s v="ASISTENTE ADMINISTRATIVO."/>
    <n v="1928"/>
    <n v="720"/>
    <m/>
    <n v="31776"/>
    <x v="0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s v="2.1.3.1.1.1"/>
    <n v="53873.68"/>
  </r>
  <r>
    <x v="0"/>
    <n v="1"/>
    <s v="RIMAC EPS EMPRESA PRESTADORA DE SALUD"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AUXILIAR"/>
    <n v="1600"/>
    <n v="720"/>
    <n v="93"/>
    <n v="28956"/>
    <x v="1"/>
    <n v="0"/>
    <x v="0"/>
    <n v="400"/>
    <s v="2.1.1.9.1.3"/>
    <n v="3386"/>
    <x v="0"/>
    <n v="304.74"/>
    <x v="0"/>
    <n v="802"/>
    <n v="9624"/>
    <x v="0"/>
    <n v="1828.44"/>
    <x v="0"/>
    <m/>
    <m/>
    <n v="44499.18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4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4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5"/>
    <n v="1"/>
    <m/>
    <s v="CONTRATO A PLAZO INDETERMINADO"/>
    <s v="OPERADOR ADMINISTRATIVO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2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5"/>
    <n v="1"/>
    <m/>
    <s v="CONTRATADO A PLAZO FIJO"/>
    <s v="ABOGADO"/>
    <n v="3478"/>
    <n v="720"/>
    <m/>
    <n v="50376"/>
    <x v="0"/>
    <n v="0"/>
    <x v="0"/>
    <n v="400"/>
    <s v="2.1.1.9.1.3"/>
    <n v="6956"/>
    <x v="0"/>
    <n v="626.04"/>
    <x v="0"/>
    <n v="1302"/>
    <n v="15624"/>
    <x v="0"/>
    <n v="3756.24"/>
    <x v="0"/>
    <m/>
    <m/>
    <n v="77738.280000000013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s v="RIMAC EPS EMPRESA PRESTADORA DE SALUD"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s v="2.1.3.1.1.1"/>
    <n v="55292.86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3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4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ADO A PLAZO FIJO"/>
    <s v="ASISTENTE ADMINISTRATIVO."/>
    <n v="1928"/>
    <n v="720"/>
    <m/>
    <n v="31776"/>
    <x v="0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4"/>
    <n v="1"/>
    <m/>
    <s v="CONTRATADO A PLAZO FIJO"/>
    <s v="ASISTENTE ADMINISTRATIVO."/>
    <n v="1928"/>
    <n v="720"/>
    <n v="93"/>
    <n v="32892"/>
    <x v="0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2"/>
    <n v="1"/>
    <m/>
    <s v="CONTRATADO A PLAZO FIJO"/>
    <s v="MEDICO"/>
    <n v="3578"/>
    <n v="720"/>
    <m/>
    <n v="51576"/>
    <x v="2"/>
    <n v="6319.28"/>
    <x v="1"/>
    <n v="400"/>
    <s v="2.1.1.9.1.3"/>
    <n v="7156"/>
    <x v="0"/>
    <n v="644.04"/>
    <x v="0"/>
    <n v="1202"/>
    <n v="14424"/>
    <x v="1"/>
    <n v="4432.9751999999999"/>
    <x v="0"/>
    <m/>
    <m/>
    <n v="84952.295199999993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s v="RIMAC EPS EMPRESA PRESTADORA DE SALUD"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4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1"/>
    <n v="1"/>
    <s v="RIMAC EPS EMPRESA PRESTADORA DE SALUD"/>
    <s v="CONTRATO A PLAZO INDETERMINADO"/>
    <s v="ADMINISTRADOR"/>
    <n v="5478"/>
    <n v="720"/>
    <n v="93"/>
    <n v="75492"/>
    <x v="1"/>
    <n v="0"/>
    <x v="0"/>
    <n v="400"/>
    <s v="2.1.1.9.1.3"/>
    <n v="11142"/>
    <x v="0"/>
    <n v="1002.78"/>
    <x v="0"/>
    <n v="1302"/>
    <n v="15624"/>
    <x v="0"/>
    <n v="6016.68"/>
    <x v="0"/>
    <m/>
    <m/>
    <n v="109677.45999999999"/>
  </r>
  <r>
    <x v="5"/>
    <n v="1"/>
    <m/>
    <s v="CONTRATO A PLAZO INDETERMINADO"/>
    <s v="ABOGADO"/>
    <n v="3478"/>
    <n v="720"/>
    <m/>
    <n v="50376"/>
    <x v="1"/>
    <n v="0"/>
    <x v="0"/>
    <n v="400"/>
    <s v="2.1.1.9.1.3"/>
    <n v="6956"/>
    <x v="0"/>
    <n v="626.04"/>
    <x v="0"/>
    <n v="1302"/>
    <n v="15624"/>
    <x v="0"/>
    <n v="3756.24"/>
    <x v="0"/>
    <m/>
    <m/>
    <n v="77738.280000000013"/>
  </r>
  <r>
    <x v="5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2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2"/>
    <n v="1"/>
    <m/>
    <s v="CONTRATO A PLAZO INDETERMINADO"/>
    <s v="ASISTENTE MEDICO LEGAL"/>
    <n v="1928"/>
    <n v="720"/>
    <n v="93"/>
    <n v="32892"/>
    <x v="3"/>
    <n v="0"/>
    <x v="0"/>
    <n v="400"/>
    <s v="2.1.1.9.1.3"/>
    <n v="4042"/>
    <x v="0"/>
    <n v="363.78"/>
    <x v="0"/>
    <n v="852"/>
    <n v="10224"/>
    <x v="1"/>
    <n v="2182.6799999999998"/>
    <x v="0"/>
    <m/>
    <m/>
    <n v="50104.46"/>
  </r>
  <r>
    <x v="0"/>
    <n v="1"/>
    <m/>
    <s v="CONTRATADO A PLAZO FIJO"/>
    <s v="ASIST.FUNC.FISCAL"/>
    <n v="2268"/>
    <n v="720"/>
    <n v="93"/>
    <n v="36972"/>
    <x v="0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s v="2.1.3.1.1.1"/>
    <n v="50104.46"/>
  </r>
  <r>
    <x v="3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s v="2.1.3.1.1.1"/>
    <n v="53873.68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2"/>
    <n v="1"/>
    <s v="RIMAC EPS EMPRESA PRESTADORA DE SALUD"/>
    <s v="CONTRATO A PLAZO INDETERMINADO"/>
    <s v="QUIMICO FARMACEUTICO"/>
    <n v="2378"/>
    <n v="720"/>
    <m/>
    <n v="37176"/>
    <x v="2"/>
    <n v="7303.3"/>
    <x v="1"/>
    <n v="400"/>
    <s v="2.1.1.9.1.3"/>
    <n v="4756"/>
    <x v="0"/>
    <n v="428.03999999999996"/>
    <x v="0"/>
    <n v="1302"/>
    <n v="15624"/>
    <x v="1"/>
    <n v="3225.5369999999998"/>
    <x v="0"/>
    <m/>
    <m/>
    <n v="68912.876999999993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3"/>
    <n v="1"/>
    <s v="RIMAC EPS EMPRESA PRESTADORA DE SALUD"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s v="2.1.3.1.1.1"/>
    <n v="53873.6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2"/>
    <n v="1"/>
    <m/>
    <s v="CONTRATO A PLAZO INDETERMINADO"/>
    <s v="BI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2"/>
    <n v="1"/>
    <m/>
    <s v="CONTRATO A PLAZO INDETERMINADO"/>
    <s v="TECNICO NECROPSIADOR"/>
    <n v="1928"/>
    <n v="720"/>
    <n v="93"/>
    <n v="32892"/>
    <x v="3"/>
    <n v="0"/>
    <x v="0"/>
    <n v="400"/>
    <s v="2.1.1.9.1.3"/>
    <n v="4042"/>
    <x v="0"/>
    <n v="363.78"/>
    <x v="0"/>
    <n v="852"/>
    <n v="10224"/>
    <x v="1"/>
    <n v="2182.6799999999998"/>
    <x v="0"/>
    <m/>
    <m/>
    <n v="50104.46"/>
  </r>
  <r>
    <x v="4"/>
    <n v="1"/>
    <s v="RIMAC EPS EMPRESA PRESTADORA DE SALUD"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1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1"/>
    <n v="1"/>
    <m/>
    <s v="CONTRATO A PLAZO INDETERMINADO"/>
    <s v="ESPECIALISTA ADM."/>
    <n v="2828"/>
    <n v="720"/>
    <n v="93"/>
    <n v="43692"/>
    <x v="1"/>
    <n v="0"/>
    <x v="0"/>
    <n v="400"/>
    <s v="2.1.1.9.1.3"/>
    <n v="5842"/>
    <x v="0"/>
    <n v="525.78"/>
    <x v="0"/>
    <n v="852"/>
    <n v="10224"/>
    <x v="0"/>
    <n v="3154.68"/>
    <x v="0"/>
    <m/>
    <m/>
    <n v="63838.46"/>
  </r>
  <r>
    <x v="1"/>
    <n v="1"/>
    <m/>
    <s v="CONTRATO A PLAZO INDETERMINADO"/>
    <s v="SUBGERENTE"/>
    <n v="6478"/>
    <n v="720"/>
    <n v="93"/>
    <n v="87492"/>
    <x v="1"/>
    <n v="0"/>
    <x v="0"/>
    <n v="400"/>
    <s v="2.1.1.9.1.3"/>
    <n v="13142"/>
    <x v="0"/>
    <n v="1182.78"/>
    <x v="0"/>
    <n v="1802"/>
    <n v="21624"/>
    <x v="0"/>
    <n v="7096.68"/>
    <x v="0"/>
    <m/>
    <m/>
    <n v="130937.45999999999"/>
  </r>
  <r>
    <x v="3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ADO A PLAZO FIJO"/>
    <s v="ASIST.FUNC.FISCAL"/>
    <n v="2268"/>
    <n v="720"/>
    <n v="93"/>
    <n v="36972"/>
    <x v="0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4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4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4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5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O A PLAZO INDETERMINADO"/>
    <s v="ANALISTA"/>
    <n v="3978"/>
    <n v="720"/>
    <n v="93"/>
    <n v="57492"/>
    <x v="1"/>
    <n v="0"/>
    <x v="0"/>
    <n v="400"/>
    <s v="2.1.1.9.1.3"/>
    <n v="8142"/>
    <x v="0"/>
    <n v="732.78"/>
    <x v="0"/>
    <n v="802"/>
    <n v="9624"/>
    <x v="0"/>
    <n v="4396.68"/>
    <x v="0"/>
    <m/>
    <m/>
    <n v="80787.459999999992"/>
  </r>
  <r>
    <x v="0"/>
    <n v="1"/>
    <s v="RIMAC EPS EMPRESA PRESTADORA DE SALUD"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ADO A PLAZO FIJO"/>
    <s v="BI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0"/>
    <n v="2668.68"/>
    <x v="0"/>
    <m/>
    <m/>
    <n v="62371.46"/>
  </r>
  <r>
    <x v="5"/>
    <n v="1"/>
    <m/>
    <s v="CONTRATADO A PLAZO FIJO"/>
    <s v="PSICOLOGO"/>
    <n v="2378"/>
    <n v="720"/>
    <n v="93"/>
    <n v="38292"/>
    <x v="0"/>
    <n v="0"/>
    <x v="0"/>
    <n v="400"/>
    <s v="2.1.1.9.1.3"/>
    <n v="4942"/>
    <x v="0"/>
    <n v="444.78"/>
    <x v="0"/>
    <n v="1302"/>
    <n v="15624"/>
    <x v="0"/>
    <n v="2668.68"/>
    <x v="0"/>
    <m/>
    <m/>
    <n v="62371.46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s v="2.1.3.1.1.1"/>
    <n v="48685.279999999999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4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ADO A PLAZO FIJO"/>
    <s v="ASISTENTE ADMINISTRATIVO."/>
    <n v="1928"/>
    <n v="720"/>
    <m/>
    <n v="31776"/>
    <x v="0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ADO A PLAZO FIJO"/>
    <s v="ASISTENTE ADMINISTRATIVO."/>
    <n v="1928"/>
    <n v="720"/>
    <m/>
    <n v="31776"/>
    <x v="0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1"/>
    <n v="1"/>
    <m/>
    <s v="CONTRATO A PLAZO INDETERMINADO"/>
    <s v="ADMINISTRADOR"/>
    <n v="5478"/>
    <n v="720"/>
    <n v="93"/>
    <n v="75492"/>
    <x v="1"/>
    <n v="0"/>
    <x v="0"/>
    <n v="400"/>
    <s v="2.1.1.9.1.3"/>
    <n v="11142"/>
    <x v="0"/>
    <n v="1002.78"/>
    <x v="0"/>
    <n v="1302"/>
    <n v="15624"/>
    <x v="0"/>
    <n v="6016.68"/>
    <x v="0"/>
    <m/>
    <s v="2.1.3.1.1.1"/>
    <n v="109677.45999999999"/>
  </r>
  <r>
    <x v="0"/>
    <n v="1"/>
    <m/>
    <s v="CONTRATADO A PLAZO FIJO"/>
    <s v="ASISTENTE ADMINISTRATIVO."/>
    <n v="1928"/>
    <n v="720"/>
    <m/>
    <n v="31776"/>
    <x v="0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s v="2.1.3.1.1.1"/>
    <n v="55292.86"/>
  </r>
  <r>
    <x v="2"/>
    <n v="1"/>
    <m/>
    <s v="CONTRATO A PLAZO INDETERMINADO"/>
    <s v="ANALISTA"/>
    <n v="3978"/>
    <n v="720"/>
    <n v="93"/>
    <n v="57492"/>
    <x v="1"/>
    <n v="0"/>
    <x v="0"/>
    <n v="400"/>
    <s v="2.1.1.9.1.3"/>
    <n v="8142"/>
    <x v="0"/>
    <n v="732.78"/>
    <x v="0"/>
    <n v="802"/>
    <n v="9624"/>
    <x v="0"/>
    <n v="4396.68"/>
    <x v="0"/>
    <m/>
    <m/>
    <n v="80787.459999999992"/>
  </r>
  <r>
    <x v="2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2"/>
    <n v="1"/>
    <m/>
    <s v="CONTRATO A PLAZO INDETERMINADO"/>
    <s v="BI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ENTE ADMINISTRATIVO."/>
    <n v="1928"/>
    <n v="720"/>
    <m/>
    <n v="31776"/>
    <x v="0"/>
    <n v="0"/>
    <x v="0"/>
    <n v="400"/>
    <s v="2.1.1.9.1.3"/>
    <n v="3856"/>
    <x v="0"/>
    <n v="347.03999999999996"/>
    <x v="0"/>
    <n v="852"/>
    <n v="10224"/>
    <x v="0"/>
    <n v="2082.2399999999998"/>
    <x v="0"/>
    <m/>
    <s v="2.1.3.1.1.1"/>
    <n v="48685.279999999999"/>
  </r>
  <r>
    <x v="5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5"/>
    <n v="1"/>
    <s v="RIMAC EPS EMPRESA PRESTADORA DE SALUD"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s v="2.1.3.1.1.1"/>
    <n v="53873.68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3"/>
    <n v="1"/>
    <s v="RIMAC EPS EMPRESA PRESTADORA DE SALUD"/>
    <s v="CONTRATO A PLAZO INDETERMINADO"/>
    <s v="ABOGADO"/>
    <n v="3478"/>
    <n v="720"/>
    <m/>
    <n v="50376"/>
    <x v="1"/>
    <n v="0"/>
    <x v="0"/>
    <n v="400"/>
    <s v="2.1.1.9.1.3"/>
    <n v="6956"/>
    <x v="0"/>
    <n v="626.04"/>
    <x v="0"/>
    <n v="1302"/>
    <n v="15624"/>
    <x v="0"/>
    <n v="3756.24"/>
    <x v="0"/>
    <m/>
    <m/>
    <n v="77738.280000000013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2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s v="2.1.3.1.1.1"/>
    <n v="50104.46"/>
  </r>
  <r>
    <x v="2"/>
    <n v="1"/>
    <m/>
    <s v="CONTRATO A PLAZO INDETERMINADO"/>
    <s v="BI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2"/>
    <n v="1"/>
    <m/>
    <s v="CONTRATO A PLAZO INDETERMINADO"/>
    <s v="AUXILIAR"/>
    <n v="1600"/>
    <n v="720"/>
    <n v="93"/>
    <n v="28956"/>
    <x v="1"/>
    <n v="0"/>
    <x v="0"/>
    <n v="400"/>
    <s v="2.1.1.9.1.3"/>
    <n v="3386"/>
    <x v="0"/>
    <n v="304.74"/>
    <x v="0"/>
    <n v="802"/>
    <n v="9624"/>
    <x v="0"/>
    <n v="1828.44"/>
    <x v="0"/>
    <m/>
    <m/>
    <n v="44499.18"/>
  </r>
  <r>
    <x v="2"/>
    <n v="1"/>
    <s v="RIMAC EPS EMPRESA PRESTADORA DE SALUD"/>
    <s v="CONTRATO A PLAZO INDETERMINADO"/>
    <s v="QUIMICO FARMACEUTICO"/>
    <n v="2378"/>
    <n v="720"/>
    <m/>
    <n v="37176"/>
    <x v="2"/>
    <n v="6387.9"/>
    <x v="1"/>
    <n v="400"/>
    <s v="2.1.1.9.1.3"/>
    <n v="4756"/>
    <x v="0"/>
    <n v="428.03999999999996"/>
    <x v="0"/>
    <n v="1302"/>
    <n v="15624"/>
    <x v="1"/>
    <n v="3143.1509999999998"/>
    <x v="0"/>
    <m/>
    <m/>
    <n v="67915.091"/>
  </r>
  <r>
    <x v="1"/>
    <n v="1"/>
    <m/>
    <s v="CONTRATO A PLAZO INDETERMINADO"/>
    <s v="AUXILIAR"/>
    <n v="1600"/>
    <n v="720"/>
    <n v="93"/>
    <n v="28956"/>
    <x v="1"/>
    <n v="0"/>
    <x v="0"/>
    <n v="400"/>
    <s v="2.1.1.9.1.3"/>
    <n v="3386"/>
    <x v="0"/>
    <n v="304.74"/>
    <x v="0"/>
    <n v="802"/>
    <n v="9624"/>
    <x v="0"/>
    <n v="1828.44"/>
    <x v="0"/>
    <m/>
    <m/>
    <n v="44499.18"/>
  </r>
  <r>
    <x v="4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1"/>
    <n v="1"/>
    <m/>
    <s v="CONTRATO A PLAZO INDETERMINADO"/>
    <s v="ADMINISTRADOR"/>
    <n v="5478"/>
    <n v="720"/>
    <n v="93"/>
    <n v="75492"/>
    <x v="1"/>
    <n v="0"/>
    <x v="0"/>
    <n v="400"/>
    <s v="2.1.1.9.1.3"/>
    <n v="11142"/>
    <x v="0"/>
    <n v="1002.78"/>
    <x v="0"/>
    <n v="1302"/>
    <n v="15624"/>
    <x v="0"/>
    <n v="6016.68"/>
    <x v="0"/>
    <m/>
    <m/>
    <n v="109677.45999999999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s v="2.1.3.1.1.1"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s v="2.1.3.1.1.1"/>
    <n v="53873.68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0"/>
    <n v="1"/>
    <m/>
    <s v="CONTRATO A PLAZO INDETERMINADO"/>
    <s v="ESPECIALISTA ADM."/>
    <n v="2828"/>
    <n v="720"/>
    <m/>
    <n v="42576"/>
    <x v="1"/>
    <n v="0"/>
    <x v="0"/>
    <n v="400"/>
    <s v="2.1.1.9.1.3"/>
    <n v="5656"/>
    <x v="0"/>
    <n v="509.03999999999996"/>
    <x v="0"/>
    <n v="852"/>
    <n v="10224"/>
    <x v="0"/>
    <n v="3054.24"/>
    <x v="0"/>
    <m/>
    <m/>
    <n v="62419.28"/>
  </r>
  <r>
    <x v="5"/>
    <n v="1"/>
    <m/>
    <s v="CONTRATO A PLAZO INDETERMINADO"/>
    <s v="ANALISTA"/>
    <n v="3978"/>
    <n v="720"/>
    <m/>
    <n v="56376"/>
    <x v="1"/>
    <n v="0"/>
    <x v="0"/>
    <n v="400"/>
    <s v="2.1.1.9.1.3"/>
    <n v="7956"/>
    <x v="0"/>
    <n v="716.04"/>
    <x v="0"/>
    <n v="802"/>
    <n v="9624"/>
    <x v="0"/>
    <n v="4296.24"/>
    <x v="0"/>
    <m/>
    <m/>
    <n v="79368.280000000013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1"/>
    <n v="1"/>
    <m/>
    <s v="CONTRATO A PLAZO INDETERMINADO"/>
    <s v="ANALISTA"/>
    <n v="3978"/>
    <n v="720"/>
    <n v="93"/>
    <n v="57492"/>
    <x v="1"/>
    <n v="0"/>
    <x v="0"/>
    <n v="400"/>
    <s v="2.1.1.9.1.3"/>
    <n v="8142"/>
    <x v="0"/>
    <n v="732.78"/>
    <x v="0"/>
    <n v="802"/>
    <n v="9624"/>
    <x v="0"/>
    <n v="4396.68"/>
    <x v="0"/>
    <m/>
    <m/>
    <n v="80787.459999999992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s v="RIMAC EPS EMPRESA PRESTADORA DE SALUD"/>
    <s v="CONTRATO A PLAZO INDETERMINADO"/>
    <s v="ANALISTA"/>
    <n v="3978"/>
    <n v="720"/>
    <m/>
    <n v="56376"/>
    <x v="1"/>
    <n v="0"/>
    <x v="0"/>
    <n v="400"/>
    <s v="2.1.1.9.1.3"/>
    <n v="7956"/>
    <x v="0"/>
    <n v="716.04"/>
    <x v="0"/>
    <n v="802"/>
    <n v="9624"/>
    <x v="0"/>
    <n v="4296.24"/>
    <x v="0"/>
    <m/>
    <m/>
    <n v="79368.280000000013"/>
  </r>
  <r>
    <x v="2"/>
    <n v="1"/>
    <m/>
    <s v="CONTRATO A PLAZO INDETERMINADO"/>
    <s v="TECNICO NECROPSIADOR"/>
    <n v="1928"/>
    <n v="720"/>
    <m/>
    <n v="31776"/>
    <x v="3"/>
    <n v="0"/>
    <x v="0"/>
    <n v="400"/>
    <s v="2.1.1.9.1.3"/>
    <n v="3856"/>
    <x v="0"/>
    <n v="347.03999999999996"/>
    <x v="0"/>
    <n v="852"/>
    <n v="10224"/>
    <x v="1"/>
    <n v="2082.2399999999998"/>
    <x v="0"/>
    <m/>
    <m/>
    <n v="48685.279999999999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ESPECIALISTA ADM."/>
    <n v="2828"/>
    <n v="720"/>
    <n v="93"/>
    <n v="43692"/>
    <x v="1"/>
    <n v="0"/>
    <x v="0"/>
    <n v="400"/>
    <s v="2.1.1.9.1.3"/>
    <n v="5842"/>
    <x v="0"/>
    <n v="525.78"/>
    <x v="0"/>
    <n v="852"/>
    <n v="10224"/>
    <x v="0"/>
    <n v="3154.68"/>
    <x v="0"/>
    <m/>
    <m/>
    <n v="63838.46"/>
  </r>
  <r>
    <x v="5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1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5"/>
    <n v="1"/>
    <m/>
    <s v="CONTRATO A PLAZO INDETERMINADO"/>
    <s v="ANALISTA"/>
    <n v="3978"/>
    <n v="720"/>
    <n v="93"/>
    <n v="57492"/>
    <x v="1"/>
    <n v="0"/>
    <x v="0"/>
    <n v="400"/>
    <s v="2.1.1.9.1.3"/>
    <n v="8142"/>
    <x v="0"/>
    <n v="732.78"/>
    <x v="0"/>
    <n v="802"/>
    <n v="9624"/>
    <x v="0"/>
    <n v="4396.68"/>
    <x v="0"/>
    <m/>
    <m/>
    <n v="80787.459999999992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4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5"/>
    <n v="1"/>
    <m/>
    <s v="CONTRATADO A PLAZO FIJ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s v="2.1.3.1.1.1"/>
    <n v="50104.46"/>
  </r>
  <r>
    <x v="1"/>
    <n v="1"/>
    <m/>
    <s v="CONTRATO A PLAZO INDETERMINADO"/>
    <s v="ANALISTA"/>
    <n v="3978"/>
    <n v="720"/>
    <n v="93"/>
    <n v="57492"/>
    <x v="1"/>
    <n v="0"/>
    <x v="0"/>
    <n v="400"/>
    <s v="2.1.1.9.1.3"/>
    <n v="8142"/>
    <x v="0"/>
    <n v="732.78"/>
    <x v="0"/>
    <n v="802"/>
    <n v="9624"/>
    <x v="0"/>
    <n v="4396.68"/>
    <x v="0"/>
    <m/>
    <m/>
    <n v="80787.459999999992"/>
  </r>
  <r>
    <x v="1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1"/>
    <n v="1"/>
    <m/>
    <s v="CONTRATADO A PLAZO FIJO"/>
    <s v="ASISTENTE ADMINISTRATIVO."/>
    <n v="1928"/>
    <n v="720"/>
    <n v="93"/>
    <n v="32892"/>
    <x v="0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3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TECNICO NECROPSIADOR"/>
    <n v="1928"/>
    <n v="720"/>
    <n v="93"/>
    <n v="32892"/>
    <x v="3"/>
    <n v="0"/>
    <x v="0"/>
    <n v="400"/>
    <s v="2.1.1.9.1.3"/>
    <n v="4042"/>
    <x v="0"/>
    <n v="363.78"/>
    <x v="0"/>
    <n v="852"/>
    <n v="10224"/>
    <x v="1"/>
    <n v="2182.6799999999998"/>
    <x v="0"/>
    <m/>
    <m/>
    <n v="50104.46"/>
  </r>
  <r>
    <x v="1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1"/>
    <n v="1"/>
    <m/>
    <s v="CONTRATO A PLAZO INDETERMINADO"/>
    <s v="OPERADOR ADMINISTRATIVO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1"/>
    <n v="1"/>
    <m/>
    <s v="CONTRATO A PLAZO INDETERMINADO"/>
    <s v="ADMINISTRADOR"/>
    <n v="5478"/>
    <n v="720"/>
    <n v="93"/>
    <n v="75492"/>
    <x v="1"/>
    <n v="0"/>
    <x v="0"/>
    <n v="400"/>
    <s v="2.1.1.9.1.3"/>
    <n v="11142"/>
    <x v="0"/>
    <n v="1002.78"/>
    <x v="0"/>
    <n v="1302"/>
    <n v="15624"/>
    <x v="0"/>
    <n v="6016.68"/>
    <x v="0"/>
    <m/>
    <m/>
    <n v="109677.45999999999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1"/>
    <n v="1"/>
    <m/>
    <s v="CONTRATO A PLAZO INDETERMINADO"/>
    <s v="ESPECIALISTA ADM."/>
    <n v="2828"/>
    <n v="720"/>
    <m/>
    <n v="42576"/>
    <x v="1"/>
    <n v="0"/>
    <x v="0"/>
    <n v="400"/>
    <s v="2.1.1.9.1.3"/>
    <n v="5656"/>
    <x v="0"/>
    <n v="509.03999999999996"/>
    <x v="0"/>
    <n v="852"/>
    <n v="10224"/>
    <x v="0"/>
    <n v="3054.24"/>
    <x v="0"/>
    <m/>
    <m/>
    <n v="62419.28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1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1"/>
    <n v="1"/>
    <s v="RIMAC EPS EMPRESA PRESTADORA DE SALUD"/>
    <s v="CONTRATO A PLAZO INDETERMINADO"/>
    <s v="ANALISTA"/>
    <n v="3978"/>
    <n v="720"/>
    <m/>
    <n v="56376"/>
    <x v="1"/>
    <n v="0"/>
    <x v="0"/>
    <n v="400"/>
    <s v="2.1.1.9.1.3"/>
    <n v="7956"/>
    <x v="0"/>
    <n v="716.04"/>
    <x v="0"/>
    <n v="802"/>
    <n v="9624"/>
    <x v="0"/>
    <n v="4296.24"/>
    <x v="0"/>
    <m/>
    <m/>
    <n v="79368.280000000013"/>
  </r>
  <r>
    <x v="4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2"/>
    <n v="1"/>
    <m/>
    <s v="CONTRATO A PLAZO INDETERMINADO"/>
    <s v="TECNICO NECROPSIADOR"/>
    <n v="1928"/>
    <n v="720"/>
    <n v="93"/>
    <n v="32892"/>
    <x v="3"/>
    <n v="3888.03"/>
    <x v="1"/>
    <n v="400"/>
    <s v="2.1.1.9.1.3"/>
    <n v="4042"/>
    <x v="0"/>
    <n v="363.78"/>
    <x v="0"/>
    <n v="852"/>
    <n v="10224"/>
    <x v="1"/>
    <n v="2532.6026999999999"/>
    <x v="0"/>
    <m/>
    <m/>
    <n v="54342.412700000001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s v="2.1.3.1.1.1"/>
    <n v="48685.279999999999"/>
  </r>
  <r>
    <x v="0"/>
    <n v="1"/>
    <s v="RIMAC EPS EMPRESA PRESTADORA DE SALUD"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5"/>
    <n v="1"/>
    <m/>
    <s v="CONTRATO A PLAZO INDETERMINADO"/>
    <s v="ANALISTA"/>
    <n v="3978"/>
    <n v="720"/>
    <m/>
    <n v="56376"/>
    <x v="1"/>
    <n v="0"/>
    <x v="0"/>
    <n v="400"/>
    <s v="2.1.1.9.1.3"/>
    <n v="7956"/>
    <x v="0"/>
    <n v="716.04"/>
    <x v="0"/>
    <n v="802"/>
    <n v="9624"/>
    <x v="0"/>
    <n v="4296.24"/>
    <x v="0"/>
    <m/>
    <m/>
    <n v="79368.280000000013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s v="2.1.3.1.1.1"/>
    <n v="55292.86"/>
  </r>
  <r>
    <x v="4"/>
    <n v="1"/>
    <m/>
    <s v="CONTRATADO A PLAZO FIJO"/>
    <s v="AUXILIAR"/>
    <n v="1600"/>
    <n v="720"/>
    <m/>
    <n v="27840"/>
    <x v="0"/>
    <n v="0"/>
    <x v="0"/>
    <n v="400"/>
    <s v="2.1.1.9.1.3"/>
    <n v="3200"/>
    <x v="0"/>
    <n v="288"/>
    <x v="0"/>
    <n v="802"/>
    <n v="9624"/>
    <x v="0"/>
    <n v="1728"/>
    <x v="0"/>
    <m/>
    <m/>
    <n v="43080"/>
  </r>
  <r>
    <x v="5"/>
    <n v="1"/>
    <m/>
    <s v="CONTRATO A PLAZO INDETERMINADO"/>
    <s v="ANALISTA"/>
    <n v="3978"/>
    <n v="720"/>
    <m/>
    <n v="56376"/>
    <x v="1"/>
    <n v="0"/>
    <x v="0"/>
    <n v="400"/>
    <s v="2.1.1.9.1.3"/>
    <n v="7956"/>
    <x v="0"/>
    <n v="716.04"/>
    <x v="0"/>
    <n v="802"/>
    <n v="9624"/>
    <x v="0"/>
    <n v="4296.24"/>
    <x v="0"/>
    <m/>
    <m/>
    <n v="79368.280000000013"/>
  </r>
  <r>
    <x v="4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2"/>
    <n v="1"/>
    <m/>
    <s v="CONTRATO A PLAZO INDETERMINADO"/>
    <s v="AUXILIAR"/>
    <n v="1600"/>
    <n v="720"/>
    <m/>
    <n v="27840"/>
    <x v="1"/>
    <n v="0"/>
    <x v="0"/>
    <n v="400"/>
    <s v="2.1.1.9.1.3"/>
    <n v="3200"/>
    <x v="0"/>
    <n v="288"/>
    <x v="0"/>
    <n v="802"/>
    <n v="9624"/>
    <x v="0"/>
    <n v="1728"/>
    <x v="0"/>
    <m/>
    <m/>
    <n v="43080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1"/>
    <n v="1"/>
    <m/>
    <s v="CONTRATADO A PLAZO FIJO"/>
    <s v="ANALISTA"/>
    <n v="3978"/>
    <n v="720"/>
    <n v="93"/>
    <n v="57492"/>
    <x v="0"/>
    <n v="0"/>
    <x v="0"/>
    <n v="400"/>
    <s v="2.1.1.9.1.3"/>
    <n v="8142"/>
    <x v="0"/>
    <n v="732.78"/>
    <x v="0"/>
    <n v="802"/>
    <n v="9624"/>
    <x v="0"/>
    <n v="4396.68"/>
    <x v="0"/>
    <m/>
    <m/>
    <n v="80787.459999999992"/>
  </r>
  <r>
    <x v="3"/>
    <n v="1"/>
    <m/>
    <s v="CONTRATO A PLAZO INDETERMINADO"/>
    <s v="ASIST.FUNC.FISCAL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3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4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1"/>
    <n v="1"/>
    <m/>
    <s v="CONTRATO A PLAZO INDETERMINADO"/>
    <s v="ADMINISTRADOR"/>
    <n v="5478"/>
    <n v="720"/>
    <m/>
    <n v="74376"/>
    <x v="1"/>
    <n v="0"/>
    <x v="0"/>
    <n v="400"/>
    <s v="2.1.1.9.1.3"/>
    <n v="10956"/>
    <x v="0"/>
    <n v="986.04"/>
    <x v="0"/>
    <n v="1302"/>
    <n v="15624"/>
    <x v="0"/>
    <n v="5916.24"/>
    <x v="0"/>
    <m/>
    <m/>
    <n v="108258.28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2"/>
    <n v="1"/>
    <m/>
    <s v="CONTRATO A PLAZO INDETERMINADO"/>
    <s v="PSICOLOGO"/>
    <n v="2378"/>
    <n v="720"/>
    <m/>
    <n v="37176"/>
    <x v="2"/>
    <n v="0"/>
    <x v="0"/>
    <n v="400"/>
    <s v="2.1.1.9.1.3"/>
    <n v="4756"/>
    <x v="0"/>
    <n v="428.03999999999996"/>
    <x v="0"/>
    <n v="1302"/>
    <n v="15624"/>
    <x v="1"/>
    <n v="2568.2399999999998"/>
    <x v="0"/>
    <m/>
    <m/>
    <n v="60952.28"/>
  </r>
  <r>
    <x v="2"/>
    <n v="1"/>
    <m/>
    <s v="CONTRATO A PLAZO INDETERMINADO"/>
    <s v="TECNICO NECROPSIADOR"/>
    <n v="1928"/>
    <n v="720"/>
    <m/>
    <n v="31776"/>
    <x v="3"/>
    <n v="3876.14"/>
    <x v="1"/>
    <n v="400"/>
    <s v="2.1.1.9.1.3"/>
    <n v="3856"/>
    <x v="0"/>
    <n v="347.03999999999996"/>
    <x v="0"/>
    <n v="852"/>
    <n v="10224"/>
    <x v="1"/>
    <n v="2431.0925999999999"/>
    <x v="0"/>
    <m/>
    <m/>
    <n v="52910.272599999997"/>
  </r>
  <r>
    <x v="5"/>
    <n v="1"/>
    <m/>
    <s v="CONTRATO A PLAZO INDETERMINADO"/>
    <s v="OPERADOR ADMINISTRATIVO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O A PLAZO INDETERMINADO"/>
    <s v="ASISTENTE ADMINISTRATIVO."/>
    <n v="1928"/>
    <n v="720"/>
    <n v="93"/>
    <n v="32892"/>
    <x v="1"/>
    <n v="0"/>
    <x v="0"/>
    <n v="400"/>
    <s v="2.1.1.9.1.3"/>
    <n v="4042"/>
    <x v="0"/>
    <n v="363.78"/>
    <x v="0"/>
    <n v="852"/>
    <n v="10224"/>
    <x v="0"/>
    <n v="2182.6799999999998"/>
    <x v="0"/>
    <m/>
    <m/>
    <n v="50104.46"/>
  </r>
  <r>
    <x v="0"/>
    <n v="1"/>
    <m/>
    <s v="CONTRATO A PLAZO INDETERMINADO"/>
    <s v="ASIST.FUNC.FISCAL"/>
    <n v="2268"/>
    <n v="720"/>
    <n v="93"/>
    <n v="36972"/>
    <x v="1"/>
    <n v="0"/>
    <x v="0"/>
    <n v="400"/>
    <s v="2.1.1.9.1.3"/>
    <n v="4722"/>
    <x v="0"/>
    <n v="424.97999999999996"/>
    <x v="0"/>
    <n v="852"/>
    <n v="10224"/>
    <x v="0"/>
    <n v="2549.8799999999997"/>
    <x v="0"/>
    <m/>
    <m/>
    <n v="55292.86"/>
  </r>
  <r>
    <x v="2"/>
    <n v="1"/>
    <m/>
    <s v="CONTRATO A PLAZO INDETERMINADO"/>
    <s v="PSICOLOGO"/>
    <n v="2378"/>
    <n v="720"/>
    <n v="93"/>
    <n v="38292"/>
    <x v="2"/>
    <n v="0"/>
    <x v="0"/>
    <n v="400"/>
    <s v="2.1.1.9.1.3"/>
    <n v="4942"/>
    <x v="0"/>
    <n v="444.78"/>
    <x v="0"/>
    <n v="1302"/>
    <n v="15624"/>
    <x v="1"/>
    <n v="2668.68"/>
    <x v="0"/>
    <m/>
    <m/>
    <n v="62371.46"/>
  </r>
  <r>
    <x v="0"/>
    <n v="1"/>
    <m/>
    <s v="CONTRATO A PLAZO INDETERMINADO"/>
    <s v="ASISTENTE ADMINISTRATIVO."/>
    <n v="1928"/>
    <n v="720"/>
    <m/>
    <n v="31776"/>
    <x v="1"/>
    <n v="0"/>
    <x v="0"/>
    <n v="400"/>
    <s v="2.1.1.9.1.3"/>
    <n v="3856"/>
    <x v="0"/>
    <n v="347.03999999999996"/>
    <x v="0"/>
    <n v="852"/>
    <n v="10224"/>
    <x v="0"/>
    <n v="2082.2399999999998"/>
    <x v="0"/>
    <m/>
    <m/>
    <n v="48685.279999999999"/>
  </r>
  <r>
    <x v="0"/>
    <n v="1"/>
    <m/>
    <s v="CONTRATADO A PLAZO FIJO"/>
    <s v="ASIST.FUNC.FISCAL"/>
    <n v="2268"/>
    <n v="720"/>
    <m/>
    <n v="35856"/>
    <x v="0"/>
    <n v="0"/>
    <x v="0"/>
    <n v="400"/>
    <s v="2.1.1.9.1.3"/>
    <n v="4536"/>
    <x v="0"/>
    <n v="408.24"/>
    <x v="0"/>
    <n v="852"/>
    <n v="10224"/>
    <x v="0"/>
    <n v="2449.44"/>
    <x v="0"/>
    <m/>
    <m/>
    <n v="53873.68"/>
  </r>
  <r>
    <x v="1"/>
    <n v="1"/>
    <m/>
    <s v="CONTRATO A PLAZO INDETERMINADO"/>
    <s v="OPERADOR ADMINISTRATIVO"/>
    <n v="2268"/>
    <n v="720"/>
    <m/>
    <n v="35856"/>
    <x v="1"/>
    <n v="0"/>
    <x v="0"/>
    <n v="400"/>
    <s v="2.1.1.9.1.3"/>
    <n v="4536"/>
    <x v="0"/>
    <n v="408.24"/>
    <x v="0"/>
    <n v="852"/>
    <n v="10224"/>
    <x v="0"/>
    <n v="2449.44"/>
    <x v="0"/>
    <m/>
    <m/>
    <n v="53873.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">
  <r>
    <x v="0"/>
    <m/>
    <s v="CONTRATADO A PLAZO FIJO"/>
    <x v="0"/>
  </r>
  <r>
    <x v="0"/>
    <s v="RIMAC EPS EMPRESA PRESTADORA DE SALUD"/>
    <s v="CONTRATO A PLAZO INDETERMINADO"/>
    <x v="1"/>
  </r>
  <r>
    <x v="0"/>
    <m/>
    <s v="CONTRATO A PLAZO INDETERMINADO"/>
    <x v="2"/>
  </r>
  <r>
    <x v="0"/>
    <s v="RIMAC EPS EMPRESA PRESTADORA DE SALUD"/>
    <s v="CONTRATO A PLAZO INDETERMINADO"/>
    <x v="3"/>
  </r>
  <r>
    <x v="0"/>
    <m/>
    <s v="CONTRATO A PLAZO INDETERMINADO"/>
    <x v="0"/>
  </r>
  <r>
    <x v="0"/>
    <m/>
    <s v="CONTRATO A PLAZO INDETERMINADO"/>
    <x v="4"/>
  </r>
  <r>
    <x v="0"/>
    <m/>
    <s v="CONTRATO A PLAZO INDETERMINADO"/>
    <x v="4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5"/>
  </r>
  <r>
    <x v="0"/>
    <m/>
    <s v="CONTRATO A PLAZO INDETERMINADO"/>
    <x v="3"/>
  </r>
  <r>
    <x v="0"/>
    <m/>
    <s v="CONTRATADO A PLAZO FIJO"/>
    <x v="5"/>
  </r>
  <r>
    <x v="0"/>
    <m/>
    <s v="CONTRATO A PLAZO INDETERMINADO"/>
    <x v="6"/>
  </r>
  <r>
    <x v="0"/>
    <m/>
    <s v="CONTRATO A PLAZO INDETERMINADO"/>
    <x v="7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0"/>
  </r>
  <r>
    <x v="0"/>
    <s v="RIMAC EPS EMPRESA PRESTADORA DE SALUD"/>
    <s v="CONTRATO A PLAZO INDETERMINADO"/>
    <x v="3"/>
  </r>
  <r>
    <x v="0"/>
    <m/>
    <s v="CONTRATO A PLAZO INDETERMINADO"/>
    <x v="8"/>
  </r>
  <r>
    <x v="0"/>
    <m/>
    <s v="CONTRATO A PLAZO INDETERMINADO"/>
    <x v="3"/>
  </r>
  <r>
    <x v="0"/>
    <m/>
    <s v="CONTRATO A PLAZO INDETERMINADO"/>
    <x v="9"/>
  </r>
  <r>
    <x v="0"/>
    <m/>
    <s v="CONTRATO A PLAZO INDETERMINADO"/>
    <x v="4"/>
  </r>
  <r>
    <x v="0"/>
    <m/>
    <s v="CONTRATO A PLAZO INDETERMINADO"/>
    <x v="3"/>
  </r>
  <r>
    <x v="0"/>
    <m/>
    <s v="CONTRATO A PLAZO INDETERMINADO"/>
    <x v="0"/>
  </r>
  <r>
    <x v="0"/>
    <m/>
    <s v="CONTRATADO A PLAZO FIJO"/>
    <x v="0"/>
  </r>
  <r>
    <x v="0"/>
    <m/>
    <s v="CONTRATO A PLAZO INDETERMINADO"/>
    <x v="8"/>
  </r>
  <r>
    <x v="0"/>
    <m/>
    <s v="CONTRATO A PLAZO INDETERMINADO"/>
    <x v="8"/>
  </r>
  <r>
    <x v="0"/>
    <m/>
    <s v="CONTRATO A PLAZO INDETERMINADO"/>
    <x v="3"/>
  </r>
  <r>
    <x v="0"/>
    <m/>
    <s v="CONTRATO A PLAZO INDETERMINADO"/>
    <x v="9"/>
  </r>
  <r>
    <x v="0"/>
    <m/>
    <s v="CONTRATO A PLAZO INDETERMINADO"/>
    <x v="0"/>
  </r>
  <r>
    <x v="0"/>
    <s v="RIMAC EPS EMPRESA PRESTADORA DE SALUD"/>
    <s v="CONTRATO A PLAZO INDETERMINADO"/>
    <x v="10"/>
  </r>
  <r>
    <x v="0"/>
    <m/>
    <s v="CONTRATO A PLAZO INDETERMINADO"/>
    <x v="3"/>
  </r>
  <r>
    <x v="0"/>
    <m/>
    <s v="CONTRATO A PLAZO INDETERMINADO"/>
    <x v="6"/>
  </r>
  <r>
    <x v="0"/>
    <s v="RIMAC EPS EMPRESA PRESTADORA DE SALUD"/>
    <s v="CONTRATO A PLAZO INDETERMINADO"/>
    <x v="8"/>
  </r>
  <r>
    <x v="0"/>
    <m/>
    <s v="CONTRATO A PLAZO INDETERMINADO"/>
    <x v="11"/>
  </r>
  <r>
    <x v="0"/>
    <m/>
    <s v="CONTRATO A PLAZO INDETERMINADO"/>
    <x v="3"/>
  </r>
  <r>
    <x v="0"/>
    <m/>
    <s v="CONTRATO A PLAZO INDETERMINADO"/>
    <x v="0"/>
  </r>
  <r>
    <x v="0"/>
    <m/>
    <s v="CONTRATADO A PLAZO FIJO"/>
    <x v="0"/>
  </r>
  <r>
    <x v="0"/>
    <m/>
    <s v="CONTRATO A PLAZO INDETERMINADO"/>
    <x v="5"/>
  </r>
  <r>
    <x v="0"/>
    <m/>
    <s v="CONTRATO A PLAZO INDETERMINADO"/>
    <x v="8"/>
  </r>
  <r>
    <x v="0"/>
    <m/>
    <s v="CONTRATO A PLAZO INDETERMINADO"/>
    <x v="6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7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8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8"/>
  </r>
  <r>
    <x v="0"/>
    <m/>
    <s v="CONTRATO A PLAZO INDETERMINADO"/>
    <x v="0"/>
  </r>
  <r>
    <x v="0"/>
    <m/>
    <s v="CONTRATADO A PLAZO FIJO"/>
    <x v="3"/>
  </r>
  <r>
    <x v="0"/>
    <m/>
    <s v="CONTRATO A PLAZO INDETERMINADO"/>
    <x v="3"/>
  </r>
  <r>
    <x v="0"/>
    <m/>
    <s v="CONTRATADO A PLAZO FIJO"/>
    <x v="3"/>
  </r>
  <r>
    <x v="0"/>
    <m/>
    <s v="CONTRATO A PLAZO INDETERMINADO"/>
    <x v="0"/>
  </r>
  <r>
    <x v="0"/>
    <m/>
    <s v="CONTRATO A PLAZO INDETERMINADO"/>
    <x v="8"/>
  </r>
  <r>
    <x v="0"/>
    <m/>
    <s v="CONTRATO A PLAZO INDETERMINADO"/>
    <x v="3"/>
  </r>
  <r>
    <x v="0"/>
    <s v="RIMAC EPS EMPRESA PRESTADORA DE SALUD"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11"/>
  </r>
  <r>
    <x v="0"/>
    <m/>
    <s v="CONTRATO A PLAZO INDETERMINADO"/>
    <x v="0"/>
  </r>
  <r>
    <x v="0"/>
    <m/>
    <s v="CONTRATO A PLAZO INDETERMINADO"/>
    <x v="3"/>
  </r>
  <r>
    <x v="0"/>
    <m/>
    <s v="CONTRATADO A PLAZO FIJO"/>
    <x v="3"/>
  </r>
  <r>
    <x v="0"/>
    <m/>
    <s v="CONTRATO A PLAZO INDETERMINADO"/>
    <x v="3"/>
  </r>
  <r>
    <x v="0"/>
    <s v="RIMAC EPS EMPRESA PRESTADORA DE SALUD"/>
    <s v="CONTRATO A PLAZO INDETERMINADO"/>
    <x v="3"/>
  </r>
  <r>
    <x v="0"/>
    <m/>
    <s v="CONTRATO A PLAZO INDETERMINADO"/>
    <x v="5"/>
  </r>
  <r>
    <x v="0"/>
    <m/>
    <s v="CONTRATO A PLAZO INDETERMINADO"/>
    <x v="9"/>
  </r>
  <r>
    <x v="0"/>
    <m/>
    <s v="CONTRATO A PLAZO INDETERMINADO"/>
    <x v="0"/>
  </r>
  <r>
    <x v="0"/>
    <m/>
    <s v="CONTRATO A PLAZO INDETERMINADO"/>
    <x v="6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5"/>
  </r>
  <r>
    <x v="0"/>
    <s v="RIMAC EPS EMPRESA PRESTADORA DE SALUD"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0"/>
  </r>
  <r>
    <x v="0"/>
    <s v="RIMAC EPS EMPRESA PRESTADORA DE SALUD"/>
    <s v="CONTRATO A PLAZO INDETERMINADO"/>
    <x v="0"/>
  </r>
  <r>
    <x v="0"/>
    <m/>
    <s v="CONTRATO A PLAZO INDETERMINADO"/>
    <x v="3"/>
  </r>
  <r>
    <x v="0"/>
    <s v="RIMAC EPS EMPRESA PRESTADORA DE SALUD"/>
    <s v="CONTRATO A PLAZO INDETERMINADO"/>
    <x v="4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5"/>
  </r>
  <r>
    <x v="0"/>
    <m/>
    <s v="CONTRATADO A PLAZO FIJO"/>
    <x v="3"/>
  </r>
  <r>
    <x v="0"/>
    <m/>
    <s v="CONTRATO A PLAZO INDETERMINADO"/>
    <x v="0"/>
  </r>
  <r>
    <x v="0"/>
    <m/>
    <s v="CONTRATADO A PLAZO FIJO"/>
    <x v="3"/>
  </r>
  <r>
    <x v="0"/>
    <m/>
    <s v="CONTRATADO A PLAZO FIJO"/>
    <x v="3"/>
  </r>
  <r>
    <x v="0"/>
    <m/>
    <s v="CONTRATADO A PLAZO FIJO"/>
    <x v="0"/>
  </r>
  <r>
    <x v="0"/>
    <m/>
    <s v="CONTRATO A PLAZO INDETERMINADO"/>
    <x v="0"/>
  </r>
  <r>
    <x v="0"/>
    <m/>
    <s v="CONTRATADO A PLAZO FIJO"/>
    <x v="3"/>
  </r>
  <r>
    <x v="0"/>
    <m/>
    <s v="CONTRATO A PLAZO INDETERMINADO"/>
    <x v="3"/>
  </r>
  <r>
    <x v="0"/>
    <s v="RIMAC EPS EMPRESA PRESTADORA DE SALUD"/>
    <s v="CONTRATO A PLAZO INDETERMINADO"/>
    <x v="3"/>
  </r>
  <r>
    <x v="0"/>
    <m/>
    <s v="CONTRATO A PLAZO INDETERMINADO"/>
    <x v="6"/>
  </r>
  <r>
    <x v="0"/>
    <m/>
    <s v="CONTRATO A PLAZO INDETERMINADO"/>
    <x v="3"/>
  </r>
  <r>
    <x v="0"/>
    <m/>
    <s v="CONTRATADO A PLAZO FIJO"/>
    <x v="3"/>
  </r>
  <r>
    <x v="0"/>
    <m/>
    <s v="CONTRATO A PLAZO INDETERMINADO"/>
    <x v="0"/>
  </r>
  <r>
    <x v="0"/>
    <m/>
    <s v="CONTRATADO A PLAZO FIJO"/>
    <x v="3"/>
  </r>
  <r>
    <x v="0"/>
    <m/>
    <s v="CONTRATO A PLAZO INDETERMINADO"/>
    <x v="8"/>
  </r>
  <r>
    <x v="0"/>
    <m/>
    <s v="CONTRATADO A PLAZO FIJO"/>
    <x v="3"/>
  </r>
  <r>
    <x v="0"/>
    <m/>
    <s v="CONTRATO A PLAZO INDETERMINADO"/>
    <x v="12"/>
  </r>
  <r>
    <x v="0"/>
    <m/>
    <s v="CONTRATO A PLAZO INDETERMINADO"/>
    <x v="0"/>
  </r>
  <r>
    <x v="0"/>
    <m/>
    <s v="CONTRATO A PLAZO INDETERMINADO"/>
    <x v="8"/>
  </r>
  <r>
    <x v="0"/>
    <m/>
    <s v="CONTRATO A PLAZO INDETERMINADO"/>
    <x v="0"/>
  </r>
  <r>
    <x v="0"/>
    <m/>
    <s v="CONTRATADO A PLAZO FIJO"/>
    <x v="13"/>
  </r>
  <r>
    <x v="0"/>
    <m/>
    <s v="CONTRATO A PLAZO INDETERMINADO"/>
    <x v="3"/>
  </r>
  <r>
    <x v="0"/>
    <m/>
    <s v="CONTRATO A PLAZO INDETERMINADO"/>
    <x v="8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8"/>
  </r>
  <r>
    <x v="0"/>
    <m/>
    <s v="CONTRATO A PLAZO INDETERMINADO"/>
    <x v="3"/>
  </r>
  <r>
    <x v="0"/>
    <s v="RIMAC EPS EMPRESA PRESTADORA DE SALUD"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ADO A PLAZO FIJO"/>
    <x v="3"/>
  </r>
  <r>
    <x v="0"/>
    <m/>
    <s v="CONTRATO A PLAZO INDETERMINADO"/>
    <x v="8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3"/>
  </r>
  <r>
    <x v="0"/>
    <m/>
    <s v="CONTRATADO A PLAZO FIJO"/>
    <x v="0"/>
  </r>
  <r>
    <x v="0"/>
    <m/>
    <s v="CONTRATADO A PLAZO FIJO"/>
    <x v="0"/>
  </r>
  <r>
    <x v="0"/>
    <m/>
    <s v="CONTRATADO A PLAZO FIJ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3"/>
  </r>
  <r>
    <x v="0"/>
    <m/>
    <s v="CONTRATADO A PLAZO FIJO"/>
    <x v="14"/>
  </r>
  <r>
    <x v="0"/>
    <m/>
    <s v="CONTRATO A PLAZO INDETERMINADO"/>
    <x v="8"/>
  </r>
  <r>
    <x v="0"/>
    <m/>
    <s v="CONTRATO A PLAZO INDETERMINADO"/>
    <x v="3"/>
  </r>
  <r>
    <x v="0"/>
    <m/>
    <s v="CONTRATO A PLAZO INDETERMINADO"/>
    <x v="3"/>
  </r>
  <r>
    <x v="0"/>
    <s v="RIMAC EPS EMPRESA PRESTADORA DE SALUD"/>
    <s v="CONTRATO A PLAZO INDETERMINADO"/>
    <x v="3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8"/>
  </r>
  <r>
    <x v="0"/>
    <m/>
    <s v="CONTRATO A PLAZO INDETERMINADO"/>
    <x v="0"/>
  </r>
  <r>
    <x v="0"/>
    <s v="RIMAC EPS EMPRESA PRESTADORA DE SALUD"/>
    <s v="CONTRATO A PLAZO INDETERMINADO"/>
    <x v="9"/>
  </r>
  <r>
    <x v="0"/>
    <m/>
    <s v="CONTRATO A PLAZO INDETERMINADO"/>
    <x v="13"/>
  </r>
  <r>
    <x v="0"/>
    <m/>
    <s v="CONTRATO A PLAZO INDETERMINADO"/>
    <x v="8"/>
  </r>
  <r>
    <x v="0"/>
    <m/>
    <s v="CONTRATO A PLAZO INDETERMINADO"/>
    <x v="8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15"/>
  </r>
  <r>
    <x v="0"/>
    <m/>
    <s v="CONTRATADO A PLAZO FIJ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0"/>
  </r>
  <r>
    <x v="0"/>
    <m/>
    <s v="CONTRATADO A PLAZO FIJO"/>
    <x v="3"/>
  </r>
  <r>
    <x v="0"/>
    <m/>
    <s v="CONTRATADO A PLAZO FIJO"/>
    <x v="3"/>
  </r>
  <r>
    <x v="0"/>
    <m/>
    <s v="CONTRATO A PLAZO INDETERMINADO"/>
    <x v="3"/>
  </r>
  <r>
    <x v="0"/>
    <s v="RIMAC EPS EMPRESA PRESTADORA DE SALUD"/>
    <s v="CONTRATO A PLAZO INDETERMINADO"/>
    <x v="10"/>
  </r>
  <r>
    <x v="0"/>
    <m/>
    <s v="CONTRATO A PLAZO INDETERMINADO"/>
    <x v="3"/>
  </r>
  <r>
    <x v="0"/>
    <s v="RIMAC EPS EMPRESA PRESTADORA DE SALUD"/>
    <s v="CONTRATO A PLAZO INDETERMINADO"/>
    <x v="3"/>
  </r>
  <r>
    <x v="0"/>
    <m/>
    <s v="CONTRATO A PLAZO INDETERMINADO"/>
    <x v="8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16"/>
  </r>
  <r>
    <x v="0"/>
    <m/>
    <s v="CONTRATO A PLAZO INDETERMINADO"/>
    <x v="5"/>
  </r>
  <r>
    <x v="0"/>
    <s v="RIMAC EPS EMPRESA PRESTADORA DE SALUD"/>
    <s v="CONTRATO A PLAZO INDETERMINADO"/>
    <x v="3"/>
  </r>
  <r>
    <x v="0"/>
    <m/>
    <s v="CONTRATO A PLAZO INDETERMINADO"/>
    <x v="0"/>
  </r>
  <r>
    <x v="0"/>
    <m/>
    <s v="CONTRATO A PLAZO INDETERMINADO"/>
    <x v="11"/>
  </r>
  <r>
    <x v="0"/>
    <m/>
    <s v="CONTRATO A PLAZO INDETERMINADO"/>
    <x v="17"/>
  </r>
  <r>
    <x v="0"/>
    <m/>
    <s v="CONTRATADO A PLAZO FIJO"/>
    <x v="3"/>
  </r>
  <r>
    <x v="0"/>
    <m/>
    <s v="CONTRATADO A PLAZO FIJO"/>
    <x v="3"/>
  </r>
  <r>
    <x v="0"/>
    <m/>
    <s v="CONTRATO A PLAZO INDETERMINADO"/>
    <x v="3"/>
  </r>
  <r>
    <x v="0"/>
    <m/>
    <s v="CONTRATADO A PLAZO FIJO"/>
    <x v="3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4"/>
  </r>
  <r>
    <x v="0"/>
    <s v="RIMAC EPS EMPRESA PRESTADORA DE SALUD"/>
    <s v="CONTRATO A PLAZO INDETERMINADO"/>
    <x v="3"/>
  </r>
  <r>
    <x v="0"/>
    <m/>
    <s v="CONTRATO A PLAZO INDETERMINADO"/>
    <x v="3"/>
  </r>
  <r>
    <x v="0"/>
    <m/>
    <s v="CONTRATADO A PLAZO FIJO"/>
    <x v="3"/>
  </r>
  <r>
    <x v="0"/>
    <m/>
    <s v="CONTRATADO A PLAZO FIJO"/>
    <x v="16"/>
  </r>
  <r>
    <x v="0"/>
    <m/>
    <s v="CONTRATADO A PLAZO FIJO"/>
    <x v="8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0"/>
  </r>
  <r>
    <x v="0"/>
    <m/>
    <s v="CONTRATADO A PLAZO FIJO"/>
    <x v="0"/>
  </r>
  <r>
    <x v="0"/>
    <m/>
    <s v="CONTRATADO A PLAZO FIJO"/>
    <x v="0"/>
  </r>
  <r>
    <x v="0"/>
    <m/>
    <s v="CONTRATO A PLAZO INDETERMINADO"/>
    <x v="9"/>
  </r>
  <r>
    <x v="0"/>
    <m/>
    <s v="CONTRATADO A PLAZO FIJO"/>
    <x v="0"/>
  </r>
  <r>
    <x v="0"/>
    <m/>
    <s v="CONTRATO A PLAZO INDETERMINADO"/>
    <x v="3"/>
  </r>
  <r>
    <x v="0"/>
    <m/>
    <s v="CONTRATO A PLAZO INDETERMINADO"/>
    <x v="4"/>
  </r>
  <r>
    <x v="0"/>
    <m/>
    <s v="CONTRATO A PLAZO INDETERMINADO"/>
    <x v="0"/>
  </r>
  <r>
    <x v="0"/>
    <m/>
    <s v="CONTRATO A PLAZO INDETERMINADO"/>
    <x v="16"/>
  </r>
  <r>
    <x v="0"/>
    <m/>
    <s v="CONTRATO A PLAZO INDETERMINADO"/>
    <x v="0"/>
  </r>
  <r>
    <x v="0"/>
    <m/>
    <s v="CONTRATO A PLAZO INDETERMINADO"/>
    <x v="8"/>
  </r>
  <r>
    <x v="0"/>
    <s v="RIMAC EPS EMPRESA PRESTADORA DE SALUD"/>
    <s v="CONTRATO A PLAZO INDETERMINADO"/>
    <x v="8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s v="RIMAC EPS EMPRESA PRESTADORA DE SALUD"/>
    <s v="CONTRATO A PLAZO INDETERMINADO"/>
    <x v="13"/>
  </r>
  <r>
    <x v="0"/>
    <m/>
    <s v="CONTRATO A PLAZO INDETERMINADO"/>
    <x v="3"/>
  </r>
  <r>
    <x v="0"/>
    <m/>
    <s v="CONTRATADO A PLAZO FIJO"/>
    <x v="3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16"/>
  </r>
  <r>
    <x v="0"/>
    <m/>
    <s v="CONTRATO A PLAZO INDETERMINADO"/>
    <x v="6"/>
  </r>
  <r>
    <x v="0"/>
    <s v="RIMAC EPS EMPRESA PRESTADORA DE SALUD"/>
    <s v="CONTRATO A PLAZO INDETERMINADO"/>
    <x v="10"/>
  </r>
  <r>
    <x v="0"/>
    <m/>
    <s v="CONTRATO A PLAZO INDETERMINADO"/>
    <x v="6"/>
  </r>
  <r>
    <x v="0"/>
    <m/>
    <s v="CONTRATO A PLAZO INDETERMINADO"/>
    <x v="3"/>
  </r>
  <r>
    <x v="0"/>
    <m/>
    <s v="CONTRATO A PLAZO INDETERMINADO"/>
    <x v="9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8"/>
  </r>
  <r>
    <x v="0"/>
    <m/>
    <s v="CONTRATO A PLAZO INDETERMINADO"/>
    <x v="11"/>
  </r>
  <r>
    <x v="0"/>
    <m/>
    <s v="CONTRATO A PLAZO INDETERMINADO"/>
    <x v="4"/>
  </r>
  <r>
    <x v="0"/>
    <m/>
    <s v="CONTRATADO A PLAZO FIJO"/>
    <x v="3"/>
  </r>
  <r>
    <x v="0"/>
    <m/>
    <s v="CONTRATO A PLAZO INDETERMINADO"/>
    <x v="4"/>
  </r>
  <r>
    <x v="0"/>
    <m/>
    <s v="CONTRATO A PLAZO INDETERMINADO"/>
    <x v="3"/>
  </r>
  <r>
    <x v="0"/>
    <s v="RIMAC EPS EMPRESA PRESTADORA DE SALUD"/>
    <s v="CONTRATO A PLAZO INDETERMINADO"/>
    <x v="4"/>
  </r>
  <r>
    <x v="0"/>
    <m/>
    <s v="CONTRATO A PLAZO INDETERMINADO"/>
    <x v="5"/>
  </r>
  <r>
    <x v="0"/>
    <m/>
    <s v="CONTRATO A PLAZO INDETERMINADO"/>
    <x v="3"/>
  </r>
  <r>
    <x v="0"/>
    <m/>
    <s v="CONTRATO A PLAZO INDETERMINADO"/>
    <x v="11"/>
  </r>
  <r>
    <x v="0"/>
    <m/>
    <s v="CONTRATO A PLAZO INDETERMINADO"/>
    <x v="8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8"/>
  </r>
  <r>
    <x v="0"/>
    <m/>
    <s v="CONTRATO A PLAZO INDETERMINADO"/>
    <x v="3"/>
  </r>
  <r>
    <x v="0"/>
    <m/>
    <s v="CONTRATO A PLAZO INDETERMINADO"/>
    <x v="4"/>
  </r>
  <r>
    <x v="0"/>
    <m/>
    <s v="CONTRATO A PLAZO INDETERMINADO"/>
    <x v="3"/>
  </r>
  <r>
    <x v="0"/>
    <m/>
    <s v="CONTRATO A PLAZO INDETERMINADO"/>
    <x v="0"/>
  </r>
  <r>
    <x v="0"/>
    <m/>
    <s v="CONTRATADO A PLAZO FIJO"/>
    <x v="8"/>
  </r>
  <r>
    <x v="0"/>
    <m/>
    <s v="CONTRATO A PLAZO INDETERMINADO"/>
    <x v="0"/>
  </r>
  <r>
    <x v="0"/>
    <m/>
    <s v="CONTRATO A PLAZO INDETERMINADO"/>
    <x v="4"/>
  </r>
  <r>
    <x v="0"/>
    <m/>
    <s v="CONTRATO A PLAZO INDETERMINADO"/>
    <x v="0"/>
  </r>
  <r>
    <x v="0"/>
    <m/>
    <s v="CONTRATO A PLAZO INDETERMINADO"/>
    <x v="0"/>
  </r>
  <r>
    <x v="0"/>
    <m/>
    <s v="CONTRATADO A PLAZO FIJO"/>
    <x v="0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8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5"/>
  </r>
  <r>
    <x v="0"/>
    <m/>
    <s v="CONTRATO A PLAZO INDETERMINADO"/>
    <x v="0"/>
  </r>
  <r>
    <x v="0"/>
    <m/>
    <s v="CONTRATO A PLAZO INDETERMINADO"/>
    <x v="12"/>
  </r>
  <r>
    <x v="0"/>
    <m/>
    <s v="CONTRATO A PLAZO INDETERMINADO"/>
    <x v="0"/>
  </r>
  <r>
    <x v="0"/>
    <m/>
    <s v="CONTRATO A PLAZO INDETERMINADO"/>
    <x v="9"/>
  </r>
  <r>
    <x v="0"/>
    <m/>
    <s v="CONTRATO A PLAZO INDETERMINADO"/>
    <x v="0"/>
  </r>
  <r>
    <x v="0"/>
    <m/>
    <s v="CONTRATO A PLAZO INDETERMINADO"/>
    <x v="11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3"/>
  </r>
  <r>
    <x v="0"/>
    <s v="RIMAC EPS EMPRESA PRESTADORA DE SALUD"/>
    <s v="CONTRATO A PLAZO INDETERMINADO"/>
    <x v="4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5"/>
  </r>
  <r>
    <x v="0"/>
    <m/>
    <s v="CONTRATO A PLAZO INDETERMINADO"/>
    <x v="0"/>
  </r>
  <r>
    <x v="0"/>
    <s v="RIMAC EPS EMPRESA PRESTADORA DE SALUD"/>
    <s v="CONTRATO A PLAZO INDETERMINADO"/>
    <x v="3"/>
  </r>
  <r>
    <x v="0"/>
    <m/>
    <s v="CONTRATO A PLAZO INDETERMINADO"/>
    <x v="4"/>
  </r>
  <r>
    <x v="0"/>
    <m/>
    <s v="CONTRATO A PLAZO INDETERMINADO"/>
    <x v="3"/>
  </r>
  <r>
    <x v="0"/>
    <m/>
    <s v="CONTRATO A PLAZO INDETERMINADO"/>
    <x v="3"/>
  </r>
  <r>
    <x v="0"/>
    <m/>
    <s v="CONTRATO A PLAZO INDETERMINADO"/>
    <x v="3"/>
  </r>
  <r>
    <x v="0"/>
    <m/>
    <s v="CONTRATADO A PLAZO FIJO"/>
    <x v="6"/>
  </r>
  <r>
    <x v="0"/>
    <m/>
    <s v="CONTRATO A PLAZO INDETERMINADO"/>
    <x v="4"/>
  </r>
  <r>
    <x v="0"/>
    <m/>
    <s v="CONTRATO A PLAZO INDETERMINADO"/>
    <x v="3"/>
  </r>
  <r>
    <x v="0"/>
    <m/>
    <s v="CONTRATO A PLAZO INDETERMINADO"/>
    <x v="6"/>
  </r>
  <r>
    <x v="0"/>
    <m/>
    <s v="CONTRATO A PLAZO INDETERMINADO"/>
    <x v="0"/>
  </r>
  <r>
    <x v="0"/>
    <m/>
    <s v="CONTRATADO A PLAZO FIJO"/>
    <x v="4"/>
  </r>
  <r>
    <x v="0"/>
    <m/>
    <s v="CONTRATO A PLAZO INDETERMINADO"/>
    <x v="3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9"/>
  </r>
  <r>
    <x v="0"/>
    <m/>
    <s v="CONTRATO A PLAZO INDETERMINADO"/>
    <x v="8"/>
  </r>
  <r>
    <x v="0"/>
    <m/>
    <s v="CONTRATO A PLAZO INDETERMINADO"/>
    <x v="8"/>
  </r>
  <r>
    <x v="0"/>
    <m/>
    <s v="CONTRATO A PLAZO INDETERMINADO"/>
    <x v="5"/>
  </r>
  <r>
    <x v="0"/>
    <m/>
    <s v="CONTRATO A PLAZO INDETERMINADO"/>
    <x v="12"/>
  </r>
  <r>
    <x v="0"/>
    <m/>
    <s v="CONTRATO A PLAZO INDETERMINADO"/>
    <x v="0"/>
  </r>
  <r>
    <x v="0"/>
    <m/>
    <s v="CONTRATO A PLAZO INDETERMINADO"/>
    <x v="0"/>
  </r>
  <r>
    <x v="0"/>
    <m/>
    <s v="CONTRATO A PLAZO INDETERMINADO"/>
    <x v="3"/>
  </r>
  <r>
    <x v="0"/>
    <m/>
    <s v="CONTRATO A PLAZO INDETERMINADO"/>
    <x v="8"/>
  </r>
  <r>
    <x v="0"/>
    <m/>
    <s v="CONTRATO A PLAZO INDETERMINADO"/>
    <x v="0"/>
  </r>
  <r>
    <x v="0"/>
    <m/>
    <s v="CONTRATADO A PLAZO FIJO"/>
    <x v="3"/>
  </r>
  <r>
    <x v="0"/>
    <m/>
    <s v="CONTRATO A PLAZO INDETERMINADO"/>
    <x v="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1"/>
    <x v="0"/>
    <s v="CONTRATADO A PLAZO FIJO"/>
    <s v="ASISTENTE ADMINISTRATIVO."/>
    <n v="1928"/>
    <n v="720"/>
    <m/>
    <n v="31776"/>
    <s v="2.1.1.1.1.5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1"/>
    <n v="1"/>
    <x v="1"/>
    <s v="CONTRATO A PLAZO INDETERMINADO"/>
    <s v="GERENTE"/>
    <n v="7878"/>
    <n v="720"/>
    <m/>
    <n v="103176"/>
    <s v="2.1.1.1.1.4"/>
    <n v="0"/>
    <m/>
    <n v="400"/>
    <x v="0"/>
    <n v="15756"/>
    <s v="2.1.1.9.1.1"/>
    <n v="1418.04"/>
    <s v="2.1.1.9.3.99"/>
    <n v="2402"/>
    <n v="28824"/>
    <s v="2.1.1.1.2.99"/>
    <n v="8508.24"/>
    <x v="0"/>
  </r>
  <r>
    <x v="2"/>
    <n v="1"/>
    <x v="0"/>
    <s v="CONTRATO A PLAZO INDETERMINADO"/>
    <s v="TECNOLOGO MEDICO"/>
    <n v="2378"/>
    <n v="720"/>
    <n v="93"/>
    <n v="38292"/>
    <s v="2.1.1.3.1.2"/>
    <n v="2427.8000000000002"/>
    <s v="2.1.1.3.3.1"/>
    <n v="400"/>
    <x v="0"/>
    <n v="4942"/>
    <s v="2.1.1.9.1.1"/>
    <n v="444.78"/>
    <s v="2.1.1.9.3.99"/>
    <n v="1302"/>
    <n v="15624"/>
    <s v="2.1.1.3.3.99"/>
    <n v="2887.1819999999998"/>
    <x v="0"/>
  </r>
  <r>
    <x v="3"/>
    <n v="1"/>
    <x v="1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2"/>
    <n v="1"/>
    <x v="0"/>
    <s v="CONTRATO A PLAZO INDETERMINADO"/>
    <s v="ANALISTA"/>
    <n v="3978"/>
    <n v="720"/>
    <n v="93"/>
    <n v="57492"/>
    <s v="2.1.1.1.1.4"/>
    <n v="0"/>
    <m/>
    <n v="400"/>
    <x v="0"/>
    <n v="8142"/>
    <s v="2.1.1.9.1.1"/>
    <n v="732.78"/>
    <s v="2.1.1.9.3.99"/>
    <n v="802"/>
    <n v="9624"/>
    <s v="2.1.1.1.2.99"/>
    <n v="4396.68"/>
    <x v="0"/>
  </r>
  <r>
    <x v="2"/>
    <n v="1"/>
    <x v="0"/>
    <s v="CONTRATO A PLAZO INDETERMINADO"/>
    <s v="ANALISTA"/>
    <n v="3978"/>
    <n v="720"/>
    <m/>
    <n v="56376"/>
    <s v="2.1.1.1.1.4"/>
    <n v="0"/>
    <m/>
    <n v="400"/>
    <x v="0"/>
    <n v="7956"/>
    <s v="2.1.1.9.1.1"/>
    <n v="716.04"/>
    <s v="2.1.1.9.3.99"/>
    <n v="802"/>
    <n v="9624"/>
    <s v="2.1.1.1.2.99"/>
    <n v="4296.24"/>
    <x v="0"/>
  </r>
  <r>
    <x v="3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0"/>
    <s v="CONTRATO A PLAZO INDETERMINADO"/>
    <s v="TECNICO NECROPSIADOR"/>
    <n v="1928"/>
    <n v="720"/>
    <m/>
    <n v="31776"/>
    <s v="2.1.1.3.2.2"/>
    <n v="3638.34"/>
    <s v="2.1.1.3.3.1"/>
    <n v="400"/>
    <x v="0"/>
    <n v="3856"/>
    <s v="2.1.1.9.1.1"/>
    <n v="347.03999999999996"/>
    <s v="2.1.1.9.3.99"/>
    <n v="852"/>
    <n v="10224"/>
    <s v="2.1.1.3.3.99"/>
    <n v="2409.6905999999999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0"/>
    <s v="CONTRATADO A PLAZO FIJO"/>
    <s v="TECNICO NECROPSIADOR"/>
    <n v="1928"/>
    <n v="720"/>
    <m/>
    <n v="31776"/>
    <s v="2.1.1.3.2.2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2"/>
    <n v="1"/>
    <x v="0"/>
    <s v="CONTRATO A PLAZO INDETERMINADO"/>
    <s v="AUXILIAR"/>
    <n v="1600"/>
    <n v="720"/>
    <m/>
    <n v="27840"/>
    <s v="2.1.1.1.1.4"/>
    <n v="0"/>
    <m/>
    <n v="400"/>
    <x v="0"/>
    <n v="3200"/>
    <s v="2.1.1.9.1.1"/>
    <n v="288"/>
    <s v="2.1.1.9.3.99"/>
    <n v="802"/>
    <n v="9624"/>
    <s v="2.1.1.1.2.99"/>
    <n v="1728"/>
    <x v="0"/>
  </r>
  <r>
    <x v="2"/>
    <n v="1"/>
    <x v="0"/>
    <s v="CONTRATO A PLAZO INDETERMINADO"/>
    <s v="CIRUJANO DENTISTA"/>
    <n v="2378"/>
    <n v="720"/>
    <n v="93"/>
    <n v="38292"/>
    <s v="2.1.1.3.1.2"/>
    <n v="3303.4"/>
    <s v="2.1.1.3.3.1"/>
    <n v="400"/>
    <x v="0"/>
    <n v="4942"/>
    <s v="2.1.1.9.1.1"/>
    <n v="444.78"/>
    <s v="2.1.1.9.3.99"/>
    <n v="1302"/>
    <n v="15624"/>
    <s v="2.1.1.3.3.99"/>
    <n v="2965.9859999999999"/>
    <x v="0"/>
  </r>
  <r>
    <x v="4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1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5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1"/>
    <n v="1"/>
    <x v="0"/>
    <s v="CONTRATO A PLAZO INDETERMINADO"/>
    <s v="ADMINISTRADOR"/>
    <n v="5478"/>
    <n v="720"/>
    <n v="93"/>
    <n v="75492"/>
    <s v="2.1.1.1.1.4"/>
    <n v="0"/>
    <m/>
    <n v="400"/>
    <x v="0"/>
    <n v="11142"/>
    <s v="2.1.1.9.1.1"/>
    <n v="1002.78"/>
    <s v="2.1.1.9.3.99"/>
    <n v="1302"/>
    <n v="15624"/>
    <s v="2.1.1.1.2.99"/>
    <n v="6016.68"/>
    <x v="0"/>
  </r>
  <r>
    <x v="5"/>
    <n v="1"/>
    <x v="0"/>
    <s v="CONTRATO A PLAZO INDETERMINADO"/>
    <s v="ANALISTA"/>
    <n v="3978"/>
    <n v="720"/>
    <n v="93"/>
    <n v="57492"/>
    <s v="2.1.1.1.1.4"/>
    <n v="0"/>
    <m/>
    <n v="400"/>
    <x v="0"/>
    <n v="8142"/>
    <s v="2.1.1.9.1.1"/>
    <n v="732.78"/>
    <s v="2.1.1.9.3.99"/>
    <n v="802"/>
    <n v="9624"/>
    <s v="2.1.1.1.2.99"/>
    <n v="4396.68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ADO A PLAZO FIJO"/>
    <s v="ASISTENTE ADMINISTRATIVO."/>
    <n v="1928"/>
    <n v="720"/>
    <m/>
    <n v="31776"/>
    <s v="2.1.1.1.1.5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5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0"/>
    <n v="1"/>
    <x v="0"/>
    <s v="CONTRATADO A PLAZO FIJO"/>
    <s v="ASIST.FUNC.FISCAL"/>
    <n v="2268"/>
    <n v="720"/>
    <n v="93"/>
    <n v="36972"/>
    <s v="2.1.1.1.1.5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1"/>
    <n v="1"/>
    <x v="0"/>
    <s v="CONTRATO A PLAZO INDETERMINADO"/>
    <s v="ADMINISTRADOR"/>
    <n v="5478"/>
    <n v="720"/>
    <n v="93"/>
    <n v="75492"/>
    <s v="2.1.1.1.1.4"/>
    <n v="0"/>
    <m/>
    <n v="400"/>
    <x v="0"/>
    <n v="11142"/>
    <s v="2.1.1.9.1.1"/>
    <n v="1002.78"/>
    <s v="2.1.1.9.3.99"/>
    <n v="1302"/>
    <n v="15624"/>
    <s v="2.1.1.1.2.99"/>
    <n v="6016.68"/>
    <x v="0"/>
  </r>
  <r>
    <x v="1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2"/>
    <n v="1"/>
    <x v="1"/>
    <s v="CONTRATO A PLAZO INDETERMINADO"/>
    <s v="QUIMICO FARMACEUTICO"/>
    <n v="2378"/>
    <n v="720"/>
    <n v="93"/>
    <n v="38292"/>
    <s v="2.1.1.3.1.2"/>
    <n v="7363"/>
    <s v="2.1.1.3.3.1"/>
    <n v="400"/>
    <x v="0"/>
    <n v="4942"/>
    <s v="2.1.1.9.1.1"/>
    <n v="444.78"/>
    <s v="2.1.1.9.3.99"/>
    <n v="1302"/>
    <n v="15624"/>
    <s v="2.1.1.3.3.99"/>
    <n v="3331.35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0"/>
    <s v="CONTRATO A PLAZO INDETERMINADO"/>
    <s v="AUXILIAR"/>
    <n v="1600"/>
    <n v="720"/>
    <n v="93"/>
    <n v="28956"/>
    <s v="2.1.1.1.1.4"/>
    <n v="0"/>
    <m/>
    <n v="400"/>
    <x v="0"/>
    <n v="3386"/>
    <s v="2.1.1.9.1.1"/>
    <n v="304.74"/>
    <s v="2.1.1.9.3.99"/>
    <n v="802"/>
    <n v="9624"/>
    <s v="2.1.1.1.2.99"/>
    <n v="1828.44"/>
    <x v="0"/>
  </r>
  <r>
    <x v="5"/>
    <n v="1"/>
    <x v="1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1"/>
    <n v="1"/>
    <x v="0"/>
    <s v="CONTRATO A PLAZO INDETERMINADO"/>
    <s v="ESPECIALISTA ADM."/>
    <n v="2828"/>
    <n v="720"/>
    <n v="93"/>
    <n v="43692"/>
    <s v="2.1.1.1.1.4"/>
    <n v="0"/>
    <m/>
    <n v="400"/>
    <x v="0"/>
    <n v="5842"/>
    <s v="2.1.1.9.1.1"/>
    <n v="525.78"/>
    <s v="2.1.1.9.3.99"/>
    <n v="852"/>
    <n v="10224"/>
    <s v="2.1.1.1.2.99"/>
    <n v="3154.6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1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ADO A PLAZO FIJO"/>
    <s v="ASISTENTE ADMINISTRATIVO."/>
    <n v="1928"/>
    <n v="720"/>
    <m/>
    <n v="31776"/>
    <s v="2.1.1.1.1.5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2"/>
    <n v="1"/>
    <x v="0"/>
    <s v="CONTRATO A PLAZO INDETERMINADO"/>
    <s v="TECNICO NECROPSIADOR"/>
    <n v="1928"/>
    <n v="720"/>
    <m/>
    <n v="31776"/>
    <s v="2.1.1.3.2.2"/>
    <n v="0"/>
    <m/>
    <n v="400"/>
    <x v="0"/>
    <n v="3856"/>
    <s v="2.1.1.9.1.1"/>
    <n v="347.03999999999996"/>
    <s v="2.1.1.9.3.99"/>
    <n v="852"/>
    <n v="10224"/>
    <s v="2.1.1.3.3.99"/>
    <n v="2082.2399999999998"/>
    <x v="0"/>
  </r>
  <r>
    <x v="2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2"/>
    <n v="1"/>
    <x v="0"/>
    <s v="CONTRATO A PLAZO INDETERMINADO"/>
    <s v="AUXILIAR"/>
    <n v="1600"/>
    <n v="720"/>
    <n v="93"/>
    <n v="28956"/>
    <s v="2.1.1.1.1.4"/>
    <n v="0"/>
    <m/>
    <n v="400"/>
    <x v="0"/>
    <n v="3386"/>
    <s v="2.1.1.9.1.1"/>
    <n v="304.74"/>
    <s v="2.1.1.9.3.99"/>
    <n v="802"/>
    <n v="9624"/>
    <s v="2.1.1.1.2.99"/>
    <n v="1828.44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1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1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CIRUJANO DENTISTA"/>
    <n v="2378"/>
    <n v="720"/>
    <n v="93"/>
    <n v="38292"/>
    <s v="2.1.1.3.1.2"/>
    <n v="4676.5"/>
    <s v="2.1.1.3.3.1"/>
    <n v="400"/>
    <x v="0"/>
    <n v="4942"/>
    <s v="2.1.1.9.1.1"/>
    <n v="444.78"/>
    <s v="2.1.1.9.3.99"/>
    <n v="1302"/>
    <n v="15624"/>
    <s v="2.1.1.3.3.99"/>
    <n v="3089.5649999999996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5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5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ADO A PLAZO FIJO"/>
    <s v="ASIST.FUNC.FISCAL"/>
    <n v="2268"/>
    <n v="720"/>
    <n v="93"/>
    <n v="36972"/>
    <s v="2.1.1.1.1.5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5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0"/>
    <n v="1"/>
    <x v="1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4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1"/>
    <n v="1"/>
    <x v="0"/>
    <s v="CONTRATO A PLAZO INDETERMINADO"/>
    <s v="ESPECIALISTA ADM."/>
    <n v="2828"/>
    <n v="720"/>
    <m/>
    <n v="42576"/>
    <s v="2.1.1.1.1.4"/>
    <n v="0"/>
    <m/>
    <n v="400"/>
    <x v="0"/>
    <n v="5656"/>
    <s v="2.1.1.9.1.1"/>
    <n v="509.03999999999996"/>
    <s v="2.1.1.9.3.99"/>
    <n v="852"/>
    <n v="10224"/>
    <s v="2.1.1.1.2.99"/>
    <n v="3054.24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4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1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TECNICO NECROPSIADOR"/>
    <n v="1928"/>
    <n v="720"/>
    <m/>
    <n v="31776"/>
    <s v="2.1.1.3.2.2"/>
    <n v="0"/>
    <m/>
    <n v="400"/>
    <x v="0"/>
    <n v="3856"/>
    <s v="2.1.1.9.1.1"/>
    <n v="347.03999999999996"/>
    <s v="2.1.1.9.3.99"/>
    <n v="852"/>
    <n v="10224"/>
    <s v="2.1.1.3.3.99"/>
    <n v="2082.2399999999998"/>
    <x v="0"/>
  </r>
  <r>
    <x v="1"/>
    <n v="1"/>
    <x v="0"/>
    <s v="CONTRATO A PLAZO INDETERMINADO"/>
    <s v="ADMINISTRADOR"/>
    <n v="5478"/>
    <n v="720"/>
    <n v="93"/>
    <n v="75492"/>
    <s v="2.1.1.1.1.4"/>
    <n v="0"/>
    <m/>
    <n v="400"/>
    <x v="0"/>
    <n v="11142"/>
    <s v="2.1.1.9.1.1"/>
    <n v="1002.78"/>
    <s v="2.1.1.9.3.99"/>
    <n v="1302"/>
    <n v="15624"/>
    <s v="2.1.1.1.2.99"/>
    <n v="6016.68"/>
    <x v="0"/>
  </r>
  <r>
    <x v="5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4"/>
    <n v="1"/>
    <x v="0"/>
    <s v="CONTRATO A PLAZO INDETERMINADO"/>
    <s v="AUXILIAR"/>
    <n v="1600"/>
    <n v="720"/>
    <m/>
    <n v="27840"/>
    <s v="2.1.1.1.1.4"/>
    <n v="0"/>
    <m/>
    <n v="400"/>
    <x v="0"/>
    <n v="3200"/>
    <s v="2.1.1.9.1.1"/>
    <n v="288"/>
    <s v="2.1.1.9.3.99"/>
    <n v="802"/>
    <n v="9624"/>
    <s v="2.1.1.1.2.99"/>
    <n v="1728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1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4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0"/>
    <s v="CONTRATO A PLAZO INDETERMINADO"/>
    <s v="TECNICO NECROPSIADOR"/>
    <n v="1928"/>
    <n v="720"/>
    <m/>
    <n v="31776"/>
    <s v="2.1.1.3.2.2"/>
    <n v="3911.81"/>
    <s v="2.1.1.3.3.1"/>
    <n v="400"/>
    <x v="0"/>
    <n v="3856"/>
    <s v="2.1.1.9.1.1"/>
    <n v="347.03999999999996"/>
    <s v="2.1.1.9.3.99"/>
    <n v="852"/>
    <n v="10224"/>
    <s v="2.1.1.3.3.99"/>
    <n v="2434.3028999999997"/>
    <x v="0"/>
  </r>
  <r>
    <x v="0"/>
    <n v="1"/>
    <x v="1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4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3"/>
    <n v="1"/>
    <x v="1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1"/>
    <n v="1"/>
    <x v="1"/>
    <s v="CONTRATO A PLAZO INDETERMINADO"/>
    <s v="ANALISTA"/>
    <n v="3978"/>
    <n v="720"/>
    <n v="93"/>
    <n v="57492"/>
    <s v="2.1.1.1.1.4"/>
    <n v="0"/>
    <m/>
    <n v="400"/>
    <x v="0"/>
    <n v="8142"/>
    <s v="2.1.1.9.1.1"/>
    <n v="732.78"/>
    <s v="2.1.1.9.3.99"/>
    <n v="802"/>
    <n v="9624"/>
    <s v="2.1.1.1.2.99"/>
    <n v="4396.6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0"/>
    <s v="CONTRATO A PLAZO INDETERMINADO"/>
    <s v="TECNICO NECROPSIADOR"/>
    <n v="1928"/>
    <n v="720"/>
    <m/>
    <n v="31776"/>
    <s v="2.1.1.3.2.2"/>
    <n v="0"/>
    <m/>
    <n v="400"/>
    <x v="0"/>
    <n v="3856"/>
    <s v="2.1.1.9.1.1"/>
    <n v="347.03999999999996"/>
    <s v="2.1.1.9.3.99"/>
    <n v="852"/>
    <n v="10224"/>
    <s v="2.1.1.3.3.99"/>
    <n v="2082.239999999999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ADO A PLAZO FIJO"/>
    <s v="ASISTENTE ADMINISTRATIVO."/>
    <n v="1928"/>
    <n v="720"/>
    <m/>
    <n v="31776"/>
    <s v="2.1.1.1.1.5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1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AUXILIAR"/>
    <n v="1600"/>
    <n v="720"/>
    <n v="93"/>
    <n v="28956"/>
    <s v="2.1.1.1.1.4"/>
    <n v="0"/>
    <m/>
    <n v="400"/>
    <x v="0"/>
    <n v="3386"/>
    <s v="2.1.1.9.1.1"/>
    <n v="304.74"/>
    <s v="2.1.1.9.3.99"/>
    <n v="802"/>
    <n v="9624"/>
    <s v="2.1.1.1.2.99"/>
    <n v="1828.4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4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4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5"/>
    <n v="1"/>
    <x v="0"/>
    <s v="CONTRATO A PLAZO INDETERMINADO"/>
    <s v="OPERADOR ADMINISTRATIVO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2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5"/>
    <n v="1"/>
    <x v="0"/>
    <s v="CONTRATADO A PLAZO FIJO"/>
    <s v="ABOGADO"/>
    <n v="3478"/>
    <n v="720"/>
    <m/>
    <n v="50376"/>
    <s v="2.1.1.1.1.5"/>
    <n v="0"/>
    <m/>
    <n v="400"/>
    <x v="0"/>
    <n v="6956"/>
    <s v="2.1.1.9.1.1"/>
    <n v="626.04"/>
    <s v="2.1.1.9.3.99"/>
    <n v="1302"/>
    <n v="15624"/>
    <s v="2.1.1.1.2.99"/>
    <n v="3756.2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1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4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ADO A PLAZO FIJO"/>
    <s v="ASISTENTE ADMINISTRATIVO."/>
    <n v="1928"/>
    <n v="720"/>
    <m/>
    <n v="31776"/>
    <s v="2.1.1.1.1.5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4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0"/>
    <s v="CONTRATADO A PLAZO FIJO"/>
    <s v="MEDICO"/>
    <n v="3578"/>
    <n v="720"/>
    <m/>
    <n v="51576"/>
    <s v="2.1.1.3.1.2"/>
    <n v="6319.28"/>
    <s v="2.1.1.3.3.1"/>
    <n v="400"/>
    <x v="0"/>
    <n v="7156"/>
    <s v="2.1.1.9.1.1"/>
    <n v="644.04"/>
    <s v="2.1.1.9.3.99"/>
    <n v="1202"/>
    <n v="14424"/>
    <s v="2.1.1.3.3.99"/>
    <n v="4432.9751999999999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1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4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1"/>
    <n v="1"/>
    <x v="1"/>
    <s v="CONTRATO A PLAZO INDETERMINADO"/>
    <s v="ADMINISTRADOR"/>
    <n v="5478"/>
    <n v="720"/>
    <n v="93"/>
    <n v="75492"/>
    <s v="2.1.1.1.1.4"/>
    <n v="0"/>
    <m/>
    <n v="400"/>
    <x v="0"/>
    <n v="11142"/>
    <s v="2.1.1.9.1.1"/>
    <n v="1002.78"/>
    <s v="2.1.1.9.3.99"/>
    <n v="1302"/>
    <n v="15624"/>
    <s v="2.1.1.1.2.99"/>
    <n v="6016.68"/>
    <x v="0"/>
  </r>
  <r>
    <x v="5"/>
    <n v="1"/>
    <x v="0"/>
    <s v="CONTRATO A PLAZO INDETERMINADO"/>
    <s v="ABOGADO"/>
    <n v="3478"/>
    <n v="720"/>
    <m/>
    <n v="50376"/>
    <s v="2.1.1.1.1.4"/>
    <n v="0"/>
    <m/>
    <n v="400"/>
    <x v="0"/>
    <n v="6956"/>
    <s v="2.1.1.9.1.1"/>
    <n v="626.04"/>
    <s v="2.1.1.9.3.99"/>
    <n v="1302"/>
    <n v="15624"/>
    <s v="2.1.1.1.2.99"/>
    <n v="3756.24"/>
    <x v="0"/>
  </r>
  <r>
    <x v="5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2"/>
    <n v="1"/>
    <x v="0"/>
    <s v="CONTRATADO A PLAZO FIJO"/>
    <s v="BI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2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2"/>
    <n v="1"/>
    <x v="0"/>
    <s v="CONTRATO A PLAZO INDETERMINADO"/>
    <s v="ASISTENTE MEDICO LEGAL"/>
    <n v="1928"/>
    <n v="720"/>
    <n v="93"/>
    <n v="32892"/>
    <s v="2.1.1.3.2.2"/>
    <n v="0"/>
    <m/>
    <n v="400"/>
    <x v="0"/>
    <n v="4042"/>
    <s v="2.1.1.9.1.1"/>
    <n v="363.78"/>
    <s v="2.1.1.9.3.99"/>
    <n v="852"/>
    <n v="10224"/>
    <s v="2.1.1.3.3.99"/>
    <n v="2182.6799999999998"/>
    <x v="0"/>
  </r>
  <r>
    <x v="0"/>
    <n v="1"/>
    <x v="0"/>
    <s v="CONTRATADO A PLAZO FIJO"/>
    <s v="ASIST.FUNC.FISCAL"/>
    <n v="2268"/>
    <n v="720"/>
    <n v="93"/>
    <n v="36972"/>
    <s v="2.1.1.1.1.5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3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1"/>
    <s v="CONTRATO A PLAZO INDETERMINADO"/>
    <s v="QUIMICO FARMACEUTICO"/>
    <n v="2378"/>
    <n v="720"/>
    <m/>
    <n v="37176"/>
    <s v="2.1.1.3.1.2"/>
    <n v="7303.3"/>
    <s v="2.1.1.3.3.1"/>
    <n v="400"/>
    <x v="0"/>
    <n v="4756"/>
    <s v="2.1.1.9.1.1"/>
    <n v="428.03999999999996"/>
    <s v="2.1.1.9.3.99"/>
    <n v="1302"/>
    <n v="15624"/>
    <s v="2.1.1.3.3.99"/>
    <n v="3225.5369999999998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1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2"/>
    <n v="1"/>
    <x v="0"/>
    <s v="CONTRATO A PLAZO INDETERMINADO"/>
    <s v="BI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2"/>
    <n v="1"/>
    <x v="0"/>
    <s v="CONTRATO A PLAZO INDETERMINADO"/>
    <s v="TECNICO NECROPSIADOR"/>
    <n v="1928"/>
    <n v="720"/>
    <n v="93"/>
    <n v="32892"/>
    <s v="2.1.1.3.2.2"/>
    <n v="0"/>
    <m/>
    <n v="400"/>
    <x v="0"/>
    <n v="4042"/>
    <s v="2.1.1.9.1.1"/>
    <n v="363.78"/>
    <s v="2.1.1.9.3.99"/>
    <n v="852"/>
    <n v="10224"/>
    <s v="2.1.1.3.3.99"/>
    <n v="2182.6799999999998"/>
    <x v="0"/>
  </r>
  <r>
    <x v="4"/>
    <n v="1"/>
    <x v="1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1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1"/>
    <n v="1"/>
    <x v="0"/>
    <s v="CONTRATO A PLAZO INDETERMINADO"/>
    <s v="ESPECIALISTA ADM."/>
    <n v="2828"/>
    <n v="720"/>
    <n v="93"/>
    <n v="43692"/>
    <s v="2.1.1.1.1.4"/>
    <n v="0"/>
    <m/>
    <n v="400"/>
    <x v="0"/>
    <n v="5842"/>
    <s v="2.1.1.9.1.1"/>
    <n v="525.78"/>
    <s v="2.1.1.9.3.99"/>
    <n v="852"/>
    <n v="10224"/>
    <s v="2.1.1.1.2.99"/>
    <n v="3154.68"/>
    <x v="0"/>
  </r>
  <r>
    <x v="1"/>
    <n v="1"/>
    <x v="0"/>
    <s v="CONTRATO A PLAZO INDETERMINADO"/>
    <s v="SUBGERENTE"/>
    <n v="6478"/>
    <n v="720"/>
    <n v="93"/>
    <n v="87492"/>
    <s v="2.1.1.1.1.4"/>
    <n v="0"/>
    <m/>
    <n v="400"/>
    <x v="0"/>
    <n v="13142"/>
    <s v="2.1.1.9.1.1"/>
    <n v="1182.78"/>
    <s v="2.1.1.9.3.99"/>
    <n v="1802"/>
    <n v="21624"/>
    <s v="2.1.1.1.2.99"/>
    <n v="7096.68"/>
    <x v="0"/>
  </r>
  <r>
    <x v="3"/>
    <n v="1"/>
    <x v="0"/>
    <s v="CONTRATADO A PLAZO FIJO"/>
    <s v="ASIST.FUNC.FISCAL"/>
    <n v="2268"/>
    <n v="720"/>
    <n v="93"/>
    <n v="36972"/>
    <s v="2.1.1.1.1.5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4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4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4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5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NALISTA"/>
    <n v="3978"/>
    <n v="720"/>
    <n v="93"/>
    <n v="57492"/>
    <s v="2.1.1.1.1.4"/>
    <n v="0"/>
    <m/>
    <n v="400"/>
    <x v="0"/>
    <n v="8142"/>
    <s v="2.1.1.9.1.1"/>
    <n v="732.78"/>
    <s v="2.1.1.9.3.99"/>
    <n v="802"/>
    <n v="9624"/>
    <s v="2.1.1.1.2.99"/>
    <n v="4396.68"/>
    <x v="0"/>
  </r>
  <r>
    <x v="0"/>
    <n v="1"/>
    <x v="1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0"/>
    <s v="CONTRATO A PLAZO INDETERMINADO"/>
    <s v="ANALISTA"/>
    <n v="3978"/>
    <n v="720"/>
    <n v="93"/>
    <n v="57492"/>
    <s v="2.1.1.1.1.4"/>
    <n v="0"/>
    <m/>
    <n v="400"/>
    <x v="0"/>
    <n v="8142"/>
    <s v="2.1.1.9.1.1"/>
    <n v="732.78"/>
    <s v="2.1.1.9.3.99"/>
    <n v="802"/>
    <n v="9624"/>
    <s v="2.1.1.1.2.99"/>
    <n v="4396.68"/>
    <x v="0"/>
  </r>
  <r>
    <x v="2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2"/>
    <n v="1"/>
    <x v="0"/>
    <s v="CONTRATO A PLAZO INDETERMINADO"/>
    <s v="BI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5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5"/>
    <n v="1"/>
    <x v="1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3"/>
    <n v="1"/>
    <x v="1"/>
    <s v="CONTRATO A PLAZO INDETERMINADO"/>
    <s v="ABOGADO"/>
    <n v="3478"/>
    <n v="720"/>
    <m/>
    <n v="50376"/>
    <s v="2.1.1.1.1.4"/>
    <n v="0"/>
    <m/>
    <n v="400"/>
    <x v="0"/>
    <n v="6956"/>
    <s v="2.1.1.9.1.1"/>
    <n v="626.04"/>
    <s v="2.1.1.9.3.99"/>
    <n v="1302"/>
    <n v="15624"/>
    <s v="2.1.1.1.2.99"/>
    <n v="3756.2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2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2"/>
    <n v="1"/>
    <x v="0"/>
    <s v="CONTRATO A PLAZO INDETERMINADO"/>
    <s v="BI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2"/>
    <n v="1"/>
    <x v="0"/>
    <s v="CONTRATO A PLAZO INDETERMINADO"/>
    <s v="AUXILIAR"/>
    <n v="1600"/>
    <n v="720"/>
    <n v="93"/>
    <n v="28956"/>
    <s v="2.1.1.1.1.4"/>
    <n v="0"/>
    <m/>
    <n v="400"/>
    <x v="0"/>
    <n v="3386"/>
    <s v="2.1.1.9.1.1"/>
    <n v="304.74"/>
    <s v="2.1.1.9.3.99"/>
    <n v="802"/>
    <n v="9624"/>
    <s v="2.1.1.1.2.99"/>
    <n v="1828.44"/>
    <x v="0"/>
  </r>
  <r>
    <x v="2"/>
    <n v="1"/>
    <x v="1"/>
    <s v="CONTRATO A PLAZO INDETERMINADO"/>
    <s v="QUIMICO FARMACEUTICO"/>
    <n v="2378"/>
    <n v="720"/>
    <n v="93"/>
    <n v="38292"/>
    <s v="2.1.1.3.1.2"/>
    <n v="6387.9"/>
    <s v="2.1.1.3.3.1"/>
    <n v="400"/>
    <x v="0"/>
    <n v="4942"/>
    <s v="2.1.1.9.1.1"/>
    <n v="444.78"/>
    <s v="2.1.1.9.3.99"/>
    <n v="1302"/>
    <n v="15624"/>
    <s v="2.1.1.3.3.99"/>
    <n v="3243.5909999999999"/>
    <x v="0"/>
  </r>
  <r>
    <x v="1"/>
    <n v="1"/>
    <x v="0"/>
    <s v="CONTRATO A PLAZO INDETERMINADO"/>
    <s v="AUXILIAR"/>
    <n v="1600"/>
    <n v="720"/>
    <n v="93"/>
    <n v="28956"/>
    <s v="2.1.1.1.1.4"/>
    <n v="0"/>
    <m/>
    <n v="400"/>
    <x v="0"/>
    <n v="3386"/>
    <s v="2.1.1.9.1.1"/>
    <n v="304.74"/>
    <s v="2.1.1.9.3.99"/>
    <n v="802"/>
    <n v="9624"/>
    <s v="2.1.1.1.2.99"/>
    <n v="1828.44"/>
    <x v="0"/>
  </r>
  <r>
    <x v="4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1"/>
    <n v="1"/>
    <x v="0"/>
    <s v="CONTRATO A PLAZO INDETERMINADO"/>
    <s v="ADMINISTRADOR"/>
    <n v="5478"/>
    <n v="720"/>
    <n v="93"/>
    <n v="75492"/>
    <s v="2.1.1.1.1.4"/>
    <n v="0"/>
    <m/>
    <n v="400"/>
    <x v="0"/>
    <n v="11142"/>
    <s v="2.1.1.9.1.1"/>
    <n v="1002.78"/>
    <s v="2.1.1.9.3.99"/>
    <n v="1302"/>
    <n v="15624"/>
    <s v="2.1.1.1.2.99"/>
    <n v="6016.68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0"/>
    <n v="1"/>
    <x v="0"/>
    <s v="CONTRATO A PLAZO INDETERMINADO"/>
    <s v="ESPECIALISTA ADM."/>
    <n v="2828"/>
    <n v="720"/>
    <m/>
    <n v="42576"/>
    <s v="2.1.1.1.1.4"/>
    <n v="0"/>
    <m/>
    <n v="400"/>
    <x v="0"/>
    <n v="5656"/>
    <s v="2.1.1.9.1.1"/>
    <n v="509.03999999999996"/>
    <s v="2.1.1.9.3.99"/>
    <n v="852"/>
    <n v="10224"/>
    <s v="2.1.1.1.2.99"/>
    <n v="3054.24"/>
    <x v="0"/>
  </r>
  <r>
    <x v="5"/>
    <n v="1"/>
    <x v="0"/>
    <s v="CONTRATO A PLAZO INDETERMINADO"/>
    <s v="ANALISTA"/>
    <n v="3978"/>
    <n v="720"/>
    <m/>
    <n v="56376"/>
    <s v="2.1.1.1.1.4"/>
    <n v="0"/>
    <m/>
    <n v="400"/>
    <x v="0"/>
    <n v="7956"/>
    <s v="2.1.1.9.1.1"/>
    <n v="716.04"/>
    <s v="2.1.1.9.3.99"/>
    <n v="802"/>
    <n v="9624"/>
    <s v="2.1.1.1.2.99"/>
    <n v="4296.24"/>
    <x v="0"/>
  </r>
  <r>
    <x v="0"/>
    <n v="1"/>
    <x v="0"/>
    <s v="CONTRATADO A PLAZO FIJO"/>
    <s v="ASIST.FUNC.FISCAL"/>
    <n v="2268"/>
    <n v="720"/>
    <m/>
    <n v="35856"/>
    <s v="2.1.1.1.1.5"/>
    <n v="0"/>
    <m/>
    <n v="400"/>
    <x v="0"/>
    <n v="4536"/>
    <s v="2.1.1.9.1.1"/>
    <n v="408.24"/>
    <s v="2.1.1.9.3.99"/>
    <n v="852"/>
    <n v="10224"/>
    <s v="2.1.1.1.2.99"/>
    <n v="2449.44"/>
    <x v="0"/>
  </r>
  <r>
    <x v="1"/>
    <n v="1"/>
    <x v="0"/>
    <s v="CONTRATO A PLAZO INDETERMINADO"/>
    <s v="ANALISTA"/>
    <n v="3978"/>
    <n v="720"/>
    <n v="93"/>
    <n v="57492"/>
    <s v="2.1.1.1.1.4"/>
    <n v="0"/>
    <m/>
    <n v="400"/>
    <x v="0"/>
    <n v="8142"/>
    <s v="2.1.1.9.1.1"/>
    <n v="732.78"/>
    <s v="2.1.1.9.3.99"/>
    <n v="802"/>
    <n v="9624"/>
    <s v="2.1.1.1.2.99"/>
    <n v="4396.68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1"/>
    <s v="CONTRATO A PLAZO INDETERMINADO"/>
    <s v="ANALISTA"/>
    <n v="3978"/>
    <n v="720"/>
    <m/>
    <n v="56376"/>
    <s v="2.1.1.1.1.4"/>
    <n v="0"/>
    <m/>
    <n v="400"/>
    <x v="0"/>
    <n v="7956"/>
    <s v="2.1.1.9.1.1"/>
    <n v="716.04"/>
    <s v="2.1.1.9.3.99"/>
    <n v="802"/>
    <n v="9624"/>
    <s v="2.1.1.1.2.99"/>
    <n v="4296.24"/>
    <x v="0"/>
  </r>
  <r>
    <x v="2"/>
    <n v="1"/>
    <x v="0"/>
    <s v="CONTRATO A PLAZO INDETERMINADO"/>
    <s v="TECNICO NECROPSIADOR"/>
    <n v="1928"/>
    <n v="720"/>
    <m/>
    <n v="31776"/>
    <s v="2.1.1.3.2.2"/>
    <n v="0"/>
    <m/>
    <n v="400"/>
    <x v="0"/>
    <n v="3856"/>
    <s v="2.1.1.9.1.1"/>
    <n v="347.03999999999996"/>
    <s v="2.1.1.9.3.99"/>
    <n v="852"/>
    <n v="10224"/>
    <s v="2.1.1.3.3.99"/>
    <n v="2082.2399999999998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ESPECIALISTA ADM."/>
    <n v="2828"/>
    <n v="720"/>
    <n v="93"/>
    <n v="43692"/>
    <s v="2.1.1.1.1.4"/>
    <n v="0"/>
    <m/>
    <n v="400"/>
    <x v="0"/>
    <n v="5842"/>
    <s v="2.1.1.9.1.1"/>
    <n v="525.78"/>
    <s v="2.1.1.9.3.99"/>
    <n v="852"/>
    <n v="10224"/>
    <s v="2.1.1.1.2.99"/>
    <n v="3154.68"/>
    <x v="0"/>
  </r>
  <r>
    <x v="5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1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5"/>
    <n v="1"/>
    <x v="0"/>
    <s v="CONTRATO A PLAZO INDETERMINADO"/>
    <s v="ANALISTA"/>
    <n v="3978"/>
    <n v="720"/>
    <n v="93"/>
    <n v="57492"/>
    <s v="2.1.1.1.1.4"/>
    <n v="0"/>
    <m/>
    <n v="400"/>
    <x v="0"/>
    <n v="8142"/>
    <s v="2.1.1.9.1.1"/>
    <n v="732.78"/>
    <s v="2.1.1.9.3.99"/>
    <n v="802"/>
    <n v="9624"/>
    <s v="2.1.1.1.2.99"/>
    <n v="4396.68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4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5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1"/>
    <n v="1"/>
    <x v="0"/>
    <s v="CONTRATO A PLAZO INDETERMINADO"/>
    <s v="ANALISTA"/>
    <n v="3978"/>
    <n v="720"/>
    <n v="93"/>
    <n v="57492"/>
    <s v="2.1.1.1.1.4"/>
    <n v="0"/>
    <m/>
    <n v="400"/>
    <x v="0"/>
    <n v="8142"/>
    <s v="2.1.1.9.1.1"/>
    <n v="732.78"/>
    <s v="2.1.1.9.3.99"/>
    <n v="802"/>
    <n v="9624"/>
    <s v="2.1.1.1.2.99"/>
    <n v="4396.68"/>
    <x v="0"/>
  </r>
  <r>
    <x v="1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1"/>
    <n v="1"/>
    <x v="0"/>
    <s v="CONTRATADO A PLAZO FIJO"/>
    <s v="ASISTENTE ADMINISTRATIVO."/>
    <n v="1928"/>
    <n v="720"/>
    <n v="93"/>
    <n v="32892"/>
    <s v="2.1.1.1.1.5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TECNICO NECROPSIADOR"/>
    <n v="1928"/>
    <n v="720"/>
    <n v="93"/>
    <n v="32892"/>
    <s v="2.1.1.3.2.2"/>
    <n v="0"/>
    <m/>
    <n v="400"/>
    <x v="0"/>
    <n v="4042"/>
    <s v="2.1.1.9.1.1"/>
    <n v="363.78"/>
    <s v="2.1.1.9.3.99"/>
    <n v="852"/>
    <n v="10224"/>
    <s v="2.1.1.3.3.99"/>
    <n v="2182.6799999999998"/>
    <x v="0"/>
  </r>
  <r>
    <x v="1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1"/>
    <n v="1"/>
    <x v="0"/>
    <s v="CONTRATO A PLAZO INDETERMINADO"/>
    <s v="OPERADOR ADMINISTRATIVO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5"/>
    <n v="1"/>
    <x v="0"/>
    <s v="CONTRATADO A PLAZO FIJO"/>
    <s v="PSICOLOGO"/>
    <n v="2378"/>
    <n v="720"/>
    <n v="93"/>
    <n v="38292"/>
    <s v="2.1.1.1.1.5"/>
    <n v="0"/>
    <m/>
    <n v="400"/>
    <x v="0"/>
    <n v="4942"/>
    <s v="2.1.1.9.1.1"/>
    <n v="444.78"/>
    <s v="2.1.1.9.3.99"/>
    <n v="1302"/>
    <n v="15624"/>
    <s v="2.1.1.1.2.99"/>
    <n v="2668.68"/>
    <x v="0"/>
  </r>
  <r>
    <x v="1"/>
    <n v="1"/>
    <x v="0"/>
    <s v="CONTRATO A PLAZO INDETERMINADO"/>
    <s v="ADMINISTRADOR"/>
    <n v="5478"/>
    <n v="720"/>
    <n v="93"/>
    <n v="75492"/>
    <s v="2.1.1.1.1.4"/>
    <n v="0"/>
    <m/>
    <n v="400"/>
    <x v="0"/>
    <n v="11142"/>
    <s v="2.1.1.9.1.1"/>
    <n v="1002.78"/>
    <s v="2.1.1.9.3.99"/>
    <n v="1302"/>
    <n v="15624"/>
    <s v="2.1.1.1.2.99"/>
    <n v="6016.6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1"/>
    <n v="1"/>
    <x v="0"/>
    <s v="CONTRATO A PLAZO INDETERMINADO"/>
    <s v="ESPECIALISTA ADM."/>
    <n v="2828"/>
    <n v="720"/>
    <m/>
    <n v="42576"/>
    <s v="2.1.1.1.1.4"/>
    <n v="0"/>
    <m/>
    <n v="400"/>
    <x v="0"/>
    <n v="5656"/>
    <s v="2.1.1.9.1.1"/>
    <n v="509.03999999999996"/>
    <s v="2.1.1.9.3.99"/>
    <n v="852"/>
    <n v="10224"/>
    <s v="2.1.1.1.2.99"/>
    <n v="3054.24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1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1"/>
    <n v="1"/>
    <x v="1"/>
    <s v="CONTRATO A PLAZO INDETERMINADO"/>
    <s v="ANALISTA"/>
    <n v="3978"/>
    <n v="720"/>
    <m/>
    <n v="56376"/>
    <s v="2.1.1.1.1.4"/>
    <n v="0"/>
    <m/>
    <n v="400"/>
    <x v="0"/>
    <n v="7956"/>
    <s v="2.1.1.9.1.1"/>
    <n v="716.04"/>
    <s v="2.1.1.9.3.99"/>
    <n v="802"/>
    <n v="9624"/>
    <s v="2.1.1.1.2.99"/>
    <n v="4296.24"/>
    <x v="0"/>
  </r>
  <r>
    <x v="4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2"/>
    <n v="1"/>
    <x v="0"/>
    <s v="CONTRATO A PLAZO INDETERMINADO"/>
    <s v="TECNICO NECROPSIADOR"/>
    <n v="1928"/>
    <n v="720"/>
    <n v="93"/>
    <n v="32892"/>
    <s v="2.1.1.3.2.2"/>
    <n v="3888.03"/>
    <s v="2.1.1.3.3.1"/>
    <n v="400"/>
    <x v="0"/>
    <n v="4042"/>
    <s v="2.1.1.9.1.1"/>
    <n v="363.78"/>
    <s v="2.1.1.9.3.99"/>
    <n v="852"/>
    <n v="10224"/>
    <s v="2.1.1.3.3.99"/>
    <n v="2532.6026999999999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1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5"/>
    <n v="1"/>
    <x v="0"/>
    <s v="CONTRATO A PLAZO INDETERMINADO"/>
    <s v="ANALISTA"/>
    <n v="3978"/>
    <n v="720"/>
    <m/>
    <n v="56376"/>
    <s v="2.1.1.1.1.4"/>
    <n v="0"/>
    <m/>
    <n v="400"/>
    <x v="0"/>
    <n v="7956"/>
    <s v="2.1.1.9.1.1"/>
    <n v="716.04"/>
    <s v="2.1.1.9.3.99"/>
    <n v="802"/>
    <n v="9624"/>
    <s v="2.1.1.1.2.99"/>
    <n v="4296.24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4"/>
    <n v="1"/>
    <x v="0"/>
    <s v="CONTRATADO A PLAZO FIJO"/>
    <s v="AUXILIAR"/>
    <n v="1600"/>
    <n v="720"/>
    <m/>
    <n v="27840"/>
    <s v="2.1.1.1.1.5"/>
    <n v="0"/>
    <m/>
    <n v="400"/>
    <x v="0"/>
    <n v="3200"/>
    <s v="2.1.1.9.1.1"/>
    <n v="288"/>
    <s v="2.1.1.9.3.99"/>
    <n v="802"/>
    <n v="9624"/>
    <s v="2.1.1.1.2.99"/>
    <n v="1728"/>
    <x v="0"/>
  </r>
  <r>
    <x v="5"/>
    <n v="1"/>
    <x v="0"/>
    <s v="CONTRATO A PLAZO INDETERMINADO"/>
    <s v="ANALISTA"/>
    <n v="3978"/>
    <n v="720"/>
    <m/>
    <n v="56376"/>
    <s v="2.1.1.1.1.4"/>
    <n v="0"/>
    <m/>
    <n v="400"/>
    <x v="0"/>
    <n v="7956"/>
    <s v="2.1.1.9.1.1"/>
    <n v="716.04"/>
    <s v="2.1.1.9.3.99"/>
    <n v="802"/>
    <n v="9624"/>
    <s v="2.1.1.1.2.99"/>
    <n v="4296.24"/>
    <x v="0"/>
  </r>
  <r>
    <x v="4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2"/>
    <n v="1"/>
    <x v="0"/>
    <s v="CONTRATO A PLAZO INDETERMINADO"/>
    <s v="AUXILIAR"/>
    <n v="1600"/>
    <n v="720"/>
    <m/>
    <n v="27840"/>
    <s v="2.1.1.1.1.4"/>
    <n v="0"/>
    <m/>
    <n v="400"/>
    <x v="0"/>
    <n v="3200"/>
    <s v="2.1.1.9.1.1"/>
    <n v="288"/>
    <s v="2.1.1.9.3.99"/>
    <n v="802"/>
    <n v="9624"/>
    <s v="2.1.1.1.2.99"/>
    <n v="172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1"/>
    <n v="1"/>
    <x v="0"/>
    <s v="CONTRATADO A PLAZO FIJO"/>
    <s v="ANALISTA"/>
    <n v="3978"/>
    <n v="720"/>
    <n v="93"/>
    <n v="57492"/>
    <s v="2.1.1.1.1.5"/>
    <n v="0"/>
    <m/>
    <n v="400"/>
    <x v="0"/>
    <n v="8142"/>
    <s v="2.1.1.9.1.1"/>
    <n v="732.78"/>
    <s v="2.1.1.9.3.99"/>
    <n v="802"/>
    <n v="9624"/>
    <s v="2.1.1.1.2.99"/>
    <n v="4396.68"/>
    <x v="0"/>
  </r>
  <r>
    <x v="3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3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1"/>
    <n v="1"/>
    <x v="0"/>
    <s v="CONTRATO A PLAZO INDETERMINADO"/>
    <s v="ADMINISTRADOR"/>
    <n v="5478"/>
    <n v="720"/>
    <m/>
    <n v="74376"/>
    <s v="2.1.1.1.1.4"/>
    <n v="0"/>
    <m/>
    <n v="400"/>
    <x v="0"/>
    <n v="10956"/>
    <s v="2.1.1.9.1.1"/>
    <n v="986.04"/>
    <s v="2.1.1.9.3.99"/>
    <n v="1302"/>
    <n v="15624"/>
    <s v="2.1.1.1.2.99"/>
    <n v="5916.24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2"/>
    <n v="1"/>
    <x v="0"/>
    <s v="CONTRATO A PLAZO INDETERMINADO"/>
    <s v="PSICOLOGO"/>
    <n v="2378"/>
    <n v="720"/>
    <m/>
    <n v="37176"/>
    <s v="2.1.1.3.1.2"/>
    <n v="0"/>
    <m/>
    <n v="400"/>
    <x v="0"/>
    <n v="4756"/>
    <s v="2.1.1.9.1.1"/>
    <n v="428.03999999999996"/>
    <s v="2.1.1.9.3.99"/>
    <n v="1302"/>
    <n v="15624"/>
    <s v="2.1.1.3.3.99"/>
    <n v="2568.2399999999998"/>
    <x v="0"/>
  </r>
  <r>
    <x v="2"/>
    <n v="1"/>
    <x v="0"/>
    <s v="CONTRATO A PLAZO INDETERMINADO"/>
    <s v="TECNICO NECROPSIADOR"/>
    <n v="1928"/>
    <n v="720"/>
    <m/>
    <n v="31776"/>
    <s v="2.1.1.3.2.2"/>
    <n v="3876.14"/>
    <s v="2.1.1.3.3.1"/>
    <n v="400"/>
    <x v="0"/>
    <n v="3856"/>
    <s v="2.1.1.9.1.1"/>
    <n v="347.03999999999996"/>
    <s v="2.1.1.9.3.99"/>
    <n v="852"/>
    <n v="10224"/>
    <s v="2.1.1.3.3.99"/>
    <n v="2431.0925999999999"/>
    <x v="0"/>
  </r>
  <r>
    <x v="5"/>
    <n v="1"/>
    <x v="0"/>
    <s v="CONTRATO A PLAZO INDETERMINADO"/>
    <s v="OPERADOR ADMINISTRATIVO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2"/>
    <n v="1"/>
    <x v="0"/>
    <s v="CONTRATO A PLAZO INDETERMINADO"/>
    <s v="PSICOLOGO"/>
    <n v="2378"/>
    <n v="720"/>
    <n v="93"/>
    <n v="38292"/>
    <s v="2.1.1.3.1.2"/>
    <n v="0"/>
    <m/>
    <n v="400"/>
    <x v="0"/>
    <n v="4942"/>
    <s v="2.1.1.9.1.1"/>
    <n v="444.78"/>
    <s v="2.1.1.9.3.99"/>
    <n v="1302"/>
    <n v="15624"/>
    <s v="2.1.1.3.3.99"/>
    <n v="2668.68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O A PLAZO INDETERMINADO"/>
    <s v="ASIST.FUNC.FISCAL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1"/>
    <n v="1"/>
    <x v="0"/>
    <s v="CONTRATO A PLAZO INDETERMINADO"/>
    <s v="OPERADOR ADMINISTRATIVO"/>
    <n v="2268"/>
    <n v="720"/>
    <m/>
    <n v="35856"/>
    <s v="2.1.1.1.1.4"/>
    <n v="0"/>
    <m/>
    <n v="400"/>
    <x v="0"/>
    <n v="4536"/>
    <s v="2.1.1.9.1.1"/>
    <n v="408.24"/>
    <s v="2.1.1.9.3.99"/>
    <n v="852"/>
    <n v="10224"/>
    <s v="2.1.1.1.2.99"/>
    <n v="2449.44"/>
    <x v="0"/>
  </r>
  <r>
    <x v="0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  <r>
    <x v="0"/>
    <n v="1"/>
    <x v="0"/>
    <s v="CONTRATO A PLAZO INDETERMINADO"/>
    <s v="ASISTENTE ADMINISTRATIVO."/>
    <n v="1928"/>
    <n v="720"/>
    <m/>
    <n v="31776"/>
    <s v="2.1.1.1.1.4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4"/>
    <n v="1"/>
    <x v="0"/>
    <s v="CONTRATO A PLAZO INDETERMINADO"/>
    <s v="ASISTENTE ADMINISTRATIVO."/>
    <n v="1928"/>
    <n v="720"/>
    <n v="93"/>
    <n v="32892"/>
    <s v="2.1.1.1.1.4"/>
    <n v="0"/>
    <m/>
    <n v="400"/>
    <x v="0"/>
    <n v="4042"/>
    <s v="2.1.1.9.1.1"/>
    <n v="363.78"/>
    <s v="2.1.1.9.3.99"/>
    <n v="852"/>
    <n v="10224"/>
    <s v="2.1.1.1.2.99"/>
    <n v="2182.6799999999998"/>
    <x v="0"/>
  </r>
  <r>
    <x v="0"/>
    <n v="1"/>
    <x v="0"/>
    <s v="CONTRATADO A PLAZO FIJO"/>
    <s v="ASISTENTE ADMINISTRATIVO."/>
    <n v="1928"/>
    <n v="720"/>
    <m/>
    <n v="31776"/>
    <s v="2.1.1.1.1.5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0"/>
    <n v="1"/>
    <x v="0"/>
    <s v="CONTRATADO A PLAZO FIJO"/>
    <s v="ASISTENTE ADMINISTRATIVO."/>
    <n v="1928"/>
    <n v="720"/>
    <m/>
    <n v="31776"/>
    <s v="2.1.1.1.1.5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1"/>
    <n v="1"/>
    <x v="0"/>
    <s v="CONTRATO A PLAZO INDETERMINADO"/>
    <s v="ADMINISTRADOR"/>
    <n v="5478"/>
    <n v="720"/>
    <n v="93"/>
    <n v="75492"/>
    <s v="2.1.1.1.1.4"/>
    <n v="0"/>
    <m/>
    <n v="400"/>
    <x v="0"/>
    <n v="11142"/>
    <s v="2.1.1.9.1.1"/>
    <n v="1002.78"/>
    <s v="2.1.1.9.3.99"/>
    <n v="1302"/>
    <n v="15624"/>
    <s v="2.1.1.1.2.99"/>
    <n v="6016.68"/>
    <x v="0"/>
  </r>
  <r>
    <x v="0"/>
    <n v="1"/>
    <x v="0"/>
    <s v="CONTRATADO A PLAZO FIJO"/>
    <s v="ASISTENTE ADMINISTRATIVO."/>
    <n v="1928"/>
    <n v="720"/>
    <m/>
    <n v="31776"/>
    <s v="2.1.1.1.1.5"/>
    <n v="0"/>
    <m/>
    <n v="400"/>
    <x v="0"/>
    <n v="3856"/>
    <s v="2.1.1.9.1.1"/>
    <n v="347.03999999999996"/>
    <s v="2.1.1.9.3.99"/>
    <n v="852"/>
    <n v="10224"/>
    <s v="2.1.1.1.2.99"/>
    <n v="2082.2399999999998"/>
    <x v="0"/>
  </r>
  <r>
    <x v="4"/>
    <n v="1"/>
    <x v="0"/>
    <s v="CONTRATO A PLAZO INDETERMINADO"/>
    <s v="ASIST.FUNC.FISCAL"/>
    <n v="2268"/>
    <n v="720"/>
    <n v="93"/>
    <n v="36972"/>
    <s v="2.1.1.1.1.4"/>
    <n v="0"/>
    <m/>
    <n v="400"/>
    <x v="0"/>
    <n v="4722"/>
    <s v="2.1.1.9.1.1"/>
    <n v="424.97999999999996"/>
    <s v="2.1.1.9.3.99"/>
    <n v="852"/>
    <n v="10224"/>
    <s v="2.1.1.1.2.99"/>
    <n v="2549.87999999999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7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87:B106" firstHeaderRow="1" firstDataRow="1" firstDataCol="1"/>
  <pivotFields count="4">
    <pivotField dataField="1" numFmtId="1" showAll="0"/>
    <pivotField showAll="0"/>
    <pivotField showAll="0"/>
    <pivotField axis="axisRow" showAll="0">
      <items count="19">
        <item x="13"/>
        <item x="9"/>
        <item x="4"/>
        <item x="3"/>
        <item x="0"/>
        <item x="15"/>
        <item x="6"/>
        <item x="16"/>
        <item x="7"/>
        <item x="11"/>
        <item x="1"/>
        <item x="14"/>
        <item x="12"/>
        <item x="8"/>
        <item x="10"/>
        <item x="17"/>
        <item x="5"/>
        <item x="2"/>
        <item t="default"/>
      </items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de CARGO_ENC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 dinámica6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53:C61" firstHeaderRow="1" firstDataRow="2" firstDataCol="1"/>
  <pivotFields count="26">
    <pivotField axis="axisRow" showAll="0">
      <items count="7">
        <item x="2"/>
        <item x="3"/>
        <item x="0"/>
        <item x="5"/>
        <item x="1"/>
        <item x="4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numFmtId="4" showAll="0"/>
    <pivotField numFmtId="4" showAll="0"/>
    <pivotField showAll="0"/>
    <pivotField dataField="1" numFmtId="4" showAll="0"/>
    <pivotField axis="axisCol" showAll="0">
      <items count="2">
        <item x="0"/>
        <item t="default"/>
      </items>
    </pivotField>
    <pivotField showAll="0"/>
    <pivotField showAll="0"/>
    <pivotField numFmtId="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2">
    <i>
      <x/>
    </i>
    <i t="grand">
      <x/>
    </i>
  </colItems>
  <dataFields count="1">
    <dataField name="Suma de ESSALUD 9% Y 6.75%" fld="21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 diná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43:D51" firstHeaderRow="1" firstDataRow="2" firstDataCol="1"/>
  <pivotFields count="26">
    <pivotField axis="axisRow" showAll="0">
      <items count="7">
        <item x="2"/>
        <item x="3"/>
        <item x="0"/>
        <item x="5"/>
        <item x="1"/>
        <item x="4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numFmtId="4" showAll="0"/>
    <pivotField dataField="1" numFmtId="4" showAll="0"/>
    <pivotField axis="axisCol" showAll="0">
      <items count="3">
        <item x="0"/>
        <item x="1"/>
        <item t="default"/>
      </items>
    </pivotField>
    <pivotField numFmtId="4" showAll="0"/>
    <pivotField showAll="0"/>
    <pivotField showAll="0"/>
    <pivotField showAll="0"/>
    <pivotField numFmtId="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a de BONO FISCAL" fld="1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a dinámica3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3:C31" firstHeaderRow="1" firstDataRow="2" firstDataCol="1"/>
  <pivotFields count="26">
    <pivotField axis="axisRow" showAll="0">
      <items count="7">
        <item x="2"/>
        <item x="3"/>
        <item x="0"/>
        <item x="5"/>
        <item x="1"/>
        <item x="4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dataField="1" numFmtId="4" showAll="0"/>
    <pivotField axis="axisCol" showAll="0">
      <items count="2">
        <item x="0"/>
        <item t="default"/>
      </items>
    </pivotField>
    <pivotField numFmtId="4" showAll="0"/>
    <pivotField showAll="0"/>
    <pivotField numFmtId="4" showAll="0"/>
    <pivotField numFmtId="4" showAll="0"/>
    <pivotField showAll="0"/>
    <pivotField numFmtId="4" showAll="0"/>
    <pivotField showAll="0"/>
    <pivotField showAll="0"/>
    <pivotField showAll="0"/>
    <pivotField numFmtId="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2">
    <i>
      <x/>
    </i>
    <i t="grand">
      <x/>
    </i>
  </colItems>
  <dataFields count="1">
    <dataField name="Suma de GRATIFICACIONES" fld="14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a diná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3:C41" firstHeaderRow="1" firstDataRow="2" firstDataCol="1"/>
  <pivotFields count="26">
    <pivotField axis="axisRow" showAll="0">
      <items count="7">
        <item x="2"/>
        <item x="3"/>
        <item x="0"/>
        <item x="5"/>
        <item x="1"/>
        <item x="4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4" showAll="0"/>
    <pivotField showAll="0"/>
    <pivotField dataField="1" numFmtId="4" showAll="0"/>
    <pivotField axis="axisCol" showAll="0">
      <items count="2">
        <item x="0"/>
        <item t="default"/>
      </items>
    </pivotField>
    <pivotField numFmtId="4" showAll="0"/>
    <pivotField numFmtId="4" showAll="0"/>
    <pivotField showAll="0"/>
    <pivotField numFmtId="4" showAll="0"/>
    <pivotField showAll="0"/>
    <pivotField showAll="0"/>
    <pivotField showAll="0"/>
    <pivotField numFmtId="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7"/>
  </colFields>
  <colItems count="2">
    <i>
      <x/>
    </i>
    <i t="grand">
      <x/>
    </i>
  </colItems>
  <dataFields count="1">
    <dataField name="Suma de 9% GRATIFICACIONES" fld="1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3:D21" firstHeaderRow="1" firstDataRow="2" firstDataCol="1"/>
  <pivotFields count="26">
    <pivotField axis="axisRow" showAll="0">
      <items count="7">
        <item x="2"/>
        <item x="3"/>
        <item x="0"/>
        <item x="5"/>
        <item x="1"/>
        <item x="4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numFmtId="4" showAll="0"/>
    <pivotField showAll="0"/>
    <pivotField numFmtId="4" showAll="0"/>
    <pivotField showAll="0"/>
    <pivotField numFmtId="4" showAll="0"/>
    <pivotField numFmtId="4" showAll="0"/>
    <pivotField showAll="0"/>
    <pivotField numFmtId="4" showAll="0"/>
    <pivotField showAll="0"/>
    <pivotField showAll="0"/>
    <pivotField showAll="0"/>
    <pivotField numFmtId="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a de GUARDIAS" fld="1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a dinámica9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63:C71" firstHeaderRow="1" firstDataRow="2" firstDataCol="1"/>
  <pivotFields count="23">
    <pivotField axis="axisRow" showAll="0">
      <items count="7">
        <item x="2"/>
        <item x="3"/>
        <item x="0"/>
        <item x="5"/>
        <item x="1"/>
        <item x="4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dataField="1" showAll="0"/>
    <pivotField axis="axisCol" showAll="0">
      <items count="2">
        <item x="0"/>
        <item t="default"/>
      </items>
    </pivotField>
    <pivotField numFmtId="4" showAll="0"/>
    <pivotField showAll="0"/>
    <pivotField numFmtId="4" showAll="0"/>
    <pivotField showAll="0"/>
    <pivotField numFmtId="4" showAll="0"/>
    <pivotField numFmtId="4" showAll="0"/>
    <pivotField showAll="0"/>
    <pivotField numFmtId="4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2">
    <i>
      <x/>
    </i>
    <i t="grand">
      <x/>
    </i>
  </colItems>
  <dataFields count="1">
    <dataField name="Suma de ESCOLARIDAD" fld="12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F11" firstHeaderRow="1" firstDataRow="2" firstDataCol="1"/>
  <pivotFields count="26">
    <pivotField axis="axisRow" showAll="0">
      <items count="7">
        <item x="2"/>
        <item x="3"/>
        <item x="0"/>
        <item x="5"/>
        <item x="1"/>
        <item x="4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dataField="1" numFmtId="4" showAll="0"/>
    <pivotField axis="axisCol" showAll="0">
      <items count="6">
        <item x="1"/>
        <item x="0"/>
        <item x="2"/>
        <item x="3"/>
        <item m="1" x="4"/>
        <item t="default"/>
      </items>
    </pivotField>
    <pivotField showAll="0"/>
    <pivotField showAll="0"/>
    <pivotField showAll="0"/>
    <pivotField showAll="0"/>
    <pivotField numFmtId="4" showAll="0"/>
    <pivotField showAll="0"/>
    <pivotField numFmtId="4" showAll="0"/>
    <pivotField showAll="0"/>
    <pivotField numFmtId="4" showAll="0"/>
    <pivotField numFmtId="4" showAll="0"/>
    <pivotField showAll="0"/>
    <pivotField numFmtId="4" showAll="0"/>
    <pivotField showAll="0"/>
    <pivotField showAll="0"/>
    <pivotField showAll="0"/>
    <pivotField numFmtId="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 SUELDO" fld="8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50"/>
  <sheetViews>
    <sheetView tabSelected="1" workbookViewId="0"/>
  </sheetViews>
  <sheetFormatPr baseColWidth="10" defaultRowHeight="15"/>
  <cols>
    <col min="1" max="1" width="5.5703125" style="19" customWidth="1"/>
    <col min="2" max="2" width="9.85546875" style="1" customWidth="1"/>
    <col min="3" max="3" width="48.140625" style="13" customWidth="1"/>
    <col min="4" max="4" width="10.7109375" style="1" customWidth="1"/>
    <col min="5" max="5" width="10.7109375" style="37" customWidth="1"/>
    <col min="6" max="6" width="15" style="39" customWidth="1"/>
    <col min="7" max="7" width="17.5703125" style="1" customWidth="1"/>
    <col min="8" max="8" width="41.28515625" style="1" customWidth="1"/>
    <col min="9" max="9" width="33.7109375" style="1" customWidth="1"/>
    <col min="10" max="10" width="10.28515625" style="108" customWidth="1"/>
    <col min="11" max="11" width="12.85546875" style="151" bestFit="1" customWidth="1"/>
    <col min="12" max="12" width="11.42578125" style="14"/>
    <col min="13" max="13" width="10.28515625" style="151" bestFit="1" customWidth="1"/>
    <col min="14" max="14" width="18.7109375" style="152" bestFit="1" customWidth="1"/>
    <col min="15" max="15" width="15" style="14" bestFit="1" customWidth="1"/>
    <col min="16" max="16" width="4.42578125" style="14" customWidth="1"/>
    <col min="17" max="17" width="5.85546875" style="16" customWidth="1"/>
    <col min="18" max="18" width="5.5703125" style="14" customWidth="1"/>
    <col min="19" max="20" width="15" style="14" customWidth="1"/>
    <col min="21" max="21" width="13.85546875" style="16" bestFit="1" customWidth="1"/>
    <col min="22" max="22" width="16.42578125" style="14" bestFit="1" customWidth="1"/>
    <col min="23" max="23" width="13.140625" style="16" bestFit="1" customWidth="1"/>
    <col min="24" max="24" width="13" style="14" bestFit="1" customWidth="1"/>
    <col min="25" max="25" width="14.7109375" style="10" customWidth="1"/>
    <col min="29" max="29" width="20.42578125" style="10" customWidth="1"/>
    <col min="30" max="30" width="11.140625" style="103" customWidth="1"/>
    <col min="31" max="31" width="9.28515625" style="10" customWidth="1"/>
    <col min="32" max="33" width="20.42578125" style="56" customWidth="1"/>
    <col min="34" max="34" width="20.42578125" style="83" customWidth="1"/>
    <col min="35" max="36" width="20.42578125" style="10" customWidth="1"/>
    <col min="37" max="37" width="20.42578125" style="16" customWidth="1"/>
  </cols>
  <sheetData>
    <row r="1" spans="1:41" ht="13.5" customHeight="1">
      <c r="C1" s="13" t="s">
        <v>291</v>
      </c>
      <c r="D1" s="47">
        <v>1</v>
      </c>
      <c r="E1" s="126"/>
      <c r="H1" s="1" t="s">
        <v>643</v>
      </c>
      <c r="I1" s="47">
        <v>1</v>
      </c>
      <c r="J1" s="107"/>
      <c r="K1" s="153" t="s">
        <v>271</v>
      </c>
      <c r="L1" s="48" t="s">
        <v>898</v>
      </c>
      <c r="M1" s="153"/>
      <c r="N1" s="154"/>
      <c r="O1" s="3"/>
      <c r="P1" s="3"/>
      <c r="Q1" s="18"/>
      <c r="R1" s="7"/>
      <c r="S1" s="5"/>
      <c r="T1" s="5"/>
      <c r="U1" s="18"/>
      <c r="V1" s="7"/>
      <c r="W1" s="111" t="s">
        <v>666</v>
      </c>
      <c r="X1" s="112"/>
      <c r="Y1" s="130" t="s">
        <v>264</v>
      </c>
      <c r="Z1" s="130"/>
      <c r="AA1" s="130"/>
      <c r="AB1" s="131"/>
      <c r="AC1" s="55" t="s">
        <v>307</v>
      </c>
      <c r="AD1" s="99"/>
      <c r="AE1" s="129" t="s">
        <v>922</v>
      </c>
      <c r="AF1" s="129"/>
      <c r="AG1" s="129"/>
      <c r="AH1" s="129"/>
      <c r="AI1" s="129"/>
      <c r="AJ1" s="49"/>
      <c r="AK1" s="57"/>
      <c r="AL1" s="19"/>
      <c r="AM1" s="19"/>
      <c r="AN1" s="19"/>
      <c r="AO1" s="19"/>
    </row>
    <row r="2" spans="1:41" s="68" customFormat="1">
      <c r="A2" s="86"/>
      <c r="B2" s="113" t="s">
        <v>0</v>
      </c>
      <c r="C2" s="114" t="s">
        <v>1</v>
      </c>
      <c r="D2" s="113" t="s">
        <v>2</v>
      </c>
      <c r="E2" s="42" t="s">
        <v>925</v>
      </c>
      <c r="F2" s="115" t="s">
        <v>3</v>
      </c>
      <c r="G2" s="113" t="s">
        <v>4</v>
      </c>
      <c r="H2" s="113" t="s">
        <v>5</v>
      </c>
      <c r="I2" s="113" t="s">
        <v>6</v>
      </c>
      <c r="J2" s="116" t="s">
        <v>923</v>
      </c>
      <c r="K2" s="157" t="s">
        <v>264</v>
      </c>
      <c r="L2" s="155" t="s">
        <v>281</v>
      </c>
      <c r="M2" s="155" t="s">
        <v>266</v>
      </c>
      <c r="N2" s="156" t="s">
        <v>286</v>
      </c>
      <c r="O2" s="117" t="s">
        <v>265</v>
      </c>
      <c r="P2" s="117" t="s">
        <v>889</v>
      </c>
      <c r="Q2" s="118">
        <v>5</v>
      </c>
      <c r="R2" s="119" t="s">
        <v>280</v>
      </c>
      <c r="S2" s="120" t="s">
        <v>271</v>
      </c>
      <c r="T2" s="120" t="s">
        <v>272</v>
      </c>
      <c r="U2" s="118" t="s">
        <v>287</v>
      </c>
      <c r="V2" s="119" t="s">
        <v>275</v>
      </c>
      <c r="W2" s="69" t="s">
        <v>920</v>
      </c>
      <c r="X2" s="70" t="s">
        <v>276</v>
      </c>
      <c r="Y2" s="118" t="s">
        <v>289</v>
      </c>
      <c r="Z2" s="119" t="s">
        <v>282</v>
      </c>
      <c r="AA2" s="119" t="s">
        <v>290</v>
      </c>
      <c r="AB2" s="119" t="s">
        <v>283</v>
      </c>
      <c r="AC2" s="121" t="s">
        <v>307</v>
      </c>
      <c r="AD2" s="100"/>
      <c r="AE2" s="71" t="s">
        <v>921</v>
      </c>
      <c r="AF2" s="104" t="s">
        <v>899</v>
      </c>
      <c r="AG2" s="104" t="s">
        <v>924</v>
      </c>
      <c r="AH2" s="104" t="s">
        <v>900</v>
      </c>
      <c r="AI2" s="104" t="s">
        <v>895</v>
      </c>
      <c r="AJ2" s="72" t="s">
        <v>901</v>
      </c>
      <c r="AK2" s="73" t="s">
        <v>897</v>
      </c>
      <c r="AL2"/>
      <c r="AM2"/>
      <c r="AN2"/>
      <c r="AO2"/>
    </row>
    <row r="3" spans="1:41" s="38" customFormat="1">
      <c r="A3" s="122" t="s">
        <v>667</v>
      </c>
      <c r="B3" s="42"/>
      <c r="C3" s="42"/>
      <c r="D3" s="134"/>
      <c r="E3" s="43"/>
      <c r="F3" s="74"/>
      <c r="G3" s="42"/>
      <c r="H3" s="42"/>
      <c r="I3" s="86"/>
      <c r="J3" s="123"/>
      <c r="K3" s="80"/>
      <c r="L3" s="43"/>
      <c r="M3" s="80"/>
      <c r="N3" s="141">
        <f t="shared" ref="N3:N69" si="0">SUM(K3:M3)*$D$1</f>
        <v>0</v>
      </c>
      <c r="O3" s="142"/>
      <c r="P3" s="142"/>
      <c r="Q3" s="141">
        <v>0</v>
      </c>
      <c r="R3" s="142"/>
      <c r="S3" s="142">
        <f t="shared" ref="S3:S240" si="1">IF($L$1="SI",400,0)</f>
        <v>0</v>
      </c>
      <c r="T3" s="142" t="s">
        <v>273</v>
      </c>
      <c r="U3" s="141">
        <f>(K3+M3)*$I$1</f>
        <v>0</v>
      </c>
      <c r="V3" s="142" t="s">
        <v>274</v>
      </c>
      <c r="W3" s="146">
        <f t="shared" ref="W3:W69" si="2">IF(G3="RIMAC EPS EMPRESA PRESTADORA DE SALUD",((((K3*40%)+M3)*0.0675)*$I$1),((((K3*40%)+M3)*0.09))*$I$1)</f>
        <v>0</v>
      </c>
      <c r="X3" s="147" t="s">
        <v>277</v>
      </c>
      <c r="Y3" s="45">
        <f t="shared" ref="Y3:Y69" si="3">IF(G3="RIMAC EPS EMPRESA PRESTADORA DE SALUD",((((K3*40%)+M3)*0.0675)*$D$1),((((K3*40%)+M3)*0.09))*$D$1)</f>
        <v>0</v>
      </c>
      <c r="Z3" s="43" t="s">
        <v>284</v>
      </c>
      <c r="AA3" s="45">
        <f t="shared" ref="AA3:AA69" si="4">IF(G3="RIMAC EPS EMPRESA PRESTADORA DE SALUD",((K3*40%)+M3)*0.0225*$D$1+Q3*0.0225,0)</f>
        <v>0</v>
      </c>
      <c r="AB3" s="43" t="s">
        <v>285</v>
      </c>
      <c r="AC3" s="44">
        <f>N3+S3+U3+W3+Y3+AA3</f>
        <v>0</v>
      </c>
      <c r="AD3" s="101"/>
      <c r="AE3" s="98">
        <v>6</v>
      </c>
      <c r="AF3" s="97">
        <f>N3</f>
        <v>0</v>
      </c>
      <c r="AG3" s="97">
        <v>7500</v>
      </c>
      <c r="AH3" s="82">
        <f>(AF3+(AG3/6))/12*AE3</f>
        <v>625</v>
      </c>
      <c r="AI3" s="98" t="s">
        <v>896</v>
      </c>
      <c r="AJ3" s="75">
        <f t="shared" ref="AJ3:AJ66" si="5">N3+S3+U3+W3</f>
        <v>0</v>
      </c>
      <c r="AK3" s="73">
        <f>AC3+AH3</f>
        <v>625</v>
      </c>
      <c r="AL3" s="68"/>
      <c r="AM3" s="68"/>
      <c r="AN3" s="68"/>
      <c r="AO3" s="68"/>
    </row>
    <row r="4" spans="1:41" s="38" customFormat="1">
      <c r="A4" s="122" t="s">
        <v>672</v>
      </c>
      <c r="B4" s="42"/>
      <c r="C4" s="42"/>
      <c r="D4" s="134"/>
      <c r="E4" s="43"/>
      <c r="F4" s="74"/>
      <c r="G4" s="42"/>
      <c r="H4" s="42"/>
      <c r="I4" s="42"/>
      <c r="J4" s="123"/>
      <c r="K4" s="80"/>
      <c r="L4" s="43"/>
      <c r="M4" s="80"/>
      <c r="N4" s="141">
        <f t="shared" si="0"/>
        <v>0</v>
      </c>
      <c r="O4" s="142"/>
      <c r="P4" s="142"/>
      <c r="Q4" s="141">
        <f t="shared" ref="Q4:Q70" si="6">+P4*$D$1</f>
        <v>0</v>
      </c>
      <c r="R4" s="142"/>
      <c r="S4" s="142">
        <f t="shared" si="1"/>
        <v>0</v>
      </c>
      <c r="T4" s="142" t="s">
        <v>273</v>
      </c>
      <c r="U4" s="141">
        <f t="shared" ref="U4:U66" si="7">(K4+M4)*$I$1</f>
        <v>0</v>
      </c>
      <c r="V4" s="142" t="s">
        <v>274</v>
      </c>
      <c r="W4" s="146">
        <f t="shared" si="2"/>
        <v>0</v>
      </c>
      <c r="X4" s="147" t="s">
        <v>277</v>
      </c>
      <c r="Y4" s="45">
        <f t="shared" si="3"/>
        <v>0</v>
      </c>
      <c r="Z4" s="43" t="s">
        <v>284</v>
      </c>
      <c r="AA4" s="45">
        <f t="shared" si="4"/>
        <v>0</v>
      </c>
      <c r="AB4" s="43" t="s">
        <v>285</v>
      </c>
      <c r="AC4" s="44">
        <f t="shared" ref="AC4:AC67" si="8">N4+S4+U4+W4+Y4+AA4</f>
        <v>0</v>
      </c>
      <c r="AD4" s="101"/>
      <c r="AE4" s="98">
        <v>6</v>
      </c>
      <c r="AF4" s="97">
        <f t="shared" ref="AF4:AF67" si="9">N4</f>
        <v>0</v>
      </c>
      <c r="AG4" s="97">
        <v>3800</v>
      </c>
      <c r="AH4" s="82">
        <f t="shared" ref="AH4:AH67" si="10">(AF4+(AG4/6))/12*AE4</f>
        <v>316.66666666666669</v>
      </c>
      <c r="AI4" s="98" t="s">
        <v>896</v>
      </c>
      <c r="AJ4" s="75">
        <f t="shared" si="5"/>
        <v>0</v>
      </c>
      <c r="AK4" s="73">
        <f t="shared" ref="AK4:AK67" si="11">AC4+AH4</f>
        <v>316.66666666666669</v>
      </c>
    </row>
    <row r="5" spans="1:41" s="38" customFormat="1">
      <c r="A5" s="122" t="s">
        <v>670</v>
      </c>
      <c r="B5" s="42"/>
      <c r="C5" s="42"/>
      <c r="D5" s="134"/>
      <c r="E5" s="43"/>
      <c r="F5" s="74"/>
      <c r="G5" s="42"/>
      <c r="H5" s="42"/>
      <c r="I5" s="42"/>
      <c r="J5" s="123"/>
      <c r="K5" s="80"/>
      <c r="L5" s="43"/>
      <c r="M5" s="80"/>
      <c r="N5" s="141">
        <f t="shared" si="0"/>
        <v>0</v>
      </c>
      <c r="O5" s="142"/>
      <c r="P5" s="142"/>
      <c r="Q5" s="141">
        <f t="shared" si="6"/>
        <v>0</v>
      </c>
      <c r="R5" s="142"/>
      <c r="S5" s="142">
        <f t="shared" si="1"/>
        <v>0</v>
      </c>
      <c r="T5" s="142" t="s">
        <v>273</v>
      </c>
      <c r="U5" s="141">
        <f t="shared" si="7"/>
        <v>0</v>
      </c>
      <c r="V5" s="142" t="s">
        <v>274</v>
      </c>
      <c r="W5" s="146">
        <f t="shared" si="2"/>
        <v>0</v>
      </c>
      <c r="X5" s="147" t="s">
        <v>277</v>
      </c>
      <c r="Y5" s="45">
        <f t="shared" si="3"/>
        <v>0</v>
      </c>
      <c r="Z5" s="43" t="s">
        <v>284</v>
      </c>
      <c r="AA5" s="45">
        <f t="shared" si="4"/>
        <v>0</v>
      </c>
      <c r="AB5" s="43" t="s">
        <v>285</v>
      </c>
      <c r="AC5" s="44">
        <f t="shared" si="8"/>
        <v>0</v>
      </c>
      <c r="AD5" s="101"/>
      <c r="AE5" s="98">
        <v>6</v>
      </c>
      <c r="AF5" s="97">
        <f t="shared" si="9"/>
        <v>0</v>
      </c>
      <c r="AG5" s="97">
        <v>4664</v>
      </c>
      <c r="AH5" s="82">
        <f t="shared" si="10"/>
        <v>388.66666666666674</v>
      </c>
      <c r="AI5" s="98" t="s">
        <v>896</v>
      </c>
      <c r="AJ5" s="75">
        <f t="shared" si="5"/>
        <v>0</v>
      </c>
      <c r="AK5" s="73">
        <f t="shared" si="11"/>
        <v>388.66666666666674</v>
      </c>
    </row>
    <row r="6" spans="1:41" s="38" customFormat="1">
      <c r="A6" s="122" t="s">
        <v>673</v>
      </c>
      <c r="B6" s="86"/>
      <c r="C6" s="86"/>
      <c r="D6" s="134"/>
      <c r="E6" s="43"/>
      <c r="F6" s="74"/>
      <c r="G6" s="86"/>
      <c r="H6" s="42"/>
      <c r="I6" s="86"/>
      <c r="J6" s="123"/>
      <c r="K6" s="80"/>
      <c r="L6" s="43"/>
      <c r="M6" s="80"/>
      <c r="N6" s="141">
        <f t="shared" si="0"/>
        <v>0</v>
      </c>
      <c r="O6" s="142"/>
      <c r="P6" s="142"/>
      <c r="Q6" s="141"/>
      <c r="R6" s="142"/>
      <c r="S6" s="142">
        <f t="shared" si="1"/>
        <v>0</v>
      </c>
      <c r="T6" s="142" t="s">
        <v>273</v>
      </c>
      <c r="U6" s="141">
        <f t="shared" si="7"/>
        <v>0</v>
      </c>
      <c r="V6" s="142" t="s">
        <v>274</v>
      </c>
      <c r="W6" s="146">
        <f t="shared" si="2"/>
        <v>0</v>
      </c>
      <c r="X6" s="147" t="s">
        <v>277</v>
      </c>
      <c r="Y6" s="45">
        <f t="shared" si="3"/>
        <v>0</v>
      </c>
      <c r="Z6" s="43" t="s">
        <v>284</v>
      </c>
      <c r="AA6" s="45">
        <f t="shared" si="4"/>
        <v>0</v>
      </c>
      <c r="AB6" s="43" t="s">
        <v>285</v>
      </c>
      <c r="AC6" s="44">
        <f t="shared" si="8"/>
        <v>0</v>
      </c>
      <c r="AD6" s="101"/>
      <c r="AE6" s="98">
        <v>6</v>
      </c>
      <c r="AF6" s="97">
        <f t="shared" si="9"/>
        <v>0</v>
      </c>
      <c r="AG6" s="97">
        <v>7500</v>
      </c>
      <c r="AH6" s="82">
        <f t="shared" si="10"/>
        <v>625</v>
      </c>
      <c r="AI6" s="98" t="s">
        <v>896</v>
      </c>
      <c r="AJ6" s="75">
        <f t="shared" si="5"/>
        <v>0</v>
      </c>
      <c r="AK6" s="73">
        <f t="shared" si="11"/>
        <v>625</v>
      </c>
    </row>
    <row r="7" spans="1:41" s="38" customFormat="1">
      <c r="A7" s="122" t="s">
        <v>674</v>
      </c>
      <c r="B7" s="42"/>
      <c r="C7" s="42"/>
      <c r="D7" s="134"/>
      <c r="E7" s="43"/>
      <c r="F7" s="74"/>
      <c r="G7" s="42"/>
      <c r="H7" s="42"/>
      <c r="I7" s="42"/>
      <c r="J7" s="123"/>
      <c r="K7" s="80"/>
      <c r="L7" s="43"/>
      <c r="M7" s="80"/>
      <c r="N7" s="141">
        <f t="shared" si="0"/>
        <v>0</v>
      </c>
      <c r="O7" s="142"/>
      <c r="P7" s="142"/>
      <c r="Q7" s="141">
        <f t="shared" si="6"/>
        <v>0</v>
      </c>
      <c r="R7" s="142"/>
      <c r="S7" s="142">
        <f t="shared" si="1"/>
        <v>0</v>
      </c>
      <c r="T7" s="142" t="s">
        <v>273</v>
      </c>
      <c r="U7" s="141">
        <f t="shared" si="7"/>
        <v>0</v>
      </c>
      <c r="V7" s="142" t="s">
        <v>274</v>
      </c>
      <c r="W7" s="146">
        <f t="shared" si="2"/>
        <v>0</v>
      </c>
      <c r="X7" s="147" t="s">
        <v>277</v>
      </c>
      <c r="Y7" s="45">
        <f t="shared" si="3"/>
        <v>0</v>
      </c>
      <c r="Z7" s="43" t="s">
        <v>284</v>
      </c>
      <c r="AA7" s="45">
        <f t="shared" si="4"/>
        <v>0</v>
      </c>
      <c r="AB7" s="43" t="s">
        <v>285</v>
      </c>
      <c r="AC7" s="44">
        <f t="shared" si="8"/>
        <v>0</v>
      </c>
      <c r="AD7" s="101"/>
      <c r="AE7" s="98">
        <v>6</v>
      </c>
      <c r="AF7" s="97">
        <f t="shared" si="9"/>
        <v>0</v>
      </c>
      <c r="AG7" s="97">
        <v>4664</v>
      </c>
      <c r="AH7" s="82">
        <f t="shared" si="10"/>
        <v>388.66666666666674</v>
      </c>
      <c r="AI7" s="98" t="s">
        <v>896</v>
      </c>
      <c r="AJ7" s="75">
        <f t="shared" si="5"/>
        <v>0</v>
      </c>
      <c r="AK7" s="73">
        <f t="shared" si="11"/>
        <v>388.66666666666674</v>
      </c>
    </row>
    <row r="8" spans="1:41" s="38" customFormat="1">
      <c r="A8" s="122" t="s">
        <v>671</v>
      </c>
      <c r="B8" s="42"/>
      <c r="C8" s="42"/>
      <c r="D8" s="134"/>
      <c r="E8" s="43"/>
      <c r="F8" s="74"/>
      <c r="G8" s="42"/>
      <c r="H8" s="42"/>
      <c r="I8" s="42"/>
      <c r="J8" s="123"/>
      <c r="K8" s="80"/>
      <c r="L8" s="43"/>
      <c r="M8" s="80"/>
      <c r="N8" s="141">
        <f t="shared" si="0"/>
        <v>0</v>
      </c>
      <c r="O8" s="142"/>
      <c r="P8" s="142"/>
      <c r="Q8" s="141">
        <f t="shared" si="6"/>
        <v>0</v>
      </c>
      <c r="R8" s="142"/>
      <c r="S8" s="142">
        <f t="shared" si="1"/>
        <v>0</v>
      </c>
      <c r="T8" s="142" t="s">
        <v>273</v>
      </c>
      <c r="U8" s="141">
        <f t="shared" si="7"/>
        <v>0</v>
      </c>
      <c r="V8" s="142" t="s">
        <v>274</v>
      </c>
      <c r="W8" s="146">
        <f t="shared" si="2"/>
        <v>0</v>
      </c>
      <c r="X8" s="147" t="s">
        <v>277</v>
      </c>
      <c r="Y8" s="45">
        <f t="shared" si="3"/>
        <v>0</v>
      </c>
      <c r="Z8" s="43" t="s">
        <v>284</v>
      </c>
      <c r="AA8" s="45">
        <f t="shared" si="4"/>
        <v>0</v>
      </c>
      <c r="AB8" s="43" t="s">
        <v>285</v>
      </c>
      <c r="AC8" s="44">
        <f t="shared" si="8"/>
        <v>0</v>
      </c>
      <c r="AD8" s="101"/>
      <c r="AE8" s="98">
        <v>6</v>
      </c>
      <c r="AF8" s="97">
        <f t="shared" si="9"/>
        <v>0</v>
      </c>
      <c r="AG8" s="97">
        <v>3893</v>
      </c>
      <c r="AH8" s="82">
        <f t="shared" si="10"/>
        <v>324.41666666666669</v>
      </c>
      <c r="AI8" s="98" t="s">
        <v>896</v>
      </c>
      <c r="AJ8" s="75">
        <f t="shared" si="5"/>
        <v>0</v>
      </c>
      <c r="AK8" s="73">
        <f t="shared" si="11"/>
        <v>324.41666666666669</v>
      </c>
    </row>
    <row r="9" spans="1:41" s="38" customFormat="1">
      <c r="A9" s="122" t="s">
        <v>675</v>
      </c>
      <c r="B9" s="42"/>
      <c r="C9" s="42"/>
      <c r="D9" s="134"/>
      <c r="E9" s="43"/>
      <c r="F9" s="74"/>
      <c r="G9" s="42"/>
      <c r="H9" s="42"/>
      <c r="I9" s="42"/>
      <c r="J9" s="123"/>
      <c r="K9" s="80"/>
      <c r="L9" s="43"/>
      <c r="M9" s="80"/>
      <c r="N9" s="141">
        <f t="shared" si="0"/>
        <v>0</v>
      </c>
      <c r="O9" s="142"/>
      <c r="P9" s="142"/>
      <c r="Q9" s="141">
        <f t="shared" si="6"/>
        <v>0</v>
      </c>
      <c r="R9" s="142"/>
      <c r="S9" s="142">
        <f t="shared" si="1"/>
        <v>0</v>
      </c>
      <c r="T9" s="142" t="s">
        <v>273</v>
      </c>
      <c r="U9" s="141">
        <f t="shared" si="7"/>
        <v>0</v>
      </c>
      <c r="V9" s="142" t="s">
        <v>274</v>
      </c>
      <c r="W9" s="146">
        <f t="shared" si="2"/>
        <v>0</v>
      </c>
      <c r="X9" s="147" t="s">
        <v>277</v>
      </c>
      <c r="Y9" s="45">
        <f t="shared" si="3"/>
        <v>0</v>
      </c>
      <c r="Z9" s="43" t="s">
        <v>284</v>
      </c>
      <c r="AA9" s="45">
        <f t="shared" si="4"/>
        <v>0</v>
      </c>
      <c r="AB9" s="43" t="s">
        <v>285</v>
      </c>
      <c r="AC9" s="44">
        <f t="shared" si="8"/>
        <v>0</v>
      </c>
      <c r="AD9" s="101"/>
      <c r="AE9" s="98">
        <v>6</v>
      </c>
      <c r="AF9" s="97">
        <f t="shared" si="9"/>
        <v>0</v>
      </c>
      <c r="AG9" s="97">
        <v>4571</v>
      </c>
      <c r="AH9" s="82">
        <f t="shared" si="10"/>
        <v>380.91666666666669</v>
      </c>
      <c r="AI9" s="98" t="s">
        <v>896</v>
      </c>
      <c r="AJ9" s="75">
        <f t="shared" si="5"/>
        <v>0</v>
      </c>
      <c r="AK9" s="73">
        <f t="shared" si="11"/>
        <v>380.91666666666669</v>
      </c>
    </row>
    <row r="10" spans="1:41" s="93" customFormat="1">
      <c r="A10" s="122" t="s">
        <v>676</v>
      </c>
      <c r="B10" s="87"/>
      <c r="C10" s="87"/>
      <c r="D10" s="135"/>
      <c r="E10" s="90"/>
      <c r="F10" s="88"/>
      <c r="G10" s="87"/>
      <c r="H10" s="87"/>
      <c r="I10" s="87"/>
      <c r="J10" s="123"/>
      <c r="K10" s="89"/>
      <c r="L10" s="90"/>
      <c r="M10" s="89"/>
      <c r="N10" s="141">
        <f t="shared" si="0"/>
        <v>0</v>
      </c>
      <c r="O10" s="142"/>
      <c r="P10" s="142"/>
      <c r="Q10" s="141">
        <f t="shared" si="6"/>
        <v>0</v>
      </c>
      <c r="R10" s="142"/>
      <c r="S10" s="142">
        <f t="shared" si="1"/>
        <v>0</v>
      </c>
      <c r="T10" s="142" t="s">
        <v>273</v>
      </c>
      <c r="U10" s="141">
        <f t="shared" si="7"/>
        <v>0</v>
      </c>
      <c r="V10" s="142" t="s">
        <v>274</v>
      </c>
      <c r="W10" s="146">
        <f t="shared" si="2"/>
        <v>0</v>
      </c>
      <c r="X10" s="147" t="s">
        <v>277</v>
      </c>
      <c r="Y10" s="91">
        <f t="shared" si="3"/>
        <v>0</v>
      </c>
      <c r="Z10" s="90" t="s">
        <v>284</v>
      </c>
      <c r="AA10" s="91">
        <f t="shared" si="4"/>
        <v>0</v>
      </c>
      <c r="AB10" s="90" t="s">
        <v>285</v>
      </c>
      <c r="AC10" s="44">
        <f t="shared" si="8"/>
        <v>0</v>
      </c>
      <c r="AD10" s="101"/>
      <c r="AE10" s="98">
        <v>6</v>
      </c>
      <c r="AF10" s="97">
        <f t="shared" si="9"/>
        <v>0</v>
      </c>
      <c r="AG10" s="97">
        <v>4571</v>
      </c>
      <c r="AH10" s="82">
        <f t="shared" si="10"/>
        <v>380.91666666666669</v>
      </c>
      <c r="AI10" s="105" t="s">
        <v>896</v>
      </c>
      <c r="AJ10" s="92">
        <f t="shared" si="5"/>
        <v>0</v>
      </c>
      <c r="AK10" s="73">
        <f t="shared" si="11"/>
        <v>380.91666666666669</v>
      </c>
      <c r="AL10" s="38"/>
      <c r="AM10" s="38"/>
      <c r="AN10" s="38"/>
      <c r="AO10" s="38"/>
    </row>
    <row r="11" spans="1:41" s="93" customFormat="1">
      <c r="A11" s="122" t="s">
        <v>677</v>
      </c>
      <c r="B11" s="94"/>
      <c r="C11" s="94"/>
      <c r="D11" s="135"/>
      <c r="E11" s="90"/>
      <c r="F11" s="88"/>
      <c r="G11" s="94"/>
      <c r="H11" s="94"/>
      <c r="I11" s="94"/>
      <c r="J11" s="123"/>
      <c r="K11" s="89"/>
      <c r="L11" s="90"/>
      <c r="M11" s="89"/>
      <c r="N11" s="141">
        <f t="shared" si="0"/>
        <v>0</v>
      </c>
      <c r="O11" s="142"/>
      <c r="P11" s="142"/>
      <c r="Q11" s="141">
        <f t="shared" ref="Q11" si="12">+P11*$D$1</f>
        <v>0</v>
      </c>
      <c r="R11" s="142"/>
      <c r="S11" s="142">
        <f t="shared" si="1"/>
        <v>0</v>
      </c>
      <c r="T11" s="142" t="s">
        <v>273</v>
      </c>
      <c r="U11" s="141">
        <f t="shared" si="7"/>
        <v>0</v>
      </c>
      <c r="V11" s="142" t="s">
        <v>274</v>
      </c>
      <c r="W11" s="146">
        <f t="shared" si="2"/>
        <v>0</v>
      </c>
      <c r="X11" s="147" t="s">
        <v>277</v>
      </c>
      <c r="Y11" s="91">
        <f t="shared" ref="Y11" si="13">IF(G11="RIMAC EPS EMPRESA PRESTADORA DE SALUD",((((K11*40%)+M11)*0.0675)*$D$1),((((K11*40%)+M11)*0.09))*$D$1)</f>
        <v>0</v>
      </c>
      <c r="Z11" s="90" t="s">
        <v>284</v>
      </c>
      <c r="AA11" s="91">
        <f t="shared" ref="AA11" si="14">IF(G11="RIMAC EPS EMPRESA PRESTADORA DE SALUD",((K11*40%)+M11)*0.0225*$D$1+Q11*0.0225,0)</f>
        <v>0</v>
      </c>
      <c r="AB11" s="90" t="s">
        <v>285</v>
      </c>
      <c r="AC11" s="44">
        <f t="shared" si="8"/>
        <v>0</v>
      </c>
      <c r="AD11" s="101"/>
      <c r="AE11" s="98">
        <v>6</v>
      </c>
      <c r="AF11" s="97">
        <f t="shared" si="9"/>
        <v>0</v>
      </c>
      <c r="AG11" s="97">
        <v>4571</v>
      </c>
      <c r="AH11" s="82">
        <f t="shared" si="10"/>
        <v>380.91666666666669</v>
      </c>
      <c r="AI11" s="105" t="s">
        <v>896</v>
      </c>
      <c r="AJ11" s="92">
        <f t="shared" si="5"/>
        <v>0</v>
      </c>
      <c r="AK11" s="73">
        <f t="shared" si="11"/>
        <v>380.91666666666669</v>
      </c>
    </row>
    <row r="12" spans="1:41" s="38" customFormat="1">
      <c r="A12" s="122" t="s">
        <v>669</v>
      </c>
      <c r="B12" s="42"/>
      <c r="C12" s="42"/>
      <c r="D12" s="134"/>
      <c r="E12" s="43"/>
      <c r="F12" s="74"/>
      <c r="G12" s="42"/>
      <c r="H12" s="42"/>
      <c r="I12" s="42"/>
      <c r="J12" s="123"/>
      <c r="K12" s="80"/>
      <c r="L12" s="43"/>
      <c r="M12" s="80"/>
      <c r="N12" s="141">
        <f t="shared" si="0"/>
        <v>0</v>
      </c>
      <c r="O12" s="142"/>
      <c r="P12" s="142"/>
      <c r="Q12" s="141">
        <f t="shared" si="6"/>
        <v>0</v>
      </c>
      <c r="R12" s="142"/>
      <c r="S12" s="142">
        <f t="shared" si="1"/>
        <v>0</v>
      </c>
      <c r="T12" s="142" t="s">
        <v>273</v>
      </c>
      <c r="U12" s="141">
        <f t="shared" si="7"/>
        <v>0</v>
      </c>
      <c r="V12" s="142" t="s">
        <v>274</v>
      </c>
      <c r="W12" s="146">
        <f t="shared" si="2"/>
        <v>0</v>
      </c>
      <c r="X12" s="147" t="s">
        <v>277</v>
      </c>
      <c r="Y12" s="45">
        <f t="shared" si="3"/>
        <v>0</v>
      </c>
      <c r="Z12" s="43" t="s">
        <v>284</v>
      </c>
      <c r="AA12" s="45">
        <f t="shared" si="4"/>
        <v>0</v>
      </c>
      <c r="AB12" s="43" t="s">
        <v>285</v>
      </c>
      <c r="AC12" s="44">
        <f t="shared" si="8"/>
        <v>0</v>
      </c>
      <c r="AD12" s="101"/>
      <c r="AE12" s="98">
        <v>6</v>
      </c>
      <c r="AF12" s="97">
        <f t="shared" si="9"/>
        <v>0</v>
      </c>
      <c r="AG12" s="97">
        <v>4571</v>
      </c>
      <c r="AH12" s="82">
        <f t="shared" si="10"/>
        <v>380.91666666666669</v>
      </c>
      <c r="AI12" s="98" t="s">
        <v>896</v>
      </c>
      <c r="AJ12" s="75">
        <f t="shared" si="5"/>
        <v>0</v>
      </c>
      <c r="AK12" s="73">
        <f t="shared" si="11"/>
        <v>380.91666666666669</v>
      </c>
      <c r="AL12" s="93"/>
      <c r="AM12" s="93"/>
      <c r="AN12" s="93"/>
      <c r="AO12" s="93"/>
    </row>
    <row r="13" spans="1:41" s="38" customFormat="1">
      <c r="A13" s="122" t="s">
        <v>678</v>
      </c>
      <c r="B13" s="42"/>
      <c r="C13" s="42"/>
      <c r="D13" s="134"/>
      <c r="E13" s="43"/>
      <c r="F13" s="74"/>
      <c r="G13" s="42"/>
      <c r="H13" s="42"/>
      <c r="I13" s="42"/>
      <c r="J13" s="123"/>
      <c r="K13" s="80"/>
      <c r="L13" s="43"/>
      <c r="M13" s="80"/>
      <c r="N13" s="141">
        <f t="shared" si="0"/>
        <v>0</v>
      </c>
      <c r="O13" s="142"/>
      <c r="P13" s="142"/>
      <c r="Q13" s="141">
        <f t="shared" si="6"/>
        <v>0</v>
      </c>
      <c r="R13" s="142"/>
      <c r="S13" s="142">
        <f t="shared" si="1"/>
        <v>0</v>
      </c>
      <c r="T13" s="142" t="s">
        <v>273</v>
      </c>
      <c r="U13" s="141">
        <f t="shared" si="7"/>
        <v>0</v>
      </c>
      <c r="V13" s="142" t="s">
        <v>274</v>
      </c>
      <c r="W13" s="146">
        <f t="shared" si="2"/>
        <v>0</v>
      </c>
      <c r="X13" s="147" t="s">
        <v>277</v>
      </c>
      <c r="Y13" s="45">
        <f t="shared" si="3"/>
        <v>0</v>
      </c>
      <c r="Z13" s="43" t="s">
        <v>284</v>
      </c>
      <c r="AA13" s="45">
        <f t="shared" si="4"/>
        <v>0</v>
      </c>
      <c r="AB13" s="43" t="s">
        <v>285</v>
      </c>
      <c r="AC13" s="44">
        <f t="shared" si="8"/>
        <v>0</v>
      </c>
      <c r="AD13" s="101"/>
      <c r="AE13" s="98">
        <v>6</v>
      </c>
      <c r="AF13" s="97">
        <f t="shared" si="9"/>
        <v>0</v>
      </c>
      <c r="AG13" s="97">
        <v>3893</v>
      </c>
      <c r="AH13" s="82">
        <f t="shared" si="10"/>
        <v>324.41666666666669</v>
      </c>
      <c r="AI13" s="98" t="s">
        <v>896</v>
      </c>
      <c r="AJ13" s="75">
        <f t="shared" si="5"/>
        <v>0</v>
      </c>
      <c r="AK13" s="73">
        <f t="shared" si="11"/>
        <v>324.41666666666669</v>
      </c>
    </row>
    <row r="14" spans="1:41" s="38" customFormat="1">
      <c r="A14" s="122" t="s">
        <v>679</v>
      </c>
      <c r="B14" s="42"/>
      <c r="C14" s="42"/>
      <c r="D14" s="134"/>
      <c r="E14" s="43"/>
      <c r="F14" s="74"/>
      <c r="G14" s="42"/>
      <c r="H14" s="42"/>
      <c r="I14" s="42"/>
      <c r="J14" s="123"/>
      <c r="K14" s="80"/>
      <c r="L14" s="43"/>
      <c r="M14" s="80"/>
      <c r="N14" s="141">
        <f t="shared" si="0"/>
        <v>0</v>
      </c>
      <c r="O14" s="142"/>
      <c r="P14" s="142"/>
      <c r="Q14" s="141">
        <f t="shared" si="6"/>
        <v>0</v>
      </c>
      <c r="R14" s="142"/>
      <c r="S14" s="142">
        <f t="shared" si="1"/>
        <v>0</v>
      </c>
      <c r="T14" s="142" t="s">
        <v>273</v>
      </c>
      <c r="U14" s="141">
        <f t="shared" si="7"/>
        <v>0</v>
      </c>
      <c r="V14" s="142" t="s">
        <v>274</v>
      </c>
      <c r="W14" s="146">
        <f t="shared" si="2"/>
        <v>0</v>
      </c>
      <c r="X14" s="147" t="s">
        <v>277</v>
      </c>
      <c r="Y14" s="45">
        <f t="shared" si="3"/>
        <v>0</v>
      </c>
      <c r="Z14" s="43" t="s">
        <v>284</v>
      </c>
      <c r="AA14" s="45">
        <f t="shared" si="4"/>
        <v>0</v>
      </c>
      <c r="AB14" s="43" t="s">
        <v>285</v>
      </c>
      <c r="AC14" s="44">
        <f t="shared" si="8"/>
        <v>0</v>
      </c>
      <c r="AD14" s="101"/>
      <c r="AE14" s="98">
        <v>6</v>
      </c>
      <c r="AF14" s="97">
        <f t="shared" si="9"/>
        <v>0</v>
      </c>
      <c r="AG14" s="97">
        <v>3893</v>
      </c>
      <c r="AH14" s="82">
        <f t="shared" si="10"/>
        <v>324.41666666666669</v>
      </c>
      <c r="AI14" s="98" t="s">
        <v>896</v>
      </c>
      <c r="AJ14" s="75">
        <f t="shared" si="5"/>
        <v>0</v>
      </c>
      <c r="AK14" s="73">
        <f t="shared" si="11"/>
        <v>324.41666666666669</v>
      </c>
    </row>
    <row r="15" spans="1:41" s="38" customFormat="1">
      <c r="A15" s="122" t="s">
        <v>680</v>
      </c>
      <c r="B15" s="76"/>
      <c r="C15" s="42"/>
      <c r="D15" s="134"/>
      <c r="E15" s="43"/>
      <c r="F15" s="74"/>
      <c r="G15" s="42"/>
      <c r="H15" s="42"/>
      <c r="I15" s="42"/>
      <c r="J15" s="123"/>
      <c r="K15" s="80"/>
      <c r="L15" s="43"/>
      <c r="M15" s="80"/>
      <c r="N15" s="141">
        <f t="shared" si="0"/>
        <v>0</v>
      </c>
      <c r="O15" s="142"/>
      <c r="P15" s="142"/>
      <c r="Q15" s="141">
        <f t="shared" si="6"/>
        <v>0</v>
      </c>
      <c r="R15" s="142"/>
      <c r="S15" s="142">
        <f t="shared" si="1"/>
        <v>0</v>
      </c>
      <c r="T15" s="142" t="s">
        <v>273</v>
      </c>
      <c r="U15" s="141">
        <f t="shared" si="7"/>
        <v>0</v>
      </c>
      <c r="V15" s="142" t="s">
        <v>274</v>
      </c>
      <c r="W15" s="146">
        <f t="shared" si="2"/>
        <v>0</v>
      </c>
      <c r="X15" s="147" t="s">
        <v>277</v>
      </c>
      <c r="Y15" s="45">
        <f t="shared" si="3"/>
        <v>0</v>
      </c>
      <c r="Z15" s="43" t="s">
        <v>284</v>
      </c>
      <c r="AA15" s="45">
        <f t="shared" si="4"/>
        <v>0</v>
      </c>
      <c r="AB15" s="43" t="s">
        <v>285</v>
      </c>
      <c r="AC15" s="44">
        <f t="shared" si="8"/>
        <v>0</v>
      </c>
      <c r="AD15" s="101"/>
      <c r="AE15" s="98">
        <v>6</v>
      </c>
      <c r="AF15" s="97">
        <f t="shared" si="9"/>
        <v>0</v>
      </c>
      <c r="AG15" s="97">
        <v>4571</v>
      </c>
      <c r="AH15" s="82">
        <f t="shared" si="10"/>
        <v>380.91666666666669</v>
      </c>
      <c r="AI15" s="98" t="s">
        <v>896</v>
      </c>
      <c r="AJ15" s="75">
        <f t="shared" si="5"/>
        <v>0</v>
      </c>
      <c r="AK15" s="73">
        <f t="shared" si="11"/>
        <v>380.91666666666669</v>
      </c>
    </row>
    <row r="16" spans="1:41" s="38" customFormat="1">
      <c r="A16" s="122" t="s">
        <v>681</v>
      </c>
      <c r="B16" s="42"/>
      <c r="C16" s="42"/>
      <c r="D16" s="134"/>
      <c r="E16" s="43"/>
      <c r="F16" s="74"/>
      <c r="G16" s="42"/>
      <c r="H16" s="42"/>
      <c r="I16" s="42"/>
      <c r="J16" s="123"/>
      <c r="K16" s="80"/>
      <c r="L16" s="43"/>
      <c r="M16" s="80"/>
      <c r="N16" s="141">
        <f t="shared" si="0"/>
        <v>0</v>
      </c>
      <c r="O16" s="142"/>
      <c r="P16" s="142"/>
      <c r="Q16" s="141">
        <f t="shared" si="6"/>
        <v>0</v>
      </c>
      <c r="R16" s="142"/>
      <c r="S16" s="142">
        <f t="shared" si="1"/>
        <v>0</v>
      </c>
      <c r="T16" s="142" t="s">
        <v>273</v>
      </c>
      <c r="U16" s="141">
        <f t="shared" si="7"/>
        <v>0</v>
      </c>
      <c r="V16" s="142" t="s">
        <v>274</v>
      </c>
      <c r="W16" s="146">
        <f t="shared" si="2"/>
        <v>0</v>
      </c>
      <c r="X16" s="147" t="s">
        <v>277</v>
      </c>
      <c r="Y16" s="45">
        <f t="shared" si="3"/>
        <v>0</v>
      </c>
      <c r="Z16" s="43" t="s">
        <v>284</v>
      </c>
      <c r="AA16" s="45">
        <f t="shared" si="4"/>
        <v>0</v>
      </c>
      <c r="AB16" s="43" t="s">
        <v>285</v>
      </c>
      <c r="AC16" s="44">
        <f t="shared" si="8"/>
        <v>0</v>
      </c>
      <c r="AD16" s="101"/>
      <c r="AE16" s="98">
        <v>6</v>
      </c>
      <c r="AF16" s="97">
        <f t="shared" si="9"/>
        <v>0</v>
      </c>
      <c r="AG16" s="97">
        <v>4650</v>
      </c>
      <c r="AH16" s="82">
        <f t="shared" si="10"/>
        <v>387.5</v>
      </c>
      <c r="AI16" s="98" t="s">
        <v>896</v>
      </c>
      <c r="AJ16" s="75">
        <f t="shared" si="5"/>
        <v>0</v>
      </c>
      <c r="AK16" s="73">
        <f t="shared" si="11"/>
        <v>387.5</v>
      </c>
    </row>
    <row r="17" spans="1:41" s="38" customFormat="1">
      <c r="A17" s="122" t="s">
        <v>682</v>
      </c>
      <c r="B17" s="42"/>
      <c r="C17" s="42"/>
      <c r="D17" s="134"/>
      <c r="E17" s="43"/>
      <c r="F17" s="74"/>
      <c r="G17" s="42"/>
      <c r="H17" s="42"/>
      <c r="I17" s="42"/>
      <c r="J17" s="123"/>
      <c r="K17" s="80"/>
      <c r="L17" s="43"/>
      <c r="M17" s="80"/>
      <c r="N17" s="141">
        <f t="shared" si="0"/>
        <v>0</v>
      </c>
      <c r="O17" s="142"/>
      <c r="P17" s="142"/>
      <c r="Q17" s="141">
        <f t="shared" si="6"/>
        <v>0</v>
      </c>
      <c r="R17" s="142"/>
      <c r="S17" s="142">
        <f t="shared" si="1"/>
        <v>0</v>
      </c>
      <c r="T17" s="142" t="s">
        <v>273</v>
      </c>
      <c r="U17" s="141">
        <f t="shared" si="7"/>
        <v>0</v>
      </c>
      <c r="V17" s="142" t="s">
        <v>274</v>
      </c>
      <c r="W17" s="146">
        <f t="shared" si="2"/>
        <v>0</v>
      </c>
      <c r="X17" s="147" t="s">
        <v>277</v>
      </c>
      <c r="Y17" s="45">
        <f t="shared" si="3"/>
        <v>0</v>
      </c>
      <c r="Z17" s="43" t="s">
        <v>284</v>
      </c>
      <c r="AA17" s="45">
        <f t="shared" si="4"/>
        <v>0</v>
      </c>
      <c r="AB17" s="43" t="s">
        <v>285</v>
      </c>
      <c r="AC17" s="44">
        <f t="shared" si="8"/>
        <v>0</v>
      </c>
      <c r="AD17" s="101"/>
      <c r="AE17" s="98">
        <v>6</v>
      </c>
      <c r="AF17" s="97">
        <f t="shared" si="9"/>
        <v>0</v>
      </c>
      <c r="AG17" s="97">
        <v>4664</v>
      </c>
      <c r="AH17" s="82">
        <f t="shared" si="10"/>
        <v>388.66666666666674</v>
      </c>
      <c r="AI17" s="98" t="s">
        <v>896</v>
      </c>
      <c r="AJ17" s="75">
        <f t="shared" si="5"/>
        <v>0</v>
      </c>
      <c r="AK17" s="73">
        <f t="shared" si="11"/>
        <v>388.66666666666674</v>
      </c>
    </row>
    <row r="18" spans="1:41" s="38" customFormat="1">
      <c r="A18" s="122" t="s">
        <v>683</v>
      </c>
      <c r="B18" s="42"/>
      <c r="C18" s="42"/>
      <c r="D18" s="134"/>
      <c r="E18" s="43"/>
      <c r="F18" s="74"/>
      <c r="G18" s="42"/>
      <c r="H18" s="42"/>
      <c r="I18" s="42"/>
      <c r="J18" s="123"/>
      <c r="K18" s="80"/>
      <c r="L18" s="43"/>
      <c r="M18" s="80"/>
      <c r="N18" s="141">
        <f t="shared" si="0"/>
        <v>0</v>
      </c>
      <c r="O18" s="142"/>
      <c r="P18" s="142"/>
      <c r="Q18" s="141">
        <f t="shared" si="6"/>
        <v>0</v>
      </c>
      <c r="R18" s="142"/>
      <c r="S18" s="142">
        <f t="shared" si="1"/>
        <v>0</v>
      </c>
      <c r="T18" s="142" t="s">
        <v>273</v>
      </c>
      <c r="U18" s="141">
        <f t="shared" si="7"/>
        <v>0</v>
      </c>
      <c r="V18" s="142" t="s">
        <v>274</v>
      </c>
      <c r="W18" s="146">
        <f t="shared" si="2"/>
        <v>0</v>
      </c>
      <c r="X18" s="147" t="s">
        <v>277</v>
      </c>
      <c r="Y18" s="45">
        <f t="shared" si="3"/>
        <v>0</v>
      </c>
      <c r="Z18" s="43" t="s">
        <v>284</v>
      </c>
      <c r="AA18" s="45">
        <f t="shared" si="4"/>
        <v>0</v>
      </c>
      <c r="AB18" s="43" t="s">
        <v>285</v>
      </c>
      <c r="AC18" s="44">
        <f t="shared" si="8"/>
        <v>0</v>
      </c>
      <c r="AD18" s="101"/>
      <c r="AE18" s="98">
        <v>6</v>
      </c>
      <c r="AF18" s="97">
        <f t="shared" si="9"/>
        <v>0</v>
      </c>
      <c r="AG18" s="97">
        <v>6043</v>
      </c>
      <c r="AH18" s="82">
        <f t="shared" si="10"/>
        <v>503.58333333333337</v>
      </c>
      <c r="AI18" s="98" t="s">
        <v>896</v>
      </c>
      <c r="AJ18" s="75">
        <f t="shared" si="5"/>
        <v>0</v>
      </c>
      <c r="AK18" s="73">
        <f t="shared" si="11"/>
        <v>503.58333333333337</v>
      </c>
    </row>
    <row r="19" spans="1:41" s="38" customFormat="1">
      <c r="A19" s="122" t="s">
        <v>684</v>
      </c>
      <c r="B19" s="86"/>
      <c r="C19" s="86"/>
      <c r="D19" s="134"/>
      <c r="E19" s="43"/>
      <c r="F19" s="74"/>
      <c r="G19" s="86"/>
      <c r="H19" s="86"/>
      <c r="I19" s="86"/>
      <c r="J19" s="123"/>
      <c r="K19" s="80"/>
      <c r="L19" s="43"/>
      <c r="M19" s="80"/>
      <c r="N19" s="141">
        <f t="shared" si="0"/>
        <v>0</v>
      </c>
      <c r="O19" s="142"/>
      <c r="P19" s="142"/>
      <c r="Q19" s="141">
        <f t="shared" ref="Q19" si="15">+P19*$D$1</f>
        <v>0</v>
      </c>
      <c r="R19" s="142"/>
      <c r="S19" s="142">
        <f t="shared" si="1"/>
        <v>0</v>
      </c>
      <c r="T19" s="142" t="s">
        <v>273</v>
      </c>
      <c r="U19" s="141">
        <f t="shared" si="7"/>
        <v>0</v>
      </c>
      <c r="V19" s="142" t="s">
        <v>274</v>
      </c>
      <c r="W19" s="146">
        <f t="shared" si="2"/>
        <v>0</v>
      </c>
      <c r="X19" s="147" t="s">
        <v>277</v>
      </c>
      <c r="Y19" s="45">
        <f t="shared" ref="Y19" si="16">IF(G19="RIMAC EPS EMPRESA PRESTADORA DE SALUD",((((K19*40%)+M19)*0.0675)*$D$1),((((K19*40%)+M19)*0.09))*$D$1)</f>
        <v>0</v>
      </c>
      <c r="Z19" s="43" t="s">
        <v>284</v>
      </c>
      <c r="AA19" s="45">
        <f t="shared" ref="AA19" si="17">IF(G19="RIMAC EPS EMPRESA PRESTADORA DE SALUD",((K19*40%)+M19)*0.0225*$D$1+Q19*0.0225,0)</f>
        <v>0</v>
      </c>
      <c r="AB19" s="43" t="s">
        <v>285</v>
      </c>
      <c r="AC19" s="44">
        <f t="shared" si="8"/>
        <v>0</v>
      </c>
      <c r="AD19" s="101"/>
      <c r="AE19" s="98">
        <v>6</v>
      </c>
      <c r="AF19" s="97">
        <f t="shared" si="9"/>
        <v>0</v>
      </c>
      <c r="AG19" s="97">
        <v>3800</v>
      </c>
      <c r="AH19" s="82">
        <f t="shared" si="10"/>
        <v>316.66666666666669</v>
      </c>
      <c r="AI19" s="98" t="s">
        <v>896</v>
      </c>
      <c r="AJ19" s="75">
        <f t="shared" si="5"/>
        <v>0</v>
      </c>
      <c r="AK19" s="73">
        <f t="shared" si="11"/>
        <v>316.66666666666669</v>
      </c>
    </row>
    <row r="20" spans="1:41" s="38" customFormat="1">
      <c r="A20" s="122" t="s">
        <v>685</v>
      </c>
      <c r="B20" s="42"/>
      <c r="C20" s="42"/>
      <c r="D20" s="134"/>
      <c r="E20" s="43"/>
      <c r="F20" s="74"/>
      <c r="G20" s="42"/>
      <c r="H20" s="42"/>
      <c r="I20" s="42"/>
      <c r="J20" s="123"/>
      <c r="K20" s="80"/>
      <c r="L20" s="43"/>
      <c r="M20" s="80"/>
      <c r="N20" s="141">
        <f t="shared" si="0"/>
        <v>0</v>
      </c>
      <c r="O20" s="142"/>
      <c r="P20" s="142"/>
      <c r="Q20" s="141">
        <f t="shared" si="6"/>
        <v>0</v>
      </c>
      <c r="R20" s="142"/>
      <c r="S20" s="142">
        <f t="shared" si="1"/>
        <v>0</v>
      </c>
      <c r="T20" s="142" t="s">
        <v>273</v>
      </c>
      <c r="U20" s="141">
        <f t="shared" si="7"/>
        <v>0</v>
      </c>
      <c r="V20" s="142" t="s">
        <v>274</v>
      </c>
      <c r="W20" s="146">
        <f t="shared" si="2"/>
        <v>0</v>
      </c>
      <c r="X20" s="147" t="s">
        <v>277</v>
      </c>
      <c r="Y20" s="45">
        <f t="shared" si="3"/>
        <v>0</v>
      </c>
      <c r="Z20" s="43" t="s">
        <v>284</v>
      </c>
      <c r="AA20" s="45">
        <f t="shared" si="4"/>
        <v>0</v>
      </c>
      <c r="AB20" s="43" t="s">
        <v>285</v>
      </c>
      <c r="AC20" s="44">
        <f t="shared" si="8"/>
        <v>0</v>
      </c>
      <c r="AD20" s="101"/>
      <c r="AE20" s="98">
        <v>6</v>
      </c>
      <c r="AF20" s="97">
        <f t="shared" si="9"/>
        <v>0</v>
      </c>
      <c r="AG20" s="97">
        <v>4743</v>
      </c>
      <c r="AH20" s="82">
        <f t="shared" si="10"/>
        <v>395.25</v>
      </c>
      <c r="AI20" s="98" t="s">
        <v>896</v>
      </c>
      <c r="AJ20" s="75">
        <f t="shared" si="5"/>
        <v>0</v>
      </c>
      <c r="AK20" s="73">
        <f t="shared" si="11"/>
        <v>395.25</v>
      </c>
    </row>
    <row r="21" spans="1:41" s="38" customFormat="1">
      <c r="A21" s="122" t="s">
        <v>686</v>
      </c>
      <c r="B21" s="86"/>
      <c r="C21" s="86"/>
      <c r="D21" s="134"/>
      <c r="E21" s="43"/>
      <c r="F21" s="74"/>
      <c r="G21" s="86"/>
      <c r="H21" s="86"/>
      <c r="I21" s="86"/>
      <c r="J21" s="123"/>
      <c r="K21" s="80"/>
      <c r="L21" s="43"/>
      <c r="M21" s="80"/>
      <c r="N21" s="141">
        <f t="shared" si="0"/>
        <v>0</v>
      </c>
      <c r="O21" s="142"/>
      <c r="P21" s="142"/>
      <c r="Q21" s="141">
        <f t="shared" si="6"/>
        <v>0</v>
      </c>
      <c r="R21" s="142"/>
      <c r="S21" s="142">
        <f t="shared" si="1"/>
        <v>0</v>
      </c>
      <c r="T21" s="142" t="s">
        <v>273</v>
      </c>
      <c r="U21" s="141">
        <f t="shared" si="7"/>
        <v>0</v>
      </c>
      <c r="V21" s="142" t="s">
        <v>274</v>
      </c>
      <c r="W21" s="146">
        <f t="shared" si="2"/>
        <v>0</v>
      </c>
      <c r="X21" s="147" t="s">
        <v>277</v>
      </c>
      <c r="Y21" s="45">
        <f t="shared" ref="Y21" si="18">IF(G21="RIMAC EPS EMPRESA PRESTADORA DE SALUD",((((K21*40%)+M21)*0.0675)*$D$1),((((K21*40%)+M21)*0.09))*$D$1)</f>
        <v>0</v>
      </c>
      <c r="Z21" s="43" t="s">
        <v>284</v>
      </c>
      <c r="AA21" s="45">
        <f t="shared" ref="AA21" si="19">IF(G21="RIMAC EPS EMPRESA PRESTADORA DE SALUD",((K21*40%)+M21)*0.0225*$D$1+Q21*0.0225,0)</f>
        <v>0</v>
      </c>
      <c r="AB21" s="43" t="s">
        <v>285</v>
      </c>
      <c r="AC21" s="44">
        <f t="shared" si="8"/>
        <v>0</v>
      </c>
      <c r="AD21" s="101"/>
      <c r="AE21" s="98">
        <v>6</v>
      </c>
      <c r="AF21" s="97">
        <f t="shared" si="9"/>
        <v>0</v>
      </c>
      <c r="AG21" s="97">
        <v>7500</v>
      </c>
      <c r="AH21" s="82">
        <f t="shared" si="10"/>
        <v>625</v>
      </c>
      <c r="AI21" s="98" t="s">
        <v>896</v>
      </c>
      <c r="AJ21" s="75">
        <f t="shared" si="5"/>
        <v>0</v>
      </c>
      <c r="AK21" s="73">
        <f t="shared" si="11"/>
        <v>625</v>
      </c>
    </row>
    <row r="22" spans="1:41" s="93" customFormat="1">
      <c r="A22" s="122" t="s">
        <v>687</v>
      </c>
      <c r="B22" s="87"/>
      <c r="C22" s="87"/>
      <c r="D22" s="135"/>
      <c r="E22" s="90"/>
      <c r="F22" s="88"/>
      <c r="G22" s="87"/>
      <c r="H22" s="87"/>
      <c r="I22" s="87"/>
      <c r="J22" s="123"/>
      <c r="K22" s="89"/>
      <c r="L22" s="90"/>
      <c r="M22" s="89"/>
      <c r="N22" s="141">
        <f t="shared" si="0"/>
        <v>0</v>
      </c>
      <c r="O22" s="142"/>
      <c r="P22" s="142"/>
      <c r="Q22" s="141">
        <f t="shared" si="6"/>
        <v>0</v>
      </c>
      <c r="R22" s="142"/>
      <c r="S22" s="142">
        <f t="shared" si="1"/>
        <v>0</v>
      </c>
      <c r="T22" s="142" t="s">
        <v>273</v>
      </c>
      <c r="U22" s="141">
        <f t="shared" si="7"/>
        <v>0</v>
      </c>
      <c r="V22" s="142" t="s">
        <v>274</v>
      </c>
      <c r="W22" s="146">
        <f t="shared" si="2"/>
        <v>0</v>
      </c>
      <c r="X22" s="147" t="s">
        <v>277</v>
      </c>
      <c r="Y22" s="91">
        <f t="shared" si="3"/>
        <v>0</v>
      </c>
      <c r="Z22" s="90" t="s">
        <v>284</v>
      </c>
      <c r="AA22" s="91">
        <f t="shared" si="4"/>
        <v>0</v>
      </c>
      <c r="AB22" s="90" t="s">
        <v>285</v>
      </c>
      <c r="AC22" s="44">
        <f t="shared" si="8"/>
        <v>0</v>
      </c>
      <c r="AD22" s="101"/>
      <c r="AE22" s="98">
        <v>6</v>
      </c>
      <c r="AF22" s="97">
        <f t="shared" si="9"/>
        <v>0</v>
      </c>
      <c r="AG22" s="97">
        <v>4571</v>
      </c>
      <c r="AH22" s="82">
        <f t="shared" si="10"/>
        <v>380.91666666666669</v>
      </c>
      <c r="AI22" s="105" t="s">
        <v>896</v>
      </c>
      <c r="AJ22" s="92">
        <f t="shared" si="5"/>
        <v>0</v>
      </c>
      <c r="AK22" s="73">
        <f t="shared" si="11"/>
        <v>380.91666666666669</v>
      </c>
      <c r="AL22" s="38"/>
      <c r="AM22" s="38"/>
      <c r="AN22" s="38"/>
      <c r="AO22" s="38"/>
    </row>
    <row r="23" spans="1:41" s="38" customFormat="1">
      <c r="A23" s="122" t="s">
        <v>688</v>
      </c>
      <c r="B23" s="42"/>
      <c r="C23" s="42"/>
      <c r="D23" s="134"/>
      <c r="E23" s="43"/>
      <c r="F23" s="74"/>
      <c r="G23" s="42"/>
      <c r="H23" s="42"/>
      <c r="I23" s="86"/>
      <c r="J23" s="123"/>
      <c r="K23" s="80"/>
      <c r="L23" s="43"/>
      <c r="M23" s="80"/>
      <c r="N23" s="141">
        <f t="shared" si="0"/>
        <v>0</v>
      </c>
      <c r="O23" s="142"/>
      <c r="P23" s="142"/>
      <c r="Q23" s="141">
        <f t="shared" si="6"/>
        <v>0</v>
      </c>
      <c r="R23" s="142"/>
      <c r="S23" s="142">
        <f t="shared" si="1"/>
        <v>0</v>
      </c>
      <c r="T23" s="142" t="s">
        <v>273</v>
      </c>
      <c r="U23" s="141">
        <f t="shared" si="7"/>
        <v>0</v>
      </c>
      <c r="V23" s="142" t="s">
        <v>274</v>
      </c>
      <c r="W23" s="146">
        <f t="shared" si="2"/>
        <v>0</v>
      </c>
      <c r="X23" s="147" t="s">
        <v>277</v>
      </c>
      <c r="Y23" s="45">
        <f t="shared" si="3"/>
        <v>0</v>
      </c>
      <c r="Z23" s="43" t="s">
        <v>284</v>
      </c>
      <c r="AA23" s="45">
        <f t="shared" si="4"/>
        <v>0</v>
      </c>
      <c r="AB23" s="43" t="s">
        <v>285</v>
      </c>
      <c r="AC23" s="44">
        <f t="shared" si="8"/>
        <v>0</v>
      </c>
      <c r="AD23" s="101"/>
      <c r="AE23" s="98">
        <v>6</v>
      </c>
      <c r="AF23" s="97">
        <f t="shared" si="9"/>
        <v>0</v>
      </c>
      <c r="AG23" s="97">
        <v>6043</v>
      </c>
      <c r="AH23" s="82">
        <f t="shared" si="10"/>
        <v>503.58333333333337</v>
      </c>
      <c r="AI23" s="98" t="s">
        <v>896</v>
      </c>
      <c r="AJ23" s="75">
        <f t="shared" si="5"/>
        <v>0</v>
      </c>
      <c r="AK23" s="73">
        <f t="shared" si="11"/>
        <v>503.58333333333337</v>
      </c>
      <c r="AL23" s="93"/>
      <c r="AM23" s="93"/>
      <c r="AN23" s="93"/>
      <c r="AO23" s="93"/>
    </row>
    <row r="24" spans="1:41" s="38" customFormat="1">
      <c r="A24" s="122" t="s">
        <v>689</v>
      </c>
      <c r="B24" s="42"/>
      <c r="C24" s="42"/>
      <c r="D24" s="134"/>
      <c r="E24" s="43"/>
      <c r="F24" s="74"/>
      <c r="G24" s="42"/>
      <c r="H24" s="42"/>
      <c r="I24" s="42"/>
      <c r="J24" s="123"/>
      <c r="K24" s="80"/>
      <c r="L24" s="43"/>
      <c r="M24" s="80"/>
      <c r="N24" s="141">
        <f t="shared" si="0"/>
        <v>0</v>
      </c>
      <c r="O24" s="142"/>
      <c r="P24" s="142"/>
      <c r="Q24" s="141">
        <f t="shared" si="6"/>
        <v>0</v>
      </c>
      <c r="R24" s="142"/>
      <c r="S24" s="142">
        <f t="shared" si="1"/>
        <v>0</v>
      </c>
      <c r="T24" s="142" t="s">
        <v>273</v>
      </c>
      <c r="U24" s="141">
        <f t="shared" si="7"/>
        <v>0</v>
      </c>
      <c r="V24" s="142" t="s">
        <v>274</v>
      </c>
      <c r="W24" s="146">
        <f t="shared" si="2"/>
        <v>0</v>
      </c>
      <c r="X24" s="147" t="s">
        <v>277</v>
      </c>
      <c r="Y24" s="45">
        <f t="shared" si="3"/>
        <v>0</v>
      </c>
      <c r="Z24" s="43" t="s">
        <v>284</v>
      </c>
      <c r="AA24" s="45">
        <f t="shared" si="4"/>
        <v>0</v>
      </c>
      <c r="AB24" s="43" t="s">
        <v>285</v>
      </c>
      <c r="AC24" s="44">
        <f t="shared" si="8"/>
        <v>0</v>
      </c>
      <c r="AD24" s="101"/>
      <c r="AE24" s="98">
        <v>6</v>
      </c>
      <c r="AF24" s="97">
        <f t="shared" si="9"/>
        <v>0</v>
      </c>
      <c r="AG24" s="97">
        <v>3893</v>
      </c>
      <c r="AH24" s="82">
        <f t="shared" si="10"/>
        <v>324.41666666666669</v>
      </c>
      <c r="AI24" s="98" t="s">
        <v>896</v>
      </c>
      <c r="AJ24" s="75">
        <f t="shared" si="5"/>
        <v>0</v>
      </c>
      <c r="AK24" s="73">
        <f t="shared" si="11"/>
        <v>324.41666666666669</v>
      </c>
    </row>
    <row r="25" spans="1:41" s="38" customFormat="1">
      <c r="A25" s="122" t="s">
        <v>690</v>
      </c>
      <c r="B25" s="42"/>
      <c r="C25" s="42"/>
      <c r="D25" s="134"/>
      <c r="E25" s="43"/>
      <c r="F25" s="74"/>
      <c r="G25" s="42"/>
      <c r="H25" s="42"/>
      <c r="I25" s="42"/>
      <c r="J25" s="123"/>
      <c r="K25" s="80"/>
      <c r="L25" s="43"/>
      <c r="M25" s="80"/>
      <c r="N25" s="141">
        <f t="shared" si="0"/>
        <v>0</v>
      </c>
      <c r="O25" s="142"/>
      <c r="P25" s="142"/>
      <c r="Q25" s="141">
        <f t="shared" si="6"/>
        <v>0</v>
      </c>
      <c r="R25" s="142"/>
      <c r="S25" s="142">
        <f t="shared" si="1"/>
        <v>0</v>
      </c>
      <c r="T25" s="142" t="s">
        <v>273</v>
      </c>
      <c r="U25" s="141">
        <f t="shared" si="7"/>
        <v>0</v>
      </c>
      <c r="V25" s="142" t="s">
        <v>274</v>
      </c>
      <c r="W25" s="146">
        <f t="shared" si="2"/>
        <v>0</v>
      </c>
      <c r="X25" s="147" t="s">
        <v>277</v>
      </c>
      <c r="Y25" s="45">
        <f t="shared" si="3"/>
        <v>0</v>
      </c>
      <c r="Z25" s="43" t="s">
        <v>284</v>
      </c>
      <c r="AA25" s="45">
        <f t="shared" si="4"/>
        <v>0</v>
      </c>
      <c r="AB25" s="43" t="s">
        <v>285</v>
      </c>
      <c r="AC25" s="44">
        <f t="shared" si="8"/>
        <v>0</v>
      </c>
      <c r="AD25" s="101"/>
      <c r="AE25" s="98">
        <v>6</v>
      </c>
      <c r="AF25" s="97">
        <f t="shared" si="9"/>
        <v>0</v>
      </c>
      <c r="AG25" s="97">
        <v>4664</v>
      </c>
      <c r="AH25" s="82">
        <f t="shared" si="10"/>
        <v>388.66666666666674</v>
      </c>
      <c r="AI25" s="98" t="s">
        <v>896</v>
      </c>
      <c r="AJ25" s="75">
        <f t="shared" si="5"/>
        <v>0</v>
      </c>
      <c r="AK25" s="73">
        <f t="shared" si="11"/>
        <v>388.66666666666674</v>
      </c>
    </row>
    <row r="26" spans="1:41" s="38" customFormat="1">
      <c r="A26" s="122" t="s">
        <v>691</v>
      </c>
      <c r="B26" s="42"/>
      <c r="C26" s="42"/>
      <c r="D26" s="134"/>
      <c r="E26" s="43"/>
      <c r="F26" s="74"/>
      <c r="G26" s="42"/>
      <c r="H26" s="42"/>
      <c r="I26" s="42"/>
      <c r="J26" s="123"/>
      <c r="K26" s="80"/>
      <c r="L26" s="43"/>
      <c r="M26" s="80"/>
      <c r="N26" s="141">
        <f t="shared" si="0"/>
        <v>0</v>
      </c>
      <c r="O26" s="142"/>
      <c r="P26" s="142"/>
      <c r="Q26" s="141">
        <f t="shared" si="6"/>
        <v>0</v>
      </c>
      <c r="R26" s="142"/>
      <c r="S26" s="142">
        <f t="shared" si="1"/>
        <v>0</v>
      </c>
      <c r="T26" s="142" t="s">
        <v>273</v>
      </c>
      <c r="U26" s="141">
        <f t="shared" si="7"/>
        <v>0</v>
      </c>
      <c r="V26" s="142" t="s">
        <v>274</v>
      </c>
      <c r="W26" s="146">
        <f t="shared" si="2"/>
        <v>0</v>
      </c>
      <c r="X26" s="147" t="s">
        <v>277</v>
      </c>
      <c r="Y26" s="45">
        <f t="shared" si="3"/>
        <v>0</v>
      </c>
      <c r="Z26" s="43" t="s">
        <v>284</v>
      </c>
      <c r="AA26" s="45">
        <f t="shared" si="4"/>
        <v>0</v>
      </c>
      <c r="AB26" s="43" t="s">
        <v>285</v>
      </c>
      <c r="AC26" s="44">
        <f t="shared" si="8"/>
        <v>0</v>
      </c>
      <c r="AD26" s="101"/>
      <c r="AE26" s="98">
        <v>6</v>
      </c>
      <c r="AF26" s="97">
        <f t="shared" si="9"/>
        <v>0</v>
      </c>
      <c r="AG26" s="97">
        <v>4743</v>
      </c>
      <c r="AH26" s="82">
        <f t="shared" si="10"/>
        <v>395.25</v>
      </c>
      <c r="AI26" s="98" t="s">
        <v>896</v>
      </c>
      <c r="AJ26" s="75">
        <f t="shared" si="5"/>
        <v>0</v>
      </c>
      <c r="AK26" s="73">
        <f t="shared" si="11"/>
        <v>395.25</v>
      </c>
    </row>
    <row r="27" spans="1:41" s="38" customFormat="1">
      <c r="A27" s="122" t="s">
        <v>692</v>
      </c>
      <c r="B27" s="42"/>
      <c r="C27" s="42"/>
      <c r="D27" s="134"/>
      <c r="E27" s="43"/>
      <c r="F27" s="74"/>
      <c r="G27" s="42"/>
      <c r="H27" s="42"/>
      <c r="I27" s="42"/>
      <c r="J27" s="123"/>
      <c r="K27" s="80"/>
      <c r="L27" s="43"/>
      <c r="M27" s="80"/>
      <c r="N27" s="141">
        <f t="shared" si="0"/>
        <v>0</v>
      </c>
      <c r="O27" s="142"/>
      <c r="P27" s="142"/>
      <c r="Q27" s="141">
        <f t="shared" si="6"/>
        <v>0</v>
      </c>
      <c r="R27" s="142"/>
      <c r="S27" s="142">
        <f t="shared" si="1"/>
        <v>0</v>
      </c>
      <c r="T27" s="142" t="s">
        <v>273</v>
      </c>
      <c r="U27" s="141">
        <f t="shared" si="7"/>
        <v>0</v>
      </c>
      <c r="V27" s="142" t="s">
        <v>274</v>
      </c>
      <c r="W27" s="146">
        <f t="shared" si="2"/>
        <v>0</v>
      </c>
      <c r="X27" s="147" t="s">
        <v>277</v>
      </c>
      <c r="Y27" s="45">
        <f t="shared" si="3"/>
        <v>0</v>
      </c>
      <c r="Z27" s="43" t="s">
        <v>284</v>
      </c>
      <c r="AA27" s="45">
        <f t="shared" si="4"/>
        <v>0</v>
      </c>
      <c r="AB27" s="43" t="s">
        <v>285</v>
      </c>
      <c r="AC27" s="44">
        <f t="shared" si="8"/>
        <v>0</v>
      </c>
      <c r="AD27" s="101"/>
      <c r="AE27" s="98">
        <v>6</v>
      </c>
      <c r="AF27" s="97">
        <f t="shared" si="9"/>
        <v>0</v>
      </c>
      <c r="AG27" s="97">
        <v>4743</v>
      </c>
      <c r="AH27" s="82">
        <f t="shared" si="10"/>
        <v>395.25</v>
      </c>
      <c r="AI27" s="98" t="s">
        <v>896</v>
      </c>
      <c r="AJ27" s="75">
        <f t="shared" si="5"/>
        <v>0</v>
      </c>
      <c r="AK27" s="73">
        <f t="shared" si="11"/>
        <v>395.25</v>
      </c>
    </row>
    <row r="28" spans="1:41" s="38" customFormat="1">
      <c r="A28" s="122" t="s">
        <v>693</v>
      </c>
      <c r="B28" s="42"/>
      <c r="C28" s="42"/>
      <c r="D28" s="134"/>
      <c r="E28" s="43"/>
      <c r="F28" s="74"/>
      <c r="G28" s="42"/>
      <c r="H28" s="42"/>
      <c r="I28" s="42"/>
      <c r="J28" s="123"/>
      <c r="K28" s="80"/>
      <c r="L28" s="43"/>
      <c r="M28" s="80"/>
      <c r="N28" s="141">
        <f t="shared" si="0"/>
        <v>0</v>
      </c>
      <c r="O28" s="142"/>
      <c r="P28" s="142"/>
      <c r="Q28" s="141">
        <f t="shared" si="6"/>
        <v>0</v>
      </c>
      <c r="R28" s="142"/>
      <c r="S28" s="142">
        <f t="shared" si="1"/>
        <v>0</v>
      </c>
      <c r="T28" s="142" t="s">
        <v>273</v>
      </c>
      <c r="U28" s="141">
        <f t="shared" si="7"/>
        <v>0</v>
      </c>
      <c r="V28" s="142" t="s">
        <v>274</v>
      </c>
      <c r="W28" s="146">
        <f t="shared" si="2"/>
        <v>0</v>
      </c>
      <c r="X28" s="147" t="s">
        <v>277</v>
      </c>
      <c r="Y28" s="45">
        <f t="shared" si="3"/>
        <v>0</v>
      </c>
      <c r="Z28" s="43" t="s">
        <v>284</v>
      </c>
      <c r="AA28" s="45">
        <f t="shared" si="4"/>
        <v>0</v>
      </c>
      <c r="AB28" s="43" t="s">
        <v>285</v>
      </c>
      <c r="AC28" s="44">
        <f t="shared" si="8"/>
        <v>0</v>
      </c>
      <c r="AD28" s="101"/>
      <c r="AE28" s="98">
        <v>6</v>
      </c>
      <c r="AF28" s="97">
        <f t="shared" si="9"/>
        <v>0</v>
      </c>
      <c r="AG28" s="97">
        <v>4571</v>
      </c>
      <c r="AH28" s="82">
        <f t="shared" si="10"/>
        <v>380.91666666666669</v>
      </c>
      <c r="AI28" s="98" t="s">
        <v>896</v>
      </c>
      <c r="AJ28" s="75">
        <f t="shared" si="5"/>
        <v>0</v>
      </c>
      <c r="AK28" s="73">
        <f t="shared" si="11"/>
        <v>380.91666666666669</v>
      </c>
    </row>
    <row r="29" spans="1:41" s="38" customFormat="1">
      <c r="A29" s="122" t="s">
        <v>694</v>
      </c>
      <c r="B29" s="42"/>
      <c r="C29" s="42"/>
      <c r="D29" s="134"/>
      <c r="E29" s="43"/>
      <c r="F29" s="74"/>
      <c r="G29" s="42"/>
      <c r="H29" s="42"/>
      <c r="I29" s="42"/>
      <c r="J29" s="123"/>
      <c r="K29" s="80"/>
      <c r="L29" s="43"/>
      <c r="M29" s="80"/>
      <c r="N29" s="141">
        <f t="shared" si="0"/>
        <v>0</v>
      </c>
      <c r="O29" s="142"/>
      <c r="P29" s="142"/>
      <c r="Q29" s="141">
        <f t="shared" si="6"/>
        <v>0</v>
      </c>
      <c r="R29" s="142"/>
      <c r="S29" s="142">
        <f t="shared" si="1"/>
        <v>0</v>
      </c>
      <c r="T29" s="142" t="s">
        <v>273</v>
      </c>
      <c r="U29" s="141">
        <f t="shared" si="7"/>
        <v>0</v>
      </c>
      <c r="V29" s="142" t="s">
        <v>274</v>
      </c>
      <c r="W29" s="146">
        <f t="shared" si="2"/>
        <v>0</v>
      </c>
      <c r="X29" s="147" t="s">
        <v>277</v>
      </c>
      <c r="Y29" s="45">
        <f t="shared" si="3"/>
        <v>0</v>
      </c>
      <c r="Z29" s="43" t="s">
        <v>284</v>
      </c>
      <c r="AA29" s="45">
        <f t="shared" si="4"/>
        <v>0</v>
      </c>
      <c r="AB29" s="43" t="s">
        <v>285</v>
      </c>
      <c r="AC29" s="44">
        <f t="shared" si="8"/>
        <v>0</v>
      </c>
      <c r="AD29" s="101"/>
      <c r="AE29" s="98">
        <v>6</v>
      </c>
      <c r="AF29" s="97">
        <f t="shared" si="9"/>
        <v>0</v>
      </c>
      <c r="AG29" s="97">
        <v>3800</v>
      </c>
      <c r="AH29" s="82">
        <f t="shared" si="10"/>
        <v>316.66666666666669</v>
      </c>
      <c r="AI29" s="98" t="s">
        <v>896</v>
      </c>
      <c r="AJ29" s="75">
        <f t="shared" si="5"/>
        <v>0</v>
      </c>
      <c r="AK29" s="73">
        <f t="shared" si="11"/>
        <v>316.66666666666669</v>
      </c>
    </row>
    <row r="30" spans="1:41" s="93" customFormat="1">
      <c r="A30" s="122" t="s">
        <v>695</v>
      </c>
      <c r="B30" s="87"/>
      <c r="C30" s="87"/>
      <c r="D30" s="135"/>
      <c r="E30" s="90"/>
      <c r="F30" s="88"/>
      <c r="G30" s="87"/>
      <c r="H30" s="87"/>
      <c r="I30" s="87"/>
      <c r="J30" s="123"/>
      <c r="K30" s="89"/>
      <c r="L30" s="90"/>
      <c r="M30" s="89"/>
      <c r="N30" s="141">
        <f t="shared" si="0"/>
        <v>0</v>
      </c>
      <c r="O30" s="142"/>
      <c r="P30" s="142"/>
      <c r="Q30" s="141">
        <f t="shared" si="6"/>
        <v>0</v>
      </c>
      <c r="R30" s="142"/>
      <c r="S30" s="142">
        <f t="shared" si="1"/>
        <v>0</v>
      </c>
      <c r="T30" s="142" t="s">
        <v>273</v>
      </c>
      <c r="U30" s="141">
        <f t="shared" si="7"/>
        <v>0</v>
      </c>
      <c r="V30" s="142" t="s">
        <v>274</v>
      </c>
      <c r="W30" s="146">
        <f t="shared" si="2"/>
        <v>0</v>
      </c>
      <c r="X30" s="147" t="s">
        <v>277</v>
      </c>
      <c r="Y30" s="91">
        <f t="shared" si="3"/>
        <v>0</v>
      </c>
      <c r="Z30" s="90" t="s">
        <v>284</v>
      </c>
      <c r="AA30" s="91">
        <f t="shared" si="4"/>
        <v>0</v>
      </c>
      <c r="AB30" s="90" t="s">
        <v>285</v>
      </c>
      <c r="AC30" s="44">
        <f t="shared" si="8"/>
        <v>0</v>
      </c>
      <c r="AD30" s="101"/>
      <c r="AE30" s="98">
        <v>6</v>
      </c>
      <c r="AF30" s="97">
        <f t="shared" si="9"/>
        <v>0</v>
      </c>
      <c r="AG30" s="97">
        <v>3800</v>
      </c>
      <c r="AH30" s="82">
        <f t="shared" si="10"/>
        <v>316.66666666666669</v>
      </c>
      <c r="AI30" s="105" t="s">
        <v>896</v>
      </c>
      <c r="AJ30" s="92">
        <f t="shared" si="5"/>
        <v>0</v>
      </c>
      <c r="AK30" s="73">
        <f t="shared" si="11"/>
        <v>316.66666666666669</v>
      </c>
      <c r="AL30" s="38"/>
      <c r="AM30" s="38"/>
      <c r="AN30" s="38"/>
      <c r="AO30" s="38"/>
    </row>
    <row r="31" spans="1:41" s="93" customFormat="1">
      <c r="A31" s="122" t="s">
        <v>696</v>
      </c>
      <c r="B31" s="87"/>
      <c r="C31" s="87"/>
      <c r="D31" s="135"/>
      <c r="E31" s="90"/>
      <c r="F31" s="88"/>
      <c r="G31" s="87"/>
      <c r="H31" s="87"/>
      <c r="I31" s="87"/>
      <c r="J31" s="123"/>
      <c r="K31" s="89"/>
      <c r="L31" s="90"/>
      <c r="M31" s="89"/>
      <c r="N31" s="141">
        <f t="shared" si="0"/>
        <v>0</v>
      </c>
      <c r="O31" s="142"/>
      <c r="P31" s="142"/>
      <c r="Q31" s="141">
        <f t="shared" si="6"/>
        <v>0</v>
      </c>
      <c r="R31" s="142"/>
      <c r="S31" s="142">
        <f t="shared" si="1"/>
        <v>0</v>
      </c>
      <c r="T31" s="142" t="s">
        <v>273</v>
      </c>
      <c r="U31" s="141">
        <f t="shared" si="7"/>
        <v>0</v>
      </c>
      <c r="V31" s="142" t="s">
        <v>274</v>
      </c>
      <c r="W31" s="146">
        <f t="shared" si="2"/>
        <v>0</v>
      </c>
      <c r="X31" s="147" t="s">
        <v>277</v>
      </c>
      <c r="Y31" s="91">
        <f t="shared" si="3"/>
        <v>0</v>
      </c>
      <c r="Z31" s="90" t="s">
        <v>284</v>
      </c>
      <c r="AA31" s="91">
        <f t="shared" si="4"/>
        <v>0</v>
      </c>
      <c r="AB31" s="90" t="s">
        <v>285</v>
      </c>
      <c r="AC31" s="44">
        <f t="shared" si="8"/>
        <v>0</v>
      </c>
      <c r="AD31" s="101"/>
      <c r="AE31" s="98">
        <v>6</v>
      </c>
      <c r="AF31" s="97">
        <f t="shared" si="9"/>
        <v>0</v>
      </c>
      <c r="AG31" s="97">
        <v>4571</v>
      </c>
      <c r="AH31" s="82">
        <f t="shared" si="10"/>
        <v>380.91666666666669</v>
      </c>
      <c r="AI31" s="105" t="s">
        <v>896</v>
      </c>
      <c r="AJ31" s="92">
        <f t="shared" si="5"/>
        <v>0</v>
      </c>
      <c r="AK31" s="73">
        <f t="shared" si="11"/>
        <v>380.91666666666669</v>
      </c>
    </row>
    <row r="32" spans="1:41" s="38" customFormat="1">
      <c r="A32" s="122" t="s">
        <v>668</v>
      </c>
      <c r="B32" s="42"/>
      <c r="C32" s="42"/>
      <c r="D32" s="134"/>
      <c r="E32" s="43"/>
      <c r="F32" s="74"/>
      <c r="G32" s="42"/>
      <c r="H32" s="42"/>
      <c r="I32" s="42"/>
      <c r="J32" s="123"/>
      <c r="K32" s="80"/>
      <c r="L32" s="43"/>
      <c r="M32" s="80"/>
      <c r="N32" s="141">
        <f t="shared" si="0"/>
        <v>0</v>
      </c>
      <c r="O32" s="142"/>
      <c r="P32" s="142"/>
      <c r="Q32" s="141">
        <f t="shared" si="6"/>
        <v>0</v>
      </c>
      <c r="R32" s="142"/>
      <c r="S32" s="142">
        <f t="shared" si="1"/>
        <v>0</v>
      </c>
      <c r="T32" s="142" t="s">
        <v>273</v>
      </c>
      <c r="U32" s="141">
        <f t="shared" si="7"/>
        <v>0</v>
      </c>
      <c r="V32" s="142" t="s">
        <v>274</v>
      </c>
      <c r="W32" s="146">
        <f t="shared" si="2"/>
        <v>0</v>
      </c>
      <c r="X32" s="147" t="s">
        <v>277</v>
      </c>
      <c r="Y32" s="45">
        <f t="shared" si="3"/>
        <v>0</v>
      </c>
      <c r="Z32" s="43" t="s">
        <v>284</v>
      </c>
      <c r="AA32" s="45">
        <f t="shared" si="4"/>
        <v>0</v>
      </c>
      <c r="AB32" s="43" t="s">
        <v>285</v>
      </c>
      <c r="AC32" s="44">
        <f t="shared" si="8"/>
        <v>0</v>
      </c>
      <c r="AD32" s="101"/>
      <c r="AE32" s="98">
        <v>6</v>
      </c>
      <c r="AF32" s="97">
        <f t="shared" si="9"/>
        <v>0</v>
      </c>
      <c r="AG32" s="97">
        <v>4571</v>
      </c>
      <c r="AH32" s="82">
        <f t="shared" si="10"/>
        <v>380.91666666666669</v>
      </c>
      <c r="AI32" s="98" t="s">
        <v>896</v>
      </c>
      <c r="AJ32" s="75">
        <f t="shared" si="5"/>
        <v>0</v>
      </c>
      <c r="AK32" s="73">
        <f t="shared" si="11"/>
        <v>380.91666666666669</v>
      </c>
      <c r="AL32" s="93"/>
      <c r="AM32" s="93"/>
      <c r="AN32" s="93"/>
      <c r="AO32" s="93"/>
    </row>
    <row r="33" spans="1:41" s="38" customFormat="1">
      <c r="A33" s="122" t="s">
        <v>697</v>
      </c>
      <c r="B33" s="42"/>
      <c r="C33" s="42"/>
      <c r="D33" s="134"/>
      <c r="E33" s="43"/>
      <c r="F33" s="74"/>
      <c r="G33" s="42"/>
      <c r="H33" s="42"/>
      <c r="I33" s="42"/>
      <c r="J33" s="123"/>
      <c r="K33" s="80"/>
      <c r="L33" s="43"/>
      <c r="M33" s="80"/>
      <c r="N33" s="141">
        <f t="shared" si="0"/>
        <v>0</v>
      </c>
      <c r="O33" s="142"/>
      <c r="P33" s="142"/>
      <c r="Q33" s="141">
        <f t="shared" si="6"/>
        <v>0</v>
      </c>
      <c r="R33" s="142"/>
      <c r="S33" s="142">
        <f t="shared" si="1"/>
        <v>0</v>
      </c>
      <c r="T33" s="142" t="s">
        <v>273</v>
      </c>
      <c r="U33" s="141">
        <f t="shared" si="7"/>
        <v>0</v>
      </c>
      <c r="V33" s="142" t="s">
        <v>274</v>
      </c>
      <c r="W33" s="146">
        <f t="shared" si="2"/>
        <v>0</v>
      </c>
      <c r="X33" s="147" t="s">
        <v>277</v>
      </c>
      <c r="Y33" s="45">
        <f t="shared" si="3"/>
        <v>0</v>
      </c>
      <c r="Z33" s="43" t="s">
        <v>284</v>
      </c>
      <c r="AA33" s="45">
        <f t="shared" si="4"/>
        <v>0</v>
      </c>
      <c r="AB33" s="43" t="s">
        <v>285</v>
      </c>
      <c r="AC33" s="44">
        <f t="shared" si="8"/>
        <v>0</v>
      </c>
      <c r="AD33" s="101"/>
      <c r="AE33" s="98">
        <v>6</v>
      </c>
      <c r="AF33" s="97">
        <f t="shared" si="9"/>
        <v>0</v>
      </c>
      <c r="AG33" s="97">
        <v>4571</v>
      </c>
      <c r="AH33" s="82">
        <f t="shared" si="10"/>
        <v>380.91666666666669</v>
      </c>
      <c r="AI33" s="98" t="s">
        <v>896</v>
      </c>
      <c r="AJ33" s="75">
        <f t="shared" si="5"/>
        <v>0</v>
      </c>
      <c r="AK33" s="73">
        <f t="shared" si="11"/>
        <v>380.91666666666669</v>
      </c>
    </row>
    <row r="34" spans="1:41" s="38" customFormat="1">
      <c r="A34" s="122" t="s">
        <v>698</v>
      </c>
      <c r="B34" s="42"/>
      <c r="C34" s="42"/>
      <c r="D34" s="134"/>
      <c r="E34" s="43"/>
      <c r="F34" s="74"/>
      <c r="G34" s="42"/>
      <c r="H34" s="42"/>
      <c r="I34" s="42"/>
      <c r="J34" s="123"/>
      <c r="K34" s="80"/>
      <c r="L34" s="43"/>
      <c r="M34" s="80"/>
      <c r="N34" s="141">
        <f t="shared" si="0"/>
        <v>0</v>
      </c>
      <c r="O34" s="142"/>
      <c r="P34" s="142"/>
      <c r="Q34" s="141">
        <f t="shared" si="6"/>
        <v>0</v>
      </c>
      <c r="R34" s="142"/>
      <c r="S34" s="142">
        <f t="shared" si="1"/>
        <v>0</v>
      </c>
      <c r="T34" s="142" t="s">
        <v>273</v>
      </c>
      <c r="U34" s="141">
        <f t="shared" si="7"/>
        <v>0</v>
      </c>
      <c r="V34" s="142" t="s">
        <v>274</v>
      </c>
      <c r="W34" s="146">
        <f t="shared" si="2"/>
        <v>0</v>
      </c>
      <c r="X34" s="147" t="s">
        <v>277</v>
      </c>
      <c r="Y34" s="45">
        <f t="shared" si="3"/>
        <v>0</v>
      </c>
      <c r="Z34" s="43" t="s">
        <v>284</v>
      </c>
      <c r="AA34" s="45">
        <f t="shared" si="4"/>
        <v>0</v>
      </c>
      <c r="AB34" s="43" t="s">
        <v>285</v>
      </c>
      <c r="AC34" s="44">
        <f t="shared" si="8"/>
        <v>0</v>
      </c>
      <c r="AD34" s="101"/>
      <c r="AE34" s="98">
        <v>6</v>
      </c>
      <c r="AF34" s="97">
        <f t="shared" si="9"/>
        <v>0</v>
      </c>
      <c r="AG34" s="97">
        <v>3800</v>
      </c>
      <c r="AH34" s="82">
        <f t="shared" si="10"/>
        <v>316.66666666666669</v>
      </c>
      <c r="AI34" s="98" t="s">
        <v>896</v>
      </c>
      <c r="AJ34" s="75">
        <f t="shared" si="5"/>
        <v>0</v>
      </c>
      <c r="AK34" s="73">
        <f t="shared" si="11"/>
        <v>316.66666666666669</v>
      </c>
    </row>
    <row r="35" spans="1:41" s="38" customFormat="1">
      <c r="A35" s="122" t="s">
        <v>699</v>
      </c>
      <c r="B35" s="42"/>
      <c r="C35" s="42"/>
      <c r="D35" s="134"/>
      <c r="E35" s="43"/>
      <c r="F35" s="74"/>
      <c r="G35" s="42"/>
      <c r="H35" s="42"/>
      <c r="I35" s="42"/>
      <c r="J35" s="123"/>
      <c r="K35" s="80"/>
      <c r="L35" s="43"/>
      <c r="M35" s="80"/>
      <c r="N35" s="141">
        <f t="shared" si="0"/>
        <v>0</v>
      </c>
      <c r="O35" s="142"/>
      <c r="P35" s="142"/>
      <c r="Q35" s="141">
        <f t="shared" si="6"/>
        <v>0</v>
      </c>
      <c r="R35" s="142"/>
      <c r="S35" s="142">
        <f t="shared" si="1"/>
        <v>0</v>
      </c>
      <c r="T35" s="142" t="s">
        <v>273</v>
      </c>
      <c r="U35" s="141">
        <f t="shared" si="7"/>
        <v>0</v>
      </c>
      <c r="V35" s="142" t="s">
        <v>274</v>
      </c>
      <c r="W35" s="146">
        <f t="shared" si="2"/>
        <v>0</v>
      </c>
      <c r="X35" s="147" t="s">
        <v>277</v>
      </c>
      <c r="Y35" s="45">
        <f t="shared" si="3"/>
        <v>0</v>
      </c>
      <c r="Z35" s="43" t="s">
        <v>284</v>
      </c>
      <c r="AA35" s="45">
        <f t="shared" si="4"/>
        <v>0</v>
      </c>
      <c r="AB35" s="43" t="s">
        <v>285</v>
      </c>
      <c r="AC35" s="44">
        <f t="shared" si="8"/>
        <v>0</v>
      </c>
      <c r="AD35" s="101"/>
      <c r="AE35" s="98">
        <v>6</v>
      </c>
      <c r="AF35" s="97">
        <f t="shared" si="9"/>
        <v>0</v>
      </c>
      <c r="AG35" s="97">
        <v>4571</v>
      </c>
      <c r="AH35" s="82">
        <f t="shared" si="10"/>
        <v>380.91666666666669</v>
      </c>
      <c r="AI35" s="98" t="s">
        <v>896</v>
      </c>
      <c r="AJ35" s="75">
        <f t="shared" si="5"/>
        <v>0</v>
      </c>
      <c r="AK35" s="73">
        <f t="shared" si="11"/>
        <v>380.91666666666669</v>
      </c>
    </row>
    <row r="36" spans="1:41" s="38" customFormat="1">
      <c r="A36" s="122" t="s">
        <v>700</v>
      </c>
      <c r="B36" s="42"/>
      <c r="C36" s="42"/>
      <c r="D36" s="134"/>
      <c r="E36" s="43"/>
      <c r="F36" s="74"/>
      <c r="G36" s="42"/>
      <c r="H36" s="42"/>
      <c r="I36" s="42"/>
      <c r="J36" s="123"/>
      <c r="K36" s="80"/>
      <c r="L36" s="43"/>
      <c r="M36" s="80"/>
      <c r="N36" s="141">
        <f t="shared" si="0"/>
        <v>0</v>
      </c>
      <c r="O36" s="142"/>
      <c r="P36" s="142"/>
      <c r="Q36" s="141">
        <f t="shared" si="6"/>
        <v>0</v>
      </c>
      <c r="R36" s="142"/>
      <c r="S36" s="142">
        <f t="shared" si="1"/>
        <v>0</v>
      </c>
      <c r="T36" s="142" t="s">
        <v>273</v>
      </c>
      <c r="U36" s="141">
        <f t="shared" si="7"/>
        <v>0</v>
      </c>
      <c r="V36" s="142" t="s">
        <v>274</v>
      </c>
      <c r="W36" s="146">
        <f t="shared" si="2"/>
        <v>0</v>
      </c>
      <c r="X36" s="147" t="s">
        <v>277</v>
      </c>
      <c r="Y36" s="45">
        <f t="shared" si="3"/>
        <v>0</v>
      </c>
      <c r="Z36" s="43" t="s">
        <v>284</v>
      </c>
      <c r="AA36" s="45">
        <f t="shared" si="4"/>
        <v>0</v>
      </c>
      <c r="AB36" s="43" t="s">
        <v>285</v>
      </c>
      <c r="AC36" s="44">
        <f t="shared" si="8"/>
        <v>0</v>
      </c>
      <c r="AD36" s="101"/>
      <c r="AE36" s="98">
        <v>6</v>
      </c>
      <c r="AF36" s="97">
        <f t="shared" si="9"/>
        <v>0</v>
      </c>
      <c r="AG36" s="97">
        <v>3800</v>
      </c>
      <c r="AH36" s="82">
        <f t="shared" si="10"/>
        <v>316.66666666666669</v>
      </c>
      <c r="AI36" s="98" t="s">
        <v>896</v>
      </c>
      <c r="AJ36" s="75">
        <f t="shared" si="5"/>
        <v>0</v>
      </c>
      <c r="AK36" s="73">
        <f t="shared" si="11"/>
        <v>316.66666666666669</v>
      </c>
    </row>
    <row r="37" spans="1:41" s="38" customFormat="1">
      <c r="A37" s="122" t="s">
        <v>701</v>
      </c>
      <c r="B37" s="42"/>
      <c r="C37" s="42"/>
      <c r="D37" s="134"/>
      <c r="E37" s="43"/>
      <c r="F37" s="74"/>
      <c r="G37" s="42"/>
      <c r="H37" s="42"/>
      <c r="I37" s="42"/>
      <c r="J37" s="123"/>
      <c r="K37" s="80"/>
      <c r="L37" s="43"/>
      <c r="M37" s="80"/>
      <c r="N37" s="141">
        <f t="shared" si="0"/>
        <v>0</v>
      </c>
      <c r="O37" s="142"/>
      <c r="P37" s="142"/>
      <c r="Q37" s="141">
        <f t="shared" si="6"/>
        <v>0</v>
      </c>
      <c r="R37" s="142"/>
      <c r="S37" s="142">
        <f t="shared" si="1"/>
        <v>0</v>
      </c>
      <c r="T37" s="142" t="s">
        <v>273</v>
      </c>
      <c r="U37" s="141">
        <f t="shared" si="7"/>
        <v>0</v>
      </c>
      <c r="V37" s="142" t="s">
        <v>274</v>
      </c>
      <c r="W37" s="146">
        <f t="shared" si="2"/>
        <v>0</v>
      </c>
      <c r="X37" s="147" t="s">
        <v>277</v>
      </c>
      <c r="Y37" s="45">
        <f t="shared" si="3"/>
        <v>0</v>
      </c>
      <c r="Z37" s="43" t="s">
        <v>284</v>
      </c>
      <c r="AA37" s="45">
        <f t="shared" si="4"/>
        <v>0</v>
      </c>
      <c r="AB37" s="43" t="s">
        <v>285</v>
      </c>
      <c r="AC37" s="44">
        <f t="shared" si="8"/>
        <v>0</v>
      </c>
      <c r="AD37" s="101"/>
      <c r="AE37" s="98">
        <v>6</v>
      </c>
      <c r="AF37" s="97">
        <f t="shared" si="9"/>
        <v>0</v>
      </c>
      <c r="AG37" s="97">
        <v>4650</v>
      </c>
      <c r="AH37" s="82">
        <f t="shared" si="10"/>
        <v>387.5</v>
      </c>
      <c r="AI37" s="98" t="s">
        <v>896</v>
      </c>
      <c r="AJ37" s="75">
        <f t="shared" si="5"/>
        <v>0</v>
      </c>
      <c r="AK37" s="73">
        <f t="shared" si="11"/>
        <v>387.5</v>
      </c>
    </row>
    <row r="38" spans="1:41" s="38" customFormat="1">
      <c r="A38" s="122" t="s">
        <v>702</v>
      </c>
      <c r="B38" s="42"/>
      <c r="C38" s="42"/>
      <c r="D38" s="134"/>
      <c r="E38" s="43"/>
      <c r="F38" s="74"/>
      <c r="G38" s="42"/>
      <c r="H38" s="42"/>
      <c r="I38" s="42"/>
      <c r="J38" s="123"/>
      <c r="K38" s="80"/>
      <c r="L38" s="43"/>
      <c r="M38" s="80"/>
      <c r="N38" s="141">
        <f t="shared" si="0"/>
        <v>0</v>
      </c>
      <c r="O38" s="142"/>
      <c r="P38" s="142"/>
      <c r="Q38" s="141">
        <f t="shared" si="6"/>
        <v>0</v>
      </c>
      <c r="R38" s="142"/>
      <c r="S38" s="142">
        <f t="shared" si="1"/>
        <v>0</v>
      </c>
      <c r="T38" s="142" t="s">
        <v>273</v>
      </c>
      <c r="U38" s="141">
        <f t="shared" si="7"/>
        <v>0</v>
      </c>
      <c r="V38" s="142" t="s">
        <v>274</v>
      </c>
      <c r="W38" s="146">
        <f t="shared" si="2"/>
        <v>0</v>
      </c>
      <c r="X38" s="147" t="s">
        <v>277</v>
      </c>
      <c r="Y38" s="45">
        <f t="shared" si="3"/>
        <v>0</v>
      </c>
      <c r="Z38" s="43" t="s">
        <v>284</v>
      </c>
      <c r="AA38" s="45">
        <f t="shared" si="4"/>
        <v>0</v>
      </c>
      <c r="AB38" s="43" t="s">
        <v>285</v>
      </c>
      <c r="AC38" s="44">
        <f t="shared" si="8"/>
        <v>0</v>
      </c>
      <c r="AD38" s="101"/>
      <c r="AE38" s="98">
        <v>6</v>
      </c>
      <c r="AF38" s="97">
        <f t="shared" si="9"/>
        <v>0</v>
      </c>
      <c r="AG38" s="97">
        <v>3893</v>
      </c>
      <c r="AH38" s="82">
        <f t="shared" si="10"/>
        <v>324.41666666666669</v>
      </c>
      <c r="AI38" s="98" t="s">
        <v>896</v>
      </c>
      <c r="AJ38" s="75">
        <f t="shared" si="5"/>
        <v>0</v>
      </c>
      <c r="AK38" s="73">
        <f t="shared" si="11"/>
        <v>324.41666666666669</v>
      </c>
    </row>
    <row r="39" spans="1:41" s="38" customFormat="1">
      <c r="A39" s="122" t="s">
        <v>703</v>
      </c>
      <c r="B39" s="86"/>
      <c r="C39" s="86"/>
      <c r="D39" s="134"/>
      <c r="E39" s="43"/>
      <c r="F39" s="74"/>
      <c r="G39" s="42"/>
      <c r="H39" s="86"/>
      <c r="I39" s="42"/>
      <c r="J39" s="123"/>
      <c r="K39" s="80"/>
      <c r="L39" s="43"/>
      <c r="M39" s="80"/>
      <c r="N39" s="141">
        <f t="shared" si="0"/>
        <v>0</v>
      </c>
      <c r="O39" s="142"/>
      <c r="P39" s="142"/>
      <c r="Q39" s="141">
        <f t="shared" si="6"/>
        <v>0</v>
      </c>
      <c r="R39" s="142"/>
      <c r="S39" s="142">
        <f t="shared" si="1"/>
        <v>0</v>
      </c>
      <c r="T39" s="142" t="s">
        <v>273</v>
      </c>
      <c r="U39" s="141">
        <f t="shared" si="7"/>
        <v>0</v>
      </c>
      <c r="V39" s="142" t="s">
        <v>274</v>
      </c>
      <c r="W39" s="146">
        <f t="shared" si="2"/>
        <v>0</v>
      </c>
      <c r="X39" s="147" t="s">
        <v>277</v>
      </c>
      <c r="Y39" s="45">
        <f t="shared" si="3"/>
        <v>0</v>
      </c>
      <c r="Z39" s="43" t="s">
        <v>284</v>
      </c>
      <c r="AA39" s="45">
        <f t="shared" si="4"/>
        <v>0</v>
      </c>
      <c r="AB39" s="43" t="s">
        <v>285</v>
      </c>
      <c r="AC39" s="44">
        <f t="shared" si="8"/>
        <v>0</v>
      </c>
      <c r="AD39" s="101"/>
      <c r="AE39" s="98">
        <v>6</v>
      </c>
      <c r="AF39" s="97">
        <f t="shared" si="9"/>
        <v>0</v>
      </c>
      <c r="AG39" s="97">
        <v>4571</v>
      </c>
      <c r="AH39" s="82">
        <f t="shared" si="10"/>
        <v>380.91666666666669</v>
      </c>
      <c r="AI39" s="98" t="s">
        <v>896</v>
      </c>
      <c r="AJ39" s="75">
        <f t="shared" si="5"/>
        <v>0</v>
      </c>
      <c r="AK39" s="73">
        <f t="shared" si="11"/>
        <v>380.91666666666669</v>
      </c>
    </row>
    <row r="40" spans="1:41" s="38" customFormat="1">
      <c r="A40" s="122" t="s">
        <v>704</v>
      </c>
      <c r="B40" s="42"/>
      <c r="C40" s="42"/>
      <c r="D40" s="134"/>
      <c r="E40" s="43"/>
      <c r="F40" s="74"/>
      <c r="G40" s="42"/>
      <c r="H40" s="42"/>
      <c r="I40" s="42"/>
      <c r="J40" s="123"/>
      <c r="K40" s="80"/>
      <c r="L40" s="43"/>
      <c r="M40" s="80"/>
      <c r="N40" s="141">
        <f t="shared" si="0"/>
        <v>0</v>
      </c>
      <c r="O40" s="142"/>
      <c r="P40" s="142"/>
      <c r="Q40" s="141">
        <f t="shared" si="6"/>
        <v>0</v>
      </c>
      <c r="R40" s="142"/>
      <c r="S40" s="142">
        <f t="shared" si="1"/>
        <v>0</v>
      </c>
      <c r="T40" s="142" t="s">
        <v>273</v>
      </c>
      <c r="U40" s="141">
        <f t="shared" si="7"/>
        <v>0</v>
      </c>
      <c r="V40" s="142" t="s">
        <v>274</v>
      </c>
      <c r="W40" s="146">
        <f t="shared" si="2"/>
        <v>0</v>
      </c>
      <c r="X40" s="147" t="s">
        <v>277</v>
      </c>
      <c r="Y40" s="45">
        <f t="shared" si="3"/>
        <v>0</v>
      </c>
      <c r="Z40" s="43" t="s">
        <v>284</v>
      </c>
      <c r="AA40" s="45">
        <f t="shared" si="4"/>
        <v>0</v>
      </c>
      <c r="AB40" s="43" t="s">
        <v>285</v>
      </c>
      <c r="AC40" s="44">
        <f t="shared" si="8"/>
        <v>0</v>
      </c>
      <c r="AD40" s="101"/>
      <c r="AE40" s="98">
        <v>6</v>
      </c>
      <c r="AF40" s="97">
        <f t="shared" si="9"/>
        <v>0</v>
      </c>
      <c r="AG40" s="97">
        <v>3893</v>
      </c>
      <c r="AH40" s="82">
        <f t="shared" si="10"/>
        <v>324.41666666666669</v>
      </c>
      <c r="AI40" s="98" t="s">
        <v>896</v>
      </c>
      <c r="AJ40" s="75">
        <f t="shared" si="5"/>
        <v>0</v>
      </c>
      <c r="AK40" s="73">
        <f t="shared" si="11"/>
        <v>324.41666666666669</v>
      </c>
    </row>
    <row r="41" spans="1:41" s="38" customFormat="1">
      <c r="A41" s="122" t="s">
        <v>705</v>
      </c>
      <c r="B41" s="42"/>
      <c r="C41" s="42"/>
      <c r="D41" s="134"/>
      <c r="E41" s="43"/>
      <c r="F41" s="74"/>
      <c r="G41" s="42"/>
      <c r="H41" s="86"/>
      <c r="I41" s="42"/>
      <c r="J41" s="123"/>
      <c r="K41" s="80"/>
      <c r="L41" s="43"/>
      <c r="M41" s="80"/>
      <c r="N41" s="141">
        <f t="shared" si="0"/>
        <v>0</v>
      </c>
      <c r="O41" s="142"/>
      <c r="P41" s="142"/>
      <c r="Q41" s="141">
        <f t="shared" si="6"/>
        <v>0</v>
      </c>
      <c r="R41" s="142"/>
      <c r="S41" s="142">
        <f t="shared" si="1"/>
        <v>0</v>
      </c>
      <c r="T41" s="142" t="s">
        <v>273</v>
      </c>
      <c r="U41" s="141">
        <f t="shared" si="7"/>
        <v>0</v>
      </c>
      <c r="V41" s="142" t="s">
        <v>274</v>
      </c>
      <c r="W41" s="146">
        <f t="shared" si="2"/>
        <v>0</v>
      </c>
      <c r="X41" s="147" t="s">
        <v>277</v>
      </c>
      <c r="Y41" s="45">
        <f t="shared" si="3"/>
        <v>0</v>
      </c>
      <c r="Z41" s="43" t="s">
        <v>284</v>
      </c>
      <c r="AA41" s="45">
        <f t="shared" si="4"/>
        <v>0</v>
      </c>
      <c r="AB41" s="43" t="s">
        <v>285</v>
      </c>
      <c r="AC41" s="44">
        <f t="shared" si="8"/>
        <v>0</v>
      </c>
      <c r="AD41" s="101"/>
      <c r="AE41" s="98">
        <v>6</v>
      </c>
      <c r="AF41" s="97">
        <f t="shared" si="9"/>
        <v>0</v>
      </c>
      <c r="AG41" s="97">
        <v>3800</v>
      </c>
      <c r="AH41" s="82">
        <f t="shared" si="10"/>
        <v>316.66666666666669</v>
      </c>
      <c r="AI41" s="98" t="s">
        <v>896</v>
      </c>
      <c r="AJ41" s="75">
        <f t="shared" si="5"/>
        <v>0</v>
      </c>
      <c r="AK41" s="73">
        <f t="shared" si="11"/>
        <v>316.66666666666669</v>
      </c>
    </row>
    <row r="42" spans="1:41" s="38" customFormat="1">
      <c r="A42" s="122" t="s">
        <v>706</v>
      </c>
      <c r="B42" s="42"/>
      <c r="C42" s="42"/>
      <c r="D42" s="134"/>
      <c r="E42" s="43"/>
      <c r="F42" s="74"/>
      <c r="G42" s="42"/>
      <c r="H42" s="42"/>
      <c r="I42" s="42"/>
      <c r="J42" s="123"/>
      <c r="K42" s="80"/>
      <c r="L42" s="43"/>
      <c r="M42" s="80"/>
      <c r="N42" s="141">
        <f t="shared" si="0"/>
        <v>0</v>
      </c>
      <c r="O42" s="142"/>
      <c r="P42" s="142"/>
      <c r="Q42" s="141">
        <f t="shared" si="6"/>
        <v>0</v>
      </c>
      <c r="R42" s="142"/>
      <c r="S42" s="142">
        <f t="shared" si="1"/>
        <v>0</v>
      </c>
      <c r="T42" s="142" t="s">
        <v>273</v>
      </c>
      <c r="U42" s="141">
        <f t="shared" si="7"/>
        <v>0</v>
      </c>
      <c r="V42" s="142" t="s">
        <v>274</v>
      </c>
      <c r="W42" s="146">
        <f t="shared" si="2"/>
        <v>0</v>
      </c>
      <c r="X42" s="147" t="s">
        <v>277</v>
      </c>
      <c r="Y42" s="45">
        <f t="shared" si="3"/>
        <v>0</v>
      </c>
      <c r="Z42" s="43" t="s">
        <v>284</v>
      </c>
      <c r="AA42" s="45">
        <f t="shared" si="4"/>
        <v>0</v>
      </c>
      <c r="AB42" s="43" t="s">
        <v>285</v>
      </c>
      <c r="AC42" s="44">
        <f t="shared" si="8"/>
        <v>0</v>
      </c>
      <c r="AD42" s="101"/>
      <c r="AE42" s="98">
        <v>6</v>
      </c>
      <c r="AF42" s="97">
        <f t="shared" si="9"/>
        <v>0</v>
      </c>
      <c r="AG42" s="97">
        <v>3893</v>
      </c>
      <c r="AH42" s="82">
        <f t="shared" si="10"/>
        <v>324.41666666666669</v>
      </c>
      <c r="AI42" s="98" t="s">
        <v>896</v>
      </c>
      <c r="AJ42" s="75">
        <f t="shared" si="5"/>
        <v>0</v>
      </c>
      <c r="AK42" s="73">
        <f t="shared" si="11"/>
        <v>324.41666666666669</v>
      </c>
    </row>
    <row r="43" spans="1:41" s="38" customFormat="1">
      <c r="A43" s="122" t="s">
        <v>707</v>
      </c>
      <c r="B43" s="42"/>
      <c r="C43" s="42"/>
      <c r="D43" s="134"/>
      <c r="E43" s="43"/>
      <c r="F43" s="74"/>
      <c r="G43" s="42"/>
      <c r="H43" s="42"/>
      <c r="I43" s="42"/>
      <c r="J43" s="123"/>
      <c r="K43" s="80"/>
      <c r="L43" s="43"/>
      <c r="M43" s="80"/>
      <c r="N43" s="141">
        <f t="shared" si="0"/>
        <v>0</v>
      </c>
      <c r="O43" s="142"/>
      <c r="P43" s="142"/>
      <c r="Q43" s="141">
        <f t="shared" si="6"/>
        <v>0</v>
      </c>
      <c r="R43" s="142"/>
      <c r="S43" s="142">
        <f t="shared" si="1"/>
        <v>0</v>
      </c>
      <c r="T43" s="142" t="s">
        <v>273</v>
      </c>
      <c r="U43" s="141">
        <f t="shared" si="7"/>
        <v>0</v>
      </c>
      <c r="V43" s="142" t="s">
        <v>274</v>
      </c>
      <c r="W43" s="146">
        <f t="shared" si="2"/>
        <v>0</v>
      </c>
      <c r="X43" s="147" t="s">
        <v>277</v>
      </c>
      <c r="Y43" s="45">
        <f t="shared" si="3"/>
        <v>0</v>
      </c>
      <c r="Z43" s="43" t="s">
        <v>284</v>
      </c>
      <c r="AA43" s="45">
        <f t="shared" si="4"/>
        <v>0</v>
      </c>
      <c r="AB43" s="43" t="s">
        <v>285</v>
      </c>
      <c r="AC43" s="44">
        <f t="shared" si="8"/>
        <v>0</v>
      </c>
      <c r="AD43" s="101"/>
      <c r="AE43" s="98">
        <v>6</v>
      </c>
      <c r="AF43" s="97">
        <f t="shared" si="9"/>
        <v>0</v>
      </c>
      <c r="AG43" s="97">
        <v>4650</v>
      </c>
      <c r="AH43" s="82">
        <f t="shared" si="10"/>
        <v>387.5</v>
      </c>
      <c r="AI43" s="98" t="s">
        <v>896</v>
      </c>
      <c r="AJ43" s="75">
        <f t="shared" si="5"/>
        <v>0</v>
      </c>
      <c r="AK43" s="73">
        <f t="shared" si="11"/>
        <v>387.5</v>
      </c>
    </row>
    <row r="44" spans="1:41" s="93" customFormat="1">
      <c r="A44" s="122" t="s">
        <v>708</v>
      </c>
      <c r="B44" s="87"/>
      <c r="C44" s="87"/>
      <c r="D44" s="135"/>
      <c r="E44" s="90"/>
      <c r="F44" s="88"/>
      <c r="G44" s="87"/>
      <c r="H44" s="87"/>
      <c r="I44" s="87"/>
      <c r="J44" s="123"/>
      <c r="K44" s="89"/>
      <c r="L44" s="90"/>
      <c r="M44" s="89"/>
      <c r="N44" s="141">
        <f t="shared" si="0"/>
        <v>0</v>
      </c>
      <c r="O44" s="142"/>
      <c r="P44" s="142"/>
      <c r="Q44" s="141">
        <f t="shared" si="6"/>
        <v>0</v>
      </c>
      <c r="R44" s="142"/>
      <c r="S44" s="142">
        <f t="shared" si="1"/>
        <v>0</v>
      </c>
      <c r="T44" s="142" t="s">
        <v>273</v>
      </c>
      <c r="U44" s="141">
        <f t="shared" si="7"/>
        <v>0</v>
      </c>
      <c r="V44" s="142" t="s">
        <v>274</v>
      </c>
      <c r="W44" s="146">
        <f t="shared" si="2"/>
        <v>0</v>
      </c>
      <c r="X44" s="147" t="s">
        <v>277</v>
      </c>
      <c r="Y44" s="91">
        <f t="shared" si="3"/>
        <v>0</v>
      </c>
      <c r="Z44" s="90" t="s">
        <v>284</v>
      </c>
      <c r="AA44" s="91">
        <f t="shared" si="4"/>
        <v>0</v>
      </c>
      <c r="AB44" s="90" t="s">
        <v>285</v>
      </c>
      <c r="AC44" s="44">
        <f t="shared" si="8"/>
        <v>0</v>
      </c>
      <c r="AD44" s="101"/>
      <c r="AE44" s="98">
        <v>6</v>
      </c>
      <c r="AF44" s="97">
        <f t="shared" si="9"/>
        <v>0</v>
      </c>
      <c r="AG44" s="97">
        <v>4571</v>
      </c>
      <c r="AH44" s="82">
        <f t="shared" si="10"/>
        <v>380.91666666666669</v>
      </c>
      <c r="AI44" s="105" t="s">
        <v>896</v>
      </c>
      <c r="AJ44" s="92">
        <f t="shared" si="5"/>
        <v>0</v>
      </c>
      <c r="AK44" s="73">
        <f t="shared" si="11"/>
        <v>380.91666666666669</v>
      </c>
      <c r="AL44" s="38"/>
      <c r="AM44" s="38"/>
      <c r="AN44" s="38"/>
      <c r="AO44" s="38"/>
    </row>
    <row r="45" spans="1:41" s="38" customFormat="1">
      <c r="A45" s="122" t="s">
        <v>709</v>
      </c>
      <c r="B45" s="42"/>
      <c r="C45" s="42"/>
      <c r="D45" s="134"/>
      <c r="E45" s="43"/>
      <c r="F45" s="74"/>
      <c r="G45" s="42"/>
      <c r="H45" s="42"/>
      <c r="I45" s="42"/>
      <c r="J45" s="123"/>
      <c r="K45" s="80"/>
      <c r="L45" s="43"/>
      <c r="M45" s="80"/>
      <c r="N45" s="141">
        <f t="shared" si="0"/>
        <v>0</v>
      </c>
      <c r="O45" s="142"/>
      <c r="P45" s="142"/>
      <c r="Q45" s="141">
        <f t="shared" si="6"/>
        <v>0</v>
      </c>
      <c r="R45" s="142"/>
      <c r="S45" s="142">
        <f t="shared" si="1"/>
        <v>0</v>
      </c>
      <c r="T45" s="142" t="s">
        <v>273</v>
      </c>
      <c r="U45" s="141">
        <f t="shared" si="7"/>
        <v>0</v>
      </c>
      <c r="V45" s="142" t="s">
        <v>274</v>
      </c>
      <c r="W45" s="146">
        <f t="shared" si="2"/>
        <v>0</v>
      </c>
      <c r="X45" s="147" t="s">
        <v>277</v>
      </c>
      <c r="Y45" s="45">
        <f t="shared" si="3"/>
        <v>0</v>
      </c>
      <c r="Z45" s="43" t="s">
        <v>284</v>
      </c>
      <c r="AA45" s="45">
        <f t="shared" si="4"/>
        <v>0</v>
      </c>
      <c r="AB45" s="43" t="s">
        <v>285</v>
      </c>
      <c r="AC45" s="44">
        <f t="shared" si="8"/>
        <v>0</v>
      </c>
      <c r="AD45" s="101"/>
      <c r="AE45" s="98">
        <v>6</v>
      </c>
      <c r="AF45" s="97">
        <f t="shared" si="9"/>
        <v>0</v>
      </c>
      <c r="AG45" s="97">
        <v>4571</v>
      </c>
      <c r="AH45" s="82">
        <f t="shared" si="10"/>
        <v>380.91666666666669</v>
      </c>
      <c r="AI45" s="98" t="s">
        <v>896</v>
      </c>
      <c r="AJ45" s="75">
        <f t="shared" si="5"/>
        <v>0</v>
      </c>
      <c r="AK45" s="73">
        <f t="shared" si="11"/>
        <v>380.91666666666669</v>
      </c>
      <c r="AL45" s="93"/>
      <c r="AM45" s="93"/>
      <c r="AN45" s="93"/>
      <c r="AO45" s="93"/>
    </row>
    <row r="46" spans="1:41" s="38" customFormat="1">
      <c r="A46" s="122" t="s">
        <v>710</v>
      </c>
      <c r="B46" s="42"/>
      <c r="C46" s="42"/>
      <c r="D46" s="134"/>
      <c r="E46" s="43"/>
      <c r="F46" s="74"/>
      <c r="G46" s="42"/>
      <c r="H46" s="42"/>
      <c r="I46" s="42"/>
      <c r="J46" s="123"/>
      <c r="K46" s="80"/>
      <c r="L46" s="43"/>
      <c r="M46" s="80"/>
      <c r="N46" s="141">
        <f t="shared" si="0"/>
        <v>0</v>
      </c>
      <c r="O46" s="142"/>
      <c r="P46" s="142"/>
      <c r="Q46" s="141">
        <f t="shared" si="6"/>
        <v>0</v>
      </c>
      <c r="R46" s="142"/>
      <c r="S46" s="142">
        <f t="shared" si="1"/>
        <v>0</v>
      </c>
      <c r="T46" s="142" t="s">
        <v>273</v>
      </c>
      <c r="U46" s="141">
        <f t="shared" si="7"/>
        <v>0</v>
      </c>
      <c r="V46" s="142" t="s">
        <v>274</v>
      </c>
      <c r="W46" s="146">
        <f t="shared" si="2"/>
        <v>0</v>
      </c>
      <c r="X46" s="147" t="s">
        <v>277</v>
      </c>
      <c r="Y46" s="45">
        <f t="shared" si="3"/>
        <v>0</v>
      </c>
      <c r="Z46" s="43" t="s">
        <v>284</v>
      </c>
      <c r="AA46" s="45">
        <f t="shared" si="4"/>
        <v>0</v>
      </c>
      <c r="AB46" s="43" t="s">
        <v>285</v>
      </c>
      <c r="AC46" s="44">
        <f t="shared" si="8"/>
        <v>0</v>
      </c>
      <c r="AD46" s="101"/>
      <c r="AE46" s="98">
        <v>6</v>
      </c>
      <c r="AF46" s="97">
        <f t="shared" si="9"/>
        <v>0</v>
      </c>
      <c r="AG46" s="97">
        <v>4571</v>
      </c>
      <c r="AH46" s="82">
        <f t="shared" si="10"/>
        <v>380.91666666666669</v>
      </c>
      <c r="AI46" s="98" t="s">
        <v>896</v>
      </c>
      <c r="AJ46" s="75">
        <f t="shared" si="5"/>
        <v>0</v>
      </c>
      <c r="AK46" s="73">
        <f t="shared" si="11"/>
        <v>380.91666666666669</v>
      </c>
    </row>
    <row r="47" spans="1:41" s="93" customFormat="1">
      <c r="A47" s="122" t="s">
        <v>711</v>
      </c>
      <c r="B47" s="87"/>
      <c r="C47" s="87"/>
      <c r="D47" s="135"/>
      <c r="E47" s="90"/>
      <c r="F47" s="88"/>
      <c r="G47" s="87"/>
      <c r="H47" s="87"/>
      <c r="I47" s="87"/>
      <c r="J47" s="123"/>
      <c r="K47" s="89"/>
      <c r="L47" s="90"/>
      <c r="M47" s="89"/>
      <c r="N47" s="141">
        <f t="shared" si="0"/>
        <v>0</v>
      </c>
      <c r="O47" s="142"/>
      <c r="P47" s="142"/>
      <c r="Q47" s="141">
        <f t="shared" si="6"/>
        <v>0</v>
      </c>
      <c r="R47" s="142"/>
      <c r="S47" s="142">
        <f t="shared" si="1"/>
        <v>0</v>
      </c>
      <c r="T47" s="142" t="s">
        <v>273</v>
      </c>
      <c r="U47" s="141">
        <f t="shared" si="7"/>
        <v>0</v>
      </c>
      <c r="V47" s="142" t="s">
        <v>274</v>
      </c>
      <c r="W47" s="146">
        <f t="shared" si="2"/>
        <v>0</v>
      </c>
      <c r="X47" s="147" t="s">
        <v>277</v>
      </c>
      <c r="Y47" s="91">
        <f t="shared" si="3"/>
        <v>0</v>
      </c>
      <c r="Z47" s="90" t="s">
        <v>284</v>
      </c>
      <c r="AA47" s="91">
        <f t="shared" si="4"/>
        <v>0</v>
      </c>
      <c r="AB47" s="90" t="s">
        <v>285</v>
      </c>
      <c r="AC47" s="44">
        <f t="shared" si="8"/>
        <v>0</v>
      </c>
      <c r="AD47" s="101"/>
      <c r="AE47" s="98">
        <v>6</v>
      </c>
      <c r="AF47" s="97">
        <f t="shared" si="9"/>
        <v>0</v>
      </c>
      <c r="AG47" s="97">
        <v>4571</v>
      </c>
      <c r="AH47" s="82">
        <f t="shared" si="10"/>
        <v>380.91666666666669</v>
      </c>
      <c r="AI47" s="105" t="s">
        <v>896</v>
      </c>
      <c r="AJ47" s="92">
        <f t="shared" si="5"/>
        <v>0</v>
      </c>
      <c r="AK47" s="73">
        <f t="shared" si="11"/>
        <v>380.91666666666669</v>
      </c>
      <c r="AL47" s="38"/>
      <c r="AM47" s="38"/>
      <c r="AN47" s="38"/>
      <c r="AO47" s="38"/>
    </row>
    <row r="48" spans="1:41" s="38" customFormat="1">
      <c r="A48" s="122" t="s">
        <v>712</v>
      </c>
      <c r="B48" s="42"/>
      <c r="C48" s="42"/>
      <c r="D48" s="134"/>
      <c r="E48" s="43"/>
      <c r="F48" s="74"/>
      <c r="G48" s="42"/>
      <c r="H48" s="42"/>
      <c r="I48" s="42"/>
      <c r="J48" s="123"/>
      <c r="K48" s="80"/>
      <c r="L48" s="43"/>
      <c r="M48" s="80"/>
      <c r="N48" s="141">
        <f t="shared" si="0"/>
        <v>0</v>
      </c>
      <c r="O48" s="142"/>
      <c r="P48" s="142"/>
      <c r="Q48" s="141">
        <f t="shared" si="6"/>
        <v>0</v>
      </c>
      <c r="R48" s="142"/>
      <c r="S48" s="142">
        <f t="shared" si="1"/>
        <v>0</v>
      </c>
      <c r="T48" s="142" t="s">
        <v>273</v>
      </c>
      <c r="U48" s="141">
        <f t="shared" si="7"/>
        <v>0</v>
      </c>
      <c r="V48" s="142" t="s">
        <v>274</v>
      </c>
      <c r="W48" s="146">
        <f t="shared" si="2"/>
        <v>0</v>
      </c>
      <c r="X48" s="147" t="s">
        <v>277</v>
      </c>
      <c r="Y48" s="45">
        <f t="shared" si="3"/>
        <v>0</v>
      </c>
      <c r="Z48" s="43" t="s">
        <v>284</v>
      </c>
      <c r="AA48" s="45">
        <f t="shared" si="4"/>
        <v>0</v>
      </c>
      <c r="AB48" s="43" t="s">
        <v>285</v>
      </c>
      <c r="AC48" s="44">
        <f t="shared" si="8"/>
        <v>0</v>
      </c>
      <c r="AD48" s="101"/>
      <c r="AE48" s="98">
        <v>6</v>
      </c>
      <c r="AF48" s="97">
        <f t="shared" si="9"/>
        <v>0</v>
      </c>
      <c r="AG48" s="97">
        <v>3800</v>
      </c>
      <c r="AH48" s="82">
        <f t="shared" si="10"/>
        <v>316.66666666666669</v>
      </c>
      <c r="AI48" s="98" t="s">
        <v>896</v>
      </c>
      <c r="AJ48" s="75">
        <f t="shared" si="5"/>
        <v>0</v>
      </c>
      <c r="AK48" s="73">
        <f t="shared" si="11"/>
        <v>316.66666666666669</v>
      </c>
      <c r="AL48" s="93"/>
      <c r="AM48" s="93"/>
      <c r="AN48" s="93"/>
      <c r="AO48" s="93"/>
    </row>
    <row r="49" spans="1:41" s="38" customFormat="1">
      <c r="A49" s="122" t="s">
        <v>713</v>
      </c>
      <c r="B49" s="42"/>
      <c r="C49" s="42"/>
      <c r="D49" s="134"/>
      <c r="E49" s="43"/>
      <c r="F49" s="74"/>
      <c r="G49" s="42"/>
      <c r="H49" s="42"/>
      <c r="I49" s="42"/>
      <c r="J49" s="123"/>
      <c r="K49" s="80"/>
      <c r="L49" s="43"/>
      <c r="M49" s="80"/>
      <c r="N49" s="141">
        <f t="shared" si="0"/>
        <v>0</v>
      </c>
      <c r="O49" s="142"/>
      <c r="P49" s="142"/>
      <c r="Q49" s="141">
        <f t="shared" si="6"/>
        <v>0</v>
      </c>
      <c r="R49" s="142"/>
      <c r="S49" s="142">
        <f t="shared" si="1"/>
        <v>0</v>
      </c>
      <c r="T49" s="142" t="s">
        <v>273</v>
      </c>
      <c r="U49" s="141">
        <f t="shared" si="7"/>
        <v>0</v>
      </c>
      <c r="V49" s="142" t="s">
        <v>274</v>
      </c>
      <c r="W49" s="146">
        <f t="shared" si="2"/>
        <v>0</v>
      </c>
      <c r="X49" s="147" t="s">
        <v>277</v>
      </c>
      <c r="Y49" s="45">
        <f t="shared" si="3"/>
        <v>0</v>
      </c>
      <c r="Z49" s="43" t="s">
        <v>284</v>
      </c>
      <c r="AA49" s="45">
        <f t="shared" si="4"/>
        <v>0</v>
      </c>
      <c r="AB49" s="43" t="s">
        <v>285</v>
      </c>
      <c r="AC49" s="44">
        <f t="shared" si="8"/>
        <v>0</v>
      </c>
      <c r="AD49" s="101"/>
      <c r="AE49" s="98">
        <v>6</v>
      </c>
      <c r="AF49" s="97">
        <f t="shared" si="9"/>
        <v>0</v>
      </c>
      <c r="AG49" s="97">
        <v>4743</v>
      </c>
      <c r="AH49" s="82">
        <f t="shared" si="10"/>
        <v>395.25</v>
      </c>
      <c r="AI49" s="98" t="s">
        <v>896</v>
      </c>
      <c r="AJ49" s="75">
        <f t="shared" si="5"/>
        <v>0</v>
      </c>
      <c r="AK49" s="73">
        <f t="shared" si="11"/>
        <v>395.25</v>
      </c>
    </row>
    <row r="50" spans="1:41" s="38" customFormat="1">
      <c r="A50" s="122" t="s">
        <v>714</v>
      </c>
      <c r="B50" s="42"/>
      <c r="C50" s="42"/>
      <c r="D50" s="134"/>
      <c r="E50" s="43"/>
      <c r="F50" s="74"/>
      <c r="G50" s="42"/>
      <c r="H50" s="42"/>
      <c r="I50" s="42"/>
      <c r="J50" s="123"/>
      <c r="K50" s="80"/>
      <c r="L50" s="43"/>
      <c r="M50" s="80"/>
      <c r="N50" s="141">
        <f t="shared" si="0"/>
        <v>0</v>
      </c>
      <c r="O50" s="142"/>
      <c r="P50" s="142"/>
      <c r="Q50" s="141">
        <f t="shared" si="6"/>
        <v>0</v>
      </c>
      <c r="R50" s="142"/>
      <c r="S50" s="142">
        <f t="shared" si="1"/>
        <v>0</v>
      </c>
      <c r="T50" s="142" t="s">
        <v>273</v>
      </c>
      <c r="U50" s="141">
        <f t="shared" si="7"/>
        <v>0</v>
      </c>
      <c r="V50" s="142" t="s">
        <v>274</v>
      </c>
      <c r="W50" s="146">
        <f t="shared" si="2"/>
        <v>0</v>
      </c>
      <c r="X50" s="147" t="s">
        <v>277</v>
      </c>
      <c r="Y50" s="45">
        <f t="shared" si="3"/>
        <v>0</v>
      </c>
      <c r="Z50" s="43" t="s">
        <v>284</v>
      </c>
      <c r="AA50" s="45">
        <f t="shared" si="4"/>
        <v>0</v>
      </c>
      <c r="AB50" s="43" t="s">
        <v>285</v>
      </c>
      <c r="AC50" s="44">
        <f t="shared" si="8"/>
        <v>0</v>
      </c>
      <c r="AD50" s="101"/>
      <c r="AE50" s="98">
        <v>6</v>
      </c>
      <c r="AF50" s="97">
        <f t="shared" si="9"/>
        <v>0</v>
      </c>
      <c r="AG50" s="97">
        <v>4571</v>
      </c>
      <c r="AH50" s="82">
        <f t="shared" si="10"/>
        <v>380.91666666666669</v>
      </c>
      <c r="AI50" s="98" t="s">
        <v>896</v>
      </c>
      <c r="AJ50" s="75">
        <f t="shared" si="5"/>
        <v>0</v>
      </c>
      <c r="AK50" s="73">
        <f t="shared" si="11"/>
        <v>380.91666666666669</v>
      </c>
    </row>
    <row r="51" spans="1:41" s="38" customFormat="1">
      <c r="A51" s="122" t="s">
        <v>715</v>
      </c>
      <c r="B51" s="42"/>
      <c r="C51" s="42"/>
      <c r="D51" s="134"/>
      <c r="E51" s="43"/>
      <c r="F51" s="74"/>
      <c r="G51" s="42"/>
      <c r="H51" s="42"/>
      <c r="I51" s="42"/>
      <c r="J51" s="123"/>
      <c r="K51" s="80"/>
      <c r="L51" s="43"/>
      <c r="M51" s="80"/>
      <c r="N51" s="141">
        <f t="shared" si="0"/>
        <v>0</v>
      </c>
      <c r="O51" s="142"/>
      <c r="P51" s="142"/>
      <c r="Q51" s="141">
        <f t="shared" si="6"/>
        <v>0</v>
      </c>
      <c r="R51" s="142"/>
      <c r="S51" s="142">
        <f t="shared" si="1"/>
        <v>0</v>
      </c>
      <c r="T51" s="142" t="s">
        <v>273</v>
      </c>
      <c r="U51" s="141">
        <f t="shared" si="7"/>
        <v>0</v>
      </c>
      <c r="V51" s="142" t="s">
        <v>274</v>
      </c>
      <c r="W51" s="146">
        <f t="shared" si="2"/>
        <v>0</v>
      </c>
      <c r="X51" s="147" t="s">
        <v>277</v>
      </c>
      <c r="Y51" s="45">
        <f t="shared" si="3"/>
        <v>0</v>
      </c>
      <c r="Z51" s="43" t="s">
        <v>284</v>
      </c>
      <c r="AA51" s="45">
        <f t="shared" si="4"/>
        <v>0</v>
      </c>
      <c r="AB51" s="43" t="s">
        <v>285</v>
      </c>
      <c r="AC51" s="44">
        <f t="shared" si="8"/>
        <v>0</v>
      </c>
      <c r="AD51" s="101"/>
      <c r="AE51" s="98">
        <v>6</v>
      </c>
      <c r="AF51" s="97">
        <f t="shared" si="9"/>
        <v>0</v>
      </c>
      <c r="AG51" s="97">
        <v>4571</v>
      </c>
      <c r="AH51" s="82">
        <f t="shared" si="10"/>
        <v>380.91666666666669</v>
      </c>
      <c r="AI51" s="98" t="s">
        <v>896</v>
      </c>
      <c r="AJ51" s="75">
        <f t="shared" si="5"/>
        <v>0</v>
      </c>
      <c r="AK51" s="73">
        <f t="shared" si="11"/>
        <v>380.91666666666669</v>
      </c>
    </row>
    <row r="52" spans="1:41" s="38" customFormat="1">
      <c r="A52" s="122" t="s">
        <v>716</v>
      </c>
      <c r="B52" s="42"/>
      <c r="C52" s="42"/>
      <c r="D52" s="134"/>
      <c r="E52" s="43"/>
      <c r="F52" s="74"/>
      <c r="G52" s="42"/>
      <c r="H52" s="42"/>
      <c r="I52" s="42"/>
      <c r="J52" s="123"/>
      <c r="K52" s="80"/>
      <c r="L52" s="43"/>
      <c r="M52" s="80"/>
      <c r="N52" s="141">
        <f t="shared" si="0"/>
        <v>0</v>
      </c>
      <c r="O52" s="142"/>
      <c r="P52" s="142"/>
      <c r="Q52" s="141">
        <f t="shared" si="6"/>
        <v>0</v>
      </c>
      <c r="R52" s="142"/>
      <c r="S52" s="142">
        <f t="shared" si="1"/>
        <v>0</v>
      </c>
      <c r="T52" s="142" t="s">
        <v>273</v>
      </c>
      <c r="U52" s="141">
        <f t="shared" si="7"/>
        <v>0</v>
      </c>
      <c r="V52" s="142" t="s">
        <v>274</v>
      </c>
      <c r="W52" s="146">
        <f t="shared" si="2"/>
        <v>0</v>
      </c>
      <c r="X52" s="147" t="s">
        <v>277</v>
      </c>
      <c r="Y52" s="45">
        <f t="shared" si="3"/>
        <v>0</v>
      </c>
      <c r="Z52" s="43" t="s">
        <v>284</v>
      </c>
      <c r="AA52" s="45">
        <f t="shared" si="4"/>
        <v>0</v>
      </c>
      <c r="AB52" s="43" t="s">
        <v>285</v>
      </c>
      <c r="AC52" s="44">
        <f t="shared" si="8"/>
        <v>0</v>
      </c>
      <c r="AD52" s="101"/>
      <c r="AE52" s="98">
        <v>6</v>
      </c>
      <c r="AF52" s="97">
        <f t="shared" si="9"/>
        <v>0</v>
      </c>
      <c r="AG52" s="97">
        <v>4571</v>
      </c>
      <c r="AH52" s="82">
        <f t="shared" si="10"/>
        <v>380.91666666666669</v>
      </c>
      <c r="AI52" s="98" t="s">
        <v>896</v>
      </c>
      <c r="AJ52" s="75">
        <f t="shared" si="5"/>
        <v>0</v>
      </c>
      <c r="AK52" s="73">
        <f t="shared" si="11"/>
        <v>380.91666666666669</v>
      </c>
    </row>
    <row r="53" spans="1:41" s="38" customFormat="1">
      <c r="A53" s="122" t="s">
        <v>717</v>
      </c>
      <c r="B53" s="42"/>
      <c r="C53" s="42"/>
      <c r="D53" s="134"/>
      <c r="E53" s="43"/>
      <c r="F53" s="74"/>
      <c r="G53" s="42"/>
      <c r="H53" s="42"/>
      <c r="I53" s="42"/>
      <c r="J53" s="123"/>
      <c r="K53" s="80"/>
      <c r="L53" s="43"/>
      <c r="M53" s="80"/>
      <c r="N53" s="141">
        <f t="shared" si="0"/>
        <v>0</v>
      </c>
      <c r="O53" s="142"/>
      <c r="P53" s="142"/>
      <c r="Q53" s="141">
        <f t="shared" si="6"/>
        <v>0</v>
      </c>
      <c r="R53" s="142"/>
      <c r="S53" s="142">
        <f t="shared" si="1"/>
        <v>0</v>
      </c>
      <c r="T53" s="142" t="s">
        <v>273</v>
      </c>
      <c r="U53" s="141">
        <f t="shared" si="7"/>
        <v>0</v>
      </c>
      <c r="V53" s="142" t="s">
        <v>274</v>
      </c>
      <c r="W53" s="146">
        <f t="shared" si="2"/>
        <v>0</v>
      </c>
      <c r="X53" s="147" t="s">
        <v>277</v>
      </c>
      <c r="Y53" s="45">
        <f t="shared" si="3"/>
        <v>0</v>
      </c>
      <c r="Z53" s="43" t="s">
        <v>284</v>
      </c>
      <c r="AA53" s="45">
        <f t="shared" si="4"/>
        <v>0</v>
      </c>
      <c r="AB53" s="43" t="s">
        <v>285</v>
      </c>
      <c r="AC53" s="44">
        <f t="shared" si="8"/>
        <v>0</v>
      </c>
      <c r="AD53" s="101"/>
      <c r="AE53" s="98">
        <v>6</v>
      </c>
      <c r="AF53" s="97">
        <f t="shared" si="9"/>
        <v>0</v>
      </c>
      <c r="AG53" s="97">
        <v>4650</v>
      </c>
      <c r="AH53" s="82">
        <f t="shared" si="10"/>
        <v>387.5</v>
      </c>
      <c r="AI53" s="98" t="s">
        <v>896</v>
      </c>
      <c r="AJ53" s="75">
        <f t="shared" si="5"/>
        <v>0</v>
      </c>
      <c r="AK53" s="73">
        <f t="shared" si="11"/>
        <v>387.5</v>
      </c>
    </row>
    <row r="54" spans="1:41" s="38" customFormat="1">
      <c r="A54" s="122" t="s">
        <v>902</v>
      </c>
      <c r="B54" s="42"/>
      <c r="C54" s="42"/>
      <c r="D54" s="134"/>
      <c r="E54" s="43"/>
      <c r="F54" s="74"/>
      <c r="G54" s="42"/>
      <c r="H54" s="42"/>
      <c r="I54" s="42"/>
      <c r="J54" s="123"/>
      <c r="K54" s="80"/>
      <c r="L54" s="43"/>
      <c r="M54" s="80"/>
      <c r="N54" s="141">
        <f t="shared" si="0"/>
        <v>0</v>
      </c>
      <c r="O54" s="142"/>
      <c r="P54" s="142"/>
      <c r="Q54" s="141">
        <f t="shared" si="6"/>
        <v>0</v>
      </c>
      <c r="R54" s="142"/>
      <c r="S54" s="142">
        <f t="shared" si="1"/>
        <v>0</v>
      </c>
      <c r="T54" s="142" t="s">
        <v>273</v>
      </c>
      <c r="U54" s="141">
        <f t="shared" si="7"/>
        <v>0</v>
      </c>
      <c r="V54" s="142" t="s">
        <v>274</v>
      </c>
      <c r="W54" s="146">
        <f t="shared" si="2"/>
        <v>0</v>
      </c>
      <c r="X54" s="147" t="s">
        <v>277</v>
      </c>
      <c r="Y54" s="45">
        <f t="shared" si="3"/>
        <v>0</v>
      </c>
      <c r="Z54" s="43" t="s">
        <v>284</v>
      </c>
      <c r="AA54" s="45">
        <f t="shared" si="4"/>
        <v>0</v>
      </c>
      <c r="AB54" s="43" t="s">
        <v>285</v>
      </c>
      <c r="AC54" s="44">
        <f t="shared" si="8"/>
        <v>0</v>
      </c>
      <c r="AD54" s="101"/>
      <c r="AE54" s="98">
        <v>6</v>
      </c>
      <c r="AF54" s="97">
        <f t="shared" si="9"/>
        <v>0</v>
      </c>
      <c r="AG54" s="97">
        <v>3800</v>
      </c>
      <c r="AH54" s="82">
        <f t="shared" si="10"/>
        <v>316.66666666666669</v>
      </c>
      <c r="AI54" s="98" t="s">
        <v>896</v>
      </c>
      <c r="AJ54" s="75">
        <f t="shared" si="5"/>
        <v>0</v>
      </c>
      <c r="AK54" s="73">
        <f t="shared" si="11"/>
        <v>316.66666666666669</v>
      </c>
    </row>
    <row r="55" spans="1:41" s="38" customFormat="1">
      <c r="A55" s="122" t="s">
        <v>718</v>
      </c>
      <c r="B55" s="42"/>
      <c r="C55" s="42"/>
      <c r="D55" s="134"/>
      <c r="E55" s="43"/>
      <c r="F55" s="74"/>
      <c r="G55" s="42"/>
      <c r="H55" s="42"/>
      <c r="I55" s="42"/>
      <c r="J55" s="123"/>
      <c r="K55" s="80"/>
      <c r="L55" s="43"/>
      <c r="M55" s="80"/>
      <c r="N55" s="141">
        <f t="shared" si="0"/>
        <v>0</v>
      </c>
      <c r="O55" s="142"/>
      <c r="P55" s="142"/>
      <c r="Q55" s="141">
        <f t="shared" si="6"/>
        <v>0</v>
      </c>
      <c r="R55" s="142"/>
      <c r="S55" s="142">
        <f t="shared" si="1"/>
        <v>0</v>
      </c>
      <c r="T55" s="142" t="s">
        <v>273</v>
      </c>
      <c r="U55" s="141">
        <f t="shared" si="7"/>
        <v>0</v>
      </c>
      <c r="V55" s="142" t="s">
        <v>274</v>
      </c>
      <c r="W55" s="146">
        <f t="shared" si="2"/>
        <v>0</v>
      </c>
      <c r="X55" s="147" t="s">
        <v>277</v>
      </c>
      <c r="Y55" s="45">
        <f t="shared" si="3"/>
        <v>0</v>
      </c>
      <c r="Z55" s="43" t="s">
        <v>284</v>
      </c>
      <c r="AA55" s="45">
        <f t="shared" si="4"/>
        <v>0</v>
      </c>
      <c r="AB55" s="43" t="s">
        <v>285</v>
      </c>
      <c r="AC55" s="44">
        <f t="shared" si="8"/>
        <v>0</v>
      </c>
      <c r="AD55" s="101"/>
      <c r="AE55" s="98">
        <v>6</v>
      </c>
      <c r="AF55" s="97">
        <f t="shared" si="9"/>
        <v>0</v>
      </c>
      <c r="AG55" s="97">
        <v>4571</v>
      </c>
      <c r="AH55" s="82">
        <f t="shared" si="10"/>
        <v>380.91666666666669</v>
      </c>
      <c r="AI55" s="98" t="s">
        <v>896</v>
      </c>
      <c r="AJ55" s="75">
        <f t="shared" si="5"/>
        <v>0</v>
      </c>
      <c r="AK55" s="73">
        <f t="shared" si="11"/>
        <v>380.91666666666669</v>
      </c>
    </row>
    <row r="56" spans="1:41" s="93" customFormat="1">
      <c r="A56" s="122" t="s">
        <v>719</v>
      </c>
      <c r="B56" s="94"/>
      <c r="C56" s="94"/>
      <c r="D56" s="135"/>
      <c r="E56" s="90"/>
      <c r="F56" s="88"/>
      <c r="G56" s="94"/>
      <c r="H56" s="94"/>
      <c r="I56" s="94"/>
      <c r="J56" s="123"/>
      <c r="K56" s="89"/>
      <c r="L56" s="90"/>
      <c r="M56" s="89"/>
      <c r="N56" s="141">
        <f t="shared" si="0"/>
        <v>0</v>
      </c>
      <c r="O56" s="142"/>
      <c r="P56" s="142"/>
      <c r="Q56" s="141">
        <f t="shared" ref="Q56" si="20">+P56*$D$1</f>
        <v>0</v>
      </c>
      <c r="R56" s="142"/>
      <c r="S56" s="142">
        <f t="shared" si="1"/>
        <v>0</v>
      </c>
      <c r="T56" s="142" t="s">
        <v>273</v>
      </c>
      <c r="U56" s="141">
        <f t="shared" si="7"/>
        <v>0</v>
      </c>
      <c r="V56" s="142" t="s">
        <v>274</v>
      </c>
      <c r="W56" s="146">
        <f t="shared" si="2"/>
        <v>0</v>
      </c>
      <c r="X56" s="147" t="s">
        <v>277</v>
      </c>
      <c r="Y56" s="91">
        <f t="shared" ref="Y56" si="21">IF(G56="RIMAC EPS EMPRESA PRESTADORA DE SALUD",((((K56*40%)+M56)*0.0675)*$D$1),((((K56*40%)+M56)*0.09))*$D$1)</f>
        <v>0</v>
      </c>
      <c r="Z56" s="90" t="s">
        <v>284</v>
      </c>
      <c r="AA56" s="91">
        <f t="shared" ref="AA56" si="22">IF(G56="RIMAC EPS EMPRESA PRESTADORA DE SALUD",((K56*40%)+M56)*0.0225*$D$1+Q56*0.0225,0)</f>
        <v>0</v>
      </c>
      <c r="AB56" s="90" t="s">
        <v>285</v>
      </c>
      <c r="AC56" s="44">
        <f t="shared" si="8"/>
        <v>0</v>
      </c>
      <c r="AD56" s="101"/>
      <c r="AE56" s="98">
        <v>6</v>
      </c>
      <c r="AF56" s="97">
        <f t="shared" si="9"/>
        <v>0</v>
      </c>
      <c r="AG56" s="97">
        <v>4571</v>
      </c>
      <c r="AH56" s="82">
        <f t="shared" si="10"/>
        <v>380.91666666666669</v>
      </c>
      <c r="AI56" s="105" t="s">
        <v>896</v>
      </c>
      <c r="AJ56" s="92">
        <f t="shared" si="5"/>
        <v>0</v>
      </c>
      <c r="AK56" s="73">
        <f t="shared" si="11"/>
        <v>380.91666666666669</v>
      </c>
      <c r="AL56" s="38"/>
      <c r="AM56" s="38"/>
      <c r="AN56" s="38"/>
      <c r="AO56" s="38"/>
    </row>
    <row r="57" spans="1:41" s="38" customFormat="1">
      <c r="A57" s="122" t="s">
        <v>720</v>
      </c>
      <c r="B57" s="42"/>
      <c r="C57" s="42"/>
      <c r="D57" s="134"/>
      <c r="E57" s="43"/>
      <c r="F57" s="74"/>
      <c r="G57" s="42"/>
      <c r="H57" s="42"/>
      <c r="I57" s="42"/>
      <c r="J57" s="123"/>
      <c r="K57" s="80"/>
      <c r="L57" s="43"/>
      <c r="M57" s="80"/>
      <c r="N57" s="141">
        <f t="shared" si="0"/>
        <v>0</v>
      </c>
      <c r="O57" s="142"/>
      <c r="P57" s="142"/>
      <c r="Q57" s="141">
        <f t="shared" si="6"/>
        <v>0</v>
      </c>
      <c r="R57" s="142"/>
      <c r="S57" s="142">
        <f t="shared" si="1"/>
        <v>0</v>
      </c>
      <c r="T57" s="142" t="s">
        <v>273</v>
      </c>
      <c r="U57" s="141">
        <f t="shared" si="7"/>
        <v>0</v>
      </c>
      <c r="V57" s="142" t="s">
        <v>274</v>
      </c>
      <c r="W57" s="146">
        <f t="shared" si="2"/>
        <v>0</v>
      </c>
      <c r="X57" s="147" t="s">
        <v>277</v>
      </c>
      <c r="Y57" s="45">
        <f t="shared" si="3"/>
        <v>0</v>
      </c>
      <c r="Z57" s="43" t="s">
        <v>284</v>
      </c>
      <c r="AA57" s="45">
        <f t="shared" si="4"/>
        <v>0</v>
      </c>
      <c r="AB57" s="43" t="s">
        <v>285</v>
      </c>
      <c r="AC57" s="44">
        <f t="shared" si="8"/>
        <v>0</v>
      </c>
      <c r="AD57" s="101"/>
      <c r="AE57" s="98">
        <v>6</v>
      </c>
      <c r="AF57" s="97">
        <f t="shared" si="9"/>
        <v>0</v>
      </c>
      <c r="AG57" s="97">
        <v>7593</v>
      </c>
      <c r="AH57" s="82">
        <f t="shared" si="10"/>
        <v>632.75</v>
      </c>
      <c r="AI57" s="98" t="s">
        <v>896</v>
      </c>
      <c r="AJ57" s="75">
        <f t="shared" si="5"/>
        <v>0</v>
      </c>
      <c r="AK57" s="73">
        <f t="shared" si="11"/>
        <v>632.75</v>
      </c>
      <c r="AL57" s="93"/>
      <c r="AM57" s="93"/>
      <c r="AN57" s="93"/>
      <c r="AO57" s="93"/>
    </row>
    <row r="58" spans="1:41" s="38" customFormat="1">
      <c r="A58" s="122" t="s">
        <v>721</v>
      </c>
      <c r="B58" s="42"/>
      <c r="C58" s="42"/>
      <c r="D58" s="134"/>
      <c r="E58" s="43"/>
      <c r="F58" s="74"/>
      <c r="G58" s="42"/>
      <c r="H58" s="42"/>
      <c r="I58" s="42"/>
      <c r="J58" s="123"/>
      <c r="K58" s="80"/>
      <c r="L58" s="43"/>
      <c r="M58" s="80"/>
      <c r="N58" s="141">
        <f t="shared" si="0"/>
        <v>0</v>
      </c>
      <c r="O58" s="142"/>
      <c r="P58" s="142"/>
      <c r="Q58" s="141">
        <f t="shared" si="6"/>
        <v>0</v>
      </c>
      <c r="R58" s="142"/>
      <c r="S58" s="142">
        <f t="shared" si="1"/>
        <v>0</v>
      </c>
      <c r="T58" s="142" t="s">
        <v>273</v>
      </c>
      <c r="U58" s="141">
        <f t="shared" si="7"/>
        <v>0</v>
      </c>
      <c r="V58" s="142" t="s">
        <v>274</v>
      </c>
      <c r="W58" s="146">
        <f t="shared" si="2"/>
        <v>0</v>
      </c>
      <c r="X58" s="147" t="s">
        <v>277</v>
      </c>
      <c r="Y58" s="45">
        <f t="shared" si="3"/>
        <v>0</v>
      </c>
      <c r="Z58" s="43" t="s">
        <v>284</v>
      </c>
      <c r="AA58" s="45">
        <f t="shared" si="4"/>
        <v>0</v>
      </c>
      <c r="AB58" s="43" t="s">
        <v>285</v>
      </c>
      <c r="AC58" s="44">
        <f t="shared" si="8"/>
        <v>0</v>
      </c>
      <c r="AD58" s="101"/>
      <c r="AE58" s="98">
        <v>6</v>
      </c>
      <c r="AF58" s="97">
        <f t="shared" si="9"/>
        <v>0</v>
      </c>
      <c r="AG58" s="97">
        <v>3800</v>
      </c>
      <c r="AH58" s="82">
        <f t="shared" si="10"/>
        <v>316.66666666666669</v>
      </c>
      <c r="AI58" s="98" t="s">
        <v>896</v>
      </c>
      <c r="AJ58" s="75">
        <f t="shared" si="5"/>
        <v>0</v>
      </c>
      <c r="AK58" s="73">
        <f t="shared" si="11"/>
        <v>316.66666666666669</v>
      </c>
    </row>
    <row r="59" spans="1:41" s="93" customFormat="1">
      <c r="A59" s="122" t="s">
        <v>722</v>
      </c>
      <c r="B59" s="87"/>
      <c r="C59" s="87"/>
      <c r="D59" s="135"/>
      <c r="E59" s="90"/>
      <c r="F59" s="88"/>
      <c r="G59" s="87"/>
      <c r="H59" s="87"/>
      <c r="I59" s="87"/>
      <c r="J59" s="123"/>
      <c r="K59" s="89"/>
      <c r="L59" s="90"/>
      <c r="M59" s="89"/>
      <c r="N59" s="141">
        <f t="shared" si="0"/>
        <v>0</v>
      </c>
      <c r="O59" s="142"/>
      <c r="P59" s="142"/>
      <c r="Q59" s="141">
        <f t="shared" si="6"/>
        <v>0</v>
      </c>
      <c r="R59" s="142"/>
      <c r="S59" s="142">
        <f t="shared" si="1"/>
        <v>0</v>
      </c>
      <c r="T59" s="142" t="s">
        <v>273</v>
      </c>
      <c r="U59" s="141">
        <f t="shared" si="7"/>
        <v>0</v>
      </c>
      <c r="V59" s="142" t="s">
        <v>274</v>
      </c>
      <c r="W59" s="146">
        <f t="shared" si="2"/>
        <v>0</v>
      </c>
      <c r="X59" s="147" t="s">
        <v>277</v>
      </c>
      <c r="Y59" s="91">
        <f t="shared" si="3"/>
        <v>0</v>
      </c>
      <c r="Z59" s="90" t="s">
        <v>284</v>
      </c>
      <c r="AA59" s="91">
        <f t="shared" si="4"/>
        <v>0</v>
      </c>
      <c r="AB59" s="90" t="s">
        <v>285</v>
      </c>
      <c r="AC59" s="44">
        <f t="shared" si="8"/>
        <v>0</v>
      </c>
      <c r="AD59" s="101"/>
      <c r="AE59" s="98">
        <v>6</v>
      </c>
      <c r="AF59" s="97">
        <f t="shared" si="9"/>
        <v>0</v>
      </c>
      <c r="AG59" s="97">
        <v>4571</v>
      </c>
      <c r="AH59" s="82">
        <f t="shared" si="10"/>
        <v>380.91666666666669</v>
      </c>
      <c r="AI59" s="105" t="s">
        <v>896</v>
      </c>
      <c r="AJ59" s="92">
        <f t="shared" si="5"/>
        <v>0</v>
      </c>
      <c r="AK59" s="73">
        <f t="shared" si="11"/>
        <v>380.91666666666669</v>
      </c>
      <c r="AL59" s="38"/>
      <c r="AM59" s="38"/>
      <c r="AN59" s="38"/>
      <c r="AO59" s="38"/>
    </row>
    <row r="60" spans="1:41" s="38" customFormat="1">
      <c r="A60" s="122" t="s">
        <v>723</v>
      </c>
      <c r="B60" s="42"/>
      <c r="C60" s="42"/>
      <c r="D60" s="134"/>
      <c r="E60" s="43"/>
      <c r="F60" s="74"/>
      <c r="G60" s="42"/>
      <c r="H60" s="42"/>
      <c r="I60" s="95"/>
      <c r="J60" s="123"/>
      <c r="K60" s="80"/>
      <c r="L60" s="43"/>
      <c r="M60" s="80"/>
      <c r="N60" s="141">
        <f t="shared" si="0"/>
        <v>0</v>
      </c>
      <c r="O60" s="142"/>
      <c r="P60" s="142"/>
      <c r="Q60" s="141">
        <f t="shared" si="6"/>
        <v>0</v>
      </c>
      <c r="R60" s="142"/>
      <c r="S60" s="142">
        <f t="shared" si="1"/>
        <v>0</v>
      </c>
      <c r="T60" s="142" t="s">
        <v>273</v>
      </c>
      <c r="U60" s="141">
        <f t="shared" si="7"/>
        <v>0</v>
      </c>
      <c r="V60" s="142" t="s">
        <v>274</v>
      </c>
      <c r="W60" s="146">
        <f t="shared" si="2"/>
        <v>0</v>
      </c>
      <c r="X60" s="147" t="s">
        <v>277</v>
      </c>
      <c r="Y60" s="45">
        <f t="shared" si="3"/>
        <v>0</v>
      </c>
      <c r="Z60" s="43" t="s">
        <v>284</v>
      </c>
      <c r="AA60" s="45">
        <f t="shared" si="4"/>
        <v>0</v>
      </c>
      <c r="AB60" s="43" t="s">
        <v>285</v>
      </c>
      <c r="AC60" s="44">
        <f t="shared" si="8"/>
        <v>0</v>
      </c>
      <c r="AD60" s="101"/>
      <c r="AE60" s="98">
        <v>6</v>
      </c>
      <c r="AF60" s="97">
        <f t="shared" si="9"/>
        <v>0</v>
      </c>
      <c r="AG60" s="97">
        <v>3150</v>
      </c>
      <c r="AH60" s="82">
        <f t="shared" si="10"/>
        <v>262.5</v>
      </c>
      <c r="AI60" s="98" t="s">
        <v>896</v>
      </c>
      <c r="AJ60" s="75">
        <f t="shared" si="5"/>
        <v>0</v>
      </c>
      <c r="AK60" s="73">
        <f t="shared" si="11"/>
        <v>262.5</v>
      </c>
      <c r="AL60" s="93"/>
      <c r="AM60" s="93"/>
      <c r="AN60" s="93"/>
      <c r="AO60" s="93"/>
    </row>
    <row r="61" spans="1:41" s="38" customFormat="1">
      <c r="A61" s="122" t="s">
        <v>724</v>
      </c>
      <c r="B61" s="42"/>
      <c r="C61" s="42"/>
      <c r="D61" s="134"/>
      <c r="E61" s="43"/>
      <c r="F61" s="74"/>
      <c r="G61" s="42"/>
      <c r="H61" s="42"/>
      <c r="I61" s="42"/>
      <c r="J61" s="123"/>
      <c r="K61" s="80"/>
      <c r="L61" s="43"/>
      <c r="M61" s="80"/>
      <c r="N61" s="141">
        <f t="shared" si="0"/>
        <v>0</v>
      </c>
      <c r="O61" s="142"/>
      <c r="P61" s="142"/>
      <c r="Q61" s="141">
        <f t="shared" si="6"/>
        <v>0</v>
      </c>
      <c r="R61" s="142"/>
      <c r="S61" s="142">
        <f t="shared" si="1"/>
        <v>0</v>
      </c>
      <c r="T61" s="142" t="s">
        <v>273</v>
      </c>
      <c r="U61" s="141">
        <f t="shared" si="7"/>
        <v>0</v>
      </c>
      <c r="V61" s="142" t="s">
        <v>274</v>
      </c>
      <c r="W61" s="146">
        <f t="shared" si="2"/>
        <v>0</v>
      </c>
      <c r="X61" s="147" t="s">
        <v>277</v>
      </c>
      <c r="Y61" s="45">
        <f t="shared" si="3"/>
        <v>0</v>
      </c>
      <c r="Z61" s="43" t="s">
        <v>284</v>
      </c>
      <c r="AA61" s="45">
        <f t="shared" si="4"/>
        <v>0</v>
      </c>
      <c r="AB61" s="43" t="s">
        <v>285</v>
      </c>
      <c r="AC61" s="44">
        <f t="shared" si="8"/>
        <v>0</v>
      </c>
      <c r="AD61" s="101"/>
      <c r="AE61" s="98">
        <v>6</v>
      </c>
      <c r="AF61" s="97">
        <f t="shared" si="9"/>
        <v>0</v>
      </c>
      <c r="AG61" s="97">
        <v>4664</v>
      </c>
      <c r="AH61" s="82">
        <f t="shared" si="10"/>
        <v>388.66666666666674</v>
      </c>
      <c r="AI61" s="98" t="s">
        <v>896</v>
      </c>
      <c r="AJ61" s="75">
        <f t="shared" si="5"/>
        <v>0</v>
      </c>
      <c r="AK61" s="73">
        <f t="shared" si="11"/>
        <v>388.66666666666674</v>
      </c>
    </row>
    <row r="62" spans="1:41" s="38" customFormat="1">
      <c r="A62" s="122" t="s">
        <v>725</v>
      </c>
      <c r="B62" s="42"/>
      <c r="C62" s="42"/>
      <c r="D62" s="134"/>
      <c r="E62" s="43"/>
      <c r="F62" s="74"/>
      <c r="G62" s="42"/>
      <c r="H62" s="42"/>
      <c r="I62" s="42"/>
      <c r="J62" s="123"/>
      <c r="K62" s="80"/>
      <c r="L62" s="43"/>
      <c r="M62" s="80"/>
      <c r="N62" s="141">
        <f t="shared" si="0"/>
        <v>0</v>
      </c>
      <c r="O62" s="142"/>
      <c r="P62" s="142"/>
      <c r="Q62" s="141">
        <f t="shared" si="6"/>
        <v>0</v>
      </c>
      <c r="R62" s="142"/>
      <c r="S62" s="142">
        <f t="shared" si="1"/>
        <v>0</v>
      </c>
      <c r="T62" s="142" t="s">
        <v>273</v>
      </c>
      <c r="U62" s="141">
        <f t="shared" si="7"/>
        <v>0</v>
      </c>
      <c r="V62" s="142" t="s">
        <v>274</v>
      </c>
      <c r="W62" s="146">
        <f t="shared" si="2"/>
        <v>0</v>
      </c>
      <c r="X62" s="147" t="s">
        <v>277</v>
      </c>
      <c r="Y62" s="45">
        <f t="shared" si="3"/>
        <v>0</v>
      </c>
      <c r="Z62" s="43" t="s">
        <v>284</v>
      </c>
      <c r="AA62" s="45">
        <f t="shared" si="4"/>
        <v>0</v>
      </c>
      <c r="AB62" s="43" t="s">
        <v>285</v>
      </c>
      <c r="AC62" s="44">
        <f t="shared" si="8"/>
        <v>0</v>
      </c>
      <c r="AD62" s="101"/>
      <c r="AE62" s="98">
        <v>6</v>
      </c>
      <c r="AF62" s="97">
        <f t="shared" si="9"/>
        <v>0</v>
      </c>
      <c r="AG62" s="97">
        <v>3800</v>
      </c>
      <c r="AH62" s="82">
        <f t="shared" si="10"/>
        <v>316.66666666666669</v>
      </c>
      <c r="AI62" s="98" t="s">
        <v>896</v>
      </c>
      <c r="AJ62" s="75">
        <f t="shared" si="5"/>
        <v>0</v>
      </c>
      <c r="AK62" s="73">
        <f t="shared" si="11"/>
        <v>316.66666666666669</v>
      </c>
    </row>
    <row r="63" spans="1:41" s="38" customFormat="1">
      <c r="A63" s="122" t="s">
        <v>726</v>
      </c>
      <c r="B63" s="42"/>
      <c r="C63" s="42"/>
      <c r="D63" s="134"/>
      <c r="E63" s="43"/>
      <c r="F63" s="74"/>
      <c r="G63" s="42"/>
      <c r="H63" s="42"/>
      <c r="I63" s="42"/>
      <c r="J63" s="123"/>
      <c r="K63" s="80"/>
      <c r="L63" s="43"/>
      <c r="M63" s="80"/>
      <c r="N63" s="141">
        <f t="shared" si="0"/>
        <v>0</v>
      </c>
      <c r="O63" s="142"/>
      <c r="P63" s="142"/>
      <c r="Q63" s="141">
        <f t="shared" si="6"/>
        <v>0</v>
      </c>
      <c r="R63" s="142"/>
      <c r="S63" s="142">
        <f t="shared" si="1"/>
        <v>0</v>
      </c>
      <c r="T63" s="142" t="s">
        <v>273</v>
      </c>
      <c r="U63" s="141">
        <f t="shared" si="7"/>
        <v>0</v>
      </c>
      <c r="V63" s="142" t="s">
        <v>274</v>
      </c>
      <c r="W63" s="146">
        <f t="shared" si="2"/>
        <v>0</v>
      </c>
      <c r="X63" s="147" t="s">
        <v>277</v>
      </c>
      <c r="Y63" s="45">
        <f t="shared" si="3"/>
        <v>0</v>
      </c>
      <c r="Z63" s="43" t="s">
        <v>284</v>
      </c>
      <c r="AA63" s="45">
        <f t="shared" si="4"/>
        <v>0</v>
      </c>
      <c r="AB63" s="43" t="s">
        <v>285</v>
      </c>
      <c r="AC63" s="44">
        <f t="shared" si="8"/>
        <v>0</v>
      </c>
      <c r="AD63" s="101"/>
      <c r="AE63" s="98">
        <v>6</v>
      </c>
      <c r="AF63" s="97">
        <f t="shared" si="9"/>
        <v>0</v>
      </c>
      <c r="AG63" s="97">
        <v>3893</v>
      </c>
      <c r="AH63" s="82">
        <f t="shared" si="10"/>
        <v>324.41666666666669</v>
      </c>
      <c r="AI63" s="98" t="s">
        <v>896</v>
      </c>
      <c r="AJ63" s="75">
        <f t="shared" si="5"/>
        <v>0</v>
      </c>
      <c r="AK63" s="73">
        <f t="shared" si="11"/>
        <v>324.41666666666669</v>
      </c>
    </row>
    <row r="64" spans="1:41" s="38" customFormat="1">
      <c r="A64" s="122" t="s">
        <v>727</v>
      </c>
      <c r="B64" s="42"/>
      <c r="C64" s="42"/>
      <c r="D64" s="134"/>
      <c r="E64" s="43"/>
      <c r="F64" s="74"/>
      <c r="G64" s="42"/>
      <c r="H64" s="42"/>
      <c r="I64" s="42"/>
      <c r="J64" s="123"/>
      <c r="K64" s="80"/>
      <c r="L64" s="43"/>
      <c r="M64" s="80"/>
      <c r="N64" s="141">
        <f t="shared" si="0"/>
        <v>0</v>
      </c>
      <c r="O64" s="142"/>
      <c r="P64" s="142"/>
      <c r="Q64" s="141">
        <f t="shared" si="6"/>
        <v>0</v>
      </c>
      <c r="R64" s="142"/>
      <c r="S64" s="142">
        <f t="shared" si="1"/>
        <v>0</v>
      </c>
      <c r="T64" s="142" t="s">
        <v>273</v>
      </c>
      <c r="U64" s="141">
        <f t="shared" si="7"/>
        <v>0</v>
      </c>
      <c r="V64" s="142" t="s">
        <v>274</v>
      </c>
      <c r="W64" s="146">
        <f t="shared" si="2"/>
        <v>0</v>
      </c>
      <c r="X64" s="147" t="s">
        <v>277</v>
      </c>
      <c r="Y64" s="45">
        <f t="shared" si="3"/>
        <v>0</v>
      </c>
      <c r="Z64" s="43" t="s">
        <v>284</v>
      </c>
      <c r="AA64" s="45">
        <f t="shared" si="4"/>
        <v>0</v>
      </c>
      <c r="AB64" s="43" t="s">
        <v>285</v>
      </c>
      <c r="AC64" s="44">
        <f t="shared" si="8"/>
        <v>0</v>
      </c>
      <c r="AD64" s="101"/>
      <c r="AE64" s="98">
        <v>6</v>
      </c>
      <c r="AF64" s="97">
        <f t="shared" si="9"/>
        <v>0</v>
      </c>
      <c r="AG64" s="97">
        <v>4664</v>
      </c>
      <c r="AH64" s="82">
        <f t="shared" si="10"/>
        <v>388.66666666666674</v>
      </c>
      <c r="AI64" s="98" t="s">
        <v>896</v>
      </c>
      <c r="AJ64" s="75">
        <f t="shared" si="5"/>
        <v>0</v>
      </c>
      <c r="AK64" s="73">
        <f t="shared" si="11"/>
        <v>388.66666666666674</v>
      </c>
    </row>
    <row r="65" spans="1:41" s="38" customFormat="1">
      <c r="A65" s="122" t="s">
        <v>728</v>
      </c>
      <c r="B65" s="42"/>
      <c r="C65" s="42"/>
      <c r="D65" s="134"/>
      <c r="E65" s="43"/>
      <c r="F65" s="74"/>
      <c r="G65" s="42"/>
      <c r="H65" s="42"/>
      <c r="I65" s="42"/>
      <c r="J65" s="123"/>
      <c r="K65" s="80"/>
      <c r="L65" s="43"/>
      <c r="M65" s="80"/>
      <c r="N65" s="141">
        <f t="shared" si="0"/>
        <v>0</v>
      </c>
      <c r="O65" s="142"/>
      <c r="P65" s="142"/>
      <c r="Q65" s="141">
        <f t="shared" si="6"/>
        <v>0</v>
      </c>
      <c r="R65" s="142"/>
      <c r="S65" s="142">
        <f t="shared" si="1"/>
        <v>0</v>
      </c>
      <c r="T65" s="142" t="s">
        <v>273</v>
      </c>
      <c r="U65" s="141">
        <f t="shared" si="7"/>
        <v>0</v>
      </c>
      <c r="V65" s="142" t="s">
        <v>274</v>
      </c>
      <c r="W65" s="146">
        <f t="shared" si="2"/>
        <v>0</v>
      </c>
      <c r="X65" s="147" t="s">
        <v>277</v>
      </c>
      <c r="Y65" s="45">
        <f t="shared" si="3"/>
        <v>0</v>
      </c>
      <c r="Z65" s="43" t="s">
        <v>284</v>
      </c>
      <c r="AA65" s="45">
        <f t="shared" si="4"/>
        <v>0</v>
      </c>
      <c r="AB65" s="43" t="s">
        <v>285</v>
      </c>
      <c r="AC65" s="44">
        <f t="shared" si="8"/>
        <v>0</v>
      </c>
      <c r="AD65" s="101"/>
      <c r="AE65" s="98">
        <v>6</v>
      </c>
      <c r="AF65" s="97">
        <f t="shared" si="9"/>
        <v>0</v>
      </c>
      <c r="AG65" s="97">
        <v>4571</v>
      </c>
      <c r="AH65" s="82">
        <f t="shared" si="10"/>
        <v>380.91666666666669</v>
      </c>
      <c r="AI65" s="98" t="s">
        <v>896</v>
      </c>
      <c r="AJ65" s="75">
        <f t="shared" si="5"/>
        <v>0</v>
      </c>
      <c r="AK65" s="73">
        <f t="shared" si="11"/>
        <v>380.91666666666669</v>
      </c>
    </row>
    <row r="66" spans="1:41" s="38" customFormat="1">
      <c r="A66" s="122" t="s">
        <v>729</v>
      </c>
      <c r="B66" s="42"/>
      <c r="C66" s="42"/>
      <c r="D66" s="134"/>
      <c r="E66" s="43"/>
      <c r="F66" s="74"/>
      <c r="G66" s="42"/>
      <c r="H66" s="42"/>
      <c r="I66" s="42"/>
      <c r="J66" s="123"/>
      <c r="K66" s="80"/>
      <c r="L66" s="43"/>
      <c r="M66" s="80"/>
      <c r="N66" s="141">
        <f t="shared" si="0"/>
        <v>0</v>
      </c>
      <c r="O66" s="142"/>
      <c r="P66" s="142"/>
      <c r="Q66" s="141">
        <f t="shared" si="6"/>
        <v>0</v>
      </c>
      <c r="R66" s="142"/>
      <c r="S66" s="142">
        <f t="shared" si="1"/>
        <v>0</v>
      </c>
      <c r="T66" s="142" t="s">
        <v>273</v>
      </c>
      <c r="U66" s="141">
        <f t="shared" si="7"/>
        <v>0</v>
      </c>
      <c r="V66" s="142" t="s">
        <v>274</v>
      </c>
      <c r="W66" s="146">
        <f t="shared" si="2"/>
        <v>0</v>
      </c>
      <c r="X66" s="147" t="s">
        <v>277</v>
      </c>
      <c r="Y66" s="45">
        <f t="shared" si="3"/>
        <v>0</v>
      </c>
      <c r="Z66" s="43" t="s">
        <v>284</v>
      </c>
      <c r="AA66" s="45">
        <f t="shared" si="4"/>
        <v>0</v>
      </c>
      <c r="AB66" s="43" t="s">
        <v>285</v>
      </c>
      <c r="AC66" s="44">
        <f t="shared" si="8"/>
        <v>0</v>
      </c>
      <c r="AD66" s="101"/>
      <c r="AE66" s="98">
        <v>6</v>
      </c>
      <c r="AF66" s="97">
        <f t="shared" si="9"/>
        <v>0</v>
      </c>
      <c r="AG66" s="97">
        <v>4571</v>
      </c>
      <c r="AH66" s="82">
        <f t="shared" si="10"/>
        <v>380.91666666666669</v>
      </c>
      <c r="AI66" s="98" t="s">
        <v>896</v>
      </c>
      <c r="AJ66" s="75">
        <f t="shared" si="5"/>
        <v>0</v>
      </c>
      <c r="AK66" s="73">
        <f t="shared" si="11"/>
        <v>380.91666666666669</v>
      </c>
    </row>
    <row r="67" spans="1:41" s="38" customFormat="1">
      <c r="A67" s="122" t="s">
        <v>730</v>
      </c>
      <c r="B67" s="42"/>
      <c r="C67" s="42"/>
      <c r="D67" s="134"/>
      <c r="E67" s="43"/>
      <c r="F67" s="74"/>
      <c r="G67" s="42"/>
      <c r="H67" s="42"/>
      <c r="I67" s="42"/>
      <c r="J67" s="123"/>
      <c r="K67" s="80"/>
      <c r="L67" s="43"/>
      <c r="M67" s="80"/>
      <c r="N67" s="141">
        <f t="shared" si="0"/>
        <v>0</v>
      </c>
      <c r="O67" s="142"/>
      <c r="P67" s="142"/>
      <c r="Q67" s="141">
        <f t="shared" si="6"/>
        <v>0</v>
      </c>
      <c r="R67" s="142"/>
      <c r="S67" s="142">
        <f t="shared" si="1"/>
        <v>0</v>
      </c>
      <c r="T67" s="142" t="s">
        <v>273</v>
      </c>
      <c r="U67" s="141">
        <f t="shared" ref="U67:U129" si="23">(K67+M67)*$I$1</f>
        <v>0</v>
      </c>
      <c r="V67" s="142" t="s">
        <v>274</v>
      </c>
      <c r="W67" s="146">
        <f t="shared" si="2"/>
        <v>0</v>
      </c>
      <c r="X67" s="147" t="s">
        <v>277</v>
      </c>
      <c r="Y67" s="45">
        <f t="shared" si="3"/>
        <v>0</v>
      </c>
      <c r="Z67" s="43" t="s">
        <v>284</v>
      </c>
      <c r="AA67" s="45">
        <f t="shared" si="4"/>
        <v>0</v>
      </c>
      <c r="AB67" s="43" t="s">
        <v>285</v>
      </c>
      <c r="AC67" s="44">
        <f t="shared" si="8"/>
        <v>0</v>
      </c>
      <c r="AD67" s="101"/>
      <c r="AE67" s="98">
        <v>6</v>
      </c>
      <c r="AF67" s="97">
        <f t="shared" si="9"/>
        <v>0</v>
      </c>
      <c r="AG67" s="97">
        <v>3800</v>
      </c>
      <c r="AH67" s="82">
        <f t="shared" si="10"/>
        <v>316.66666666666669</v>
      </c>
      <c r="AI67" s="98" t="s">
        <v>896</v>
      </c>
      <c r="AJ67" s="75">
        <f t="shared" ref="AJ67:AJ130" si="24">N67+S67+U67+W67</f>
        <v>0</v>
      </c>
      <c r="AK67" s="73">
        <f t="shared" si="11"/>
        <v>316.66666666666669</v>
      </c>
    </row>
    <row r="68" spans="1:41" s="38" customFormat="1">
      <c r="A68" s="122" t="s">
        <v>731</v>
      </c>
      <c r="B68" s="42"/>
      <c r="C68" s="42"/>
      <c r="D68" s="134"/>
      <c r="E68" s="43"/>
      <c r="F68" s="74"/>
      <c r="G68" s="42"/>
      <c r="H68" s="42"/>
      <c r="I68" s="42"/>
      <c r="J68" s="123"/>
      <c r="K68" s="80"/>
      <c r="L68" s="43"/>
      <c r="M68" s="80"/>
      <c r="N68" s="141">
        <f t="shared" si="0"/>
        <v>0</v>
      </c>
      <c r="O68" s="142"/>
      <c r="P68" s="142"/>
      <c r="Q68" s="141">
        <f t="shared" si="6"/>
        <v>0</v>
      </c>
      <c r="R68" s="142"/>
      <c r="S68" s="142">
        <f t="shared" si="1"/>
        <v>0</v>
      </c>
      <c r="T68" s="142" t="s">
        <v>273</v>
      </c>
      <c r="U68" s="141">
        <f t="shared" si="23"/>
        <v>0</v>
      </c>
      <c r="V68" s="142" t="s">
        <v>274</v>
      </c>
      <c r="W68" s="146">
        <f t="shared" si="2"/>
        <v>0</v>
      </c>
      <c r="X68" s="147" t="s">
        <v>277</v>
      </c>
      <c r="Y68" s="45">
        <f t="shared" si="3"/>
        <v>0</v>
      </c>
      <c r="Z68" s="43" t="s">
        <v>284</v>
      </c>
      <c r="AA68" s="45">
        <f t="shared" si="4"/>
        <v>0</v>
      </c>
      <c r="AB68" s="43" t="s">
        <v>285</v>
      </c>
      <c r="AC68" s="44">
        <f t="shared" ref="AC68:AC131" si="25">N68+S68+U68+W68+Y68+AA68</f>
        <v>0</v>
      </c>
      <c r="AD68" s="101"/>
      <c r="AE68" s="98">
        <v>6</v>
      </c>
      <c r="AF68" s="97">
        <f t="shared" ref="AF68:AF131" si="26">N68</f>
        <v>0</v>
      </c>
      <c r="AG68" s="97">
        <v>4571</v>
      </c>
      <c r="AH68" s="82">
        <f t="shared" ref="AH68:AH131" si="27">(AF68+(AG68/6))/12*AE68</f>
        <v>380.91666666666669</v>
      </c>
      <c r="AI68" s="98" t="s">
        <v>896</v>
      </c>
      <c r="AJ68" s="75">
        <f t="shared" si="24"/>
        <v>0</v>
      </c>
      <c r="AK68" s="73">
        <f t="shared" ref="AK68:AK124" si="28">AC68+AH68</f>
        <v>380.91666666666669</v>
      </c>
    </row>
    <row r="69" spans="1:41" s="38" customFormat="1">
      <c r="A69" s="122" t="s">
        <v>732</v>
      </c>
      <c r="B69" s="42"/>
      <c r="C69" s="42"/>
      <c r="D69" s="134"/>
      <c r="E69" s="43"/>
      <c r="F69" s="74"/>
      <c r="G69" s="42"/>
      <c r="H69" s="42"/>
      <c r="I69" s="42"/>
      <c r="J69" s="123"/>
      <c r="K69" s="80"/>
      <c r="L69" s="43"/>
      <c r="M69" s="80"/>
      <c r="N69" s="141">
        <f t="shared" si="0"/>
        <v>0</v>
      </c>
      <c r="O69" s="142"/>
      <c r="P69" s="142"/>
      <c r="Q69" s="141">
        <f t="shared" si="6"/>
        <v>0</v>
      </c>
      <c r="R69" s="142"/>
      <c r="S69" s="142">
        <f t="shared" si="1"/>
        <v>0</v>
      </c>
      <c r="T69" s="142" t="s">
        <v>273</v>
      </c>
      <c r="U69" s="141">
        <f t="shared" si="23"/>
        <v>0</v>
      </c>
      <c r="V69" s="142" t="s">
        <v>274</v>
      </c>
      <c r="W69" s="146">
        <f t="shared" si="2"/>
        <v>0</v>
      </c>
      <c r="X69" s="147" t="s">
        <v>277</v>
      </c>
      <c r="Y69" s="45">
        <f t="shared" si="3"/>
        <v>0</v>
      </c>
      <c r="Z69" s="43" t="s">
        <v>284</v>
      </c>
      <c r="AA69" s="45">
        <f t="shared" si="4"/>
        <v>0</v>
      </c>
      <c r="AB69" s="43" t="s">
        <v>285</v>
      </c>
      <c r="AC69" s="44">
        <f t="shared" si="25"/>
        <v>0</v>
      </c>
      <c r="AD69" s="101"/>
      <c r="AE69" s="98">
        <v>6</v>
      </c>
      <c r="AF69" s="97">
        <f t="shared" si="26"/>
        <v>0</v>
      </c>
      <c r="AG69" s="97">
        <v>3800</v>
      </c>
      <c r="AH69" s="82">
        <f t="shared" si="27"/>
        <v>316.66666666666669</v>
      </c>
      <c r="AI69" s="98" t="s">
        <v>896</v>
      </c>
      <c r="AJ69" s="75">
        <f t="shared" si="24"/>
        <v>0</v>
      </c>
      <c r="AK69" s="73">
        <f t="shared" si="28"/>
        <v>316.66666666666669</v>
      </c>
    </row>
    <row r="70" spans="1:41" s="38" customFormat="1">
      <c r="A70" s="122" t="s">
        <v>733</v>
      </c>
      <c r="B70" s="42"/>
      <c r="C70" s="42"/>
      <c r="D70" s="134"/>
      <c r="E70" s="43"/>
      <c r="F70" s="74"/>
      <c r="G70" s="42"/>
      <c r="H70" s="42"/>
      <c r="I70" s="42"/>
      <c r="J70" s="123"/>
      <c r="K70" s="80"/>
      <c r="L70" s="43"/>
      <c r="M70" s="80"/>
      <c r="N70" s="141">
        <f t="shared" ref="N70:N131" si="29">SUM(K70:M70)*$D$1</f>
        <v>0</v>
      </c>
      <c r="O70" s="142"/>
      <c r="P70" s="142"/>
      <c r="Q70" s="141">
        <f t="shared" si="6"/>
        <v>0</v>
      </c>
      <c r="R70" s="142"/>
      <c r="S70" s="142">
        <f t="shared" ref="S70:S241" si="30">IF($L$1="SI",400,0)</f>
        <v>0</v>
      </c>
      <c r="T70" s="142" t="s">
        <v>273</v>
      </c>
      <c r="U70" s="141">
        <f t="shared" si="23"/>
        <v>0</v>
      </c>
      <c r="V70" s="142" t="s">
        <v>274</v>
      </c>
      <c r="W70" s="146">
        <f t="shared" ref="W70:W131" si="31">IF(G70="RIMAC EPS EMPRESA PRESTADORA DE SALUD",((((K70*40%)+M70)*0.0675)*$I$1),((((K70*40%)+M70)*0.09))*$I$1)</f>
        <v>0</v>
      </c>
      <c r="X70" s="147" t="s">
        <v>277</v>
      </c>
      <c r="Y70" s="45">
        <f t="shared" ref="Y70:Y137" si="32">IF(G70="RIMAC EPS EMPRESA PRESTADORA DE SALUD",((((K70*40%)+M70)*0.0675)*$D$1),((((K70*40%)+M70)*0.09))*$D$1)</f>
        <v>0</v>
      </c>
      <c r="Z70" s="43" t="s">
        <v>284</v>
      </c>
      <c r="AA70" s="45">
        <f t="shared" ref="AA70:AA137" si="33">IF(G70="RIMAC EPS EMPRESA PRESTADORA DE SALUD",((K70*40%)+M70)*0.0225*$D$1+Q70*0.0225,0)</f>
        <v>0</v>
      </c>
      <c r="AB70" s="43" t="s">
        <v>285</v>
      </c>
      <c r="AC70" s="44">
        <f t="shared" si="25"/>
        <v>0</v>
      </c>
      <c r="AD70" s="101"/>
      <c r="AE70" s="98">
        <v>6</v>
      </c>
      <c r="AF70" s="97">
        <f t="shared" si="26"/>
        <v>0</v>
      </c>
      <c r="AG70" s="97">
        <v>3800</v>
      </c>
      <c r="AH70" s="82">
        <f t="shared" si="27"/>
        <v>316.66666666666669</v>
      </c>
      <c r="AI70" s="98" t="s">
        <v>896</v>
      </c>
      <c r="AJ70" s="75">
        <f t="shared" si="24"/>
        <v>0</v>
      </c>
      <c r="AK70" s="73">
        <f t="shared" si="28"/>
        <v>316.66666666666669</v>
      </c>
    </row>
    <row r="71" spans="1:41" s="38" customFormat="1">
      <c r="A71" s="122" t="s">
        <v>734</v>
      </c>
      <c r="B71" s="42"/>
      <c r="C71" s="42"/>
      <c r="D71" s="134"/>
      <c r="E71" s="43"/>
      <c r="F71" s="74"/>
      <c r="G71" s="42"/>
      <c r="H71" s="42"/>
      <c r="I71" s="42"/>
      <c r="J71" s="123"/>
      <c r="K71" s="80"/>
      <c r="L71" s="43"/>
      <c r="M71" s="80"/>
      <c r="N71" s="141">
        <f t="shared" si="29"/>
        <v>0</v>
      </c>
      <c r="O71" s="142"/>
      <c r="P71" s="142"/>
      <c r="Q71" s="141">
        <f t="shared" ref="Q71:Q138" si="34">+P71*$D$1</f>
        <v>0</v>
      </c>
      <c r="R71" s="142"/>
      <c r="S71" s="142">
        <f t="shared" si="30"/>
        <v>0</v>
      </c>
      <c r="T71" s="142" t="s">
        <v>273</v>
      </c>
      <c r="U71" s="141">
        <f t="shared" si="23"/>
        <v>0</v>
      </c>
      <c r="V71" s="142" t="s">
        <v>274</v>
      </c>
      <c r="W71" s="146">
        <f t="shared" si="31"/>
        <v>0</v>
      </c>
      <c r="X71" s="147" t="s">
        <v>277</v>
      </c>
      <c r="Y71" s="45">
        <f t="shared" si="32"/>
        <v>0</v>
      </c>
      <c r="Z71" s="43" t="s">
        <v>284</v>
      </c>
      <c r="AA71" s="45">
        <f t="shared" si="33"/>
        <v>0</v>
      </c>
      <c r="AB71" s="43" t="s">
        <v>285</v>
      </c>
      <c r="AC71" s="44">
        <f t="shared" si="25"/>
        <v>0</v>
      </c>
      <c r="AD71" s="101"/>
      <c r="AE71" s="98">
        <v>6</v>
      </c>
      <c r="AF71" s="97">
        <f t="shared" si="26"/>
        <v>0</v>
      </c>
      <c r="AG71" s="97">
        <v>4664</v>
      </c>
      <c r="AH71" s="82">
        <f t="shared" si="27"/>
        <v>388.66666666666674</v>
      </c>
      <c r="AI71" s="98" t="s">
        <v>896</v>
      </c>
      <c r="AJ71" s="75">
        <f t="shared" si="24"/>
        <v>0</v>
      </c>
      <c r="AK71" s="73">
        <f t="shared" si="28"/>
        <v>388.66666666666674</v>
      </c>
    </row>
    <row r="72" spans="1:41" s="38" customFormat="1">
      <c r="A72" s="122" t="s">
        <v>735</v>
      </c>
      <c r="B72" s="42"/>
      <c r="C72" s="42"/>
      <c r="D72" s="134"/>
      <c r="E72" s="43"/>
      <c r="F72" s="74"/>
      <c r="G72" s="42"/>
      <c r="H72" s="42"/>
      <c r="I72" s="42"/>
      <c r="J72" s="123"/>
      <c r="K72" s="80"/>
      <c r="L72" s="43"/>
      <c r="M72" s="80"/>
      <c r="N72" s="141">
        <f t="shared" si="29"/>
        <v>0</v>
      </c>
      <c r="O72" s="142"/>
      <c r="P72" s="142"/>
      <c r="Q72" s="141">
        <f t="shared" si="34"/>
        <v>0</v>
      </c>
      <c r="R72" s="142"/>
      <c r="S72" s="142">
        <f t="shared" si="30"/>
        <v>0</v>
      </c>
      <c r="T72" s="142" t="s">
        <v>273</v>
      </c>
      <c r="U72" s="141">
        <f t="shared" si="23"/>
        <v>0</v>
      </c>
      <c r="V72" s="142" t="s">
        <v>274</v>
      </c>
      <c r="W72" s="146">
        <f t="shared" si="31"/>
        <v>0</v>
      </c>
      <c r="X72" s="147" t="s">
        <v>277</v>
      </c>
      <c r="Y72" s="45">
        <f t="shared" si="32"/>
        <v>0</v>
      </c>
      <c r="Z72" s="43" t="s">
        <v>284</v>
      </c>
      <c r="AA72" s="45">
        <f t="shared" si="33"/>
        <v>0</v>
      </c>
      <c r="AB72" s="43" t="s">
        <v>285</v>
      </c>
      <c r="AC72" s="44">
        <f t="shared" si="25"/>
        <v>0</v>
      </c>
      <c r="AD72" s="101"/>
      <c r="AE72" s="98">
        <v>6</v>
      </c>
      <c r="AF72" s="97">
        <f t="shared" si="26"/>
        <v>0</v>
      </c>
      <c r="AG72" s="97">
        <v>3800</v>
      </c>
      <c r="AH72" s="82">
        <f t="shared" si="27"/>
        <v>316.66666666666669</v>
      </c>
      <c r="AI72" s="98" t="s">
        <v>896</v>
      </c>
      <c r="AJ72" s="75">
        <f t="shared" si="24"/>
        <v>0</v>
      </c>
      <c r="AK72" s="73">
        <f t="shared" si="28"/>
        <v>316.66666666666669</v>
      </c>
    </row>
    <row r="73" spans="1:41" s="38" customFormat="1">
      <c r="A73" s="122" t="s">
        <v>736</v>
      </c>
      <c r="B73" s="42"/>
      <c r="C73" s="42"/>
      <c r="D73" s="134"/>
      <c r="E73" s="43"/>
      <c r="F73" s="74"/>
      <c r="G73" s="42"/>
      <c r="H73" s="42"/>
      <c r="I73" s="42"/>
      <c r="J73" s="123"/>
      <c r="K73" s="80"/>
      <c r="L73" s="43"/>
      <c r="M73" s="80"/>
      <c r="N73" s="141">
        <f t="shared" si="29"/>
        <v>0</v>
      </c>
      <c r="O73" s="142"/>
      <c r="P73" s="142"/>
      <c r="Q73" s="141">
        <f t="shared" si="34"/>
        <v>0</v>
      </c>
      <c r="R73" s="142"/>
      <c r="S73" s="142">
        <f t="shared" si="30"/>
        <v>0</v>
      </c>
      <c r="T73" s="142" t="s">
        <v>273</v>
      </c>
      <c r="U73" s="141">
        <f t="shared" si="23"/>
        <v>0</v>
      </c>
      <c r="V73" s="142" t="s">
        <v>274</v>
      </c>
      <c r="W73" s="146">
        <f t="shared" si="31"/>
        <v>0</v>
      </c>
      <c r="X73" s="147" t="s">
        <v>277</v>
      </c>
      <c r="Y73" s="45">
        <f t="shared" si="32"/>
        <v>0</v>
      </c>
      <c r="Z73" s="43" t="s">
        <v>284</v>
      </c>
      <c r="AA73" s="45">
        <f t="shared" si="33"/>
        <v>0</v>
      </c>
      <c r="AB73" s="43" t="s">
        <v>285</v>
      </c>
      <c r="AC73" s="44">
        <f t="shared" si="25"/>
        <v>0</v>
      </c>
      <c r="AD73" s="101"/>
      <c r="AE73" s="98">
        <v>6</v>
      </c>
      <c r="AF73" s="97">
        <f t="shared" si="26"/>
        <v>0</v>
      </c>
      <c r="AG73" s="97">
        <v>5950</v>
      </c>
      <c r="AH73" s="82">
        <f t="shared" si="27"/>
        <v>495.83333333333331</v>
      </c>
      <c r="AI73" s="98" t="s">
        <v>896</v>
      </c>
      <c r="AJ73" s="75">
        <f t="shared" si="24"/>
        <v>0</v>
      </c>
      <c r="AK73" s="73">
        <f t="shared" si="28"/>
        <v>495.83333333333331</v>
      </c>
    </row>
    <row r="74" spans="1:41" s="38" customFormat="1">
      <c r="A74" s="122" t="s">
        <v>737</v>
      </c>
      <c r="B74" s="42"/>
      <c r="C74" s="42"/>
      <c r="D74" s="134"/>
      <c r="E74" s="43"/>
      <c r="F74" s="74"/>
      <c r="G74" s="42"/>
      <c r="H74" s="42"/>
      <c r="I74" s="42"/>
      <c r="J74" s="123"/>
      <c r="K74" s="80"/>
      <c r="L74" s="43"/>
      <c r="M74" s="80"/>
      <c r="N74" s="141">
        <f t="shared" si="29"/>
        <v>0</v>
      </c>
      <c r="O74" s="142"/>
      <c r="P74" s="142"/>
      <c r="Q74" s="141">
        <f t="shared" si="34"/>
        <v>0</v>
      </c>
      <c r="R74" s="142"/>
      <c r="S74" s="142">
        <f t="shared" si="30"/>
        <v>0</v>
      </c>
      <c r="T74" s="142" t="s">
        <v>273</v>
      </c>
      <c r="U74" s="141">
        <f t="shared" si="23"/>
        <v>0</v>
      </c>
      <c r="V74" s="142" t="s">
        <v>274</v>
      </c>
      <c r="W74" s="146">
        <f t="shared" si="31"/>
        <v>0</v>
      </c>
      <c r="X74" s="147" t="s">
        <v>277</v>
      </c>
      <c r="Y74" s="45">
        <f t="shared" si="32"/>
        <v>0</v>
      </c>
      <c r="Z74" s="43" t="s">
        <v>284</v>
      </c>
      <c r="AA74" s="45">
        <f t="shared" si="33"/>
        <v>0</v>
      </c>
      <c r="AB74" s="43" t="s">
        <v>285</v>
      </c>
      <c r="AC74" s="44">
        <f t="shared" si="25"/>
        <v>0</v>
      </c>
      <c r="AD74" s="101"/>
      <c r="AE74" s="98">
        <v>6</v>
      </c>
      <c r="AF74" s="97">
        <f t="shared" si="26"/>
        <v>0</v>
      </c>
      <c r="AG74" s="97">
        <v>3800</v>
      </c>
      <c r="AH74" s="82">
        <f t="shared" si="27"/>
        <v>316.66666666666669</v>
      </c>
      <c r="AI74" s="98" t="s">
        <v>896</v>
      </c>
      <c r="AJ74" s="75">
        <f t="shared" si="24"/>
        <v>0</v>
      </c>
      <c r="AK74" s="73">
        <f t="shared" si="28"/>
        <v>316.66666666666669</v>
      </c>
    </row>
    <row r="75" spans="1:41" s="38" customFormat="1">
      <c r="A75" s="122" t="s">
        <v>738</v>
      </c>
      <c r="B75" s="42"/>
      <c r="C75" s="42"/>
      <c r="D75" s="134"/>
      <c r="E75" s="43"/>
      <c r="F75" s="74"/>
      <c r="G75" s="42"/>
      <c r="H75" s="42"/>
      <c r="I75" s="42"/>
      <c r="J75" s="123"/>
      <c r="K75" s="80"/>
      <c r="L75" s="43"/>
      <c r="M75" s="80"/>
      <c r="N75" s="141">
        <f t="shared" si="29"/>
        <v>0</v>
      </c>
      <c r="O75" s="142"/>
      <c r="P75" s="142"/>
      <c r="Q75" s="141">
        <f t="shared" si="34"/>
        <v>0</v>
      </c>
      <c r="R75" s="142"/>
      <c r="S75" s="142">
        <f t="shared" si="30"/>
        <v>0</v>
      </c>
      <c r="T75" s="142" t="s">
        <v>273</v>
      </c>
      <c r="U75" s="141">
        <f t="shared" si="23"/>
        <v>0</v>
      </c>
      <c r="V75" s="142" t="s">
        <v>274</v>
      </c>
      <c r="W75" s="146">
        <f t="shared" si="31"/>
        <v>0</v>
      </c>
      <c r="X75" s="147" t="s">
        <v>277</v>
      </c>
      <c r="Y75" s="45">
        <f t="shared" si="32"/>
        <v>0</v>
      </c>
      <c r="Z75" s="43" t="s">
        <v>284</v>
      </c>
      <c r="AA75" s="45">
        <f t="shared" si="33"/>
        <v>0</v>
      </c>
      <c r="AB75" s="43" t="s">
        <v>285</v>
      </c>
      <c r="AC75" s="44">
        <f t="shared" si="25"/>
        <v>0</v>
      </c>
      <c r="AD75" s="101"/>
      <c r="AE75" s="98">
        <v>6</v>
      </c>
      <c r="AF75" s="97">
        <f t="shared" si="26"/>
        <v>0</v>
      </c>
      <c r="AG75" s="97">
        <v>4571</v>
      </c>
      <c r="AH75" s="82">
        <f t="shared" si="27"/>
        <v>380.91666666666669</v>
      </c>
      <c r="AI75" s="98" t="s">
        <v>896</v>
      </c>
      <c r="AJ75" s="75">
        <f t="shared" si="24"/>
        <v>0</v>
      </c>
      <c r="AK75" s="73">
        <f t="shared" si="28"/>
        <v>380.91666666666669</v>
      </c>
    </row>
    <row r="76" spans="1:41" s="38" customFormat="1">
      <c r="A76" s="122" t="s">
        <v>739</v>
      </c>
      <c r="B76" s="42"/>
      <c r="C76" s="42"/>
      <c r="D76" s="134"/>
      <c r="E76" s="43"/>
      <c r="F76" s="74"/>
      <c r="G76" s="42"/>
      <c r="H76" s="42"/>
      <c r="I76" s="42"/>
      <c r="J76" s="123"/>
      <c r="K76" s="80"/>
      <c r="L76" s="43"/>
      <c r="M76" s="80"/>
      <c r="N76" s="141">
        <f t="shared" si="29"/>
        <v>0</v>
      </c>
      <c r="O76" s="142"/>
      <c r="P76" s="142"/>
      <c r="Q76" s="141">
        <f t="shared" si="34"/>
        <v>0</v>
      </c>
      <c r="R76" s="142"/>
      <c r="S76" s="142">
        <f t="shared" si="30"/>
        <v>0</v>
      </c>
      <c r="T76" s="142" t="s">
        <v>273</v>
      </c>
      <c r="U76" s="141">
        <f t="shared" si="23"/>
        <v>0</v>
      </c>
      <c r="V76" s="142" t="s">
        <v>274</v>
      </c>
      <c r="W76" s="146">
        <f t="shared" si="31"/>
        <v>0</v>
      </c>
      <c r="X76" s="147" t="s">
        <v>277</v>
      </c>
      <c r="Y76" s="45">
        <f t="shared" si="32"/>
        <v>0</v>
      </c>
      <c r="Z76" s="43" t="s">
        <v>284</v>
      </c>
      <c r="AA76" s="45">
        <f t="shared" si="33"/>
        <v>0</v>
      </c>
      <c r="AB76" s="43" t="s">
        <v>285</v>
      </c>
      <c r="AC76" s="44">
        <f t="shared" si="25"/>
        <v>0</v>
      </c>
      <c r="AD76" s="101"/>
      <c r="AE76" s="98">
        <v>6</v>
      </c>
      <c r="AF76" s="97">
        <f t="shared" si="26"/>
        <v>0</v>
      </c>
      <c r="AG76" s="97">
        <v>4571</v>
      </c>
      <c r="AH76" s="82">
        <f t="shared" si="27"/>
        <v>380.91666666666669</v>
      </c>
      <c r="AI76" s="98" t="s">
        <v>896</v>
      </c>
      <c r="AJ76" s="75">
        <f t="shared" si="24"/>
        <v>0</v>
      </c>
      <c r="AK76" s="73">
        <f t="shared" si="28"/>
        <v>380.91666666666669</v>
      </c>
    </row>
    <row r="77" spans="1:41" s="38" customFormat="1">
      <c r="A77" s="122" t="s">
        <v>740</v>
      </c>
      <c r="B77" s="42"/>
      <c r="C77" s="42"/>
      <c r="D77" s="134"/>
      <c r="E77" s="43"/>
      <c r="F77" s="74"/>
      <c r="G77" s="42"/>
      <c r="H77" s="42"/>
      <c r="I77" s="42"/>
      <c r="J77" s="123"/>
      <c r="K77" s="80"/>
      <c r="L77" s="43"/>
      <c r="M77" s="80"/>
      <c r="N77" s="141">
        <f t="shared" si="29"/>
        <v>0</v>
      </c>
      <c r="O77" s="142"/>
      <c r="P77" s="142"/>
      <c r="Q77" s="141">
        <f t="shared" si="34"/>
        <v>0</v>
      </c>
      <c r="R77" s="142"/>
      <c r="S77" s="142">
        <f t="shared" si="30"/>
        <v>0</v>
      </c>
      <c r="T77" s="142" t="s">
        <v>273</v>
      </c>
      <c r="U77" s="141">
        <f t="shared" si="23"/>
        <v>0</v>
      </c>
      <c r="V77" s="142" t="s">
        <v>274</v>
      </c>
      <c r="W77" s="146">
        <f t="shared" si="31"/>
        <v>0</v>
      </c>
      <c r="X77" s="147" t="s">
        <v>277</v>
      </c>
      <c r="Y77" s="45">
        <f t="shared" si="32"/>
        <v>0</v>
      </c>
      <c r="Z77" s="43" t="s">
        <v>284</v>
      </c>
      <c r="AA77" s="45">
        <f t="shared" si="33"/>
        <v>0</v>
      </c>
      <c r="AB77" s="43" t="s">
        <v>285</v>
      </c>
      <c r="AC77" s="44">
        <f t="shared" si="25"/>
        <v>0</v>
      </c>
      <c r="AD77" s="101"/>
      <c r="AE77" s="98">
        <v>6</v>
      </c>
      <c r="AF77" s="97">
        <f t="shared" si="26"/>
        <v>0</v>
      </c>
      <c r="AG77" s="97">
        <v>3893</v>
      </c>
      <c r="AH77" s="82">
        <f t="shared" si="27"/>
        <v>324.41666666666669</v>
      </c>
      <c r="AI77" s="98" t="s">
        <v>896</v>
      </c>
      <c r="AJ77" s="75">
        <f t="shared" si="24"/>
        <v>0</v>
      </c>
      <c r="AK77" s="73">
        <f t="shared" si="28"/>
        <v>324.41666666666669</v>
      </c>
    </row>
    <row r="78" spans="1:41" s="93" customFormat="1">
      <c r="A78" s="122" t="s">
        <v>890</v>
      </c>
      <c r="B78" s="87"/>
      <c r="C78" s="87"/>
      <c r="D78" s="135"/>
      <c r="E78" s="90"/>
      <c r="F78" s="88"/>
      <c r="G78" s="87"/>
      <c r="H78" s="87"/>
      <c r="I78" s="87"/>
      <c r="J78" s="123"/>
      <c r="K78" s="89"/>
      <c r="L78" s="90"/>
      <c r="M78" s="89"/>
      <c r="N78" s="141">
        <f t="shared" si="29"/>
        <v>0</v>
      </c>
      <c r="O78" s="142"/>
      <c r="P78" s="142"/>
      <c r="Q78" s="141">
        <f t="shared" si="34"/>
        <v>0</v>
      </c>
      <c r="R78" s="142"/>
      <c r="S78" s="142">
        <f t="shared" si="30"/>
        <v>0</v>
      </c>
      <c r="T78" s="142" t="s">
        <v>273</v>
      </c>
      <c r="U78" s="141">
        <f t="shared" si="23"/>
        <v>0</v>
      </c>
      <c r="V78" s="142" t="s">
        <v>274</v>
      </c>
      <c r="W78" s="146">
        <f t="shared" si="31"/>
        <v>0</v>
      </c>
      <c r="X78" s="147" t="s">
        <v>277</v>
      </c>
      <c r="Y78" s="91">
        <f t="shared" si="32"/>
        <v>0</v>
      </c>
      <c r="Z78" s="90" t="s">
        <v>284</v>
      </c>
      <c r="AA78" s="91">
        <f t="shared" si="33"/>
        <v>0</v>
      </c>
      <c r="AB78" s="90" t="s">
        <v>285</v>
      </c>
      <c r="AC78" s="44">
        <f t="shared" si="25"/>
        <v>0</v>
      </c>
      <c r="AD78" s="101"/>
      <c r="AE78" s="98">
        <v>6</v>
      </c>
      <c r="AF78" s="97">
        <f t="shared" si="26"/>
        <v>0</v>
      </c>
      <c r="AG78" s="97">
        <v>4571</v>
      </c>
      <c r="AH78" s="82">
        <f t="shared" si="27"/>
        <v>380.91666666666669</v>
      </c>
      <c r="AI78" s="105" t="s">
        <v>896</v>
      </c>
      <c r="AJ78" s="92">
        <f t="shared" si="24"/>
        <v>0</v>
      </c>
      <c r="AK78" s="73">
        <f t="shared" si="28"/>
        <v>380.91666666666669</v>
      </c>
      <c r="AL78" s="38"/>
      <c r="AM78" s="38"/>
      <c r="AN78" s="38"/>
      <c r="AO78" s="38"/>
    </row>
    <row r="79" spans="1:41" s="38" customFormat="1">
      <c r="A79" s="122" t="s">
        <v>741</v>
      </c>
      <c r="B79" s="42"/>
      <c r="C79" s="42"/>
      <c r="D79" s="134"/>
      <c r="E79" s="43"/>
      <c r="F79" s="74"/>
      <c r="G79" s="42"/>
      <c r="H79" s="42"/>
      <c r="I79" s="42"/>
      <c r="J79" s="123"/>
      <c r="K79" s="80"/>
      <c r="L79" s="43"/>
      <c r="M79" s="80"/>
      <c r="N79" s="141">
        <f t="shared" si="29"/>
        <v>0</v>
      </c>
      <c r="O79" s="142"/>
      <c r="P79" s="142"/>
      <c r="Q79" s="141">
        <f t="shared" si="34"/>
        <v>0</v>
      </c>
      <c r="R79" s="142"/>
      <c r="S79" s="142">
        <f t="shared" si="30"/>
        <v>0</v>
      </c>
      <c r="T79" s="142" t="s">
        <v>273</v>
      </c>
      <c r="U79" s="141">
        <f t="shared" si="23"/>
        <v>0</v>
      </c>
      <c r="V79" s="142" t="s">
        <v>274</v>
      </c>
      <c r="W79" s="146">
        <f t="shared" si="31"/>
        <v>0</v>
      </c>
      <c r="X79" s="147" t="s">
        <v>277</v>
      </c>
      <c r="Y79" s="45">
        <f t="shared" si="32"/>
        <v>0</v>
      </c>
      <c r="Z79" s="43" t="s">
        <v>284</v>
      </c>
      <c r="AA79" s="45">
        <f t="shared" si="33"/>
        <v>0</v>
      </c>
      <c r="AB79" s="43" t="s">
        <v>285</v>
      </c>
      <c r="AC79" s="44">
        <f t="shared" si="25"/>
        <v>0</v>
      </c>
      <c r="AD79" s="101"/>
      <c r="AE79" s="98">
        <v>6</v>
      </c>
      <c r="AF79" s="97">
        <f t="shared" si="26"/>
        <v>0</v>
      </c>
      <c r="AG79" s="97">
        <v>3893</v>
      </c>
      <c r="AH79" s="82">
        <f t="shared" si="27"/>
        <v>324.41666666666669</v>
      </c>
      <c r="AI79" s="98" t="s">
        <v>896</v>
      </c>
      <c r="AJ79" s="75">
        <f t="shared" si="24"/>
        <v>0</v>
      </c>
      <c r="AK79" s="73">
        <f t="shared" si="28"/>
        <v>324.41666666666669</v>
      </c>
      <c r="AL79" s="93"/>
      <c r="AM79" s="93"/>
      <c r="AN79" s="93"/>
      <c r="AO79" s="93"/>
    </row>
    <row r="80" spans="1:41" s="38" customFormat="1">
      <c r="A80" s="122" t="s">
        <v>891</v>
      </c>
      <c r="B80" s="42"/>
      <c r="C80" s="42"/>
      <c r="D80" s="134"/>
      <c r="E80" s="43"/>
      <c r="F80" s="74"/>
      <c r="G80" s="42"/>
      <c r="H80" s="42"/>
      <c r="I80" s="42"/>
      <c r="J80" s="123"/>
      <c r="K80" s="80"/>
      <c r="L80" s="43"/>
      <c r="M80" s="80"/>
      <c r="N80" s="141">
        <f t="shared" si="29"/>
        <v>0</v>
      </c>
      <c r="O80" s="142"/>
      <c r="P80" s="142"/>
      <c r="Q80" s="141">
        <f t="shared" si="34"/>
        <v>0</v>
      </c>
      <c r="R80" s="142"/>
      <c r="S80" s="142">
        <f t="shared" si="30"/>
        <v>0</v>
      </c>
      <c r="T80" s="142" t="s">
        <v>273</v>
      </c>
      <c r="U80" s="141">
        <f t="shared" si="23"/>
        <v>0</v>
      </c>
      <c r="V80" s="142" t="s">
        <v>274</v>
      </c>
      <c r="W80" s="146">
        <f t="shared" si="31"/>
        <v>0</v>
      </c>
      <c r="X80" s="147" t="s">
        <v>277</v>
      </c>
      <c r="Y80" s="45">
        <f t="shared" si="32"/>
        <v>0</v>
      </c>
      <c r="Z80" s="43" t="s">
        <v>284</v>
      </c>
      <c r="AA80" s="45">
        <f t="shared" si="33"/>
        <v>0</v>
      </c>
      <c r="AB80" s="43" t="s">
        <v>285</v>
      </c>
      <c r="AC80" s="44">
        <f t="shared" si="25"/>
        <v>0</v>
      </c>
      <c r="AD80" s="101"/>
      <c r="AE80" s="98">
        <v>6</v>
      </c>
      <c r="AF80" s="97">
        <f t="shared" si="26"/>
        <v>0</v>
      </c>
      <c r="AG80" s="97">
        <v>4571</v>
      </c>
      <c r="AH80" s="82">
        <f t="shared" si="27"/>
        <v>380.91666666666669</v>
      </c>
      <c r="AI80" s="98" t="s">
        <v>896</v>
      </c>
      <c r="AJ80" s="75">
        <f t="shared" si="24"/>
        <v>0</v>
      </c>
      <c r="AK80" s="73">
        <f t="shared" si="28"/>
        <v>380.91666666666669</v>
      </c>
    </row>
    <row r="81" spans="1:41" s="38" customFormat="1">
      <c r="A81" s="122" t="s">
        <v>742</v>
      </c>
      <c r="B81" s="42"/>
      <c r="C81" s="42"/>
      <c r="D81" s="134"/>
      <c r="E81" s="43"/>
      <c r="F81" s="74"/>
      <c r="G81" s="42"/>
      <c r="H81" s="42"/>
      <c r="I81" s="42"/>
      <c r="J81" s="123"/>
      <c r="K81" s="80"/>
      <c r="L81" s="43"/>
      <c r="M81" s="80"/>
      <c r="N81" s="141">
        <f t="shared" si="29"/>
        <v>0</v>
      </c>
      <c r="O81" s="142"/>
      <c r="P81" s="142"/>
      <c r="Q81" s="141">
        <f t="shared" si="34"/>
        <v>0</v>
      </c>
      <c r="R81" s="142"/>
      <c r="S81" s="142">
        <f t="shared" si="30"/>
        <v>0</v>
      </c>
      <c r="T81" s="142" t="s">
        <v>273</v>
      </c>
      <c r="U81" s="141">
        <f t="shared" si="23"/>
        <v>0</v>
      </c>
      <c r="V81" s="142" t="s">
        <v>274</v>
      </c>
      <c r="W81" s="146">
        <f t="shared" si="31"/>
        <v>0</v>
      </c>
      <c r="X81" s="147" t="s">
        <v>277</v>
      </c>
      <c r="Y81" s="45">
        <f t="shared" si="32"/>
        <v>0</v>
      </c>
      <c r="Z81" s="43" t="s">
        <v>284</v>
      </c>
      <c r="AA81" s="45">
        <f t="shared" si="33"/>
        <v>0</v>
      </c>
      <c r="AB81" s="43" t="s">
        <v>285</v>
      </c>
      <c r="AC81" s="44">
        <f t="shared" si="25"/>
        <v>0</v>
      </c>
      <c r="AD81" s="101"/>
      <c r="AE81" s="98">
        <v>6</v>
      </c>
      <c r="AF81" s="97">
        <f t="shared" si="26"/>
        <v>0</v>
      </c>
      <c r="AG81" s="97">
        <v>4571</v>
      </c>
      <c r="AH81" s="82">
        <f t="shared" si="27"/>
        <v>380.91666666666669</v>
      </c>
      <c r="AI81" s="98" t="s">
        <v>896</v>
      </c>
      <c r="AJ81" s="75">
        <f t="shared" si="24"/>
        <v>0</v>
      </c>
      <c r="AK81" s="73">
        <f t="shared" si="28"/>
        <v>380.91666666666669</v>
      </c>
    </row>
    <row r="82" spans="1:41" s="93" customFormat="1">
      <c r="A82" s="122" t="s">
        <v>743</v>
      </c>
      <c r="B82" s="94"/>
      <c r="C82" s="94"/>
      <c r="D82" s="135"/>
      <c r="E82" s="90"/>
      <c r="F82" s="88"/>
      <c r="G82" s="87"/>
      <c r="H82" s="94"/>
      <c r="I82" s="87"/>
      <c r="J82" s="123"/>
      <c r="K82" s="89"/>
      <c r="L82" s="90"/>
      <c r="M82" s="89"/>
      <c r="N82" s="141">
        <f t="shared" si="29"/>
        <v>0</v>
      </c>
      <c r="O82" s="142"/>
      <c r="P82" s="142"/>
      <c r="Q82" s="141">
        <f t="shared" si="34"/>
        <v>0</v>
      </c>
      <c r="R82" s="142"/>
      <c r="S82" s="142">
        <f t="shared" si="30"/>
        <v>0</v>
      </c>
      <c r="T82" s="142" t="s">
        <v>273</v>
      </c>
      <c r="U82" s="141">
        <f t="shared" si="23"/>
        <v>0</v>
      </c>
      <c r="V82" s="142" t="s">
        <v>274</v>
      </c>
      <c r="W82" s="146">
        <f t="shared" si="31"/>
        <v>0</v>
      </c>
      <c r="X82" s="147" t="s">
        <v>277</v>
      </c>
      <c r="Y82" s="91">
        <f t="shared" si="32"/>
        <v>0</v>
      </c>
      <c r="Z82" s="90" t="s">
        <v>284</v>
      </c>
      <c r="AA82" s="91">
        <f t="shared" si="33"/>
        <v>0</v>
      </c>
      <c r="AB82" s="90" t="s">
        <v>285</v>
      </c>
      <c r="AC82" s="44">
        <f t="shared" si="25"/>
        <v>0</v>
      </c>
      <c r="AD82" s="101"/>
      <c r="AE82" s="98">
        <v>6</v>
      </c>
      <c r="AF82" s="97">
        <f t="shared" si="26"/>
        <v>0</v>
      </c>
      <c r="AG82" s="97">
        <v>4571</v>
      </c>
      <c r="AH82" s="82">
        <f t="shared" si="27"/>
        <v>380.91666666666669</v>
      </c>
      <c r="AI82" s="105" t="s">
        <v>896</v>
      </c>
      <c r="AJ82" s="92">
        <f t="shared" si="24"/>
        <v>0</v>
      </c>
      <c r="AK82" s="73">
        <f t="shared" si="28"/>
        <v>380.91666666666669</v>
      </c>
      <c r="AL82" s="38"/>
      <c r="AM82" s="38"/>
      <c r="AN82" s="38"/>
      <c r="AO82" s="38"/>
    </row>
    <row r="83" spans="1:41" s="38" customFormat="1">
      <c r="A83" s="122" t="s">
        <v>744</v>
      </c>
      <c r="B83" s="42"/>
      <c r="C83" s="42"/>
      <c r="D83" s="134"/>
      <c r="E83" s="43"/>
      <c r="F83" s="74"/>
      <c r="G83" s="42"/>
      <c r="H83" s="42"/>
      <c r="I83" s="42"/>
      <c r="J83" s="123"/>
      <c r="K83" s="80"/>
      <c r="L83" s="43"/>
      <c r="M83" s="80"/>
      <c r="N83" s="141">
        <f t="shared" si="29"/>
        <v>0</v>
      </c>
      <c r="O83" s="142"/>
      <c r="P83" s="142"/>
      <c r="Q83" s="141">
        <f t="shared" si="34"/>
        <v>0</v>
      </c>
      <c r="R83" s="142"/>
      <c r="S83" s="142">
        <f t="shared" si="30"/>
        <v>0</v>
      </c>
      <c r="T83" s="142" t="s">
        <v>273</v>
      </c>
      <c r="U83" s="141">
        <f t="shared" si="23"/>
        <v>0</v>
      </c>
      <c r="V83" s="142" t="s">
        <v>274</v>
      </c>
      <c r="W83" s="146">
        <f t="shared" si="31"/>
        <v>0</v>
      </c>
      <c r="X83" s="147" t="s">
        <v>277</v>
      </c>
      <c r="Y83" s="45">
        <f t="shared" si="32"/>
        <v>0</v>
      </c>
      <c r="Z83" s="43" t="s">
        <v>284</v>
      </c>
      <c r="AA83" s="45">
        <f t="shared" si="33"/>
        <v>0</v>
      </c>
      <c r="AB83" s="43" t="s">
        <v>285</v>
      </c>
      <c r="AC83" s="44">
        <f t="shared" si="25"/>
        <v>0</v>
      </c>
      <c r="AD83" s="101"/>
      <c r="AE83" s="98">
        <v>6</v>
      </c>
      <c r="AF83" s="97">
        <f t="shared" si="26"/>
        <v>0</v>
      </c>
      <c r="AG83" s="97">
        <v>4664</v>
      </c>
      <c r="AH83" s="82">
        <f t="shared" si="27"/>
        <v>388.66666666666674</v>
      </c>
      <c r="AI83" s="98" t="s">
        <v>896</v>
      </c>
      <c r="AJ83" s="75">
        <f t="shared" si="24"/>
        <v>0</v>
      </c>
      <c r="AK83" s="73">
        <f t="shared" si="28"/>
        <v>388.66666666666674</v>
      </c>
      <c r="AL83" s="93"/>
      <c r="AM83" s="93"/>
      <c r="AN83" s="93"/>
      <c r="AO83" s="93"/>
    </row>
    <row r="84" spans="1:41" s="93" customFormat="1">
      <c r="A84" s="122" t="s">
        <v>745</v>
      </c>
      <c r="B84" s="87"/>
      <c r="C84" s="87"/>
      <c r="D84" s="135"/>
      <c r="E84" s="90"/>
      <c r="F84" s="88"/>
      <c r="G84" s="87"/>
      <c r="H84" s="87"/>
      <c r="I84" s="87"/>
      <c r="J84" s="123"/>
      <c r="K84" s="89"/>
      <c r="L84" s="90"/>
      <c r="M84" s="89"/>
      <c r="N84" s="141">
        <f t="shared" si="29"/>
        <v>0</v>
      </c>
      <c r="O84" s="142"/>
      <c r="P84" s="142"/>
      <c r="Q84" s="141">
        <f t="shared" si="34"/>
        <v>0</v>
      </c>
      <c r="R84" s="142"/>
      <c r="S84" s="142">
        <f t="shared" si="30"/>
        <v>0</v>
      </c>
      <c r="T84" s="142" t="s">
        <v>273</v>
      </c>
      <c r="U84" s="141">
        <f t="shared" si="23"/>
        <v>0</v>
      </c>
      <c r="V84" s="142" t="s">
        <v>274</v>
      </c>
      <c r="W84" s="146">
        <f t="shared" si="31"/>
        <v>0</v>
      </c>
      <c r="X84" s="147" t="s">
        <v>277</v>
      </c>
      <c r="Y84" s="91">
        <f t="shared" si="32"/>
        <v>0</v>
      </c>
      <c r="Z84" s="90" t="s">
        <v>284</v>
      </c>
      <c r="AA84" s="91">
        <f t="shared" si="33"/>
        <v>0</v>
      </c>
      <c r="AB84" s="90" t="s">
        <v>285</v>
      </c>
      <c r="AC84" s="44">
        <f t="shared" si="25"/>
        <v>0</v>
      </c>
      <c r="AD84" s="101"/>
      <c r="AE84" s="98">
        <v>6</v>
      </c>
      <c r="AF84" s="97">
        <f t="shared" si="26"/>
        <v>0</v>
      </c>
      <c r="AG84" s="97">
        <v>4571</v>
      </c>
      <c r="AH84" s="82">
        <f t="shared" si="27"/>
        <v>380.91666666666669</v>
      </c>
      <c r="AI84" s="105" t="s">
        <v>896</v>
      </c>
      <c r="AJ84" s="92">
        <f t="shared" si="24"/>
        <v>0</v>
      </c>
      <c r="AK84" s="73">
        <f t="shared" si="28"/>
        <v>380.91666666666669</v>
      </c>
      <c r="AL84" s="38"/>
      <c r="AM84" s="38"/>
      <c r="AN84" s="38"/>
      <c r="AO84" s="38"/>
    </row>
    <row r="85" spans="1:41" s="38" customFormat="1">
      <c r="A85" s="122" t="s">
        <v>746</v>
      </c>
      <c r="B85" s="42"/>
      <c r="C85" s="42"/>
      <c r="D85" s="134"/>
      <c r="E85" s="43"/>
      <c r="F85" s="74"/>
      <c r="G85" s="42"/>
      <c r="H85" s="42"/>
      <c r="I85" s="42"/>
      <c r="J85" s="123"/>
      <c r="K85" s="80"/>
      <c r="L85" s="43"/>
      <c r="M85" s="80"/>
      <c r="N85" s="141">
        <f t="shared" si="29"/>
        <v>0</v>
      </c>
      <c r="O85" s="142"/>
      <c r="P85" s="142"/>
      <c r="Q85" s="141">
        <f t="shared" si="34"/>
        <v>0</v>
      </c>
      <c r="R85" s="142"/>
      <c r="S85" s="142">
        <f t="shared" si="30"/>
        <v>0</v>
      </c>
      <c r="T85" s="142" t="s">
        <v>273</v>
      </c>
      <c r="U85" s="141">
        <f t="shared" si="23"/>
        <v>0</v>
      </c>
      <c r="V85" s="142" t="s">
        <v>274</v>
      </c>
      <c r="W85" s="146">
        <f t="shared" si="31"/>
        <v>0</v>
      </c>
      <c r="X85" s="147" t="s">
        <v>277</v>
      </c>
      <c r="Y85" s="45">
        <f t="shared" si="32"/>
        <v>0</v>
      </c>
      <c r="Z85" s="43" t="s">
        <v>284</v>
      </c>
      <c r="AA85" s="45">
        <f t="shared" si="33"/>
        <v>0</v>
      </c>
      <c r="AB85" s="43" t="s">
        <v>285</v>
      </c>
      <c r="AC85" s="44">
        <f t="shared" si="25"/>
        <v>0</v>
      </c>
      <c r="AD85" s="101"/>
      <c r="AE85" s="98">
        <v>6</v>
      </c>
      <c r="AF85" s="97">
        <f t="shared" si="26"/>
        <v>0</v>
      </c>
      <c r="AG85" s="97">
        <v>3893</v>
      </c>
      <c r="AH85" s="82">
        <f t="shared" si="27"/>
        <v>324.41666666666669</v>
      </c>
      <c r="AI85" s="98" t="s">
        <v>896</v>
      </c>
      <c r="AJ85" s="75">
        <f t="shared" si="24"/>
        <v>0</v>
      </c>
      <c r="AK85" s="73">
        <f t="shared" si="28"/>
        <v>324.41666666666669</v>
      </c>
      <c r="AL85" s="93"/>
      <c r="AM85" s="93"/>
      <c r="AN85" s="93"/>
      <c r="AO85" s="93"/>
    </row>
    <row r="86" spans="1:41" s="93" customFormat="1">
      <c r="A86" s="122" t="s">
        <v>747</v>
      </c>
      <c r="B86" s="87"/>
      <c r="C86" s="87"/>
      <c r="D86" s="135"/>
      <c r="E86" s="90"/>
      <c r="F86" s="88"/>
      <c r="G86" s="87"/>
      <c r="H86" s="87"/>
      <c r="I86" s="87"/>
      <c r="J86" s="123"/>
      <c r="K86" s="89"/>
      <c r="L86" s="90"/>
      <c r="M86" s="89"/>
      <c r="N86" s="141">
        <f t="shared" si="29"/>
        <v>0</v>
      </c>
      <c r="O86" s="142"/>
      <c r="P86" s="142"/>
      <c r="Q86" s="141">
        <f t="shared" si="34"/>
        <v>0</v>
      </c>
      <c r="R86" s="142"/>
      <c r="S86" s="142">
        <f t="shared" si="30"/>
        <v>0</v>
      </c>
      <c r="T86" s="142" t="s">
        <v>273</v>
      </c>
      <c r="U86" s="141">
        <f t="shared" si="23"/>
        <v>0</v>
      </c>
      <c r="V86" s="142" t="s">
        <v>274</v>
      </c>
      <c r="W86" s="146">
        <f t="shared" si="31"/>
        <v>0</v>
      </c>
      <c r="X86" s="147" t="s">
        <v>277</v>
      </c>
      <c r="Y86" s="91">
        <f t="shared" si="32"/>
        <v>0</v>
      </c>
      <c r="Z86" s="90" t="s">
        <v>284</v>
      </c>
      <c r="AA86" s="91">
        <f t="shared" si="33"/>
        <v>0</v>
      </c>
      <c r="AB86" s="90" t="s">
        <v>285</v>
      </c>
      <c r="AC86" s="44">
        <f t="shared" si="25"/>
        <v>0</v>
      </c>
      <c r="AD86" s="101"/>
      <c r="AE86" s="98">
        <v>6</v>
      </c>
      <c r="AF86" s="97">
        <f t="shared" si="26"/>
        <v>0</v>
      </c>
      <c r="AG86" s="97">
        <v>4571</v>
      </c>
      <c r="AH86" s="82">
        <f t="shared" si="27"/>
        <v>380.91666666666669</v>
      </c>
      <c r="AI86" s="105" t="s">
        <v>896</v>
      </c>
      <c r="AJ86" s="92">
        <f t="shared" si="24"/>
        <v>0</v>
      </c>
      <c r="AK86" s="73">
        <f t="shared" si="28"/>
        <v>380.91666666666669</v>
      </c>
      <c r="AL86" s="38"/>
      <c r="AM86" s="38"/>
      <c r="AN86" s="38"/>
      <c r="AO86" s="38"/>
    </row>
    <row r="87" spans="1:41" s="93" customFormat="1">
      <c r="A87" s="122" t="s">
        <v>748</v>
      </c>
      <c r="B87" s="94"/>
      <c r="C87" s="94"/>
      <c r="D87" s="135"/>
      <c r="E87" s="90"/>
      <c r="F87" s="88"/>
      <c r="G87" s="94"/>
      <c r="H87" s="94"/>
      <c r="I87" s="94"/>
      <c r="J87" s="123"/>
      <c r="K87" s="89"/>
      <c r="L87" s="90"/>
      <c r="M87" s="89"/>
      <c r="N87" s="141">
        <f t="shared" si="29"/>
        <v>0</v>
      </c>
      <c r="O87" s="142"/>
      <c r="P87" s="142"/>
      <c r="Q87" s="141">
        <f t="shared" ref="Q87:Q88" si="35">+P87*$D$1</f>
        <v>0</v>
      </c>
      <c r="R87" s="142"/>
      <c r="S87" s="142">
        <f t="shared" si="30"/>
        <v>0</v>
      </c>
      <c r="T87" s="142" t="s">
        <v>273</v>
      </c>
      <c r="U87" s="141">
        <f t="shared" si="23"/>
        <v>0</v>
      </c>
      <c r="V87" s="142" t="s">
        <v>274</v>
      </c>
      <c r="W87" s="146">
        <f t="shared" si="31"/>
        <v>0</v>
      </c>
      <c r="X87" s="147" t="s">
        <v>277</v>
      </c>
      <c r="Y87" s="91">
        <f t="shared" ref="Y87:Y88" si="36">IF(G87="RIMAC EPS EMPRESA PRESTADORA DE SALUD",((((K87*40%)+M87)*0.0675)*$D$1),((((K87*40%)+M87)*0.09))*$D$1)</f>
        <v>0</v>
      </c>
      <c r="Z87" s="90" t="s">
        <v>284</v>
      </c>
      <c r="AA87" s="91">
        <f t="shared" ref="AA87:AA88" si="37">IF(G87="RIMAC EPS EMPRESA PRESTADORA DE SALUD",((K87*40%)+M87)*0.0225*$D$1+Q87*0.0225,0)</f>
        <v>0</v>
      </c>
      <c r="AB87" s="90" t="s">
        <v>285</v>
      </c>
      <c r="AC87" s="44">
        <f t="shared" si="25"/>
        <v>0</v>
      </c>
      <c r="AD87" s="101"/>
      <c r="AE87" s="98">
        <v>6</v>
      </c>
      <c r="AF87" s="97">
        <f t="shared" si="26"/>
        <v>0</v>
      </c>
      <c r="AG87" s="97">
        <v>4571</v>
      </c>
      <c r="AH87" s="82">
        <f t="shared" si="27"/>
        <v>380.91666666666669</v>
      </c>
      <c r="AI87" s="105" t="s">
        <v>896</v>
      </c>
      <c r="AJ87" s="92">
        <f t="shared" si="24"/>
        <v>0</v>
      </c>
      <c r="AK87" s="73">
        <f t="shared" si="28"/>
        <v>380.91666666666669</v>
      </c>
    </row>
    <row r="88" spans="1:41" s="93" customFormat="1">
      <c r="A88" s="122" t="s">
        <v>749</v>
      </c>
      <c r="B88" s="94"/>
      <c r="C88" s="94"/>
      <c r="D88" s="135"/>
      <c r="E88" s="90"/>
      <c r="F88" s="88"/>
      <c r="G88" s="94"/>
      <c r="H88" s="94"/>
      <c r="I88" s="94"/>
      <c r="J88" s="123"/>
      <c r="K88" s="89"/>
      <c r="L88" s="90"/>
      <c r="M88" s="89"/>
      <c r="N88" s="141">
        <f t="shared" si="29"/>
        <v>0</v>
      </c>
      <c r="O88" s="142"/>
      <c r="P88" s="142"/>
      <c r="Q88" s="141">
        <f t="shared" si="35"/>
        <v>0</v>
      </c>
      <c r="R88" s="142"/>
      <c r="S88" s="142">
        <f t="shared" si="30"/>
        <v>0</v>
      </c>
      <c r="T88" s="142" t="s">
        <v>273</v>
      </c>
      <c r="U88" s="141">
        <f t="shared" si="23"/>
        <v>0</v>
      </c>
      <c r="V88" s="142" t="s">
        <v>274</v>
      </c>
      <c r="W88" s="146">
        <f t="shared" si="31"/>
        <v>0</v>
      </c>
      <c r="X88" s="147" t="s">
        <v>277</v>
      </c>
      <c r="Y88" s="91">
        <f t="shared" si="36"/>
        <v>0</v>
      </c>
      <c r="Z88" s="90" t="s">
        <v>284</v>
      </c>
      <c r="AA88" s="91">
        <f t="shared" si="37"/>
        <v>0</v>
      </c>
      <c r="AB88" s="90" t="s">
        <v>285</v>
      </c>
      <c r="AC88" s="44">
        <f t="shared" si="25"/>
        <v>0</v>
      </c>
      <c r="AD88" s="101"/>
      <c r="AE88" s="98">
        <v>6</v>
      </c>
      <c r="AF88" s="97">
        <f t="shared" si="26"/>
        <v>0</v>
      </c>
      <c r="AG88" s="97">
        <v>4571</v>
      </c>
      <c r="AH88" s="82">
        <f t="shared" si="27"/>
        <v>380.91666666666669</v>
      </c>
      <c r="AI88" s="105" t="s">
        <v>896</v>
      </c>
      <c r="AJ88" s="92">
        <f t="shared" si="24"/>
        <v>0</v>
      </c>
      <c r="AK88" s="73">
        <f t="shared" si="28"/>
        <v>380.91666666666669</v>
      </c>
    </row>
    <row r="89" spans="1:41" s="93" customFormat="1">
      <c r="A89" s="122" t="s">
        <v>750</v>
      </c>
      <c r="B89" s="94"/>
      <c r="C89" s="94"/>
      <c r="D89" s="135"/>
      <c r="E89" s="90"/>
      <c r="F89" s="88"/>
      <c r="G89" s="94"/>
      <c r="H89" s="94"/>
      <c r="I89" s="94"/>
      <c r="J89" s="123"/>
      <c r="K89" s="89"/>
      <c r="L89" s="90"/>
      <c r="M89" s="89"/>
      <c r="N89" s="141">
        <f t="shared" si="29"/>
        <v>0</v>
      </c>
      <c r="O89" s="142"/>
      <c r="P89" s="142"/>
      <c r="Q89" s="141">
        <f t="shared" ref="Q89" si="38">+P89*$D$1</f>
        <v>0</v>
      </c>
      <c r="R89" s="142"/>
      <c r="S89" s="142">
        <f t="shared" si="30"/>
        <v>0</v>
      </c>
      <c r="T89" s="142" t="s">
        <v>273</v>
      </c>
      <c r="U89" s="143">
        <v>3809.17</v>
      </c>
      <c r="V89" s="142" t="s">
        <v>274</v>
      </c>
      <c r="W89" s="148">
        <v>137.13</v>
      </c>
      <c r="X89" s="147" t="s">
        <v>277</v>
      </c>
      <c r="Y89" s="91">
        <f t="shared" ref="Y89" si="39">IF(G89="RIMAC EPS EMPRESA PRESTADORA DE SALUD",((((K89*40%)+M89)*0.0675)*$D$1),((((K89*40%)+M89)*0.09))*$D$1)</f>
        <v>0</v>
      </c>
      <c r="Z89" s="90" t="s">
        <v>284</v>
      </c>
      <c r="AA89" s="91">
        <f t="shared" ref="AA89" si="40">IF(G89="RIMAC EPS EMPRESA PRESTADORA DE SALUD",((K89*40%)+M89)*0.0225*$D$1+Q89*0.0225,0)</f>
        <v>0</v>
      </c>
      <c r="AB89" s="90" t="s">
        <v>285</v>
      </c>
      <c r="AC89" s="44">
        <f t="shared" si="25"/>
        <v>3946.3</v>
      </c>
      <c r="AD89" s="101"/>
      <c r="AE89" s="98">
        <v>6</v>
      </c>
      <c r="AF89" s="97">
        <f t="shared" si="26"/>
        <v>0</v>
      </c>
      <c r="AG89" s="97">
        <v>3809.17</v>
      </c>
      <c r="AH89" s="82">
        <f t="shared" si="27"/>
        <v>317.43083333333334</v>
      </c>
      <c r="AI89" s="105" t="s">
        <v>896</v>
      </c>
      <c r="AJ89" s="92">
        <f t="shared" si="24"/>
        <v>3946.3</v>
      </c>
      <c r="AK89" s="73">
        <f t="shared" si="28"/>
        <v>4263.7308333333331</v>
      </c>
    </row>
    <row r="90" spans="1:41" s="38" customFormat="1">
      <c r="A90" s="122" t="s">
        <v>751</v>
      </c>
      <c r="B90" s="42"/>
      <c r="C90" s="42"/>
      <c r="D90" s="134"/>
      <c r="E90" s="43"/>
      <c r="F90" s="74"/>
      <c r="G90" s="42"/>
      <c r="H90" s="42"/>
      <c r="I90" s="42"/>
      <c r="J90" s="123"/>
      <c r="K90" s="80"/>
      <c r="L90" s="43"/>
      <c r="M90" s="80"/>
      <c r="N90" s="141">
        <f t="shared" si="29"/>
        <v>0</v>
      </c>
      <c r="O90" s="142"/>
      <c r="P90" s="142"/>
      <c r="Q90" s="141">
        <f t="shared" si="34"/>
        <v>0</v>
      </c>
      <c r="R90" s="142"/>
      <c r="S90" s="142">
        <f t="shared" si="30"/>
        <v>0</v>
      </c>
      <c r="T90" s="142" t="s">
        <v>273</v>
      </c>
      <c r="U90" s="141">
        <f t="shared" si="23"/>
        <v>0</v>
      </c>
      <c r="V90" s="142" t="s">
        <v>274</v>
      </c>
      <c r="W90" s="146">
        <f t="shared" si="31"/>
        <v>0</v>
      </c>
      <c r="X90" s="147" t="s">
        <v>277</v>
      </c>
      <c r="Y90" s="45">
        <f t="shared" si="32"/>
        <v>0</v>
      </c>
      <c r="Z90" s="43" t="s">
        <v>284</v>
      </c>
      <c r="AA90" s="45">
        <f t="shared" si="33"/>
        <v>0</v>
      </c>
      <c r="AB90" s="43" t="s">
        <v>285</v>
      </c>
      <c r="AC90" s="44">
        <f t="shared" si="25"/>
        <v>0</v>
      </c>
      <c r="AD90" s="101"/>
      <c r="AE90" s="98">
        <v>6</v>
      </c>
      <c r="AF90" s="97">
        <f t="shared" si="26"/>
        <v>0</v>
      </c>
      <c r="AG90" s="97">
        <v>3800</v>
      </c>
      <c r="AH90" s="82">
        <f t="shared" si="27"/>
        <v>316.66666666666669</v>
      </c>
      <c r="AI90" s="98" t="s">
        <v>896</v>
      </c>
      <c r="AJ90" s="75">
        <f t="shared" si="24"/>
        <v>0</v>
      </c>
      <c r="AK90" s="73">
        <f t="shared" si="28"/>
        <v>316.66666666666669</v>
      </c>
      <c r="AL90" s="93"/>
      <c r="AM90" s="93"/>
      <c r="AN90" s="93"/>
      <c r="AO90" s="93"/>
    </row>
    <row r="91" spans="1:41" s="38" customFormat="1">
      <c r="A91" s="122" t="s">
        <v>752</v>
      </c>
      <c r="B91" s="42"/>
      <c r="C91" s="42"/>
      <c r="D91" s="134"/>
      <c r="E91" s="43"/>
      <c r="F91" s="74"/>
      <c r="G91" s="42"/>
      <c r="H91" s="42"/>
      <c r="I91" s="42"/>
      <c r="J91" s="123"/>
      <c r="K91" s="80"/>
      <c r="L91" s="43"/>
      <c r="M91" s="80"/>
      <c r="N91" s="141">
        <f t="shared" si="29"/>
        <v>0</v>
      </c>
      <c r="O91" s="142"/>
      <c r="P91" s="142"/>
      <c r="Q91" s="141">
        <f t="shared" si="34"/>
        <v>0</v>
      </c>
      <c r="R91" s="142"/>
      <c r="S91" s="142">
        <f t="shared" si="30"/>
        <v>0</v>
      </c>
      <c r="T91" s="142" t="s">
        <v>273</v>
      </c>
      <c r="U91" s="141">
        <f t="shared" si="23"/>
        <v>0</v>
      </c>
      <c r="V91" s="142" t="s">
        <v>274</v>
      </c>
      <c r="W91" s="146">
        <f t="shared" si="31"/>
        <v>0</v>
      </c>
      <c r="X91" s="147" t="s">
        <v>277</v>
      </c>
      <c r="Y91" s="45">
        <f t="shared" si="32"/>
        <v>0</v>
      </c>
      <c r="Z91" s="43" t="s">
        <v>284</v>
      </c>
      <c r="AA91" s="45">
        <f t="shared" si="33"/>
        <v>0</v>
      </c>
      <c r="AB91" s="43" t="s">
        <v>285</v>
      </c>
      <c r="AC91" s="44">
        <f t="shared" si="25"/>
        <v>0</v>
      </c>
      <c r="AD91" s="101"/>
      <c r="AE91" s="98">
        <v>6</v>
      </c>
      <c r="AF91" s="97">
        <f t="shared" si="26"/>
        <v>0</v>
      </c>
      <c r="AG91" s="97">
        <v>3950</v>
      </c>
      <c r="AH91" s="82">
        <f t="shared" si="27"/>
        <v>329.16666666666669</v>
      </c>
      <c r="AI91" s="98" t="s">
        <v>896</v>
      </c>
      <c r="AJ91" s="75">
        <f t="shared" si="24"/>
        <v>0</v>
      </c>
      <c r="AK91" s="73">
        <f t="shared" si="28"/>
        <v>329.16666666666669</v>
      </c>
    </row>
    <row r="92" spans="1:41" s="93" customFormat="1">
      <c r="A92" s="122" t="s">
        <v>753</v>
      </c>
      <c r="B92" s="94"/>
      <c r="C92" s="94"/>
      <c r="D92" s="135"/>
      <c r="E92" s="90"/>
      <c r="F92" s="88"/>
      <c r="G92" s="94"/>
      <c r="H92" s="94"/>
      <c r="I92" s="94"/>
      <c r="J92" s="123"/>
      <c r="K92" s="89"/>
      <c r="L92" s="90"/>
      <c r="M92" s="89"/>
      <c r="N92" s="141">
        <f t="shared" si="29"/>
        <v>0</v>
      </c>
      <c r="O92" s="142"/>
      <c r="P92" s="142"/>
      <c r="Q92" s="141">
        <f t="shared" ref="Q92" si="41">+P92*$D$1</f>
        <v>0</v>
      </c>
      <c r="R92" s="142"/>
      <c r="S92" s="142">
        <f t="shared" si="30"/>
        <v>0</v>
      </c>
      <c r="T92" s="142" t="s">
        <v>273</v>
      </c>
      <c r="U92" s="141">
        <f t="shared" si="23"/>
        <v>0</v>
      </c>
      <c r="V92" s="142" t="s">
        <v>274</v>
      </c>
      <c r="W92" s="146">
        <f t="shared" si="31"/>
        <v>0</v>
      </c>
      <c r="X92" s="147" t="s">
        <v>277</v>
      </c>
      <c r="Y92" s="91">
        <f t="shared" ref="Y92" si="42">IF(G92="RIMAC EPS EMPRESA PRESTADORA DE SALUD",((((K92*40%)+M92)*0.0675)*$D$1),((((K92*40%)+M92)*0.09))*$D$1)</f>
        <v>0</v>
      </c>
      <c r="Z92" s="90" t="s">
        <v>284</v>
      </c>
      <c r="AA92" s="91">
        <f t="shared" ref="AA92" si="43">IF(G92="RIMAC EPS EMPRESA PRESTADORA DE SALUD",((K92*40%)+M92)*0.0225*$D$1+Q92*0.0225,0)</f>
        <v>0</v>
      </c>
      <c r="AB92" s="90" t="s">
        <v>285</v>
      </c>
      <c r="AC92" s="44">
        <f t="shared" si="25"/>
        <v>0</v>
      </c>
      <c r="AD92" s="101"/>
      <c r="AE92" s="98">
        <v>6</v>
      </c>
      <c r="AF92" s="97">
        <f t="shared" si="26"/>
        <v>0</v>
      </c>
      <c r="AG92" s="97">
        <v>4571</v>
      </c>
      <c r="AH92" s="82">
        <f t="shared" si="27"/>
        <v>380.91666666666669</v>
      </c>
      <c r="AI92" s="105" t="s">
        <v>896</v>
      </c>
      <c r="AJ92" s="92">
        <f t="shared" si="24"/>
        <v>0</v>
      </c>
      <c r="AK92" s="73">
        <f t="shared" si="28"/>
        <v>380.91666666666669</v>
      </c>
      <c r="AL92" s="38"/>
      <c r="AM92" s="38"/>
      <c r="AN92" s="38"/>
      <c r="AO92" s="38"/>
    </row>
    <row r="93" spans="1:41" s="93" customFormat="1">
      <c r="A93" s="122" t="s">
        <v>754</v>
      </c>
      <c r="B93" s="87"/>
      <c r="C93" s="87"/>
      <c r="D93" s="135"/>
      <c r="E93" s="90"/>
      <c r="F93" s="88"/>
      <c r="G93" s="87"/>
      <c r="H93" s="87"/>
      <c r="I93" s="87"/>
      <c r="J93" s="123"/>
      <c r="K93" s="89"/>
      <c r="L93" s="90"/>
      <c r="M93" s="89"/>
      <c r="N93" s="141">
        <f t="shared" si="29"/>
        <v>0</v>
      </c>
      <c r="O93" s="142"/>
      <c r="P93" s="142"/>
      <c r="Q93" s="141">
        <f t="shared" si="34"/>
        <v>0</v>
      </c>
      <c r="R93" s="142"/>
      <c r="S93" s="142">
        <f t="shared" si="30"/>
        <v>0</v>
      </c>
      <c r="T93" s="142" t="s">
        <v>273</v>
      </c>
      <c r="U93" s="141">
        <f t="shared" si="23"/>
        <v>0</v>
      </c>
      <c r="V93" s="142" t="s">
        <v>274</v>
      </c>
      <c r="W93" s="146">
        <f t="shared" si="31"/>
        <v>0</v>
      </c>
      <c r="X93" s="147" t="s">
        <v>277</v>
      </c>
      <c r="Y93" s="91">
        <f t="shared" si="32"/>
        <v>0</v>
      </c>
      <c r="Z93" s="90" t="s">
        <v>284</v>
      </c>
      <c r="AA93" s="91">
        <f t="shared" si="33"/>
        <v>0</v>
      </c>
      <c r="AB93" s="90" t="s">
        <v>285</v>
      </c>
      <c r="AC93" s="44">
        <f t="shared" si="25"/>
        <v>0</v>
      </c>
      <c r="AD93" s="101"/>
      <c r="AE93" s="98">
        <v>6</v>
      </c>
      <c r="AF93" s="97">
        <f t="shared" si="26"/>
        <v>0</v>
      </c>
      <c r="AG93" s="97">
        <v>5950</v>
      </c>
      <c r="AH93" s="82">
        <f t="shared" si="27"/>
        <v>495.83333333333331</v>
      </c>
      <c r="AI93" s="105" t="s">
        <v>896</v>
      </c>
      <c r="AJ93" s="92">
        <f t="shared" si="24"/>
        <v>0</v>
      </c>
      <c r="AK93" s="73">
        <f t="shared" si="28"/>
        <v>495.83333333333331</v>
      </c>
    </row>
    <row r="94" spans="1:41" s="93" customFormat="1">
      <c r="A94" s="122" t="s">
        <v>755</v>
      </c>
      <c r="B94" s="87"/>
      <c r="C94" s="87"/>
      <c r="D94" s="135"/>
      <c r="E94" s="90"/>
      <c r="F94" s="88"/>
      <c r="G94" s="87"/>
      <c r="H94" s="87"/>
      <c r="I94" s="87"/>
      <c r="J94" s="123"/>
      <c r="K94" s="89"/>
      <c r="L94" s="90"/>
      <c r="M94" s="89"/>
      <c r="N94" s="141">
        <f t="shared" si="29"/>
        <v>0</v>
      </c>
      <c r="O94" s="142"/>
      <c r="P94" s="142"/>
      <c r="Q94" s="141">
        <f t="shared" si="34"/>
        <v>0</v>
      </c>
      <c r="R94" s="142"/>
      <c r="S94" s="142">
        <f t="shared" si="30"/>
        <v>0</v>
      </c>
      <c r="T94" s="142" t="s">
        <v>273</v>
      </c>
      <c r="U94" s="141">
        <f t="shared" si="23"/>
        <v>0</v>
      </c>
      <c r="V94" s="142" t="s">
        <v>274</v>
      </c>
      <c r="W94" s="146">
        <f t="shared" si="31"/>
        <v>0</v>
      </c>
      <c r="X94" s="147" t="s">
        <v>277</v>
      </c>
      <c r="Y94" s="91">
        <f t="shared" si="32"/>
        <v>0</v>
      </c>
      <c r="Z94" s="90" t="s">
        <v>284</v>
      </c>
      <c r="AA94" s="91">
        <f t="shared" si="33"/>
        <v>0</v>
      </c>
      <c r="AB94" s="90" t="s">
        <v>285</v>
      </c>
      <c r="AC94" s="44">
        <f t="shared" si="25"/>
        <v>0</v>
      </c>
      <c r="AD94" s="101"/>
      <c r="AE94" s="98">
        <v>6</v>
      </c>
      <c r="AF94" s="97">
        <f t="shared" si="26"/>
        <v>0</v>
      </c>
      <c r="AG94" s="97">
        <v>4571</v>
      </c>
      <c r="AH94" s="82">
        <f t="shared" si="27"/>
        <v>380.91666666666669</v>
      </c>
      <c r="AI94" s="105" t="s">
        <v>896</v>
      </c>
      <c r="AJ94" s="92">
        <f t="shared" si="24"/>
        <v>0</v>
      </c>
      <c r="AK94" s="73">
        <f t="shared" si="28"/>
        <v>380.91666666666669</v>
      </c>
    </row>
    <row r="95" spans="1:41" s="38" customFormat="1">
      <c r="A95" s="122" t="s">
        <v>756</v>
      </c>
      <c r="B95" s="42"/>
      <c r="C95" s="42"/>
      <c r="D95" s="134"/>
      <c r="E95" s="43"/>
      <c r="F95" s="74"/>
      <c r="G95" s="42"/>
      <c r="H95" s="42"/>
      <c r="I95" s="42"/>
      <c r="J95" s="123"/>
      <c r="K95" s="80"/>
      <c r="L95" s="43"/>
      <c r="M95" s="80"/>
      <c r="N95" s="141">
        <f t="shared" si="29"/>
        <v>0</v>
      </c>
      <c r="O95" s="142"/>
      <c r="P95" s="142"/>
      <c r="Q95" s="141">
        <f t="shared" si="34"/>
        <v>0</v>
      </c>
      <c r="R95" s="142"/>
      <c r="S95" s="142">
        <f t="shared" si="30"/>
        <v>0</v>
      </c>
      <c r="T95" s="142" t="s">
        <v>273</v>
      </c>
      <c r="U95" s="141">
        <f t="shared" si="23"/>
        <v>0</v>
      </c>
      <c r="V95" s="142" t="s">
        <v>274</v>
      </c>
      <c r="W95" s="146">
        <f t="shared" si="31"/>
        <v>0</v>
      </c>
      <c r="X95" s="147" t="s">
        <v>277</v>
      </c>
      <c r="Y95" s="45">
        <f t="shared" si="32"/>
        <v>0</v>
      </c>
      <c r="Z95" s="43" t="s">
        <v>284</v>
      </c>
      <c r="AA95" s="45">
        <f t="shared" si="33"/>
        <v>0</v>
      </c>
      <c r="AB95" s="43" t="s">
        <v>285</v>
      </c>
      <c r="AC95" s="44">
        <f t="shared" si="25"/>
        <v>0</v>
      </c>
      <c r="AD95" s="101"/>
      <c r="AE95" s="98">
        <v>6</v>
      </c>
      <c r="AF95" s="97">
        <f t="shared" si="26"/>
        <v>0</v>
      </c>
      <c r="AG95" s="97">
        <v>3800</v>
      </c>
      <c r="AH95" s="82">
        <f t="shared" si="27"/>
        <v>316.66666666666669</v>
      </c>
      <c r="AI95" s="98" t="s">
        <v>896</v>
      </c>
      <c r="AJ95" s="75">
        <f t="shared" si="24"/>
        <v>0</v>
      </c>
      <c r="AK95" s="73">
        <f t="shared" si="28"/>
        <v>316.66666666666669</v>
      </c>
      <c r="AO95" s="93"/>
    </row>
    <row r="96" spans="1:41" s="38" customFormat="1">
      <c r="A96" s="122" t="s">
        <v>757</v>
      </c>
      <c r="B96" s="42"/>
      <c r="C96" s="42"/>
      <c r="D96" s="134"/>
      <c r="E96" s="43"/>
      <c r="F96" s="74"/>
      <c r="G96" s="42"/>
      <c r="H96" s="42"/>
      <c r="I96" s="42"/>
      <c r="J96" s="123"/>
      <c r="K96" s="80"/>
      <c r="L96" s="43"/>
      <c r="M96" s="80"/>
      <c r="N96" s="141">
        <f t="shared" si="29"/>
        <v>0</v>
      </c>
      <c r="O96" s="142"/>
      <c r="P96" s="142"/>
      <c r="Q96" s="141">
        <f t="shared" si="34"/>
        <v>0</v>
      </c>
      <c r="R96" s="142"/>
      <c r="S96" s="142">
        <f t="shared" si="30"/>
        <v>0</v>
      </c>
      <c r="T96" s="142" t="s">
        <v>273</v>
      </c>
      <c r="U96" s="141">
        <f t="shared" si="23"/>
        <v>0</v>
      </c>
      <c r="V96" s="142" t="s">
        <v>274</v>
      </c>
      <c r="W96" s="146">
        <f t="shared" si="31"/>
        <v>0</v>
      </c>
      <c r="X96" s="147" t="s">
        <v>277</v>
      </c>
      <c r="Y96" s="45">
        <f t="shared" si="32"/>
        <v>0</v>
      </c>
      <c r="Z96" s="43" t="s">
        <v>284</v>
      </c>
      <c r="AA96" s="45">
        <f t="shared" si="33"/>
        <v>0</v>
      </c>
      <c r="AB96" s="43" t="s">
        <v>285</v>
      </c>
      <c r="AC96" s="44">
        <f t="shared" si="25"/>
        <v>0</v>
      </c>
      <c r="AD96" s="101"/>
      <c r="AE96" s="98">
        <v>6</v>
      </c>
      <c r="AF96" s="97">
        <f t="shared" si="26"/>
        <v>0</v>
      </c>
      <c r="AG96" s="97">
        <v>3893</v>
      </c>
      <c r="AH96" s="82">
        <f t="shared" si="27"/>
        <v>324.41666666666669</v>
      </c>
      <c r="AI96" s="98" t="s">
        <v>896</v>
      </c>
      <c r="AJ96" s="75">
        <f t="shared" si="24"/>
        <v>0</v>
      </c>
      <c r="AK96" s="73">
        <f t="shared" si="28"/>
        <v>324.41666666666669</v>
      </c>
    </row>
    <row r="97" spans="1:41" s="38" customFormat="1">
      <c r="A97" s="122" t="s">
        <v>758</v>
      </c>
      <c r="B97" s="42"/>
      <c r="C97" s="42"/>
      <c r="D97" s="134"/>
      <c r="E97" s="43"/>
      <c r="F97" s="74"/>
      <c r="G97" s="42"/>
      <c r="H97" s="42"/>
      <c r="I97" s="42"/>
      <c r="J97" s="123"/>
      <c r="K97" s="80"/>
      <c r="L97" s="43"/>
      <c r="M97" s="80"/>
      <c r="N97" s="141">
        <f t="shared" si="29"/>
        <v>0</v>
      </c>
      <c r="O97" s="142"/>
      <c r="P97" s="142"/>
      <c r="Q97" s="141">
        <f t="shared" si="34"/>
        <v>0</v>
      </c>
      <c r="R97" s="142"/>
      <c r="S97" s="142">
        <f t="shared" si="30"/>
        <v>0</v>
      </c>
      <c r="T97" s="142" t="s">
        <v>273</v>
      </c>
      <c r="U97" s="141">
        <f t="shared" si="23"/>
        <v>0</v>
      </c>
      <c r="V97" s="142" t="s">
        <v>274</v>
      </c>
      <c r="W97" s="146">
        <f t="shared" si="31"/>
        <v>0</v>
      </c>
      <c r="X97" s="147" t="s">
        <v>277</v>
      </c>
      <c r="Y97" s="45">
        <f t="shared" si="32"/>
        <v>0</v>
      </c>
      <c r="Z97" s="43" t="s">
        <v>284</v>
      </c>
      <c r="AA97" s="45">
        <f t="shared" si="33"/>
        <v>0</v>
      </c>
      <c r="AB97" s="43" t="s">
        <v>285</v>
      </c>
      <c r="AC97" s="44">
        <f t="shared" si="25"/>
        <v>0</v>
      </c>
      <c r="AD97" s="101"/>
      <c r="AE97" s="98">
        <v>6</v>
      </c>
      <c r="AF97" s="97">
        <f t="shared" si="26"/>
        <v>0</v>
      </c>
      <c r="AG97" s="97">
        <v>4664</v>
      </c>
      <c r="AH97" s="82">
        <f t="shared" si="27"/>
        <v>388.66666666666674</v>
      </c>
      <c r="AI97" s="98" t="s">
        <v>896</v>
      </c>
      <c r="AJ97" s="75">
        <f t="shared" si="24"/>
        <v>0</v>
      </c>
      <c r="AK97" s="73">
        <f t="shared" si="28"/>
        <v>388.66666666666674</v>
      </c>
    </row>
    <row r="98" spans="1:41" s="38" customFormat="1">
      <c r="A98" s="122" t="s">
        <v>759</v>
      </c>
      <c r="B98" s="42"/>
      <c r="C98" s="42"/>
      <c r="D98" s="134"/>
      <c r="E98" s="43"/>
      <c r="F98" s="74"/>
      <c r="G98" s="42"/>
      <c r="H98" s="42"/>
      <c r="I98" s="42"/>
      <c r="J98" s="123"/>
      <c r="K98" s="80"/>
      <c r="L98" s="43"/>
      <c r="M98" s="80"/>
      <c r="N98" s="141">
        <f t="shared" si="29"/>
        <v>0</v>
      </c>
      <c r="O98" s="142"/>
      <c r="P98" s="142"/>
      <c r="Q98" s="141">
        <f t="shared" si="34"/>
        <v>0</v>
      </c>
      <c r="R98" s="142"/>
      <c r="S98" s="142">
        <f t="shared" si="30"/>
        <v>0</v>
      </c>
      <c r="T98" s="142" t="s">
        <v>273</v>
      </c>
      <c r="U98" s="141">
        <f t="shared" si="23"/>
        <v>0</v>
      </c>
      <c r="V98" s="142" t="s">
        <v>274</v>
      </c>
      <c r="W98" s="146">
        <f t="shared" si="31"/>
        <v>0</v>
      </c>
      <c r="X98" s="147" t="s">
        <v>277</v>
      </c>
      <c r="Y98" s="45">
        <f t="shared" si="32"/>
        <v>0</v>
      </c>
      <c r="Z98" s="43" t="s">
        <v>284</v>
      </c>
      <c r="AA98" s="45">
        <f t="shared" si="33"/>
        <v>0</v>
      </c>
      <c r="AB98" s="43" t="s">
        <v>285</v>
      </c>
      <c r="AC98" s="44">
        <f t="shared" si="25"/>
        <v>0</v>
      </c>
      <c r="AD98" s="101"/>
      <c r="AE98" s="98">
        <v>6</v>
      </c>
      <c r="AF98" s="97">
        <f t="shared" si="26"/>
        <v>0</v>
      </c>
      <c r="AG98" s="97">
        <v>4664</v>
      </c>
      <c r="AH98" s="82">
        <f t="shared" si="27"/>
        <v>388.66666666666674</v>
      </c>
      <c r="AI98" s="98" t="s">
        <v>896</v>
      </c>
      <c r="AJ98" s="75">
        <f t="shared" si="24"/>
        <v>0</v>
      </c>
      <c r="AK98" s="73">
        <f t="shared" si="28"/>
        <v>388.66666666666674</v>
      </c>
    </row>
    <row r="99" spans="1:41" s="38" customFormat="1">
      <c r="A99" s="122" t="s">
        <v>892</v>
      </c>
      <c r="B99" s="42"/>
      <c r="C99" s="42"/>
      <c r="D99" s="134"/>
      <c r="E99" s="43"/>
      <c r="F99" s="74"/>
      <c r="G99" s="42"/>
      <c r="H99" s="42"/>
      <c r="I99" s="42"/>
      <c r="J99" s="123"/>
      <c r="K99" s="80"/>
      <c r="L99" s="43"/>
      <c r="M99" s="80"/>
      <c r="N99" s="141">
        <f t="shared" si="29"/>
        <v>0</v>
      </c>
      <c r="O99" s="142"/>
      <c r="P99" s="142"/>
      <c r="Q99" s="141">
        <f t="shared" si="34"/>
        <v>0</v>
      </c>
      <c r="R99" s="142"/>
      <c r="S99" s="142">
        <f t="shared" si="30"/>
        <v>0</v>
      </c>
      <c r="T99" s="142" t="s">
        <v>273</v>
      </c>
      <c r="U99" s="141">
        <f t="shared" si="23"/>
        <v>0</v>
      </c>
      <c r="V99" s="142" t="s">
        <v>274</v>
      </c>
      <c r="W99" s="146">
        <f t="shared" si="31"/>
        <v>0</v>
      </c>
      <c r="X99" s="147" t="s">
        <v>277</v>
      </c>
      <c r="Y99" s="45">
        <f t="shared" si="32"/>
        <v>0</v>
      </c>
      <c r="Z99" s="43" t="s">
        <v>284</v>
      </c>
      <c r="AA99" s="45">
        <f t="shared" si="33"/>
        <v>0</v>
      </c>
      <c r="AB99" s="43" t="s">
        <v>285</v>
      </c>
      <c r="AC99" s="44">
        <f t="shared" si="25"/>
        <v>0</v>
      </c>
      <c r="AD99" s="101"/>
      <c r="AE99" s="98">
        <v>6</v>
      </c>
      <c r="AF99" s="97">
        <f t="shared" si="26"/>
        <v>0</v>
      </c>
      <c r="AG99" s="97">
        <v>4664</v>
      </c>
      <c r="AH99" s="82">
        <f t="shared" si="27"/>
        <v>388.66666666666674</v>
      </c>
      <c r="AI99" s="98" t="s">
        <v>896</v>
      </c>
      <c r="AJ99" s="75">
        <f t="shared" si="24"/>
        <v>0</v>
      </c>
      <c r="AK99" s="73">
        <f t="shared" si="28"/>
        <v>388.66666666666674</v>
      </c>
    </row>
    <row r="100" spans="1:41" s="38" customFormat="1">
      <c r="A100" s="122" t="s">
        <v>760</v>
      </c>
      <c r="B100" s="42"/>
      <c r="C100" s="42"/>
      <c r="D100" s="134"/>
      <c r="E100" s="43"/>
      <c r="F100" s="74"/>
      <c r="G100" s="42"/>
      <c r="H100" s="42"/>
      <c r="I100" s="42"/>
      <c r="J100" s="123"/>
      <c r="K100" s="80"/>
      <c r="L100" s="43"/>
      <c r="M100" s="80"/>
      <c r="N100" s="141">
        <f t="shared" si="29"/>
        <v>0</v>
      </c>
      <c r="O100" s="142"/>
      <c r="P100" s="142"/>
      <c r="Q100" s="141">
        <f t="shared" si="34"/>
        <v>0</v>
      </c>
      <c r="R100" s="142"/>
      <c r="S100" s="142">
        <f t="shared" si="30"/>
        <v>0</v>
      </c>
      <c r="T100" s="142" t="s">
        <v>273</v>
      </c>
      <c r="U100" s="141">
        <f t="shared" si="23"/>
        <v>0</v>
      </c>
      <c r="V100" s="142" t="s">
        <v>274</v>
      </c>
      <c r="W100" s="146">
        <f t="shared" si="31"/>
        <v>0</v>
      </c>
      <c r="X100" s="147" t="s">
        <v>277</v>
      </c>
      <c r="Y100" s="45">
        <f t="shared" si="32"/>
        <v>0</v>
      </c>
      <c r="Z100" s="43" t="s">
        <v>284</v>
      </c>
      <c r="AA100" s="45">
        <f t="shared" si="33"/>
        <v>0</v>
      </c>
      <c r="AB100" s="43" t="s">
        <v>285</v>
      </c>
      <c r="AC100" s="44">
        <f t="shared" si="25"/>
        <v>0</v>
      </c>
      <c r="AD100" s="101"/>
      <c r="AE100" s="98">
        <v>6</v>
      </c>
      <c r="AF100" s="97">
        <f t="shared" si="26"/>
        <v>0</v>
      </c>
      <c r="AG100" s="97">
        <v>4571</v>
      </c>
      <c r="AH100" s="82">
        <f t="shared" si="27"/>
        <v>380.91666666666669</v>
      </c>
      <c r="AI100" s="98" t="s">
        <v>896</v>
      </c>
      <c r="AJ100" s="75">
        <f t="shared" si="24"/>
        <v>0</v>
      </c>
      <c r="AK100" s="73">
        <f t="shared" si="28"/>
        <v>380.91666666666669</v>
      </c>
    </row>
    <row r="101" spans="1:41" s="38" customFormat="1">
      <c r="A101" s="122" t="s">
        <v>761</v>
      </c>
      <c r="B101" s="42"/>
      <c r="C101" s="42"/>
      <c r="D101" s="134"/>
      <c r="E101" s="43"/>
      <c r="F101" s="74"/>
      <c r="G101" s="42"/>
      <c r="H101" s="42"/>
      <c r="I101" s="42"/>
      <c r="J101" s="123"/>
      <c r="K101" s="80"/>
      <c r="L101" s="43"/>
      <c r="M101" s="80"/>
      <c r="N101" s="141">
        <f t="shared" si="29"/>
        <v>0</v>
      </c>
      <c r="O101" s="142"/>
      <c r="P101" s="142"/>
      <c r="Q101" s="141">
        <f t="shared" si="34"/>
        <v>0</v>
      </c>
      <c r="R101" s="142"/>
      <c r="S101" s="142">
        <f t="shared" si="30"/>
        <v>0</v>
      </c>
      <c r="T101" s="142" t="s">
        <v>273</v>
      </c>
      <c r="U101" s="141">
        <f t="shared" si="23"/>
        <v>0</v>
      </c>
      <c r="V101" s="142" t="s">
        <v>274</v>
      </c>
      <c r="W101" s="146">
        <f t="shared" si="31"/>
        <v>0</v>
      </c>
      <c r="X101" s="147" t="s">
        <v>277</v>
      </c>
      <c r="Y101" s="45">
        <f t="shared" si="32"/>
        <v>0</v>
      </c>
      <c r="Z101" s="43" t="s">
        <v>284</v>
      </c>
      <c r="AA101" s="45">
        <f t="shared" si="33"/>
        <v>0</v>
      </c>
      <c r="AB101" s="43" t="s">
        <v>285</v>
      </c>
      <c r="AC101" s="44">
        <f t="shared" si="25"/>
        <v>0</v>
      </c>
      <c r="AD101" s="101"/>
      <c r="AE101" s="98">
        <v>6</v>
      </c>
      <c r="AF101" s="97">
        <f t="shared" si="26"/>
        <v>0</v>
      </c>
      <c r="AG101" s="97">
        <v>3893</v>
      </c>
      <c r="AH101" s="82">
        <f t="shared" si="27"/>
        <v>324.41666666666669</v>
      </c>
      <c r="AI101" s="98" t="s">
        <v>896</v>
      </c>
      <c r="AJ101" s="75">
        <f t="shared" si="24"/>
        <v>0</v>
      </c>
      <c r="AK101" s="73">
        <f t="shared" si="28"/>
        <v>324.41666666666669</v>
      </c>
    </row>
    <row r="102" spans="1:41" s="38" customFormat="1">
      <c r="A102" s="122" t="s">
        <v>762</v>
      </c>
      <c r="B102" s="42"/>
      <c r="C102" s="42"/>
      <c r="D102" s="134"/>
      <c r="E102" s="43"/>
      <c r="F102" s="74"/>
      <c r="G102" s="42"/>
      <c r="H102" s="42"/>
      <c r="I102" s="42"/>
      <c r="J102" s="123"/>
      <c r="K102" s="80"/>
      <c r="L102" s="43"/>
      <c r="M102" s="80"/>
      <c r="N102" s="141">
        <f t="shared" si="29"/>
        <v>0</v>
      </c>
      <c r="O102" s="142"/>
      <c r="P102" s="142"/>
      <c r="Q102" s="141">
        <f t="shared" si="34"/>
        <v>0</v>
      </c>
      <c r="R102" s="142"/>
      <c r="S102" s="142">
        <f t="shared" si="30"/>
        <v>0</v>
      </c>
      <c r="T102" s="142" t="s">
        <v>273</v>
      </c>
      <c r="U102" s="141">
        <f t="shared" si="23"/>
        <v>0</v>
      </c>
      <c r="V102" s="142" t="s">
        <v>274</v>
      </c>
      <c r="W102" s="146">
        <f t="shared" si="31"/>
        <v>0</v>
      </c>
      <c r="X102" s="147" t="s">
        <v>277</v>
      </c>
      <c r="Y102" s="45">
        <f t="shared" si="32"/>
        <v>0</v>
      </c>
      <c r="Z102" s="43" t="s">
        <v>284</v>
      </c>
      <c r="AA102" s="45">
        <f t="shared" si="33"/>
        <v>0</v>
      </c>
      <c r="AB102" s="43" t="s">
        <v>285</v>
      </c>
      <c r="AC102" s="44">
        <f t="shared" si="25"/>
        <v>0</v>
      </c>
      <c r="AD102" s="101"/>
      <c r="AE102" s="98">
        <v>6</v>
      </c>
      <c r="AF102" s="97">
        <f t="shared" si="26"/>
        <v>0</v>
      </c>
      <c r="AG102" s="97">
        <v>3893</v>
      </c>
      <c r="AH102" s="82">
        <f t="shared" si="27"/>
        <v>324.41666666666669</v>
      </c>
      <c r="AI102" s="98" t="s">
        <v>896</v>
      </c>
      <c r="AJ102" s="75">
        <f t="shared" si="24"/>
        <v>0</v>
      </c>
      <c r="AK102" s="73">
        <f t="shared" si="28"/>
        <v>324.41666666666669</v>
      </c>
    </row>
    <row r="103" spans="1:41" s="38" customFormat="1">
      <c r="A103" s="122" t="s">
        <v>763</v>
      </c>
      <c r="B103" s="42"/>
      <c r="C103" s="42"/>
      <c r="D103" s="134"/>
      <c r="E103" s="43"/>
      <c r="F103" s="74"/>
      <c r="G103" s="42"/>
      <c r="H103" s="42"/>
      <c r="I103" s="42"/>
      <c r="J103" s="123"/>
      <c r="K103" s="80"/>
      <c r="L103" s="43"/>
      <c r="M103" s="80"/>
      <c r="N103" s="141">
        <f t="shared" si="29"/>
        <v>0</v>
      </c>
      <c r="O103" s="142"/>
      <c r="P103" s="142"/>
      <c r="Q103" s="141">
        <f t="shared" si="34"/>
        <v>0</v>
      </c>
      <c r="R103" s="142"/>
      <c r="S103" s="142">
        <f t="shared" si="30"/>
        <v>0</v>
      </c>
      <c r="T103" s="142" t="s">
        <v>273</v>
      </c>
      <c r="U103" s="141">
        <f t="shared" si="23"/>
        <v>0</v>
      </c>
      <c r="V103" s="142" t="s">
        <v>274</v>
      </c>
      <c r="W103" s="146">
        <f t="shared" si="31"/>
        <v>0</v>
      </c>
      <c r="X103" s="147" t="s">
        <v>277</v>
      </c>
      <c r="Y103" s="45">
        <f t="shared" si="32"/>
        <v>0</v>
      </c>
      <c r="Z103" s="43" t="s">
        <v>284</v>
      </c>
      <c r="AA103" s="45">
        <f t="shared" si="33"/>
        <v>0</v>
      </c>
      <c r="AB103" s="43" t="s">
        <v>285</v>
      </c>
      <c r="AC103" s="44">
        <f t="shared" si="25"/>
        <v>0</v>
      </c>
      <c r="AD103" s="101"/>
      <c r="AE103" s="98">
        <v>6</v>
      </c>
      <c r="AF103" s="97">
        <f t="shared" si="26"/>
        <v>0</v>
      </c>
      <c r="AG103" s="97">
        <v>4664</v>
      </c>
      <c r="AH103" s="82">
        <f t="shared" si="27"/>
        <v>388.66666666666674</v>
      </c>
      <c r="AI103" s="98" t="s">
        <v>896</v>
      </c>
      <c r="AJ103" s="75">
        <f t="shared" si="24"/>
        <v>0</v>
      </c>
      <c r="AK103" s="73">
        <f t="shared" si="28"/>
        <v>388.66666666666674</v>
      </c>
    </row>
    <row r="104" spans="1:41" s="38" customFormat="1">
      <c r="A104" s="122" t="s">
        <v>764</v>
      </c>
      <c r="B104" s="42"/>
      <c r="C104" s="42"/>
      <c r="D104" s="134"/>
      <c r="E104" s="43"/>
      <c r="F104" s="74"/>
      <c r="G104" s="42"/>
      <c r="H104" s="42"/>
      <c r="I104" s="42"/>
      <c r="J104" s="123"/>
      <c r="K104" s="80"/>
      <c r="L104" s="43"/>
      <c r="M104" s="80"/>
      <c r="N104" s="141">
        <f t="shared" si="29"/>
        <v>0</v>
      </c>
      <c r="O104" s="142"/>
      <c r="P104" s="142"/>
      <c r="Q104" s="141">
        <f t="shared" si="34"/>
        <v>0</v>
      </c>
      <c r="R104" s="142"/>
      <c r="S104" s="142">
        <f t="shared" si="30"/>
        <v>0</v>
      </c>
      <c r="T104" s="142" t="s">
        <v>273</v>
      </c>
      <c r="U104" s="141">
        <f t="shared" si="23"/>
        <v>0</v>
      </c>
      <c r="V104" s="142" t="s">
        <v>274</v>
      </c>
      <c r="W104" s="146">
        <f t="shared" si="31"/>
        <v>0</v>
      </c>
      <c r="X104" s="147" t="s">
        <v>277</v>
      </c>
      <c r="Y104" s="45">
        <f t="shared" si="32"/>
        <v>0</v>
      </c>
      <c r="Z104" s="43" t="s">
        <v>284</v>
      </c>
      <c r="AA104" s="45">
        <f t="shared" si="33"/>
        <v>0</v>
      </c>
      <c r="AB104" s="43" t="s">
        <v>285</v>
      </c>
      <c r="AC104" s="44">
        <f t="shared" si="25"/>
        <v>0</v>
      </c>
      <c r="AD104" s="101"/>
      <c r="AE104" s="98">
        <v>6</v>
      </c>
      <c r="AF104" s="97">
        <f t="shared" si="26"/>
        <v>0</v>
      </c>
      <c r="AG104" s="97">
        <v>3800</v>
      </c>
      <c r="AH104" s="82">
        <f t="shared" si="27"/>
        <v>316.66666666666669</v>
      </c>
      <c r="AI104" s="98" t="s">
        <v>896</v>
      </c>
      <c r="AJ104" s="75">
        <f t="shared" si="24"/>
        <v>0</v>
      </c>
      <c r="AK104" s="73">
        <f t="shared" si="28"/>
        <v>316.66666666666669</v>
      </c>
    </row>
    <row r="105" spans="1:41" s="93" customFormat="1">
      <c r="A105" s="122" t="s">
        <v>765</v>
      </c>
      <c r="B105" s="94"/>
      <c r="C105" s="94"/>
      <c r="D105" s="135"/>
      <c r="E105" s="90"/>
      <c r="F105" s="88"/>
      <c r="G105" s="87"/>
      <c r="H105" s="87"/>
      <c r="I105" s="87"/>
      <c r="J105" s="123"/>
      <c r="K105" s="89"/>
      <c r="L105" s="90"/>
      <c r="M105" s="89"/>
      <c r="N105" s="141">
        <f t="shared" si="29"/>
        <v>0</v>
      </c>
      <c r="O105" s="142"/>
      <c r="P105" s="142"/>
      <c r="Q105" s="141">
        <f t="shared" si="34"/>
        <v>0</v>
      </c>
      <c r="R105" s="142"/>
      <c r="S105" s="142">
        <f t="shared" si="30"/>
        <v>0</v>
      </c>
      <c r="T105" s="142" t="s">
        <v>273</v>
      </c>
      <c r="U105" s="141">
        <f t="shared" si="23"/>
        <v>0</v>
      </c>
      <c r="V105" s="142" t="s">
        <v>274</v>
      </c>
      <c r="W105" s="146">
        <f t="shared" si="31"/>
        <v>0</v>
      </c>
      <c r="X105" s="147" t="s">
        <v>277</v>
      </c>
      <c r="Y105" s="91">
        <f t="shared" si="32"/>
        <v>0</v>
      </c>
      <c r="Z105" s="90" t="s">
        <v>284</v>
      </c>
      <c r="AA105" s="91">
        <f t="shared" si="33"/>
        <v>0</v>
      </c>
      <c r="AB105" s="90" t="s">
        <v>285</v>
      </c>
      <c r="AC105" s="44">
        <f t="shared" si="25"/>
        <v>0</v>
      </c>
      <c r="AD105" s="101"/>
      <c r="AE105" s="98">
        <v>6</v>
      </c>
      <c r="AF105" s="97">
        <f t="shared" si="26"/>
        <v>0</v>
      </c>
      <c r="AG105" s="97">
        <v>3800</v>
      </c>
      <c r="AH105" s="82">
        <f t="shared" si="27"/>
        <v>316.66666666666669</v>
      </c>
      <c r="AI105" s="105" t="s">
        <v>896</v>
      </c>
      <c r="AJ105" s="92">
        <f t="shared" si="24"/>
        <v>0</v>
      </c>
      <c r="AK105" s="73">
        <f t="shared" si="28"/>
        <v>316.66666666666669</v>
      </c>
      <c r="AO105" s="38"/>
    </row>
    <row r="106" spans="1:41" s="93" customFormat="1">
      <c r="A106" s="122" t="s">
        <v>766</v>
      </c>
      <c r="B106" s="87"/>
      <c r="C106" s="87"/>
      <c r="D106" s="135"/>
      <c r="E106" s="90"/>
      <c r="F106" s="88"/>
      <c r="G106" s="87"/>
      <c r="H106" s="87"/>
      <c r="I106" s="87"/>
      <c r="J106" s="123"/>
      <c r="K106" s="89"/>
      <c r="L106" s="90"/>
      <c r="M106" s="89"/>
      <c r="N106" s="141">
        <f t="shared" si="29"/>
        <v>0</v>
      </c>
      <c r="O106" s="142"/>
      <c r="P106" s="142"/>
      <c r="Q106" s="141">
        <f t="shared" si="34"/>
        <v>0</v>
      </c>
      <c r="R106" s="142"/>
      <c r="S106" s="142">
        <f t="shared" si="30"/>
        <v>0</v>
      </c>
      <c r="T106" s="142" t="s">
        <v>273</v>
      </c>
      <c r="U106" s="141">
        <f t="shared" si="23"/>
        <v>0</v>
      </c>
      <c r="V106" s="142" t="s">
        <v>274</v>
      </c>
      <c r="W106" s="146">
        <f t="shared" si="31"/>
        <v>0</v>
      </c>
      <c r="X106" s="147" t="s">
        <v>277</v>
      </c>
      <c r="Y106" s="91">
        <f t="shared" si="32"/>
        <v>0</v>
      </c>
      <c r="Z106" s="90" t="s">
        <v>284</v>
      </c>
      <c r="AA106" s="91">
        <f t="shared" si="33"/>
        <v>0</v>
      </c>
      <c r="AB106" s="90" t="s">
        <v>285</v>
      </c>
      <c r="AC106" s="44">
        <f t="shared" si="25"/>
        <v>0</v>
      </c>
      <c r="AD106" s="101"/>
      <c r="AE106" s="98">
        <v>6</v>
      </c>
      <c r="AF106" s="97">
        <f t="shared" si="26"/>
        <v>0</v>
      </c>
      <c r="AG106" s="97">
        <v>4571</v>
      </c>
      <c r="AH106" s="82">
        <f t="shared" si="27"/>
        <v>380.91666666666669</v>
      </c>
      <c r="AI106" s="105" t="s">
        <v>896</v>
      </c>
      <c r="AJ106" s="92">
        <f t="shared" si="24"/>
        <v>0</v>
      </c>
      <c r="AK106" s="73">
        <f t="shared" si="28"/>
        <v>380.91666666666669</v>
      </c>
    </row>
    <row r="107" spans="1:41" s="38" customFormat="1">
      <c r="A107" s="122" t="s">
        <v>767</v>
      </c>
      <c r="B107" s="42"/>
      <c r="C107" s="42"/>
      <c r="D107" s="134"/>
      <c r="E107" s="43"/>
      <c r="F107" s="74"/>
      <c r="G107" s="42"/>
      <c r="H107" s="42"/>
      <c r="I107" s="42"/>
      <c r="J107" s="123"/>
      <c r="K107" s="80"/>
      <c r="L107" s="43"/>
      <c r="M107" s="80"/>
      <c r="N107" s="141">
        <f t="shared" si="29"/>
        <v>0</v>
      </c>
      <c r="O107" s="142"/>
      <c r="P107" s="142"/>
      <c r="Q107" s="141">
        <f t="shared" si="34"/>
        <v>0</v>
      </c>
      <c r="R107" s="142"/>
      <c r="S107" s="142">
        <f t="shared" si="30"/>
        <v>0</v>
      </c>
      <c r="T107" s="142" t="s">
        <v>273</v>
      </c>
      <c r="U107" s="141">
        <f t="shared" si="23"/>
        <v>0</v>
      </c>
      <c r="V107" s="142" t="s">
        <v>274</v>
      </c>
      <c r="W107" s="146">
        <f t="shared" si="31"/>
        <v>0</v>
      </c>
      <c r="X107" s="147" t="s">
        <v>277</v>
      </c>
      <c r="Y107" s="45">
        <f t="shared" si="32"/>
        <v>0</v>
      </c>
      <c r="Z107" s="43" t="s">
        <v>284</v>
      </c>
      <c r="AA107" s="45">
        <f t="shared" si="33"/>
        <v>0</v>
      </c>
      <c r="AB107" s="43" t="s">
        <v>285</v>
      </c>
      <c r="AC107" s="44">
        <f t="shared" si="25"/>
        <v>0</v>
      </c>
      <c r="AD107" s="101"/>
      <c r="AE107" s="98">
        <v>6</v>
      </c>
      <c r="AF107" s="97">
        <f t="shared" si="26"/>
        <v>0</v>
      </c>
      <c r="AG107" s="97">
        <v>3893</v>
      </c>
      <c r="AH107" s="82">
        <f t="shared" si="27"/>
        <v>324.41666666666669</v>
      </c>
      <c r="AI107" s="98" t="s">
        <v>896</v>
      </c>
      <c r="AJ107" s="75">
        <f t="shared" si="24"/>
        <v>0</v>
      </c>
      <c r="AK107" s="73">
        <f t="shared" si="28"/>
        <v>324.41666666666669</v>
      </c>
      <c r="AO107" s="93"/>
    </row>
    <row r="108" spans="1:41" s="93" customFormat="1">
      <c r="A108" s="122" t="s">
        <v>768</v>
      </c>
      <c r="B108" s="87"/>
      <c r="C108" s="87"/>
      <c r="D108" s="135"/>
      <c r="E108" s="90"/>
      <c r="F108" s="88"/>
      <c r="G108" s="87"/>
      <c r="H108" s="87"/>
      <c r="I108" s="87"/>
      <c r="J108" s="123"/>
      <c r="K108" s="89"/>
      <c r="L108" s="90"/>
      <c r="M108" s="89"/>
      <c r="N108" s="141">
        <f t="shared" si="29"/>
        <v>0</v>
      </c>
      <c r="O108" s="142"/>
      <c r="P108" s="142"/>
      <c r="Q108" s="141">
        <f t="shared" si="34"/>
        <v>0</v>
      </c>
      <c r="R108" s="142"/>
      <c r="S108" s="142">
        <f t="shared" si="30"/>
        <v>0</v>
      </c>
      <c r="T108" s="142" t="s">
        <v>273</v>
      </c>
      <c r="U108" s="141">
        <f t="shared" si="23"/>
        <v>0</v>
      </c>
      <c r="V108" s="142" t="s">
        <v>274</v>
      </c>
      <c r="W108" s="146">
        <f t="shared" si="31"/>
        <v>0</v>
      </c>
      <c r="X108" s="147" t="s">
        <v>277</v>
      </c>
      <c r="Y108" s="91">
        <f t="shared" si="32"/>
        <v>0</v>
      </c>
      <c r="Z108" s="90" t="s">
        <v>284</v>
      </c>
      <c r="AA108" s="91">
        <f t="shared" si="33"/>
        <v>0</v>
      </c>
      <c r="AB108" s="90" t="s">
        <v>285</v>
      </c>
      <c r="AC108" s="44">
        <f t="shared" si="25"/>
        <v>0</v>
      </c>
      <c r="AD108" s="101"/>
      <c r="AE108" s="98">
        <v>6</v>
      </c>
      <c r="AF108" s="97">
        <f t="shared" si="26"/>
        <v>0</v>
      </c>
      <c r="AG108" s="97">
        <v>4664</v>
      </c>
      <c r="AH108" s="82">
        <f t="shared" si="27"/>
        <v>388.66666666666674</v>
      </c>
      <c r="AI108" s="105" t="s">
        <v>896</v>
      </c>
      <c r="AJ108" s="92">
        <f t="shared" si="24"/>
        <v>0</v>
      </c>
      <c r="AK108" s="73">
        <f t="shared" si="28"/>
        <v>388.66666666666674</v>
      </c>
      <c r="AO108" s="38"/>
    </row>
    <row r="109" spans="1:41" s="38" customFormat="1">
      <c r="A109" s="122" t="s">
        <v>893</v>
      </c>
      <c r="B109" s="42"/>
      <c r="C109" s="42"/>
      <c r="D109" s="134"/>
      <c r="E109" s="43"/>
      <c r="F109" s="74"/>
      <c r="G109" s="42"/>
      <c r="H109" s="42"/>
      <c r="I109" s="42"/>
      <c r="J109" s="123"/>
      <c r="K109" s="80"/>
      <c r="L109" s="43"/>
      <c r="M109" s="80"/>
      <c r="N109" s="141">
        <f t="shared" si="29"/>
        <v>0</v>
      </c>
      <c r="O109" s="142"/>
      <c r="P109" s="142"/>
      <c r="Q109" s="141">
        <f t="shared" si="34"/>
        <v>0</v>
      </c>
      <c r="R109" s="142"/>
      <c r="S109" s="142">
        <f t="shared" si="30"/>
        <v>0</v>
      </c>
      <c r="T109" s="142" t="s">
        <v>273</v>
      </c>
      <c r="U109" s="141">
        <f t="shared" si="23"/>
        <v>0</v>
      </c>
      <c r="V109" s="142" t="s">
        <v>274</v>
      </c>
      <c r="W109" s="146">
        <f t="shared" si="31"/>
        <v>0</v>
      </c>
      <c r="X109" s="147" t="s">
        <v>277</v>
      </c>
      <c r="Y109" s="45">
        <f t="shared" si="32"/>
        <v>0</v>
      </c>
      <c r="Z109" s="43" t="s">
        <v>284</v>
      </c>
      <c r="AA109" s="45">
        <f t="shared" si="33"/>
        <v>0</v>
      </c>
      <c r="AB109" s="43" t="s">
        <v>285</v>
      </c>
      <c r="AC109" s="44">
        <f t="shared" si="25"/>
        <v>0</v>
      </c>
      <c r="AD109" s="101"/>
      <c r="AE109" s="98">
        <v>6</v>
      </c>
      <c r="AF109" s="97">
        <f t="shared" si="26"/>
        <v>0</v>
      </c>
      <c r="AG109" s="97">
        <v>4571</v>
      </c>
      <c r="AH109" s="82">
        <f t="shared" si="27"/>
        <v>380.91666666666669</v>
      </c>
      <c r="AI109" s="98" t="s">
        <v>896</v>
      </c>
      <c r="AJ109" s="75">
        <f t="shared" si="24"/>
        <v>0</v>
      </c>
      <c r="AK109" s="73">
        <f t="shared" si="28"/>
        <v>380.91666666666669</v>
      </c>
      <c r="AO109" s="93"/>
    </row>
    <row r="110" spans="1:41" s="38" customFormat="1">
      <c r="A110" s="122" t="s">
        <v>769</v>
      </c>
      <c r="B110" s="42"/>
      <c r="C110" s="42"/>
      <c r="D110" s="134"/>
      <c r="E110" s="43"/>
      <c r="F110" s="74"/>
      <c r="G110" s="42"/>
      <c r="H110" s="42"/>
      <c r="I110" s="42"/>
      <c r="J110" s="123"/>
      <c r="K110" s="80"/>
      <c r="L110" s="43"/>
      <c r="M110" s="80"/>
      <c r="N110" s="141">
        <f t="shared" si="29"/>
        <v>0</v>
      </c>
      <c r="O110" s="142"/>
      <c r="P110" s="142"/>
      <c r="Q110" s="141">
        <f t="shared" si="34"/>
        <v>0</v>
      </c>
      <c r="R110" s="142"/>
      <c r="S110" s="142">
        <f t="shared" si="30"/>
        <v>0</v>
      </c>
      <c r="T110" s="142" t="s">
        <v>273</v>
      </c>
      <c r="U110" s="141">
        <f t="shared" si="23"/>
        <v>0</v>
      </c>
      <c r="V110" s="142" t="s">
        <v>274</v>
      </c>
      <c r="W110" s="146">
        <f t="shared" si="31"/>
        <v>0</v>
      </c>
      <c r="X110" s="147" t="s">
        <v>277</v>
      </c>
      <c r="Y110" s="45">
        <f t="shared" si="32"/>
        <v>0</v>
      </c>
      <c r="Z110" s="43" t="s">
        <v>284</v>
      </c>
      <c r="AA110" s="45">
        <f t="shared" si="33"/>
        <v>0</v>
      </c>
      <c r="AB110" s="43" t="s">
        <v>285</v>
      </c>
      <c r="AC110" s="44">
        <f t="shared" si="25"/>
        <v>0</v>
      </c>
      <c r="AD110" s="101"/>
      <c r="AE110" s="98">
        <v>6</v>
      </c>
      <c r="AF110" s="97">
        <f t="shared" si="26"/>
        <v>0</v>
      </c>
      <c r="AG110" s="97">
        <v>4664</v>
      </c>
      <c r="AH110" s="82">
        <f t="shared" si="27"/>
        <v>388.66666666666674</v>
      </c>
      <c r="AI110" s="98" t="s">
        <v>896</v>
      </c>
      <c r="AJ110" s="75">
        <f t="shared" si="24"/>
        <v>0</v>
      </c>
      <c r="AK110" s="73">
        <f t="shared" si="28"/>
        <v>388.66666666666674</v>
      </c>
    </row>
    <row r="111" spans="1:41" s="38" customFormat="1">
      <c r="A111" s="122" t="s">
        <v>770</v>
      </c>
      <c r="B111" s="86"/>
      <c r="C111" s="86"/>
      <c r="D111" s="134"/>
      <c r="E111" s="43"/>
      <c r="F111" s="74"/>
      <c r="G111" s="86"/>
      <c r="H111" s="86"/>
      <c r="I111" s="86"/>
      <c r="J111" s="123"/>
      <c r="K111" s="80"/>
      <c r="L111" s="43"/>
      <c r="M111" s="80"/>
      <c r="N111" s="141">
        <f t="shared" si="29"/>
        <v>0</v>
      </c>
      <c r="O111" s="142"/>
      <c r="P111" s="142"/>
      <c r="Q111" s="141">
        <f t="shared" ref="Q111" si="44">+P111*$D$1</f>
        <v>0</v>
      </c>
      <c r="R111" s="142"/>
      <c r="S111" s="142">
        <f t="shared" si="30"/>
        <v>0</v>
      </c>
      <c r="T111" s="142" t="s">
        <v>273</v>
      </c>
      <c r="U111" s="141">
        <f t="shared" si="23"/>
        <v>0</v>
      </c>
      <c r="V111" s="142" t="s">
        <v>274</v>
      </c>
      <c r="W111" s="146">
        <f t="shared" si="31"/>
        <v>0</v>
      </c>
      <c r="X111" s="147" t="s">
        <v>277</v>
      </c>
      <c r="Y111" s="45">
        <f t="shared" ref="Y111" si="45">IF(G111="RIMAC EPS EMPRESA PRESTADORA DE SALUD",((((K111*40%)+M111)*0.0675)*$D$1),((((K111*40%)+M111)*0.09))*$D$1)</f>
        <v>0</v>
      </c>
      <c r="Z111" s="43" t="s">
        <v>284</v>
      </c>
      <c r="AA111" s="45">
        <f t="shared" ref="AA111" si="46">IF(G111="RIMAC EPS EMPRESA PRESTADORA DE SALUD",((K111*40%)+M111)*0.0225*$D$1+Q111*0.0225,0)</f>
        <v>0</v>
      </c>
      <c r="AB111" s="43" t="s">
        <v>285</v>
      </c>
      <c r="AC111" s="44">
        <f t="shared" si="25"/>
        <v>0</v>
      </c>
      <c r="AD111" s="101"/>
      <c r="AE111" s="98">
        <v>6</v>
      </c>
      <c r="AF111" s="97">
        <f t="shared" si="26"/>
        <v>0</v>
      </c>
      <c r="AG111" s="97">
        <v>4571</v>
      </c>
      <c r="AH111" s="82">
        <f t="shared" si="27"/>
        <v>380.91666666666669</v>
      </c>
      <c r="AI111" s="98" t="s">
        <v>896</v>
      </c>
      <c r="AJ111" s="75">
        <f t="shared" si="24"/>
        <v>0</v>
      </c>
      <c r="AK111" s="73">
        <f t="shared" si="28"/>
        <v>380.91666666666669</v>
      </c>
    </row>
    <row r="112" spans="1:41" s="38" customFormat="1">
      <c r="A112" s="122" t="s">
        <v>771</v>
      </c>
      <c r="B112" s="42"/>
      <c r="C112" s="42"/>
      <c r="D112" s="134"/>
      <c r="E112" s="43"/>
      <c r="F112" s="74"/>
      <c r="G112" s="42"/>
      <c r="H112" s="42"/>
      <c r="I112" s="42"/>
      <c r="J112" s="123"/>
      <c r="K112" s="80"/>
      <c r="L112" s="43"/>
      <c r="M112" s="80"/>
      <c r="N112" s="141">
        <f t="shared" si="29"/>
        <v>0</v>
      </c>
      <c r="O112" s="142"/>
      <c r="P112" s="142"/>
      <c r="Q112" s="141">
        <f t="shared" si="34"/>
        <v>0</v>
      </c>
      <c r="R112" s="142"/>
      <c r="S112" s="142">
        <f t="shared" si="30"/>
        <v>0</v>
      </c>
      <c r="T112" s="142" t="s">
        <v>273</v>
      </c>
      <c r="U112" s="141">
        <f t="shared" si="23"/>
        <v>0</v>
      </c>
      <c r="V112" s="142" t="s">
        <v>274</v>
      </c>
      <c r="W112" s="146">
        <f t="shared" si="31"/>
        <v>0</v>
      </c>
      <c r="X112" s="147" t="s">
        <v>277</v>
      </c>
      <c r="Y112" s="45">
        <f t="shared" si="32"/>
        <v>0</v>
      </c>
      <c r="Z112" s="43" t="s">
        <v>284</v>
      </c>
      <c r="AA112" s="45">
        <f t="shared" si="33"/>
        <v>0</v>
      </c>
      <c r="AB112" s="43" t="s">
        <v>285</v>
      </c>
      <c r="AC112" s="44">
        <f t="shared" si="25"/>
        <v>0</v>
      </c>
      <c r="AD112" s="101"/>
      <c r="AE112" s="98">
        <v>6</v>
      </c>
      <c r="AF112" s="97">
        <f t="shared" si="26"/>
        <v>0</v>
      </c>
      <c r="AG112" s="97">
        <v>4571</v>
      </c>
      <c r="AH112" s="82">
        <f t="shared" si="27"/>
        <v>380.91666666666669</v>
      </c>
      <c r="AI112" s="98" t="s">
        <v>896</v>
      </c>
      <c r="AJ112" s="75">
        <f t="shared" si="24"/>
        <v>0</v>
      </c>
      <c r="AK112" s="73">
        <f t="shared" si="28"/>
        <v>380.91666666666669</v>
      </c>
    </row>
    <row r="113" spans="1:41" s="38" customFormat="1">
      <c r="A113" s="122" t="s">
        <v>772</v>
      </c>
      <c r="B113" s="42"/>
      <c r="C113" s="42"/>
      <c r="D113" s="134"/>
      <c r="E113" s="43"/>
      <c r="F113" s="74"/>
      <c r="G113" s="42"/>
      <c r="H113" s="42"/>
      <c r="I113" s="42"/>
      <c r="J113" s="123"/>
      <c r="K113" s="80"/>
      <c r="L113" s="43"/>
      <c r="M113" s="80"/>
      <c r="N113" s="141">
        <f t="shared" si="29"/>
        <v>0</v>
      </c>
      <c r="O113" s="142"/>
      <c r="P113" s="142"/>
      <c r="Q113" s="141">
        <f t="shared" si="34"/>
        <v>0</v>
      </c>
      <c r="R113" s="142"/>
      <c r="S113" s="142">
        <f t="shared" si="30"/>
        <v>0</v>
      </c>
      <c r="T113" s="142" t="s">
        <v>273</v>
      </c>
      <c r="U113" s="141">
        <f t="shared" si="23"/>
        <v>0</v>
      </c>
      <c r="V113" s="142" t="s">
        <v>274</v>
      </c>
      <c r="W113" s="146">
        <f t="shared" si="31"/>
        <v>0</v>
      </c>
      <c r="X113" s="147" t="s">
        <v>277</v>
      </c>
      <c r="Y113" s="45">
        <f t="shared" si="32"/>
        <v>0</v>
      </c>
      <c r="Z113" s="43" t="s">
        <v>284</v>
      </c>
      <c r="AA113" s="45">
        <f t="shared" si="33"/>
        <v>0</v>
      </c>
      <c r="AB113" s="43" t="s">
        <v>285</v>
      </c>
      <c r="AC113" s="44">
        <f t="shared" si="25"/>
        <v>0</v>
      </c>
      <c r="AD113" s="101"/>
      <c r="AE113" s="98">
        <v>6</v>
      </c>
      <c r="AF113" s="97">
        <f t="shared" si="26"/>
        <v>0</v>
      </c>
      <c r="AG113" s="97">
        <v>3800</v>
      </c>
      <c r="AH113" s="82">
        <f t="shared" si="27"/>
        <v>316.66666666666669</v>
      </c>
      <c r="AI113" s="98" t="s">
        <v>896</v>
      </c>
      <c r="AJ113" s="75">
        <f t="shared" si="24"/>
        <v>0</v>
      </c>
      <c r="AK113" s="73">
        <f t="shared" si="28"/>
        <v>316.66666666666669</v>
      </c>
    </row>
    <row r="114" spans="1:41" s="38" customFormat="1">
      <c r="A114" s="122" t="s">
        <v>773</v>
      </c>
      <c r="B114" s="42"/>
      <c r="C114" s="42"/>
      <c r="D114" s="134"/>
      <c r="E114" s="43"/>
      <c r="F114" s="74"/>
      <c r="G114" s="42"/>
      <c r="H114" s="42"/>
      <c r="I114" s="42"/>
      <c r="J114" s="123"/>
      <c r="K114" s="80"/>
      <c r="L114" s="43"/>
      <c r="M114" s="80"/>
      <c r="N114" s="141">
        <f t="shared" si="29"/>
        <v>0</v>
      </c>
      <c r="O114" s="142"/>
      <c r="P114" s="142"/>
      <c r="Q114" s="141">
        <f t="shared" si="34"/>
        <v>0</v>
      </c>
      <c r="R114" s="142"/>
      <c r="S114" s="142">
        <f t="shared" si="30"/>
        <v>0</v>
      </c>
      <c r="T114" s="142" t="s">
        <v>273</v>
      </c>
      <c r="U114" s="141">
        <f t="shared" si="23"/>
        <v>0</v>
      </c>
      <c r="V114" s="142" t="s">
        <v>274</v>
      </c>
      <c r="W114" s="146">
        <f t="shared" si="31"/>
        <v>0</v>
      </c>
      <c r="X114" s="147" t="s">
        <v>277</v>
      </c>
      <c r="Y114" s="45">
        <f t="shared" si="32"/>
        <v>0</v>
      </c>
      <c r="Z114" s="43" t="s">
        <v>284</v>
      </c>
      <c r="AA114" s="45">
        <f t="shared" si="33"/>
        <v>0</v>
      </c>
      <c r="AB114" s="43" t="s">
        <v>285</v>
      </c>
      <c r="AC114" s="44">
        <f t="shared" si="25"/>
        <v>0</v>
      </c>
      <c r="AD114" s="101"/>
      <c r="AE114" s="98">
        <v>6</v>
      </c>
      <c r="AF114" s="97">
        <f t="shared" si="26"/>
        <v>0</v>
      </c>
      <c r="AG114" s="97">
        <v>4571</v>
      </c>
      <c r="AH114" s="82">
        <f t="shared" si="27"/>
        <v>380.91666666666669</v>
      </c>
      <c r="AI114" s="98" t="s">
        <v>896</v>
      </c>
      <c r="AJ114" s="75">
        <f t="shared" si="24"/>
        <v>0</v>
      </c>
      <c r="AK114" s="73">
        <f t="shared" si="28"/>
        <v>380.91666666666669</v>
      </c>
    </row>
    <row r="115" spans="1:41" s="38" customFormat="1">
      <c r="A115" s="122" t="s">
        <v>774</v>
      </c>
      <c r="B115" s="42"/>
      <c r="C115" s="42"/>
      <c r="D115" s="134"/>
      <c r="E115" s="43"/>
      <c r="F115" s="74"/>
      <c r="G115" s="42"/>
      <c r="H115" s="42"/>
      <c r="I115" s="42"/>
      <c r="J115" s="123"/>
      <c r="K115" s="80"/>
      <c r="L115" s="43"/>
      <c r="M115" s="80"/>
      <c r="N115" s="141">
        <f t="shared" si="29"/>
        <v>0</v>
      </c>
      <c r="O115" s="142"/>
      <c r="P115" s="142"/>
      <c r="Q115" s="141">
        <f t="shared" si="34"/>
        <v>0</v>
      </c>
      <c r="R115" s="142"/>
      <c r="S115" s="142">
        <f t="shared" si="30"/>
        <v>0</v>
      </c>
      <c r="T115" s="142" t="s">
        <v>273</v>
      </c>
      <c r="U115" s="141">
        <f t="shared" si="23"/>
        <v>0</v>
      </c>
      <c r="V115" s="142" t="s">
        <v>274</v>
      </c>
      <c r="W115" s="146">
        <f t="shared" si="31"/>
        <v>0</v>
      </c>
      <c r="X115" s="147" t="s">
        <v>277</v>
      </c>
      <c r="Y115" s="45">
        <f t="shared" si="32"/>
        <v>0</v>
      </c>
      <c r="Z115" s="43" t="s">
        <v>284</v>
      </c>
      <c r="AA115" s="45">
        <f t="shared" si="33"/>
        <v>0</v>
      </c>
      <c r="AB115" s="43" t="s">
        <v>285</v>
      </c>
      <c r="AC115" s="44">
        <f t="shared" si="25"/>
        <v>0</v>
      </c>
      <c r="AD115" s="101"/>
      <c r="AE115" s="98">
        <v>6</v>
      </c>
      <c r="AF115" s="97">
        <f t="shared" si="26"/>
        <v>0</v>
      </c>
      <c r="AG115" s="97">
        <v>4664</v>
      </c>
      <c r="AH115" s="82">
        <f t="shared" si="27"/>
        <v>388.66666666666674</v>
      </c>
      <c r="AI115" s="98" t="s">
        <v>896</v>
      </c>
      <c r="AJ115" s="75">
        <f t="shared" si="24"/>
        <v>0</v>
      </c>
      <c r="AK115" s="73">
        <f t="shared" si="28"/>
        <v>388.66666666666674</v>
      </c>
    </row>
    <row r="116" spans="1:41" s="38" customFormat="1">
      <c r="A116" s="122" t="s">
        <v>775</v>
      </c>
      <c r="B116" s="42"/>
      <c r="C116" s="42"/>
      <c r="D116" s="134"/>
      <c r="E116" s="43"/>
      <c r="F116" s="74"/>
      <c r="G116" s="42"/>
      <c r="H116" s="42"/>
      <c r="I116" s="42"/>
      <c r="J116" s="123"/>
      <c r="K116" s="80"/>
      <c r="L116" s="43"/>
      <c r="M116" s="80"/>
      <c r="N116" s="141">
        <f t="shared" si="29"/>
        <v>0</v>
      </c>
      <c r="O116" s="142"/>
      <c r="P116" s="142"/>
      <c r="Q116" s="141">
        <f t="shared" si="34"/>
        <v>0</v>
      </c>
      <c r="R116" s="142"/>
      <c r="S116" s="142">
        <f t="shared" si="30"/>
        <v>0</v>
      </c>
      <c r="T116" s="142" t="s">
        <v>273</v>
      </c>
      <c r="U116" s="141">
        <f t="shared" si="23"/>
        <v>0</v>
      </c>
      <c r="V116" s="142" t="s">
        <v>274</v>
      </c>
      <c r="W116" s="146">
        <f t="shared" si="31"/>
        <v>0</v>
      </c>
      <c r="X116" s="147" t="s">
        <v>277</v>
      </c>
      <c r="Y116" s="45">
        <f t="shared" si="32"/>
        <v>0</v>
      </c>
      <c r="Z116" s="43" t="s">
        <v>284</v>
      </c>
      <c r="AA116" s="45">
        <f t="shared" si="33"/>
        <v>0</v>
      </c>
      <c r="AB116" s="43" t="s">
        <v>285</v>
      </c>
      <c r="AC116" s="44">
        <f t="shared" si="25"/>
        <v>0</v>
      </c>
      <c r="AD116" s="101"/>
      <c r="AE116" s="98">
        <v>6</v>
      </c>
      <c r="AF116" s="97">
        <f t="shared" si="26"/>
        <v>0</v>
      </c>
      <c r="AG116" s="97">
        <v>5950</v>
      </c>
      <c r="AH116" s="82">
        <f t="shared" si="27"/>
        <v>495.83333333333331</v>
      </c>
      <c r="AI116" s="98" t="s">
        <v>896</v>
      </c>
      <c r="AJ116" s="75">
        <f t="shared" si="24"/>
        <v>0</v>
      </c>
      <c r="AK116" s="73">
        <f t="shared" si="28"/>
        <v>495.83333333333331</v>
      </c>
    </row>
    <row r="117" spans="1:41" s="38" customFormat="1">
      <c r="A117" s="122" t="s">
        <v>776</v>
      </c>
      <c r="B117" s="42"/>
      <c r="C117" s="42"/>
      <c r="D117" s="134"/>
      <c r="E117" s="43"/>
      <c r="F117" s="74"/>
      <c r="G117" s="42"/>
      <c r="H117" s="42"/>
      <c r="I117" s="42"/>
      <c r="J117" s="123"/>
      <c r="K117" s="80"/>
      <c r="L117" s="43"/>
      <c r="M117" s="80"/>
      <c r="N117" s="141">
        <f t="shared" si="29"/>
        <v>0</v>
      </c>
      <c r="O117" s="142"/>
      <c r="P117" s="142"/>
      <c r="Q117" s="141">
        <f t="shared" si="34"/>
        <v>0</v>
      </c>
      <c r="R117" s="142"/>
      <c r="S117" s="142">
        <f t="shared" si="30"/>
        <v>0</v>
      </c>
      <c r="T117" s="142" t="s">
        <v>273</v>
      </c>
      <c r="U117" s="141">
        <f t="shared" si="23"/>
        <v>0</v>
      </c>
      <c r="V117" s="142" t="s">
        <v>274</v>
      </c>
      <c r="W117" s="146">
        <f t="shared" si="31"/>
        <v>0</v>
      </c>
      <c r="X117" s="147" t="s">
        <v>277</v>
      </c>
      <c r="Y117" s="45">
        <f t="shared" si="32"/>
        <v>0</v>
      </c>
      <c r="Z117" s="43" t="s">
        <v>284</v>
      </c>
      <c r="AA117" s="45">
        <f t="shared" si="33"/>
        <v>0</v>
      </c>
      <c r="AB117" s="43" t="s">
        <v>285</v>
      </c>
      <c r="AC117" s="44">
        <f t="shared" si="25"/>
        <v>0</v>
      </c>
      <c r="AD117" s="101"/>
      <c r="AE117" s="98">
        <v>6</v>
      </c>
      <c r="AF117" s="97">
        <f t="shared" si="26"/>
        <v>0</v>
      </c>
      <c r="AG117" s="97">
        <v>3800</v>
      </c>
      <c r="AH117" s="82">
        <f t="shared" si="27"/>
        <v>316.66666666666669</v>
      </c>
      <c r="AI117" s="98" t="s">
        <v>896</v>
      </c>
      <c r="AJ117" s="75">
        <f t="shared" si="24"/>
        <v>0</v>
      </c>
      <c r="AK117" s="73">
        <f t="shared" si="28"/>
        <v>316.66666666666669</v>
      </c>
    </row>
    <row r="118" spans="1:41" s="38" customFormat="1">
      <c r="A118" s="122" t="s">
        <v>777</v>
      </c>
      <c r="B118" s="42"/>
      <c r="C118" s="42"/>
      <c r="D118" s="134"/>
      <c r="E118" s="43"/>
      <c r="F118" s="74"/>
      <c r="G118" s="42"/>
      <c r="H118" s="42"/>
      <c r="I118" s="42"/>
      <c r="J118" s="123"/>
      <c r="K118" s="80"/>
      <c r="L118" s="43"/>
      <c r="M118" s="80"/>
      <c r="N118" s="141">
        <f t="shared" si="29"/>
        <v>0</v>
      </c>
      <c r="O118" s="142"/>
      <c r="P118" s="142"/>
      <c r="Q118" s="141">
        <f t="shared" si="34"/>
        <v>0</v>
      </c>
      <c r="R118" s="142"/>
      <c r="S118" s="142">
        <f t="shared" si="30"/>
        <v>0</v>
      </c>
      <c r="T118" s="142" t="s">
        <v>273</v>
      </c>
      <c r="U118" s="141">
        <f t="shared" si="23"/>
        <v>0</v>
      </c>
      <c r="V118" s="142" t="s">
        <v>274</v>
      </c>
      <c r="W118" s="146">
        <f t="shared" si="31"/>
        <v>0</v>
      </c>
      <c r="X118" s="147" t="s">
        <v>277</v>
      </c>
      <c r="Y118" s="45">
        <f t="shared" si="32"/>
        <v>0</v>
      </c>
      <c r="Z118" s="43" t="s">
        <v>284</v>
      </c>
      <c r="AA118" s="45">
        <f t="shared" si="33"/>
        <v>0</v>
      </c>
      <c r="AB118" s="43" t="s">
        <v>285</v>
      </c>
      <c r="AC118" s="44">
        <f t="shared" si="25"/>
        <v>0</v>
      </c>
      <c r="AD118" s="101"/>
      <c r="AE118" s="98">
        <v>6</v>
      </c>
      <c r="AF118" s="97">
        <f t="shared" si="26"/>
        <v>0</v>
      </c>
      <c r="AG118" s="97">
        <v>3893</v>
      </c>
      <c r="AH118" s="82">
        <f t="shared" si="27"/>
        <v>324.41666666666669</v>
      </c>
      <c r="AI118" s="98" t="s">
        <v>896</v>
      </c>
      <c r="AJ118" s="75">
        <f t="shared" si="24"/>
        <v>0</v>
      </c>
      <c r="AK118" s="73">
        <f t="shared" si="28"/>
        <v>324.41666666666669</v>
      </c>
    </row>
    <row r="119" spans="1:41" s="93" customFormat="1">
      <c r="A119" s="122" t="s">
        <v>778</v>
      </c>
      <c r="B119" s="94"/>
      <c r="C119" s="94"/>
      <c r="D119" s="135"/>
      <c r="E119" s="90"/>
      <c r="F119" s="88"/>
      <c r="G119" s="94"/>
      <c r="H119" s="87"/>
      <c r="I119" s="94"/>
      <c r="J119" s="123"/>
      <c r="K119" s="89"/>
      <c r="L119" s="90"/>
      <c r="M119" s="89"/>
      <c r="N119" s="141">
        <f t="shared" si="29"/>
        <v>0</v>
      </c>
      <c r="O119" s="142"/>
      <c r="P119" s="142"/>
      <c r="Q119" s="141">
        <f t="shared" ref="Q119" si="47">+P119*$D$1</f>
        <v>0</v>
      </c>
      <c r="R119" s="142"/>
      <c r="S119" s="142">
        <f t="shared" si="30"/>
        <v>0</v>
      </c>
      <c r="T119" s="142" t="s">
        <v>273</v>
      </c>
      <c r="U119" s="141">
        <f t="shared" si="23"/>
        <v>0</v>
      </c>
      <c r="V119" s="142" t="s">
        <v>274</v>
      </c>
      <c r="W119" s="146">
        <f t="shared" si="31"/>
        <v>0</v>
      </c>
      <c r="X119" s="147" t="s">
        <v>277</v>
      </c>
      <c r="Y119" s="91">
        <f t="shared" ref="Y119" si="48">IF(G119="RIMAC EPS EMPRESA PRESTADORA DE SALUD",((((K119*40%)+M119)*0.0675)*$D$1),((((K119*40%)+M119)*0.09))*$D$1)</f>
        <v>0</v>
      </c>
      <c r="Z119" s="90" t="s">
        <v>284</v>
      </c>
      <c r="AA119" s="91">
        <f t="shared" ref="AA119" si="49">IF(G119="RIMAC EPS EMPRESA PRESTADORA DE SALUD",((K119*40%)+M119)*0.0225*$D$1+Q119*0.0225,0)</f>
        <v>0</v>
      </c>
      <c r="AB119" s="90" t="s">
        <v>285</v>
      </c>
      <c r="AC119" s="44">
        <f t="shared" si="25"/>
        <v>0</v>
      </c>
      <c r="AD119" s="101"/>
      <c r="AE119" s="98">
        <v>6</v>
      </c>
      <c r="AF119" s="97">
        <f t="shared" si="26"/>
        <v>0</v>
      </c>
      <c r="AG119" s="97">
        <v>4571</v>
      </c>
      <c r="AH119" s="82">
        <f t="shared" si="27"/>
        <v>380.91666666666669</v>
      </c>
      <c r="AI119" s="105" t="s">
        <v>896</v>
      </c>
      <c r="AJ119" s="92">
        <f t="shared" si="24"/>
        <v>0</v>
      </c>
      <c r="AK119" s="73">
        <f t="shared" si="28"/>
        <v>380.91666666666669</v>
      </c>
      <c r="AO119" s="38"/>
    </row>
    <row r="120" spans="1:41" s="38" customFormat="1">
      <c r="A120" s="122" t="s">
        <v>779</v>
      </c>
      <c r="B120" s="42"/>
      <c r="C120" s="42"/>
      <c r="D120" s="134"/>
      <c r="E120" s="43"/>
      <c r="F120" s="74"/>
      <c r="G120" s="42"/>
      <c r="H120" s="42"/>
      <c r="I120" s="42"/>
      <c r="J120" s="123"/>
      <c r="K120" s="80"/>
      <c r="L120" s="43"/>
      <c r="M120" s="80"/>
      <c r="N120" s="141">
        <f t="shared" si="29"/>
        <v>0</v>
      </c>
      <c r="O120" s="142"/>
      <c r="P120" s="142"/>
      <c r="Q120" s="141">
        <f t="shared" si="34"/>
        <v>0</v>
      </c>
      <c r="R120" s="142"/>
      <c r="S120" s="142">
        <f t="shared" si="30"/>
        <v>0</v>
      </c>
      <c r="T120" s="142" t="s">
        <v>273</v>
      </c>
      <c r="U120" s="141">
        <f t="shared" si="23"/>
        <v>0</v>
      </c>
      <c r="V120" s="142" t="s">
        <v>274</v>
      </c>
      <c r="W120" s="146">
        <f t="shared" si="31"/>
        <v>0</v>
      </c>
      <c r="X120" s="147" t="s">
        <v>277</v>
      </c>
      <c r="Y120" s="45">
        <f t="shared" si="32"/>
        <v>0</v>
      </c>
      <c r="Z120" s="43" t="s">
        <v>284</v>
      </c>
      <c r="AA120" s="45">
        <f t="shared" si="33"/>
        <v>0</v>
      </c>
      <c r="AB120" s="43" t="s">
        <v>285</v>
      </c>
      <c r="AC120" s="44">
        <f t="shared" si="25"/>
        <v>0</v>
      </c>
      <c r="AD120" s="101"/>
      <c r="AE120" s="98">
        <v>6</v>
      </c>
      <c r="AF120" s="97">
        <f t="shared" si="26"/>
        <v>0</v>
      </c>
      <c r="AG120" s="97">
        <v>4571</v>
      </c>
      <c r="AH120" s="82">
        <f t="shared" si="27"/>
        <v>380.91666666666669</v>
      </c>
      <c r="AI120" s="98" t="s">
        <v>896</v>
      </c>
      <c r="AJ120" s="75">
        <f t="shared" si="24"/>
        <v>0</v>
      </c>
      <c r="AK120" s="73">
        <f t="shared" si="28"/>
        <v>380.91666666666669</v>
      </c>
      <c r="AO120" s="93"/>
    </row>
    <row r="121" spans="1:41" s="38" customFormat="1">
      <c r="A121" s="122" t="s">
        <v>780</v>
      </c>
      <c r="B121" s="42"/>
      <c r="C121" s="42"/>
      <c r="D121" s="134"/>
      <c r="E121" s="43"/>
      <c r="F121" s="74"/>
      <c r="G121" s="42"/>
      <c r="H121" s="42"/>
      <c r="I121" s="42"/>
      <c r="J121" s="123"/>
      <c r="K121" s="80"/>
      <c r="L121" s="43"/>
      <c r="M121" s="80"/>
      <c r="N121" s="141">
        <f t="shared" si="29"/>
        <v>0</v>
      </c>
      <c r="O121" s="142"/>
      <c r="P121" s="142"/>
      <c r="Q121" s="141">
        <f t="shared" si="34"/>
        <v>0</v>
      </c>
      <c r="R121" s="142"/>
      <c r="S121" s="142">
        <f t="shared" si="30"/>
        <v>0</v>
      </c>
      <c r="T121" s="142" t="s">
        <v>273</v>
      </c>
      <c r="U121" s="141">
        <f t="shared" si="23"/>
        <v>0</v>
      </c>
      <c r="V121" s="142" t="s">
        <v>274</v>
      </c>
      <c r="W121" s="146">
        <f t="shared" si="31"/>
        <v>0</v>
      </c>
      <c r="X121" s="147" t="s">
        <v>277</v>
      </c>
      <c r="Y121" s="45">
        <f t="shared" si="32"/>
        <v>0</v>
      </c>
      <c r="Z121" s="43" t="s">
        <v>284</v>
      </c>
      <c r="AA121" s="45">
        <f t="shared" si="33"/>
        <v>0</v>
      </c>
      <c r="AB121" s="43" t="s">
        <v>285</v>
      </c>
      <c r="AC121" s="44">
        <f t="shared" si="25"/>
        <v>0</v>
      </c>
      <c r="AD121" s="101"/>
      <c r="AE121" s="98">
        <v>6</v>
      </c>
      <c r="AF121" s="97">
        <f t="shared" si="26"/>
        <v>0</v>
      </c>
      <c r="AG121" s="97">
        <v>4571</v>
      </c>
      <c r="AH121" s="82">
        <f t="shared" si="27"/>
        <v>380.91666666666669</v>
      </c>
      <c r="AI121" s="98" t="s">
        <v>896</v>
      </c>
      <c r="AJ121" s="75">
        <f t="shared" si="24"/>
        <v>0</v>
      </c>
      <c r="AK121" s="73">
        <f t="shared" si="28"/>
        <v>380.91666666666669</v>
      </c>
    </row>
    <row r="122" spans="1:41" s="93" customFormat="1">
      <c r="A122" s="122" t="s">
        <v>781</v>
      </c>
      <c r="B122" s="87"/>
      <c r="C122" s="87"/>
      <c r="D122" s="135"/>
      <c r="E122" s="90"/>
      <c r="F122" s="88"/>
      <c r="G122" s="87"/>
      <c r="H122" s="87"/>
      <c r="I122" s="87"/>
      <c r="J122" s="123"/>
      <c r="K122" s="89"/>
      <c r="L122" s="90"/>
      <c r="M122" s="89"/>
      <c r="N122" s="141">
        <f t="shared" si="29"/>
        <v>0</v>
      </c>
      <c r="O122" s="142"/>
      <c r="P122" s="142"/>
      <c r="Q122" s="141">
        <f t="shared" si="34"/>
        <v>0</v>
      </c>
      <c r="R122" s="142"/>
      <c r="S122" s="142">
        <f t="shared" si="30"/>
        <v>0</v>
      </c>
      <c r="T122" s="142" t="s">
        <v>273</v>
      </c>
      <c r="U122" s="141">
        <f t="shared" si="23"/>
        <v>0</v>
      </c>
      <c r="V122" s="142" t="s">
        <v>274</v>
      </c>
      <c r="W122" s="146">
        <f t="shared" si="31"/>
        <v>0</v>
      </c>
      <c r="X122" s="147" t="s">
        <v>277</v>
      </c>
      <c r="Y122" s="91">
        <f t="shared" si="32"/>
        <v>0</v>
      </c>
      <c r="Z122" s="90" t="s">
        <v>284</v>
      </c>
      <c r="AA122" s="91">
        <f t="shared" si="33"/>
        <v>0</v>
      </c>
      <c r="AB122" s="90" t="s">
        <v>285</v>
      </c>
      <c r="AC122" s="44">
        <f t="shared" si="25"/>
        <v>0</v>
      </c>
      <c r="AD122" s="101"/>
      <c r="AE122" s="98">
        <v>6</v>
      </c>
      <c r="AF122" s="97">
        <f t="shared" si="26"/>
        <v>0</v>
      </c>
      <c r="AG122" s="97">
        <v>4571</v>
      </c>
      <c r="AH122" s="82">
        <f t="shared" si="27"/>
        <v>380.91666666666669</v>
      </c>
      <c r="AI122" s="105" t="s">
        <v>896</v>
      </c>
      <c r="AJ122" s="92">
        <f t="shared" si="24"/>
        <v>0</v>
      </c>
      <c r="AK122" s="73">
        <f t="shared" si="28"/>
        <v>380.91666666666669</v>
      </c>
      <c r="AO122" s="38"/>
    </row>
    <row r="123" spans="1:41" s="38" customFormat="1">
      <c r="A123" s="122" t="s">
        <v>782</v>
      </c>
      <c r="B123" s="42"/>
      <c r="C123" s="42"/>
      <c r="D123" s="134"/>
      <c r="E123" s="43"/>
      <c r="F123" s="74"/>
      <c r="G123" s="42"/>
      <c r="H123" s="42"/>
      <c r="I123" s="42"/>
      <c r="J123" s="123"/>
      <c r="K123" s="80"/>
      <c r="L123" s="43"/>
      <c r="M123" s="80"/>
      <c r="N123" s="141">
        <f t="shared" si="29"/>
        <v>0</v>
      </c>
      <c r="O123" s="142"/>
      <c r="P123" s="142"/>
      <c r="Q123" s="141">
        <f t="shared" si="34"/>
        <v>0</v>
      </c>
      <c r="R123" s="142"/>
      <c r="S123" s="142">
        <f t="shared" si="30"/>
        <v>0</v>
      </c>
      <c r="T123" s="142" t="s">
        <v>273</v>
      </c>
      <c r="U123" s="141">
        <f t="shared" si="23"/>
        <v>0</v>
      </c>
      <c r="V123" s="142" t="s">
        <v>274</v>
      </c>
      <c r="W123" s="146">
        <f t="shared" si="31"/>
        <v>0</v>
      </c>
      <c r="X123" s="147" t="s">
        <v>277</v>
      </c>
      <c r="Y123" s="45">
        <f t="shared" si="32"/>
        <v>0</v>
      </c>
      <c r="Z123" s="43" t="s">
        <v>284</v>
      </c>
      <c r="AA123" s="45">
        <f t="shared" si="33"/>
        <v>0</v>
      </c>
      <c r="AB123" s="43" t="s">
        <v>285</v>
      </c>
      <c r="AC123" s="44">
        <f t="shared" si="25"/>
        <v>0</v>
      </c>
      <c r="AD123" s="101"/>
      <c r="AE123" s="98">
        <v>6</v>
      </c>
      <c r="AF123" s="97">
        <f t="shared" si="26"/>
        <v>0</v>
      </c>
      <c r="AG123" s="97">
        <v>3893</v>
      </c>
      <c r="AH123" s="82">
        <f t="shared" si="27"/>
        <v>324.41666666666669</v>
      </c>
      <c r="AI123" s="98" t="s">
        <v>896</v>
      </c>
      <c r="AJ123" s="75">
        <f t="shared" si="24"/>
        <v>0</v>
      </c>
      <c r="AK123" s="73">
        <f t="shared" si="28"/>
        <v>324.41666666666669</v>
      </c>
      <c r="AO123" s="93"/>
    </row>
    <row r="124" spans="1:41" s="38" customFormat="1">
      <c r="A124" s="122" t="s">
        <v>783</v>
      </c>
      <c r="B124" s="42"/>
      <c r="C124" s="42"/>
      <c r="D124" s="134"/>
      <c r="E124" s="43"/>
      <c r="F124" s="74"/>
      <c r="G124" s="42"/>
      <c r="H124" s="42"/>
      <c r="I124" s="42"/>
      <c r="J124" s="123"/>
      <c r="K124" s="80"/>
      <c r="L124" s="43"/>
      <c r="M124" s="80"/>
      <c r="N124" s="141">
        <f t="shared" si="29"/>
        <v>0</v>
      </c>
      <c r="O124" s="142"/>
      <c r="P124" s="142"/>
      <c r="Q124" s="141">
        <f t="shared" si="34"/>
        <v>0</v>
      </c>
      <c r="R124" s="142"/>
      <c r="S124" s="142">
        <f t="shared" si="30"/>
        <v>0</v>
      </c>
      <c r="T124" s="142" t="s">
        <v>273</v>
      </c>
      <c r="U124" s="141">
        <f t="shared" si="23"/>
        <v>0</v>
      </c>
      <c r="V124" s="142" t="s">
        <v>274</v>
      </c>
      <c r="W124" s="146">
        <f t="shared" si="31"/>
        <v>0</v>
      </c>
      <c r="X124" s="147" t="s">
        <v>277</v>
      </c>
      <c r="Y124" s="45">
        <f t="shared" si="32"/>
        <v>0</v>
      </c>
      <c r="Z124" s="43" t="s">
        <v>284</v>
      </c>
      <c r="AA124" s="45">
        <f t="shared" si="33"/>
        <v>0</v>
      </c>
      <c r="AB124" s="43" t="s">
        <v>285</v>
      </c>
      <c r="AC124" s="44">
        <f t="shared" si="25"/>
        <v>0</v>
      </c>
      <c r="AD124" s="101"/>
      <c r="AE124" s="98">
        <v>6</v>
      </c>
      <c r="AF124" s="97">
        <f t="shared" si="26"/>
        <v>0</v>
      </c>
      <c r="AG124" s="97">
        <v>3800</v>
      </c>
      <c r="AH124" s="82">
        <f t="shared" si="27"/>
        <v>316.66666666666669</v>
      </c>
      <c r="AI124" s="98" t="s">
        <v>896</v>
      </c>
      <c r="AJ124" s="75">
        <f t="shared" si="24"/>
        <v>0</v>
      </c>
      <c r="AK124" s="73">
        <f t="shared" si="28"/>
        <v>316.66666666666669</v>
      </c>
    </row>
    <row r="125" spans="1:41" s="38" customFormat="1">
      <c r="A125" s="122" t="s">
        <v>784</v>
      </c>
      <c r="B125" s="42"/>
      <c r="C125" s="42"/>
      <c r="D125" s="134"/>
      <c r="E125" s="43"/>
      <c r="F125" s="74"/>
      <c r="G125" s="42"/>
      <c r="H125" s="42"/>
      <c r="I125" s="42"/>
      <c r="J125" s="123"/>
      <c r="K125" s="80"/>
      <c r="L125" s="43"/>
      <c r="M125" s="80"/>
      <c r="N125" s="141">
        <f t="shared" si="29"/>
        <v>0</v>
      </c>
      <c r="O125" s="142"/>
      <c r="P125" s="142"/>
      <c r="Q125" s="141">
        <f t="shared" si="34"/>
        <v>0</v>
      </c>
      <c r="R125" s="142"/>
      <c r="S125" s="142">
        <f t="shared" si="30"/>
        <v>0</v>
      </c>
      <c r="T125" s="142" t="s">
        <v>273</v>
      </c>
      <c r="U125" s="141">
        <f t="shared" si="23"/>
        <v>0</v>
      </c>
      <c r="V125" s="142" t="s">
        <v>274</v>
      </c>
      <c r="W125" s="146">
        <f t="shared" si="31"/>
        <v>0</v>
      </c>
      <c r="X125" s="147" t="s">
        <v>277</v>
      </c>
      <c r="Y125" s="45">
        <f t="shared" si="32"/>
        <v>0</v>
      </c>
      <c r="Z125" s="43" t="s">
        <v>284</v>
      </c>
      <c r="AA125" s="45">
        <f t="shared" si="33"/>
        <v>0</v>
      </c>
      <c r="AB125" s="43" t="s">
        <v>285</v>
      </c>
      <c r="AC125" s="44">
        <f t="shared" si="25"/>
        <v>0</v>
      </c>
      <c r="AD125" s="101"/>
      <c r="AE125" s="98">
        <v>6</v>
      </c>
      <c r="AF125" s="97">
        <f t="shared" si="26"/>
        <v>0</v>
      </c>
      <c r="AG125" s="97">
        <v>4664</v>
      </c>
      <c r="AH125" s="82">
        <f t="shared" si="27"/>
        <v>388.66666666666674</v>
      </c>
      <c r="AI125" s="98" t="s">
        <v>896</v>
      </c>
      <c r="AJ125" s="75">
        <f t="shared" si="24"/>
        <v>0</v>
      </c>
      <c r="AK125" s="73">
        <f t="shared" ref="AK125:AK131" si="50">AC125+AH125</f>
        <v>388.66666666666674</v>
      </c>
    </row>
    <row r="126" spans="1:41" s="38" customFormat="1">
      <c r="A126" s="122" t="s">
        <v>785</v>
      </c>
      <c r="B126" s="42"/>
      <c r="C126" s="42"/>
      <c r="D126" s="134"/>
      <c r="E126" s="43"/>
      <c r="F126" s="74"/>
      <c r="G126" s="42"/>
      <c r="H126" s="42"/>
      <c r="I126" s="42"/>
      <c r="J126" s="123"/>
      <c r="K126" s="80"/>
      <c r="L126" s="43"/>
      <c r="M126" s="80"/>
      <c r="N126" s="141">
        <f t="shared" si="29"/>
        <v>0</v>
      </c>
      <c r="O126" s="142"/>
      <c r="P126" s="142"/>
      <c r="Q126" s="141">
        <f t="shared" si="34"/>
        <v>0</v>
      </c>
      <c r="R126" s="142"/>
      <c r="S126" s="142">
        <f t="shared" si="30"/>
        <v>0</v>
      </c>
      <c r="T126" s="142" t="s">
        <v>273</v>
      </c>
      <c r="U126" s="141">
        <f t="shared" si="23"/>
        <v>0</v>
      </c>
      <c r="V126" s="142" t="s">
        <v>274</v>
      </c>
      <c r="W126" s="146">
        <f t="shared" si="31"/>
        <v>0</v>
      </c>
      <c r="X126" s="147" t="s">
        <v>277</v>
      </c>
      <c r="Y126" s="45">
        <f t="shared" si="32"/>
        <v>0</v>
      </c>
      <c r="Z126" s="43" t="s">
        <v>284</v>
      </c>
      <c r="AA126" s="45">
        <f t="shared" si="33"/>
        <v>0</v>
      </c>
      <c r="AB126" s="43" t="s">
        <v>285</v>
      </c>
      <c r="AC126" s="44">
        <f t="shared" si="25"/>
        <v>0</v>
      </c>
      <c r="AD126" s="101"/>
      <c r="AE126" s="98">
        <v>6</v>
      </c>
      <c r="AF126" s="97">
        <f t="shared" si="26"/>
        <v>0</v>
      </c>
      <c r="AG126" s="97">
        <v>4664</v>
      </c>
      <c r="AH126" s="82">
        <f t="shared" si="27"/>
        <v>388.66666666666674</v>
      </c>
      <c r="AI126" s="98" t="s">
        <v>896</v>
      </c>
      <c r="AJ126" s="75">
        <f t="shared" si="24"/>
        <v>0</v>
      </c>
      <c r="AK126" s="73">
        <f t="shared" si="50"/>
        <v>388.66666666666674</v>
      </c>
    </row>
    <row r="127" spans="1:41" s="38" customFormat="1">
      <c r="A127" s="122" t="s">
        <v>786</v>
      </c>
      <c r="B127" s="42"/>
      <c r="C127" s="42"/>
      <c r="D127" s="134"/>
      <c r="E127" s="43"/>
      <c r="F127" s="74"/>
      <c r="G127" s="42"/>
      <c r="H127" s="42"/>
      <c r="I127" s="42"/>
      <c r="J127" s="123"/>
      <c r="K127" s="80"/>
      <c r="L127" s="43"/>
      <c r="M127" s="80"/>
      <c r="N127" s="141">
        <f t="shared" si="29"/>
        <v>0</v>
      </c>
      <c r="O127" s="142"/>
      <c r="P127" s="142"/>
      <c r="Q127" s="141">
        <f t="shared" si="34"/>
        <v>0</v>
      </c>
      <c r="R127" s="142"/>
      <c r="S127" s="142">
        <f t="shared" si="30"/>
        <v>0</v>
      </c>
      <c r="T127" s="142" t="s">
        <v>273</v>
      </c>
      <c r="U127" s="141">
        <f t="shared" si="23"/>
        <v>0</v>
      </c>
      <c r="V127" s="142" t="s">
        <v>274</v>
      </c>
      <c r="W127" s="146">
        <f t="shared" si="31"/>
        <v>0</v>
      </c>
      <c r="X127" s="147" t="s">
        <v>277</v>
      </c>
      <c r="Y127" s="45">
        <f t="shared" si="32"/>
        <v>0</v>
      </c>
      <c r="Z127" s="43" t="s">
        <v>284</v>
      </c>
      <c r="AA127" s="45">
        <f t="shared" si="33"/>
        <v>0</v>
      </c>
      <c r="AB127" s="43" t="s">
        <v>285</v>
      </c>
      <c r="AC127" s="44">
        <f t="shared" si="25"/>
        <v>0</v>
      </c>
      <c r="AD127" s="101"/>
      <c r="AE127" s="98">
        <v>6</v>
      </c>
      <c r="AF127" s="97">
        <f t="shared" si="26"/>
        <v>0</v>
      </c>
      <c r="AG127" s="97">
        <v>4571</v>
      </c>
      <c r="AH127" s="82">
        <f t="shared" si="27"/>
        <v>380.91666666666669</v>
      </c>
      <c r="AI127" s="98" t="s">
        <v>896</v>
      </c>
      <c r="AJ127" s="75">
        <f t="shared" si="24"/>
        <v>0</v>
      </c>
      <c r="AK127" s="73">
        <f t="shared" si="50"/>
        <v>380.91666666666669</v>
      </c>
    </row>
    <row r="128" spans="1:41" s="38" customFormat="1">
      <c r="A128" s="122" t="s">
        <v>787</v>
      </c>
      <c r="B128" s="86"/>
      <c r="C128" s="86"/>
      <c r="D128" s="134"/>
      <c r="E128" s="43"/>
      <c r="F128" s="74"/>
      <c r="G128" s="86"/>
      <c r="H128" s="42"/>
      <c r="I128" s="86"/>
      <c r="J128" s="123"/>
      <c r="K128" s="80"/>
      <c r="L128" s="43"/>
      <c r="M128" s="80"/>
      <c r="N128" s="141">
        <f t="shared" si="29"/>
        <v>0</v>
      </c>
      <c r="O128" s="142"/>
      <c r="P128" s="142"/>
      <c r="Q128" s="141">
        <v>0</v>
      </c>
      <c r="R128" s="142"/>
      <c r="S128" s="142">
        <f t="shared" si="1"/>
        <v>0</v>
      </c>
      <c r="T128" s="142" t="s">
        <v>273</v>
      </c>
      <c r="U128" s="141">
        <f t="shared" si="23"/>
        <v>0</v>
      </c>
      <c r="V128" s="142" t="s">
        <v>274</v>
      </c>
      <c r="W128" s="146">
        <f t="shared" si="31"/>
        <v>0</v>
      </c>
      <c r="X128" s="147" t="s">
        <v>277</v>
      </c>
      <c r="Y128" s="45">
        <f t="shared" si="32"/>
        <v>0</v>
      </c>
      <c r="Z128" s="43" t="s">
        <v>284</v>
      </c>
      <c r="AA128" s="45">
        <f t="shared" si="33"/>
        <v>0</v>
      </c>
      <c r="AB128" s="43" t="s">
        <v>285</v>
      </c>
      <c r="AC128" s="44">
        <f t="shared" si="25"/>
        <v>0</v>
      </c>
      <c r="AD128" s="101"/>
      <c r="AE128" s="98">
        <v>6</v>
      </c>
      <c r="AF128" s="97">
        <f t="shared" si="26"/>
        <v>0</v>
      </c>
      <c r="AG128" s="97">
        <v>7500</v>
      </c>
      <c r="AH128" s="82">
        <f t="shared" si="27"/>
        <v>625</v>
      </c>
      <c r="AI128" s="98" t="s">
        <v>896</v>
      </c>
      <c r="AJ128" s="75">
        <f t="shared" si="24"/>
        <v>0</v>
      </c>
      <c r="AK128" s="73">
        <f t="shared" si="50"/>
        <v>625</v>
      </c>
    </row>
    <row r="129" spans="1:41" s="38" customFormat="1">
      <c r="A129" s="122" t="s">
        <v>788</v>
      </c>
      <c r="B129" s="42"/>
      <c r="C129" s="42"/>
      <c r="D129" s="134"/>
      <c r="E129" s="43"/>
      <c r="F129" s="74"/>
      <c r="G129" s="42"/>
      <c r="H129" s="42"/>
      <c r="I129" s="42"/>
      <c r="J129" s="123"/>
      <c r="K129" s="80"/>
      <c r="L129" s="43"/>
      <c r="M129" s="80"/>
      <c r="N129" s="141">
        <f t="shared" si="29"/>
        <v>0</v>
      </c>
      <c r="O129" s="142"/>
      <c r="P129" s="142"/>
      <c r="Q129" s="141">
        <f t="shared" si="34"/>
        <v>0</v>
      </c>
      <c r="R129" s="142"/>
      <c r="S129" s="142">
        <f t="shared" si="30"/>
        <v>0</v>
      </c>
      <c r="T129" s="142" t="s">
        <v>273</v>
      </c>
      <c r="U129" s="141">
        <f t="shared" si="23"/>
        <v>0</v>
      </c>
      <c r="V129" s="142" t="s">
        <v>274</v>
      </c>
      <c r="W129" s="146">
        <f t="shared" si="31"/>
        <v>0</v>
      </c>
      <c r="X129" s="147" t="s">
        <v>277</v>
      </c>
      <c r="Y129" s="45">
        <f t="shared" si="32"/>
        <v>0</v>
      </c>
      <c r="Z129" s="43" t="s">
        <v>284</v>
      </c>
      <c r="AA129" s="45">
        <f t="shared" si="33"/>
        <v>0</v>
      </c>
      <c r="AB129" s="43" t="s">
        <v>285</v>
      </c>
      <c r="AC129" s="44">
        <f t="shared" si="25"/>
        <v>0</v>
      </c>
      <c r="AD129" s="101"/>
      <c r="AE129" s="98">
        <v>6</v>
      </c>
      <c r="AF129" s="97">
        <f t="shared" si="26"/>
        <v>0</v>
      </c>
      <c r="AG129" s="97">
        <v>3893</v>
      </c>
      <c r="AH129" s="82">
        <f t="shared" si="27"/>
        <v>324.41666666666669</v>
      </c>
      <c r="AI129" s="98" t="s">
        <v>896</v>
      </c>
      <c r="AJ129" s="75">
        <f t="shared" si="24"/>
        <v>0</v>
      </c>
      <c r="AK129" s="73">
        <f t="shared" si="50"/>
        <v>324.41666666666669</v>
      </c>
    </row>
    <row r="130" spans="1:41" s="38" customFormat="1">
      <c r="A130" s="122" t="s">
        <v>789</v>
      </c>
      <c r="B130" s="42"/>
      <c r="C130" s="42"/>
      <c r="D130" s="134"/>
      <c r="E130" s="43"/>
      <c r="F130" s="74"/>
      <c r="G130" s="42"/>
      <c r="H130" s="42"/>
      <c r="I130" s="42"/>
      <c r="J130" s="123"/>
      <c r="K130" s="80"/>
      <c r="L130" s="43"/>
      <c r="M130" s="80"/>
      <c r="N130" s="141">
        <f t="shared" si="29"/>
        <v>0</v>
      </c>
      <c r="O130" s="142"/>
      <c r="P130" s="142"/>
      <c r="Q130" s="141">
        <f t="shared" si="34"/>
        <v>0</v>
      </c>
      <c r="R130" s="142"/>
      <c r="S130" s="142">
        <f t="shared" si="30"/>
        <v>0</v>
      </c>
      <c r="T130" s="142" t="s">
        <v>273</v>
      </c>
      <c r="U130" s="141">
        <f t="shared" ref="U130:U191" si="51">(K130+M130)*$I$1</f>
        <v>0</v>
      </c>
      <c r="V130" s="142" t="s">
        <v>274</v>
      </c>
      <c r="W130" s="146">
        <f t="shared" si="31"/>
        <v>0</v>
      </c>
      <c r="X130" s="147" t="s">
        <v>277</v>
      </c>
      <c r="Y130" s="45">
        <f t="shared" si="32"/>
        <v>0</v>
      </c>
      <c r="Z130" s="43" t="s">
        <v>284</v>
      </c>
      <c r="AA130" s="45">
        <f t="shared" si="33"/>
        <v>0</v>
      </c>
      <c r="AB130" s="43" t="s">
        <v>285</v>
      </c>
      <c r="AC130" s="44">
        <f t="shared" si="25"/>
        <v>0</v>
      </c>
      <c r="AD130" s="101"/>
      <c r="AE130" s="98">
        <v>6</v>
      </c>
      <c r="AF130" s="97">
        <f t="shared" si="26"/>
        <v>0</v>
      </c>
      <c r="AG130" s="97">
        <v>3893</v>
      </c>
      <c r="AH130" s="82">
        <f t="shared" si="27"/>
        <v>324.41666666666669</v>
      </c>
      <c r="AI130" s="98" t="s">
        <v>896</v>
      </c>
      <c r="AJ130" s="75">
        <f t="shared" si="24"/>
        <v>0</v>
      </c>
      <c r="AK130" s="73">
        <f t="shared" si="50"/>
        <v>324.41666666666669</v>
      </c>
    </row>
    <row r="131" spans="1:41" s="93" customFormat="1">
      <c r="A131" s="122" t="s">
        <v>790</v>
      </c>
      <c r="B131" s="87"/>
      <c r="C131" s="87"/>
      <c r="D131" s="135"/>
      <c r="E131" s="90"/>
      <c r="F131" s="88"/>
      <c r="G131" s="87"/>
      <c r="H131" s="87"/>
      <c r="I131" s="87"/>
      <c r="J131" s="123"/>
      <c r="K131" s="89"/>
      <c r="L131" s="90"/>
      <c r="M131" s="89"/>
      <c r="N131" s="141">
        <f t="shared" si="29"/>
        <v>0</v>
      </c>
      <c r="O131" s="142"/>
      <c r="P131" s="142"/>
      <c r="Q131" s="141">
        <f t="shared" si="34"/>
        <v>0</v>
      </c>
      <c r="R131" s="142"/>
      <c r="S131" s="142">
        <f t="shared" si="30"/>
        <v>0</v>
      </c>
      <c r="T131" s="142" t="s">
        <v>273</v>
      </c>
      <c r="U131" s="141">
        <f t="shared" si="51"/>
        <v>0</v>
      </c>
      <c r="V131" s="142" t="s">
        <v>274</v>
      </c>
      <c r="W131" s="146">
        <f t="shared" si="31"/>
        <v>0</v>
      </c>
      <c r="X131" s="147" t="s">
        <v>277</v>
      </c>
      <c r="Y131" s="91">
        <f t="shared" si="32"/>
        <v>0</v>
      </c>
      <c r="Z131" s="90" t="s">
        <v>284</v>
      </c>
      <c r="AA131" s="91">
        <f t="shared" si="33"/>
        <v>0</v>
      </c>
      <c r="AB131" s="90" t="s">
        <v>285</v>
      </c>
      <c r="AC131" s="44">
        <f t="shared" si="25"/>
        <v>0</v>
      </c>
      <c r="AD131" s="101"/>
      <c r="AE131" s="98">
        <v>6</v>
      </c>
      <c r="AF131" s="97">
        <f t="shared" si="26"/>
        <v>0</v>
      </c>
      <c r="AG131" s="97">
        <v>4571</v>
      </c>
      <c r="AH131" s="82">
        <f t="shared" si="27"/>
        <v>380.91666666666669</v>
      </c>
      <c r="AI131" s="105" t="s">
        <v>896</v>
      </c>
      <c r="AJ131" s="92">
        <f t="shared" ref="AJ131:AJ193" si="52">N131+S131+U131+W131</f>
        <v>0</v>
      </c>
      <c r="AK131" s="73">
        <f t="shared" si="50"/>
        <v>380.91666666666669</v>
      </c>
      <c r="AO131" s="38"/>
    </row>
    <row r="132" spans="1:41" s="38" customFormat="1">
      <c r="A132" s="122" t="s">
        <v>791</v>
      </c>
      <c r="B132" s="42"/>
      <c r="C132" s="42"/>
      <c r="D132" s="134"/>
      <c r="E132" s="43"/>
      <c r="F132" s="74"/>
      <c r="G132" s="42"/>
      <c r="H132" s="42"/>
      <c r="I132" s="42"/>
      <c r="J132" s="123"/>
      <c r="K132" s="80"/>
      <c r="L132" s="43"/>
      <c r="M132" s="80"/>
      <c r="N132" s="141">
        <f t="shared" ref="N132:N194" si="53">SUM(K132:M132)*$D$1</f>
        <v>0</v>
      </c>
      <c r="O132" s="142"/>
      <c r="P132" s="142"/>
      <c r="Q132" s="141">
        <f t="shared" si="34"/>
        <v>0</v>
      </c>
      <c r="R132" s="142"/>
      <c r="S132" s="142">
        <f t="shared" si="30"/>
        <v>0</v>
      </c>
      <c r="T132" s="142" t="s">
        <v>273</v>
      </c>
      <c r="U132" s="141">
        <f t="shared" si="51"/>
        <v>0</v>
      </c>
      <c r="V132" s="142" t="s">
        <v>274</v>
      </c>
      <c r="W132" s="146">
        <f t="shared" ref="W132:W194" si="54">IF(G132="RIMAC EPS EMPRESA PRESTADORA DE SALUD",((((K132*40%)+M132)*0.0675)*$I$1),((((K132*40%)+M132)*0.09))*$I$1)</f>
        <v>0</v>
      </c>
      <c r="X132" s="147" t="s">
        <v>277</v>
      </c>
      <c r="Y132" s="45">
        <f t="shared" si="32"/>
        <v>0</v>
      </c>
      <c r="Z132" s="43" t="s">
        <v>284</v>
      </c>
      <c r="AA132" s="45">
        <f t="shared" si="33"/>
        <v>0</v>
      </c>
      <c r="AB132" s="43" t="s">
        <v>285</v>
      </c>
      <c r="AC132" s="44">
        <f t="shared" ref="AC132:AC194" si="55">N132+S132+U132+W132+Y132+AA132</f>
        <v>0</v>
      </c>
      <c r="AD132" s="101"/>
      <c r="AE132" s="98">
        <v>6</v>
      </c>
      <c r="AF132" s="97">
        <f t="shared" ref="AF132:AF195" si="56">N132</f>
        <v>0</v>
      </c>
      <c r="AG132" s="97">
        <v>4571</v>
      </c>
      <c r="AH132" s="82">
        <f t="shared" ref="AH132:AH195" si="57">(AF132+(AG132/6))/12*AE132</f>
        <v>380.91666666666669</v>
      </c>
      <c r="AI132" s="98" t="s">
        <v>896</v>
      </c>
      <c r="AJ132" s="75">
        <f t="shared" si="52"/>
        <v>0</v>
      </c>
      <c r="AK132" s="73">
        <f t="shared" ref="AK132:AK194" si="58">AC132+AH132</f>
        <v>380.91666666666669</v>
      </c>
      <c r="AO132" s="93"/>
    </row>
    <row r="133" spans="1:41" s="38" customFormat="1">
      <c r="A133" s="122" t="s">
        <v>792</v>
      </c>
      <c r="B133" s="42"/>
      <c r="C133" s="42"/>
      <c r="D133" s="134"/>
      <c r="E133" s="43"/>
      <c r="F133" s="74"/>
      <c r="G133" s="42"/>
      <c r="H133" s="42"/>
      <c r="I133" s="42"/>
      <c r="J133" s="123"/>
      <c r="K133" s="80"/>
      <c r="L133" s="43"/>
      <c r="M133" s="80"/>
      <c r="N133" s="141">
        <f t="shared" si="53"/>
        <v>0</v>
      </c>
      <c r="O133" s="142"/>
      <c r="P133" s="142"/>
      <c r="Q133" s="141">
        <f t="shared" si="34"/>
        <v>0</v>
      </c>
      <c r="R133" s="142"/>
      <c r="S133" s="142">
        <f t="shared" si="30"/>
        <v>0</v>
      </c>
      <c r="T133" s="142" t="s">
        <v>273</v>
      </c>
      <c r="U133" s="141">
        <f t="shared" si="51"/>
        <v>0</v>
      </c>
      <c r="V133" s="142" t="s">
        <v>274</v>
      </c>
      <c r="W133" s="146">
        <f t="shared" si="54"/>
        <v>0</v>
      </c>
      <c r="X133" s="147" t="s">
        <v>277</v>
      </c>
      <c r="Y133" s="45">
        <f t="shared" si="32"/>
        <v>0</v>
      </c>
      <c r="Z133" s="43" t="s">
        <v>284</v>
      </c>
      <c r="AA133" s="45">
        <f t="shared" si="33"/>
        <v>0</v>
      </c>
      <c r="AB133" s="43" t="s">
        <v>285</v>
      </c>
      <c r="AC133" s="44">
        <f t="shared" si="55"/>
        <v>0</v>
      </c>
      <c r="AD133" s="101"/>
      <c r="AE133" s="98">
        <v>6</v>
      </c>
      <c r="AF133" s="97">
        <f t="shared" si="56"/>
        <v>0</v>
      </c>
      <c r="AG133" s="97">
        <v>3893</v>
      </c>
      <c r="AH133" s="82">
        <f t="shared" si="57"/>
        <v>324.41666666666669</v>
      </c>
      <c r="AI133" s="98" t="s">
        <v>896</v>
      </c>
      <c r="AJ133" s="75">
        <f t="shared" si="52"/>
        <v>0</v>
      </c>
      <c r="AK133" s="73">
        <f t="shared" si="58"/>
        <v>324.41666666666669</v>
      </c>
    </row>
    <row r="134" spans="1:41" s="93" customFormat="1">
      <c r="A134" s="122" t="s">
        <v>793</v>
      </c>
      <c r="B134" s="94"/>
      <c r="C134" s="94"/>
      <c r="D134" s="135"/>
      <c r="E134" s="90"/>
      <c r="F134" s="88"/>
      <c r="G134" s="94"/>
      <c r="H134" s="87"/>
      <c r="I134" s="94"/>
      <c r="J134" s="123"/>
      <c r="K134" s="89"/>
      <c r="L134" s="90"/>
      <c r="M134" s="90"/>
      <c r="N134" s="141">
        <f t="shared" si="53"/>
        <v>0</v>
      </c>
      <c r="O134" s="142"/>
      <c r="P134" s="142"/>
      <c r="Q134" s="141">
        <f t="shared" ref="Q134" si="59">+P134*$D$1</f>
        <v>0</v>
      </c>
      <c r="R134" s="142"/>
      <c r="S134" s="142">
        <f t="shared" si="30"/>
        <v>0</v>
      </c>
      <c r="T134" s="142" t="s">
        <v>273</v>
      </c>
      <c r="U134" s="141">
        <f t="shared" si="51"/>
        <v>0</v>
      </c>
      <c r="V134" s="142" t="s">
        <v>274</v>
      </c>
      <c r="W134" s="146">
        <f t="shared" si="54"/>
        <v>0</v>
      </c>
      <c r="X134" s="147" t="s">
        <v>277</v>
      </c>
      <c r="Y134" s="91">
        <f t="shared" ref="Y134" si="60">IF(G134="RIMAC EPS EMPRESA PRESTADORA DE SALUD",((((K134*40%)+M134)*0.0675)*$D$1),((((K134*40%)+M134)*0.09))*$D$1)</f>
        <v>0</v>
      </c>
      <c r="Z134" s="90" t="s">
        <v>284</v>
      </c>
      <c r="AA134" s="91">
        <f t="shared" ref="AA134" si="61">IF(G134="RIMAC EPS EMPRESA PRESTADORA DE SALUD",((K134*40%)+M134)*0.0225*$D$1+Q134*0.0225,0)</f>
        <v>0</v>
      </c>
      <c r="AB134" s="90" t="s">
        <v>285</v>
      </c>
      <c r="AC134" s="44">
        <f t="shared" si="55"/>
        <v>0</v>
      </c>
      <c r="AD134" s="101"/>
      <c r="AE134" s="98">
        <v>6</v>
      </c>
      <c r="AF134" s="97">
        <f t="shared" si="56"/>
        <v>0</v>
      </c>
      <c r="AG134" s="97">
        <v>4571</v>
      </c>
      <c r="AH134" s="82">
        <f t="shared" si="57"/>
        <v>380.91666666666669</v>
      </c>
      <c r="AI134" s="105" t="s">
        <v>896</v>
      </c>
      <c r="AJ134" s="92">
        <f t="shared" si="52"/>
        <v>0</v>
      </c>
      <c r="AK134" s="73">
        <f t="shared" si="58"/>
        <v>380.91666666666669</v>
      </c>
      <c r="AO134" s="38"/>
    </row>
    <row r="135" spans="1:41" s="38" customFormat="1">
      <c r="A135" s="122" t="s">
        <v>794</v>
      </c>
      <c r="B135" s="86"/>
      <c r="C135" s="86"/>
      <c r="D135" s="134"/>
      <c r="E135" s="43"/>
      <c r="F135" s="74"/>
      <c r="G135" s="42"/>
      <c r="H135" s="42"/>
      <c r="I135" s="86"/>
      <c r="J135" s="123"/>
      <c r="K135" s="80"/>
      <c r="L135" s="43"/>
      <c r="M135" s="80"/>
      <c r="N135" s="141">
        <f t="shared" si="53"/>
        <v>0</v>
      </c>
      <c r="O135" s="142"/>
      <c r="P135" s="142"/>
      <c r="Q135" s="141">
        <f t="shared" si="34"/>
        <v>0</v>
      </c>
      <c r="R135" s="142"/>
      <c r="S135" s="142">
        <f t="shared" si="30"/>
        <v>0</v>
      </c>
      <c r="T135" s="142" t="s">
        <v>273</v>
      </c>
      <c r="U135" s="141">
        <f t="shared" si="51"/>
        <v>0</v>
      </c>
      <c r="V135" s="142" t="s">
        <v>274</v>
      </c>
      <c r="W135" s="146">
        <f t="shared" si="54"/>
        <v>0</v>
      </c>
      <c r="X135" s="147" t="s">
        <v>277</v>
      </c>
      <c r="Y135" s="45">
        <f t="shared" si="32"/>
        <v>0</v>
      </c>
      <c r="Z135" s="43" t="s">
        <v>284</v>
      </c>
      <c r="AA135" s="45">
        <f t="shared" si="33"/>
        <v>0</v>
      </c>
      <c r="AB135" s="43" t="s">
        <v>285</v>
      </c>
      <c r="AC135" s="44">
        <f t="shared" si="55"/>
        <v>0</v>
      </c>
      <c r="AD135" s="101"/>
      <c r="AE135" s="98">
        <v>6</v>
      </c>
      <c r="AF135" s="97">
        <f t="shared" si="56"/>
        <v>0</v>
      </c>
      <c r="AG135" s="97">
        <v>4743</v>
      </c>
      <c r="AH135" s="82">
        <f t="shared" si="57"/>
        <v>395.25</v>
      </c>
      <c r="AI135" s="98" t="s">
        <v>896</v>
      </c>
      <c r="AJ135" s="75">
        <f t="shared" si="52"/>
        <v>0</v>
      </c>
      <c r="AK135" s="73">
        <f t="shared" si="58"/>
        <v>395.25</v>
      </c>
      <c r="AO135" s="93"/>
    </row>
    <row r="136" spans="1:41" s="93" customFormat="1">
      <c r="A136" s="122" t="s">
        <v>795</v>
      </c>
      <c r="B136" s="94"/>
      <c r="C136" s="94"/>
      <c r="D136" s="135"/>
      <c r="E136" s="90"/>
      <c r="F136" s="88"/>
      <c r="G136" s="94"/>
      <c r="H136" s="87"/>
      <c r="I136" s="94"/>
      <c r="J136" s="123"/>
      <c r="K136" s="89"/>
      <c r="L136" s="90"/>
      <c r="M136" s="90"/>
      <c r="N136" s="141">
        <f t="shared" si="53"/>
        <v>0</v>
      </c>
      <c r="O136" s="142"/>
      <c r="P136" s="142"/>
      <c r="Q136" s="141">
        <f t="shared" ref="Q136" si="62">+P136*$D$1</f>
        <v>0</v>
      </c>
      <c r="R136" s="142"/>
      <c r="S136" s="142">
        <f t="shared" si="30"/>
        <v>0</v>
      </c>
      <c r="T136" s="142" t="s">
        <v>273</v>
      </c>
      <c r="U136" s="141">
        <f t="shared" si="51"/>
        <v>0</v>
      </c>
      <c r="V136" s="142" t="s">
        <v>274</v>
      </c>
      <c r="W136" s="146">
        <f t="shared" si="54"/>
        <v>0</v>
      </c>
      <c r="X136" s="147" t="s">
        <v>277</v>
      </c>
      <c r="Y136" s="91">
        <f t="shared" ref="Y136" si="63">IF(G136="RIMAC EPS EMPRESA PRESTADORA DE SALUD",((((K136*40%)+M136)*0.0675)*$D$1),((((K136*40%)+M136)*0.09))*$D$1)</f>
        <v>0</v>
      </c>
      <c r="Z136" s="90" t="s">
        <v>284</v>
      </c>
      <c r="AA136" s="91">
        <f t="shared" ref="AA136" si="64">IF(G136="RIMAC EPS EMPRESA PRESTADORA DE SALUD",((K136*40%)+M136)*0.0225*$D$1+Q136*0.0225,0)</f>
        <v>0</v>
      </c>
      <c r="AB136" s="90" t="s">
        <v>285</v>
      </c>
      <c r="AC136" s="44">
        <f t="shared" si="55"/>
        <v>0</v>
      </c>
      <c r="AD136" s="101"/>
      <c r="AE136" s="98">
        <v>6</v>
      </c>
      <c r="AF136" s="97">
        <f t="shared" si="56"/>
        <v>0</v>
      </c>
      <c r="AG136" s="97">
        <v>4571</v>
      </c>
      <c r="AH136" s="82">
        <f t="shared" si="57"/>
        <v>380.91666666666669</v>
      </c>
      <c r="AI136" s="105" t="s">
        <v>896</v>
      </c>
      <c r="AJ136" s="92">
        <f t="shared" si="52"/>
        <v>0</v>
      </c>
      <c r="AK136" s="73">
        <f t="shared" si="58"/>
        <v>380.91666666666669</v>
      </c>
      <c r="AO136" s="38"/>
    </row>
    <row r="137" spans="1:41" s="93" customFormat="1">
      <c r="A137" s="122" t="s">
        <v>796</v>
      </c>
      <c r="B137" s="94"/>
      <c r="C137" s="94"/>
      <c r="D137" s="135"/>
      <c r="E137" s="90"/>
      <c r="F137" s="88"/>
      <c r="G137" s="90"/>
      <c r="H137" s="87"/>
      <c r="I137" s="94"/>
      <c r="J137" s="123"/>
      <c r="K137" s="89"/>
      <c r="L137" s="90"/>
      <c r="M137" s="90"/>
      <c r="N137" s="141">
        <f t="shared" si="53"/>
        <v>0</v>
      </c>
      <c r="O137" s="142"/>
      <c r="P137" s="142"/>
      <c r="Q137" s="141">
        <f t="shared" si="34"/>
        <v>0</v>
      </c>
      <c r="R137" s="142"/>
      <c r="S137" s="142">
        <f t="shared" si="30"/>
        <v>0</v>
      </c>
      <c r="T137" s="142" t="s">
        <v>273</v>
      </c>
      <c r="U137" s="141">
        <f t="shared" si="51"/>
        <v>0</v>
      </c>
      <c r="V137" s="142" t="s">
        <v>274</v>
      </c>
      <c r="W137" s="146">
        <f t="shared" si="54"/>
        <v>0</v>
      </c>
      <c r="X137" s="147" t="s">
        <v>277</v>
      </c>
      <c r="Y137" s="91">
        <f t="shared" si="32"/>
        <v>0</v>
      </c>
      <c r="Z137" s="90" t="s">
        <v>284</v>
      </c>
      <c r="AA137" s="91">
        <f t="shared" si="33"/>
        <v>0</v>
      </c>
      <c r="AB137" s="90" t="s">
        <v>285</v>
      </c>
      <c r="AC137" s="44">
        <f t="shared" si="55"/>
        <v>0</v>
      </c>
      <c r="AD137" s="101"/>
      <c r="AE137" s="98">
        <v>6</v>
      </c>
      <c r="AF137" s="97">
        <f t="shared" si="56"/>
        <v>0</v>
      </c>
      <c r="AG137" s="97">
        <v>4571</v>
      </c>
      <c r="AH137" s="82">
        <f t="shared" si="57"/>
        <v>380.91666666666669</v>
      </c>
      <c r="AI137" s="105" t="s">
        <v>896</v>
      </c>
      <c r="AJ137" s="92">
        <f t="shared" si="52"/>
        <v>0</v>
      </c>
      <c r="AK137" s="73">
        <f t="shared" si="58"/>
        <v>380.91666666666669</v>
      </c>
    </row>
    <row r="138" spans="1:41" s="38" customFormat="1">
      <c r="A138" s="122" t="s">
        <v>797</v>
      </c>
      <c r="B138" s="42"/>
      <c r="C138" s="42"/>
      <c r="D138" s="134"/>
      <c r="E138" s="43"/>
      <c r="F138" s="74"/>
      <c r="G138" s="42"/>
      <c r="H138" s="42"/>
      <c r="I138" s="42"/>
      <c r="J138" s="123"/>
      <c r="K138" s="80"/>
      <c r="L138" s="43"/>
      <c r="M138" s="80"/>
      <c r="N138" s="141">
        <f t="shared" si="53"/>
        <v>0</v>
      </c>
      <c r="O138" s="142"/>
      <c r="P138" s="142"/>
      <c r="Q138" s="141">
        <f t="shared" si="34"/>
        <v>0</v>
      </c>
      <c r="R138" s="142"/>
      <c r="S138" s="142">
        <f t="shared" ref="S138:S209" si="65">IF($L$1="SI",400,0)</f>
        <v>0</v>
      </c>
      <c r="T138" s="142" t="s">
        <v>273</v>
      </c>
      <c r="U138" s="141">
        <f t="shared" si="51"/>
        <v>0</v>
      </c>
      <c r="V138" s="142" t="s">
        <v>274</v>
      </c>
      <c r="W138" s="146">
        <f t="shared" si="54"/>
        <v>0</v>
      </c>
      <c r="X138" s="147" t="s">
        <v>277</v>
      </c>
      <c r="Y138" s="45">
        <f t="shared" ref="Y138:Y209" si="66">IF(G138="RIMAC EPS EMPRESA PRESTADORA DE SALUD",((((K138*40%)+M138)*0.0675)*$D$1),((((K138*40%)+M138)*0.09))*$D$1)</f>
        <v>0</v>
      </c>
      <c r="Z138" s="43" t="s">
        <v>284</v>
      </c>
      <c r="AA138" s="45">
        <f t="shared" ref="AA138:AA209" si="67">IF(G138="RIMAC EPS EMPRESA PRESTADORA DE SALUD",((K138*40%)+M138)*0.0225*$D$1+Q138*0.0225,0)</f>
        <v>0</v>
      </c>
      <c r="AB138" s="43" t="s">
        <v>285</v>
      </c>
      <c r="AC138" s="44">
        <f t="shared" si="55"/>
        <v>0</v>
      </c>
      <c r="AD138" s="101"/>
      <c r="AE138" s="98">
        <v>6</v>
      </c>
      <c r="AF138" s="97">
        <f t="shared" si="56"/>
        <v>0</v>
      </c>
      <c r="AG138" s="97">
        <v>4571</v>
      </c>
      <c r="AH138" s="82">
        <f t="shared" si="57"/>
        <v>380.91666666666669</v>
      </c>
      <c r="AI138" s="98" t="s">
        <v>896</v>
      </c>
      <c r="AJ138" s="75">
        <f t="shared" si="52"/>
        <v>0</v>
      </c>
      <c r="AK138" s="73">
        <f t="shared" si="58"/>
        <v>380.91666666666669</v>
      </c>
      <c r="AO138" s="93"/>
    </row>
    <row r="139" spans="1:41" s="38" customFormat="1">
      <c r="A139" s="122" t="s">
        <v>798</v>
      </c>
      <c r="B139" s="42"/>
      <c r="C139" s="42"/>
      <c r="D139" s="134"/>
      <c r="E139" s="43"/>
      <c r="F139" s="74"/>
      <c r="G139" s="42"/>
      <c r="H139" s="42"/>
      <c r="I139" s="42"/>
      <c r="J139" s="123"/>
      <c r="K139" s="80"/>
      <c r="L139" s="43"/>
      <c r="M139" s="80"/>
      <c r="N139" s="141">
        <f t="shared" si="53"/>
        <v>0</v>
      </c>
      <c r="O139" s="142"/>
      <c r="P139" s="142"/>
      <c r="Q139" s="141">
        <f t="shared" ref="Q139:Q210" si="68">+P139*$D$1</f>
        <v>0</v>
      </c>
      <c r="R139" s="142"/>
      <c r="S139" s="142">
        <f t="shared" si="65"/>
        <v>0</v>
      </c>
      <c r="T139" s="142" t="s">
        <v>273</v>
      </c>
      <c r="U139" s="141">
        <f t="shared" si="51"/>
        <v>0</v>
      </c>
      <c r="V139" s="142" t="s">
        <v>274</v>
      </c>
      <c r="W139" s="146">
        <f t="shared" si="54"/>
        <v>0</v>
      </c>
      <c r="X139" s="147" t="s">
        <v>277</v>
      </c>
      <c r="Y139" s="45">
        <f t="shared" si="66"/>
        <v>0</v>
      </c>
      <c r="Z139" s="43" t="s">
        <v>284</v>
      </c>
      <c r="AA139" s="45">
        <f t="shared" si="67"/>
        <v>0</v>
      </c>
      <c r="AB139" s="43" t="s">
        <v>285</v>
      </c>
      <c r="AC139" s="44">
        <f t="shared" si="55"/>
        <v>0</v>
      </c>
      <c r="AD139" s="101"/>
      <c r="AE139" s="98">
        <v>6</v>
      </c>
      <c r="AF139" s="97">
        <f t="shared" si="56"/>
        <v>0</v>
      </c>
      <c r="AG139" s="97">
        <v>4664</v>
      </c>
      <c r="AH139" s="82">
        <f t="shared" si="57"/>
        <v>388.66666666666674</v>
      </c>
      <c r="AI139" s="98" t="s">
        <v>896</v>
      </c>
      <c r="AJ139" s="75">
        <f t="shared" si="52"/>
        <v>0</v>
      </c>
      <c r="AK139" s="73">
        <f t="shared" si="58"/>
        <v>388.66666666666674</v>
      </c>
    </row>
    <row r="140" spans="1:41" s="38" customFormat="1">
      <c r="A140" s="122" t="s">
        <v>799</v>
      </c>
      <c r="B140" s="42"/>
      <c r="C140" s="42"/>
      <c r="D140" s="134"/>
      <c r="E140" s="43"/>
      <c r="F140" s="74"/>
      <c r="G140" s="42"/>
      <c r="H140" s="42"/>
      <c r="I140" s="42"/>
      <c r="J140" s="123"/>
      <c r="K140" s="80"/>
      <c r="L140" s="43"/>
      <c r="M140" s="80"/>
      <c r="N140" s="141">
        <f t="shared" si="53"/>
        <v>0</v>
      </c>
      <c r="O140" s="142"/>
      <c r="P140" s="142"/>
      <c r="Q140" s="141">
        <f t="shared" si="68"/>
        <v>0</v>
      </c>
      <c r="R140" s="142"/>
      <c r="S140" s="142">
        <f t="shared" si="65"/>
        <v>0</v>
      </c>
      <c r="T140" s="142" t="s">
        <v>273</v>
      </c>
      <c r="U140" s="141">
        <f t="shared" si="51"/>
        <v>0</v>
      </c>
      <c r="V140" s="142" t="s">
        <v>274</v>
      </c>
      <c r="W140" s="146">
        <f t="shared" si="54"/>
        <v>0</v>
      </c>
      <c r="X140" s="147" t="s">
        <v>277</v>
      </c>
      <c r="Y140" s="45">
        <f t="shared" si="66"/>
        <v>0</v>
      </c>
      <c r="Z140" s="43" t="s">
        <v>284</v>
      </c>
      <c r="AA140" s="45">
        <f t="shared" si="67"/>
        <v>0</v>
      </c>
      <c r="AB140" s="43" t="s">
        <v>285</v>
      </c>
      <c r="AC140" s="44">
        <f t="shared" si="55"/>
        <v>0</v>
      </c>
      <c r="AD140" s="101"/>
      <c r="AE140" s="98">
        <v>6</v>
      </c>
      <c r="AF140" s="97">
        <f t="shared" si="56"/>
        <v>0</v>
      </c>
      <c r="AG140" s="97">
        <v>4664</v>
      </c>
      <c r="AH140" s="82">
        <f t="shared" si="57"/>
        <v>388.66666666666674</v>
      </c>
      <c r="AI140" s="98" t="s">
        <v>896</v>
      </c>
      <c r="AJ140" s="75">
        <f t="shared" si="52"/>
        <v>0</v>
      </c>
      <c r="AK140" s="73">
        <f t="shared" si="58"/>
        <v>388.66666666666674</v>
      </c>
    </row>
    <row r="141" spans="1:41" s="38" customFormat="1">
      <c r="A141" s="122" t="s">
        <v>800</v>
      </c>
      <c r="B141" s="42"/>
      <c r="C141" s="42"/>
      <c r="D141" s="134"/>
      <c r="E141" s="43"/>
      <c r="F141" s="74"/>
      <c r="G141" s="42"/>
      <c r="H141" s="42"/>
      <c r="I141" s="42"/>
      <c r="J141" s="123"/>
      <c r="K141" s="80"/>
      <c r="L141" s="43"/>
      <c r="M141" s="80"/>
      <c r="N141" s="141">
        <f t="shared" si="53"/>
        <v>0</v>
      </c>
      <c r="O141" s="142"/>
      <c r="P141" s="142"/>
      <c r="Q141" s="141">
        <f t="shared" si="68"/>
        <v>0</v>
      </c>
      <c r="R141" s="142"/>
      <c r="S141" s="142">
        <f t="shared" si="65"/>
        <v>0</v>
      </c>
      <c r="T141" s="142" t="s">
        <v>273</v>
      </c>
      <c r="U141" s="141">
        <f t="shared" si="51"/>
        <v>0</v>
      </c>
      <c r="V141" s="142" t="s">
        <v>274</v>
      </c>
      <c r="W141" s="146">
        <f t="shared" si="54"/>
        <v>0</v>
      </c>
      <c r="X141" s="147" t="s">
        <v>277</v>
      </c>
      <c r="Y141" s="45">
        <f t="shared" si="66"/>
        <v>0</v>
      </c>
      <c r="Z141" s="43" t="s">
        <v>284</v>
      </c>
      <c r="AA141" s="45">
        <f t="shared" si="67"/>
        <v>0</v>
      </c>
      <c r="AB141" s="43" t="s">
        <v>285</v>
      </c>
      <c r="AC141" s="44">
        <f t="shared" si="55"/>
        <v>0</v>
      </c>
      <c r="AD141" s="101"/>
      <c r="AE141" s="98">
        <v>6</v>
      </c>
      <c r="AF141" s="97">
        <f t="shared" si="56"/>
        <v>0</v>
      </c>
      <c r="AG141" s="97">
        <v>4571</v>
      </c>
      <c r="AH141" s="82">
        <f t="shared" si="57"/>
        <v>380.91666666666669</v>
      </c>
      <c r="AI141" s="98" t="s">
        <v>896</v>
      </c>
      <c r="AJ141" s="75">
        <f t="shared" si="52"/>
        <v>0</v>
      </c>
      <c r="AK141" s="73">
        <f t="shared" si="58"/>
        <v>380.91666666666669</v>
      </c>
    </row>
    <row r="142" spans="1:41" s="38" customFormat="1">
      <c r="A142" s="122" t="s">
        <v>801</v>
      </c>
      <c r="B142" s="42"/>
      <c r="C142" s="42"/>
      <c r="D142" s="134"/>
      <c r="E142" s="43"/>
      <c r="F142" s="74"/>
      <c r="G142" s="42"/>
      <c r="H142" s="42"/>
      <c r="I142" s="42"/>
      <c r="J142" s="123"/>
      <c r="K142" s="80"/>
      <c r="L142" s="43"/>
      <c r="M142" s="80"/>
      <c r="N142" s="141">
        <f t="shared" si="53"/>
        <v>0</v>
      </c>
      <c r="O142" s="142"/>
      <c r="P142" s="142"/>
      <c r="Q142" s="141">
        <f t="shared" si="68"/>
        <v>0</v>
      </c>
      <c r="R142" s="142"/>
      <c r="S142" s="142">
        <f t="shared" si="65"/>
        <v>0</v>
      </c>
      <c r="T142" s="142" t="s">
        <v>273</v>
      </c>
      <c r="U142" s="141">
        <f t="shared" si="51"/>
        <v>0</v>
      </c>
      <c r="V142" s="142" t="s">
        <v>274</v>
      </c>
      <c r="W142" s="146">
        <f t="shared" si="54"/>
        <v>0</v>
      </c>
      <c r="X142" s="147" t="s">
        <v>277</v>
      </c>
      <c r="Y142" s="45">
        <f t="shared" si="66"/>
        <v>0</v>
      </c>
      <c r="Z142" s="43" t="s">
        <v>284</v>
      </c>
      <c r="AA142" s="45">
        <f t="shared" si="67"/>
        <v>0</v>
      </c>
      <c r="AB142" s="43" t="s">
        <v>285</v>
      </c>
      <c r="AC142" s="44">
        <f t="shared" si="55"/>
        <v>0</v>
      </c>
      <c r="AD142" s="101"/>
      <c r="AE142" s="98">
        <v>6</v>
      </c>
      <c r="AF142" s="97">
        <f t="shared" si="56"/>
        <v>0</v>
      </c>
      <c r="AG142" s="97">
        <v>3800</v>
      </c>
      <c r="AH142" s="82">
        <f t="shared" si="57"/>
        <v>316.66666666666669</v>
      </c>
      <c r="AI142" s="98" t="s">
        <v>896</v>
      </c>
      <c r="AJ142" s="75">
        <f t="shared" si="52"/>
        <v>0</v>
      </c>
      <c r="AK142" s="73">
        <f t="shared" si="58"/>
        <v>316.66666666666669</v>
      </c>
    </row>
    <row r="143" spans="1:41" s="38" customFormat="1">
      <c r="A143" s="122" t="s">
        <v>802</v>
      </c>
      <c r="B143" s="42"/>
      <c r="C143" s="42"/>
      <c r="D143" s="134"/>
      <c r="E143" s="43"/>
      <c r="F143" s="74"/>
      <c r="G143" s="42"/>
      <c r="H143" s="42"/>
      <c r="I143" s="42"/>
      <c r="J143" s="123"/>
      <c r="K143" s="80"/>
      <c r="L143" s="43"/>
      <c r="M143" s="80"/>
      <c r="N143" s="141">
        <f t="shared" si="53"/>
        <v>0</v>
      </c>
      <c r="O143" s="142"/>
      <c r="P143" s="142"/>
      <c r="Q143" s="141">
        <f t="shared" si="68"/>
        <v>0</v>
      </c>
      <c r="R143" s="142"/>
      <c r="S143" s="142">
        <f t="shared" si="65"/>
        <v>0</v>
      </c>
      <c r="T143" s="142" t="s">
        <v>273</v>
      </c>
      <c r="U143" s="141">
        <f t="shared" si="51"/>
        <v>0</v>
      </c>
      <c r="V143" s="142" t="s">
        <v>274</v>
      </c>
      <c r="W143" s="146">
        <f t="shared" si="54"/>
        <v>0</v>
      </c>
      <c r="X143" s="147" t="s">
        <v>277</v>
      </c>
      <c r="Y143" s="45">
        <f t="shared" si="66"/>
        <v>0</v>
      </c>
      <c r="Z143" s="43" t="s">
        <v>284</v>
      </c>
      <c r="AA143" s="45">
        <f t="shared" si="67"/>
        <v>0</v>
      </c>
      <c r="AB143" s="43" t="s">
        <v>285</v>
      </c>
      <c r="AC143" s="44">
        <f t="shared" si="55"/>
        <v>0</v>
      </c>
      <c r="AD143" s="101"/>
      <c r="AE143" s="98">
        <v>6</v>
      </c>
      <c r="AF143" s="97">
        <f t="shared" si="56"/>
        <v>0</v>
      </c>
      <c r="AG143" s="97">
        <v>4571</v>
      </c>
      <c r="AH143" s="82">
        <f t="shared" si="57"/>
        <v>380.91666666666669</v>
      </c>
      <c r="AI143" s="98" t="s">
        <v>896</v>
      </c>
      <c r="AJ143" s="75">
        <f t="shared" si="52"/>
        <v>0</v>
      </c>
      <c r="AK143" s="73">
        <f t="shared" si="58"/>
        <v>380.91666666666669</v>
      </c>
    </row>
    <row r="144" spans="1:41" s="38" customFormat="1">
      <c r="A144" s="122" t="s">
        <v>803</v>
      </c>
      <c r="B144" s="42"/>
      <c r="C144" s="42"/>
      <c r="D144" s="134"/>
      <c r="E144" s="43"/>
      <c r="F144" s="74"/>
      <c r="G144" s="42"/>
      <c r="H144" s="42"/>
      <c r="I144" s="42"/>
      <c r="J144" s="123"/>
      <c r="K144" s="80"/>
      <c r="L144" s="43"/>
      <c r="M144" s="80"/>
      <c r="N144" s="141">
        <f t="shared" si="53"/>
        <v>0</v>
      </c>
      <c r="O144" s="142"/>
      <c r="P144" s="142"/>
      <c r="Q144" s="141">
        <f t="shared" si="68"/>
        <v>0</v>
      </c>
      <c r="R144" s="142"/>
      <c r="S144" s="142">
        <f t="shared" si="65"/>
        <v>0</v>
      </c>
      <c r="T144" s="142" t="s">
        <v>273</v>
      </c>
      <c r="U144" s="141">
        <f t="shared" si="51"/>
        <v>0</v>
      </c>
      <c r="V144" s="142" t="s">
        <v>274</v>
      </c>
      <c r="W144" s="146">
        <f t="shared" si="54"/>
        <v>0</v>
      </c>
      <c r="X144" s="147" t="s">
        <v>277</v>
      </c>
      <c r="Y144" s="45">
        <f t="shared" si="66"/>
        <v>0</v>
      </c>
      <c r="Z144" s="43" t="s">
        <v>284</v>
      </c>
      <c r="AA144" s="45">
        <f t="shared" si="67"/>
        <v>0</v>
      </c>
      <c r="AB144" s="43" t="s">
        <v>285</v>
      </c>
      <c r="AC144" s="44">
        <f t="shared" si="55"/>
        <v>0</v>
      </c>
      <c r="AD144" s="101"/>
      <c r="AE144" s="98">
        <v>6</v>
      </c>
      <c r="AF144" s="97">
        <f t="shared" si="56"/>
        <v>0</v>
      </c>
      <c r="AG144" s="97">
        <v>3893</v>
      </c>
      <c r="AH144" s="82">
        <f t="shared" si="57"/>
        <v>324.41666666666669</v>
      </c>
      <c r="AI144" s="98" t="s">
        <v>896</v>
      </c>
      <c r="AJ144" s="75">
        <f t="shared" si="52"/>
        <v>0</v>
      </c>
      <c r="AK144" s="73">
        <f t="shared" si="58"/>
        <v>324.41666666666669</v>
      </c>
    </row>
    <row r="145" spans="1:41" s="38" customFormat="1">
      <c r="A145" s="122" t="s">
        <v>804</v>
      </c>
      <c r="B145" s="86"/>
      <c r="C145" s="86"/>
      <c r="D145" s="134"/>
      <c r="E145" s="43"/>
      <c r="F145" s="74"/>
      <c r="G145" s="86"/>
      <c r="H145" s="42"/>
      <c r="I145" s="86"/>
      <c r="J145" s="123"/>
      <c r="K145" s="80"/>
      <c r="L145" s="43"/>
      <c r="M145" s="80"/>
      <c r="N145" s="141">
        <f t="shared" si="53"/>
        <v>0</v>
      </c>
      <c r="O145" s="142"/>
      <c r="P145" s="142"/>
      <c r="Q145" s="141">
        <f t="shared" si="68"/>
        <v>0</v>
      </c>
      <c r="R145" s="142"/>
      <c r="S145" s="142">
        <f t="shared" si="1"/>
        <v>0</v>
      </c>
      <c r="T145" s="142" t="s">
        <v>273</v>
      </c>
      <c r="U145" s="143">
        <v>9166.67</v>
      </c>
      <c r="V145" s="142" t="s">
        <v>274</v>
      </c>
      <c r="W145" s="148">
        <v>330</v>
      </c>
      <c r="X145" s="147" t="s">
        <v>277</v>
      </c>
      <c r="Y145" s="45">
        <f t="shared" si="66"/>
        <v>0</v>
      </c>
      <c r="Z145" s="43" t="s">
        <v>284</v>
      </c>
      <c r="AA145" s="45">
        <f t="shared" si="67"/>
        <v>0</v>
      </c>
      <c r="AB145" s="43" t="s">
        <v>285</v>
      </c>
      <c r="AC145" s="44">
        <f t="shared" si="55"/>
        <v>9496.67</v>
      </c>
      <c r="AD145" s="101"/>
      <c r="AE145" s="98">
        <v>6</v>
      </c>
      <c r="AF145" s="97">
        <f t="shared" si="56"/>
        <v>0</v>
      </c>
      <c r="AG145" s="97">
        <v>9166.67</v>
      </c>
      <c r="AH145" s="82">
        <f t="shared" si="57"/>
        <v>763.88916666666671</v>
      </c>
      <c r="AI145" s="98" t="s">
        <v>896</v>
      </c>
      <c r="AJ145" s="75">
        <f t="shared" si="52"/>
        <v>9496.67</v>
      </c>
      <c r="AK145" s="73">
        <f t="shared" si="58"/>
        <v>10260.559166666666</v>
      </c>
    </row>
    <row r="146" spans="1:41" s="38" customFormat="1">
      <c r="A146" s="122" t="s">
        <v>805</v>
      </c>
      <c r="B146" s="42"/>
      <c r="C146" s="42"/>
      <c r="D146" s="134"/>
      <c r="E146" s="43"/>
      <c r="F146" s="74"/>
      <c r="G146" s="42"/>
      <c r="H146" s="42"/>
      <c r="I146" s="42"/>
      <c r="J146" s="123"/>
      <c r="K146" s="80"/>
      <c r="L146" s="43"/>
      <c r="M146" s="80"/>
      <c r="N146" s="141">
        <f t="shared" si="53"/>
        <v>0</v>
      </c>
      <c r="O146" s="142"/>
      <c r="P146" s="142"/>
      <c r="Q146" s="141">
        <f t="shared" si="68"/>
        <v>0</v>
      </c>
      <c r="R146" s="142"/>
      <c r="S146" s="142">
        <f t="shared" si="65"/>
        <v>0</v>
      </c>
      <c r="T146" s="142" t="s">
        <v>273</v>
      </c>
      <c r="U146" s="141">
        <f t="shared" si="51"/>
        <v>0</v>
      </c>
      <c r="V146" s="142" t="s">
        <v>274</v>
      </c>
      <c r="W146" s="146">
        <f t="shared" si="54"/>
        <v>0</v>
      </c>
      <c r="X146" s="147" t="s">
        <v>277</v>
      </c>
      <c r="Y146" s="45">
        <f t="shared" si="66"/>
        <v>0</v>
      </c>
      <c r="Z146" s="43" t="s">
        <v>284</v>
      </c>
      <c r="AA146" s="45">
        <f t="shared" si="67"/>
        <v>0</v>
      </c>
      <c r="AB146" s="43" t="s">
        <v>285</v>
      </c>
      <c r="AC146" s="44">
        <f t="shared" si="55"/>
        <v>0</v>
      </c>
      <c r="AD146" s="101"/>
      <c r="AE146" s="98">
        <v>6</v>
      </c>
      <c r="AF146" s="97">
        <f t="shared" si="56"/>
        <v>0</v>
      </c>
      <c r="AG146" s="97">
        <v>6043</v>
      </c>
      <c r="AH146" s="82">
        <f t="shared" si="57"/>
        <v>503.58333333333337</v>
      </c>
      <c r="AI146" s="98" t="s">
        <v>896</v>
      </c>
      <c r="AJ146" s="75">
        <f t="shared" si="52"/>
        <v>0</v>
      </c>
      <c r="AK146" s="73">
        <f t="shared" si="58"/>
        <v>503.58333333333337</v>
      </c>
    </row>
    <row r="147" spans="1:41" s="38" customFormat="1">
      <c r="A147" s="122" t="s">
        <v>806</v>
      </c>
      <c r="B147" s="42"/>
      <c r="C147" s="42"/>
      <c r="D147" s="134"/>
      <c r="E147" s="43"/>
      <c r="F147" s="74"/>
      <c r="G147" s="42"/>
      <c r="H147" s="42"/>
      <c r="I147" s="42"/>
      <c r="J147" s="123"/>
      <c r="K147" s="80"/>
      <c r="L147" s="43"/>
      <c r="M147" s="80"/>
      <c r="N147" s="141">
        <f t="shared" si="53"/>
        <v>0</v>
      </c>
      <c r="O147" s="142"/>
      <c r="P147" s="142"/>
      <c r="Q147" s="141">
        <f t="shared" si="68"/>
        <v>0</v>
      </c>
      <c r="R147" s="142"/>
      <c r="S147" s="142">
        <f t="shared" si="65"/>
        <v>0</v>
      </c>
      <c r="T147" s="142" t="s">
        <v>273</v>
      </c>
      <c r="U147" s="141">
        <f t="shared" si="51"/>
        <v>0</v>
      </c>
      <c r="V147" s="142" t="s">
        <v>274</v>
      </c>
      <c r="W147" s="146">
        <f t="shared" si="54"/>
        <v>0</v>
      </c>
      <c r="X147" s="147" t="s">
        <v>277</v>
      </c>
      <c r="Y147" s="45">
        <f t="shared" si="66"/>
        <v>0</v>
      </c>
      <c r="Z147" s="43" t="s">
        <v>284</v>
      </c>
      <c r="AA147" s="45">
        <f t="shared" si="67"/>
        <v>0</v>
      </c>
      <c r="AB147" s="43" t="s">
        <v>285</v>
      </c>
      <c r="AC147" s="44">
        <f t="shared" si="55"/>
        <v>0</v>
      </c>
      <c r="AD147" s="101"/>
      <c r="AE147" s="98">
        <v>6</v>
      </c>
      <c r="AF147" s="97">
        <f t="shared" si="56"/>
        <v>0</v>
      </c>
      <c r="AG147" s="97">
        <v>4571</v>
      </c>
      <c r="AH147" s="82">
        <f t="shared" si="57"/>
        <v>380.91666666666669</v>
      </c>
      <c r="AI147" s="98" t="s">
        <v>896</v>
      </c>
      <c r="AJ147" s="75">
        <f t="shared" si="52"/>
        <v>0</v>
      </c>
      <c r="AK147" s="73">
        <f t="shared" si="58"/>
        <v>380.91666666666669</v>
      </c>
    </row>
    <row r="148" spans="1:41" s="93" customFormat="1">
      <c r="A148" s="122" t="s">
        <v>807</v>
      </c>
      <c r="B148" s="94"/>
      <c r="C148" s="94"/>
      <c r="D148" s="135"/>
      <c r="E148" s="90"/>
      <c r="F148" s="88"/>
      <c r="G148" s="94"/>
      <c r="H148" s="94"/>
      <c r="I148" s="94"/>
      <c r="J148" s="123"/>
      <c r="K148" s="89"/>
      <c r="L148" s="90"/>
      <c r="M148" s="89"/>
      <c r="N148" s="141">
        <f t="shared" si="53"/>
        <v>0</v>
      </c>
      <c r="O148" s="142"/>
      <c r="P148" s="142"/>
      <c r="Q148" s="141">
        <f t="shared" ref="Q148" si="69">+P148*$D$1</f>
        <v>0</v>
      </c>
      <c r="R148" s="142"/>
      <c r="S148" s="142">
        <f t="shared" si="65"/>
        <v>0</v>
      </c>
      <c r="T148" s="142" t="s">
        <v>273</v>
      </c>
      <c r="U148" s="141">
        <f t="shared" si="51"/>
        <v>0</v>
      </c>
      <c r="V148" s="142" t="s">
        <v>274</v>
      </c>
      <c r="W148" s="146">
        <f t="shared" si="54"/>
        <v>0</v>
      </c>
      <c r="X148" s="147" t="s">
        <v>277</v>
      </c>
      <c r="Y148" s="91">
        <f t="shared" ref="Y148" si="70">IF(G148="RIMAC EPS EMPRESA PRESTADORA DE SALUD",((((K148*40%)+M148)*0.0675)*$D$1),((((K148*40%)+M148)*0.09))*$D$1)</f>
        <v>0</v>
      </c>
      <c r="Z148" s="90" t="s">
        <v>284</v>
      </c>
      <c r="AA148" s="91">
        <f t="shared" ref="AA148" si="71">IF(G148="RIMAC EPS EMPRESA PRESTADORA DE SALUD",((K148*40%)+M148)*0.0225*$D$1+Q148*0.0225,0)</f>
        <v>0</v>
      </c>
      <c r="AB148" s="90" t="s">
        <v>285</v>
      </c>
      <c r="AC148" s="44">
        <f t="shared" si="55"/>
        <v>0</v>
      </c>
      <c r="AD148" s="101"/>
      <c r="AE148" s="98">
        <v>6</v>
      </c>
      <c r="AF148" s="97">
        <f t="shared" si="56"/>
        <v>0</v>
      </c>
      <c r="AG148" s="97">
        <v>4571</v>
      </c>
      <c r="AH148" s="82">
        <f t="shared" si="57"/>
        <v>380.91666666666669</v>
      </c>
      <c r="AI148" s="105" t="s">
        <v>896</v>
      </c>
      <c r="AJ148" s="92">
        <f t="shared" si="52"/>
        <v>0</v>
      </c>
      <c r="AK148" s="73">
        <f t="shared" si="58"/>
        <v>380.91666666666669</v>
      </c>
      <c r="AO148" s="38"/>
    </row>
    <row r="149" spans="1:41" s="93" customFormat="1">
      <c r="A149" s="122" t="s">
        <v>808</v>
      </c>
      <c r="B149" s="87"/>
      <c r="C149" s="87"/>
      <c r="D149" s="135"/>
      <c r="E149" s="90"/>
      <c r="F149" s="88"/>
      <c r="G149" s="87"/>
      <c r="H149" s="87"/>
      <c r="I149" s="87"/>
      <c r="J149" s="123"/>
      <c r="K149" s="89"/>
      <c r="L149" s="90"/>
      <c r="M149" s="89"/>
      <c r="N149" s="141">
        <f t="shared" si="53"/>
        <v>0</v>
      </c>
      <c r="O149" s="142"/>
      <c r="P149" s="142"/>
      <c r="Q149" s="141">
        <f t="shared" si="68"/>
        <v>0</v>
      </c>
      <c r="R149" s="142"/>
      <c r="S149" s="142">
        <f t="shared" si="65"/>
        <v>0</v>
      </c>
      <c r="T149" s="142" t="s">
        <v>273</v>
      </c>
      <c r="U149" s="141">
        <f t="shared" si="51"/>
        <v>0</v>
      </c>
      <c r="V149" s="142" t="s">
        <v>274</v>
      </c>
      <c r="W149" s="146">
        <f t="shared" si="54"/>
        <v>0</v>
      </c>
      <c r="X149" s="147" t="s">
        <v>277</v>
      </c>
      <c r="Y149" s="91">
        <f t="shared" si="66"/>
        <v>0</v>
      </c>
      <c r="Z149" s="90" t="s">
        <v>284</v>
      </c>
      <c r="AA149" s="91">
        <f t="shared" si="67"/>
        <v>0</v>
      </c>
      <c r="AB149" s="90" t="s">
        <v>285</v>
      </c>
      <c r="AC149" s="44">
        <f t="shared" si="55"/>
        <v>0</v>
      </c>
      <c r="AD149" s="101"/>
      <c r="AE149" s="98">
        <v>6</v>
      </c>
      <c r="AF149" s="97">
        <f t="shared" si="56"/>
        <v>0</v>
      </c>
      <c r="AG149" s="97">
        <v>4571</v>
      </c>
      <c r="AH149" s="82">
        <f t="shared" si="57"/>
        <v>380.91666666666669</v>
      </c>
      <c r="AI149" s="105" t="s">
        <v>896</v>
      </c>
      <c r="AJ149" s="92">
        <f t="shared" si="52"/>
        <v>0</v>
      </c>
      <c r="AK149" s="73">
        <f t="shared" si="58"/>
        <v>380.91666666666669</v>
      </c>
    </row>
    <row r="150" spans="1:41" s="38" customFormat="1">
      <c r="A150" s="122" t="s">
        <v>809</v>
      </c>
      <c r="B150" s="42"/>
      <c r="C150" s="42"/>
      <c r="D150" s="134"/>
      <c r="E150" s="43"/>
      <c r="F150" s="74"/>
      <c r="G150" s="42"/>
      <c r="H150" s="42"/>
      <c r="I150" s="42"/>
      <c r="J150" s="123"/>
      <c r="K150" s="80"/>
      <c r="L150" s="43"/>
      <c r="M150" s="80"/>
      <c r="N150" s="141">
        <f t="shared" si="53"/>
        <v>0</v>
      </c>
      <c r="O150" s="142"/>
      <c r="P150" s="142"/>
      <c r="Q150" s="141">
        <f t="shared" si="68"/>
        <v>0</v>
      </c>
      <c r="R150" s="142"/>
      <c r="S150" s="142">
        <f t="shared" si="65"/>
        <v>0</v>
      </c>
      <c r="T150" s="142" t="s">
        <v>273</v>
      </c>
      <c r="U150" s="141">
        <f t="shared" si="51"/>
        <v>0</v>
      </c>
      <c r="V150" s="142" t="s">
        <v>274</v>
      </c>
      <c r="W150" s="146">
        <f t="shared" si="54"/>
        <v>0</v>
      </c>
      <c r="X150" s="147" t="s">
        <v>277</v>
      </c>
      <c r="Y150" s="45">
        <f t="shared" si="66"/>
        <v>0</v>
      </c>
      <c r="Z150" s="43" t="s">
        <v>284</v>
      </c>
      <c r="AA150" s="45">
        <f t="shared" si="67"/>
        <v>0</v>
      </c>
      <c r="AB150" s="43" t="s">
        <v>285</v>
      </c>
      <c r="AC150" s="44">
        <f t="shared" si="55"/>
        <v>0</v>
      </c>
      <c r="AD150" s="101"/>
      <c r="AE150" s="98">
        <v>6</v>
      </c>
      <c r="AF150" s="97">
        <f t="shared" si="56"/>
        <v>0</v>
      </c>
      <c r="AG150" s="97">
        <v>4664</v>
      </c>
      <c r="AH150" s="82">
        <f t="shared" si="57"/>
        <v>388.66666666666674</v>
      </c>
      <c r="AI150" s="98" t="s">
        <v>896</v>
      </c>
      <c r="AJ150" s="75">
        <f t="shared" si="52"/>
        <v>0</v>
      </c>
      <c r="AK150" s="73">
        <f t="shared" si="58"/>
        <v>388.66666666666674</v>
      </c>
      <c r="AO150" s="93"/>
    </row>
    <row r="151" spans="1:41" s="93" customFormat="1">
      <c r="A151" s="122" t="s">
        <v>810</v>
      </c>
      <c r="B151" s="94"/>
      <c r="C151" s="94"/>
      <c r="D151" s="135"/>
      <c r="E151" s="90"/>
      <c r="F151" s="88"/>
      <c r="G151" s="94"/>
      <c r="H151" s="94"/>
      <c r="I151" s="94"/>
      <c r="J151" s="123"/>
      <c r="K151" s="89"/>
      <c r="L151" s="90"/>
      <c r="M151" s="89"/>
      <c r="N151" s="141">
        <f t="shared" si="53"/>
        <v>0</v>
      </c>
      <c r="O151" s="142"/>
      <c r="P151" s="142"/>
      <c r="Q151" s="141">
        <f t="shared" ref="Q151" si="72">+P151*$D$1</f>
        <v>0</v>
      </c>
      <c r="R151" s="142"/>
      <c r="S151" s="142">
        <f t="shared" si="65"/>
        <v>0</v>
      </c>
      <c r="T151" s="142" t="s">
        <v>273</v>
      </c>
      <c r="U151" s="141">
        <f t="shared" si="51"/>
        <v>0</v>
      </c>
      <c r="V151" s="142" t="s">
        <v>274</v>
      </c>
      <c r="W151" s="146">
        <f t="shared" si="54"/>
        <v>0</v>
      </c>
      <c r="X151" s="147" t="s">
        <v>277</v>
      </c>
      <c r="Y151" s="91">
        <f t="shared" ref="Y151" si="73">IF(G151="RIMAC EPS EMPRESA PRESTADORA DE SALUD",((((K151*40%)+M151)*0.0675)*$D$1),((((K151*40%)+M151)*0.09))*$D$1)</f>
        <v>0</v>
      </c>
      <c r="Z151" s="90" t="s">
        <v>284</v>
      </c>
      <c r="AA151" s="91">
        <f t="shared" ref="AA151" si="74">IF(G151="RIMAC EPS EMPRESA PRESTADORA DE SALUD",((K151*40%)+M151)*0.0225*$D$1+Q151*0.0225,0)</f>
        <v>0</v>
      </c>
      <c r="AB151" s="90" t="s">
        <v>285</v>
      </c>
      <c r="AC151" s="44">
        <f t="shared" si="55"/>
        <v>0</v>
      </c>
      <c r="AD151" s="101"/>
      <c r="AE151" s="98">
        <v>6</v>
      </c>
      <c r="AF151" s="97">
        <f t="shared" si="56"/>
        <v>0</v>
      </c>
      <c r="AG151" s="97">
        <v>4571</v>
      </c>
      <c r="AH151" s="82">
        <f t="shared" si="57"/>
        <v>380.91666666666669</v>
      </c>
      <c r="AI151" s="105" t="s">
        <v>896</v>
      </c>
      <c r="AJ151" s="92">
        <f t="shared" si="52"/>
        <v>0</v>
      </c>
      <c r="AK151" s="73">
        <f t="shared" si="58"/>
        <v>380.91666666666669</v>
      </c>
      <c r="AO151" s="38"/>
    </row>
    <row r="152" spans="1:41" s="93" customFormat="1">
      <c r="A152" s="122" t="s">
        <v>811</v>
      </c>
      <c r="B152" s="42"/>
      <c r="C152" s="42"/>
      <c r="D152" s="134"/>
      <c r="E152" s="43"/>
      <c r="F152" s="74"/>
      <c r="G152" s="42"/>
      <c r="H152" s="42"/>
      <c r="I152" s="42"/>
      <c r="J152" s="123"/>
      <c r="K152" s="80"/>
      <c r="L152" s="43"/>
      <c r="M152" s="80"/>
      <c r="N152" s="141">
        <f t="shared" si="53"/>
        <v>0</v>
      </c>
      <c r="O152" s="142"/>
      <c r="P152" s="142"/>
      <c r="Q152" s="141">
        <f t="shared" si="68"/>
        <v>0</v>
      </c>
      <c r="R152" s="142"/>
      <c r="S152" s="142">
        <f t="shared" si="65"/>
        <v>0</v>
      </c>
      <c r="T152" s="142" t="s">
        <v>273</v>
      </c>
      <c r="U152" s="141">
        <f t="shared" si="51"/>
        <v>0</v>
      </c>
      <c r="V152" s="142" t="s">
        <v>274</v>
      </c>
      <c r="W152" s="146">
        <f t="shared" si="54"/>
        <v>0</v>
      </c>
      <c r="X152" s="147" t="s">
        <v>277</v>
      </c>
      <c r="Y152" s="45">
        <f t="shared" si="66"/>
        <v>0</v>
      </c>
      <c r="Z152" s="43" t="s">
        <v>284</v>
      </c>
      <c r="AA152" s="45">
        <f t="shared" si="67"/>
        <v>0</v>
      </c>
      <c r="AB152" s="43" t="s">
        <v>285</v>
      </c>
      <c r="AC152" s="44">
        <f t="shared" si="55"/>
        <v>0</v>
      </c>
      <c r="AD152" s="101"/>
      <c r="AE152" s="98">
        <v>6</v>
      </c>
      <c r="AF152" s="97">
        <f t="shared" si="56"/>
        <v>0</v>
      </c>
      <c r="AG152" s="97">
        <v>3800</v>
      </c>
      <c r="AH152" s="82">
        <f t="shared" si="57"/>
        <v>316.66666666666669</v>
      </c>
      <c r="AI152" s="98" t="s">
        <v>896</v>
      </c>
      <c r="AJ152" s="75">
        <f t="shared" si="52"/>
        <v>0</v>
      </c>
      <c r="AK152" s="73">
        <f t="shared" si="58"/>
        <v>316.66666666666669</v>
      </c>
    </row>
    <row r="153" spans="1:41" s="38" customFormat="1">
      <c r="A153" s="122" t="s">
        <v>812</v>
      </c>
      <c r="B153" s="42"/>
      <c r="C153" s="42"/>
      <c r="D153" s="134"/>
      <c r="E153" s="43"/>
      <c r="F153" s="74"/>
      <c r="G153" s="42"/>
      <c r="H153" s="42"/>
      <c r="I153" s="42"/>
      <c r="J153" s="123"/>
      <c r="K153" s="80"/>
      <c r="L153" s="43"/>
      <c r="M153" s="80"/>
      <c r="N153" s="141">
        <f t="shared" si="53"/>
        <v>0</v>
      </c>
      <c r="O153" s="142"/>
      <c r="P153" s="142"/>
      <c r="Q153" s="141">
        <f t="shared" si="68"/>
        <v>0</v>
      </c>
      <c r="R153" s="142"/>
      <c r="S153" s="142">
        <f t="shared" si="65"/>
        <v>0</v>
      </c>
      <c r="T153" s="142" t="s">
        <v>273</v>
      </c>
      <c r="U153" s="141">
        <f t="shared" si="51"/>
        <v>0</v>
      </c>
      <c r="V153" s="142" t="s">
        <v>274</v>
      </c>
      <c r="W153" s="146">
        <f t="shared" si="54"/>
        <v>0</v>
      </c>
      <c r="X153" s="147" t="s">
        <v>277</v>
      </c>
      <c r="Y153" s="45">
        <f t="shared" si="66"/>
        <v>0</v>
      </c>
      <c r="Z153" s="43" t="s">
        <v>284</v>
      </c>
      <c r="AA153" s="45">
        <f t="shared" si="67"/>
        <v>0</v>
      </c>
      <c r="AB153" s="43" t="s">
        <v>285</v>
      </c>
      <c r="AC153" s="44">
        <f t="shared" si="55"/>
        <v>0</v>
      </c>
      <c r="AD153" s="101"/>
      <c r="AE153" s="98">
        <v>6</v>
      </c>
      <c r="AF153" s="97">
        <f t="shared" si="56"/>
        <v>0</v>
      </c>
      <c r="AG153" s="97">
        <v>4650</v>
      </c>
      <c r="AH153" s="82">
        <f t="shared" si="57"/>
        <v>387.5</v>
      </c>
      <c r="AI153" s="98" t="s">
        <v>896</v>
      </c>
      <c r="AJ153" s="75">
        <f t="shared" si="52"/>
        <v>0</v>
      </c>
      <c r="AK153" s="73">
        <f t="shared" si="58"/>
        <v>387.5</v>
      </c>
      <c r="AO153" s="93"/>
    </row>
    <row r="154" spans="1:41" s="38" customFormat="1">
      <c r="A154" s="122" t="s">
        <v>813</v>
      </c>
      <c r="B154" s="42"/>
      <c r="C154" s="42"/>
      <c r="D154" s="134"/>
      <c r="E154" s="43"/>
      <c r="F154" s="74"/>
      <c r="G154" s="42"/>
      <c r="H154" s="42"/>
      <c r="I154" s="42"/>
      <c r="J154" s="123"/>
      <c r="K154" s="80"/>
      <c r="L154" s="43"/>
      <c r="M154" s="80"/>
      <c r="N154" s="141">
        <f t="shared" si="53"/>
        <v>0</v>
      </c>
      <c r="O154" s="142"/>
      <c r="P154" s="142"/>
      <c r="Q154" s="141">
        <f t="shared" si="68"/>
        <v>0</v>
      </c>
      <c r="R154" s="142"/>
      <c r="S154" s="142">
        <f t="shared" si="65"/>
        <v>0</v>
      </c>
      <c r="T154" s="142" t="s">
        <v>273</v>
      </c>
      <c r="U154" s="141">
        <f t="shared" si="51"/>
        <v>0</v>
      </c>
      <c r="V154" s="142" t="s">
        <v>274</v>
      </c>
      <c r="W154" s="146">
        <f t="shared" si="54"/>
        <v>0</v>
      </c>
      <c r="X154" s="147" t="s">
        <v>277</v>
      </c>
      <c r="Y154" s="45">
        <f t="shared" si="66"/>
        <v>0</v>
      </c>
      <c r="Z154" s="43" t="s">
        <v>284</v>
      </c>
      <c r="AA154" s="45">
        <f t="shared" si="67"/>
        <v>0</v>
      </c>
      <c r="AB154" s="43" t="s">
        <v>285</v>
      </c>
      <c r="AC154" s="44">
        <f t="shared" si="55"/>
        <v>0</v>
      </c>
      <c r="AD154" s="101"/>
      <c r="AE154" s="98">
        <v>6</v>
      </c>
      <c r="AF154" s="97">
        <f t="shared" si="56"/>
        <v>0</v>
      </c>
      <c r="AG154" s="97">
        <v>4743</v>
      </c>
      <c r="AH154" s="82">
        <f t="shared" si="57"/>
        <v>395.25</v>
      </c>
      <c r="AI154" s="98" t="s">
        <v>896</v>
      </c>
      <c r="AJ154" s="75">
        <f t="shared" si="52"/>
        <v>0</v>
      </c>
      <c r="AK154" s="73">
        <f t="shared" si="58"/>
        <v>395.25</v>
      </c>
    </row>
    <row r="155" spans="1:41" s="38" customFormat="1">
      <c r="A155" s="122" t="s">
        <v>814</v>
      </c>
      <c r="B155" s="42"/>
      <c r="C155" s="42"/>
      <c r="D155" s="134"/>
      <c r="E155" s="43"/>
      <c r="F155" s="74"/>
      <c r="G155" s="42"/>
      <c r="H155" s="42"/>
      <c r="I155" s="42"/>
      <c r="J155" s="123"/>
      <c r="K155" s="80"/>
      <c r="L155" s="43"/>
      <c r="M155" s="80"/>
      <c r="N155" s="141">
        <f t="shared" si="53"/>
        <v>0</v>
      </c>
      <c r="O155" s="142"/>
      <c r="P155" s="142"/>
      <c r="Q155" s="141">
        <f t="shared" si="68"/>
        <v>0</v>
      </c>
      <c r="R155" s="142"/>
      <c r="S155" s="142">
        <f t="shared" si="65"/>
        <v>0</v>
      </c>
      <c r="T155" s="142" t="s">
        <v>273</v>
      </c>
      <c r="U155" s="141">
        <f t="shared" si="51"/>
        <v>0</v>
      </c>
      <c r="V155" s="142" t="s">
        <v>274</v>
      </c>
      <c r="W155" s="146">
        <f t="shared" si="54"/>
        <v>0</v>
      </c>
      <c r="X155" s="147" t="s">
        <v>277</v>
      </c>
      <c r="Y155" s="45">
        <f t="shared" si="66"/>
        <v>0</v>
      </c>
      <c r="Z155" s="43" t="s">
        <v>284</v>
      </c>
      <c r="AA155" s="45">
        <f t="shared" si="67"/>
        <v>0</v>
      </c>
      <c r="AB155" s="43" t="s">
        <v>285</v>
      </c>
      <c r="AC155" s="44">
        <f t="shared" si="55"/>
        <v>0</v>
      </c>
      <c r="AD155" s="101"/>
      <c r="AE155" s="98">
        <v>6</v>
      </c>
      <c r="AF155" s="97">
        <f t="shared" si="56"/>
        <v>0</v>
      </c>
      <c r="AG155" s="97">
        <v>4571</v>
      </c>
      <c r="AH155" s="82">
        <f t="shared" si="57"/>
        <v>380.91666666666669</v>
      </c>
      <c r="AI155" s="98" t="s">
        <v>896</v>
      </c>
      <c r="AJ155" s="75">
        <f t="shared" si="52"/>
        <v>0</v>
      </c>
      <c r="AK155" s="73">
        <f t="shared" si="58"/>
        <v>380.91666666666669</v>
      </c>
    </row>
    <row r="156" spans="1:41" s="38" customFormat="1">
      <c r="A156" s="122" t="s">
        <v>815</v>
      </c>
      <c r="B156" s="42"/>
      <c r="C156" s="42"/>
      <c r="D156" s="134"/>
      <c r="E156" s="43"/>
      <c r="F156" s="74"/>
      <c r="G156" s="42"/>
      <c r="H156" s="42"/>
      <c r="I156" s="42"/>
      <c r="J156" s="123"/>
      <c r="K156" s="80"/>
      <c r="L156" s="43"/>
      <c r="M156" s="80"/>
      <c r="N156" s="141">
        <f t="shared" si="53"/>
        <v>0</v>
      </c>
      <c r="O156" s="142"/>
      <c r="P156" s="142"/>
      <c r="Q156" s="141">
        <f t="shared" si="68"/>
        <v>0</v>
      </c>
      <c r="R156" s="142"/>
      <c r="S156" s="142">
        <f t="shared" si="65"/>
        <v>0</v>
      </c>
      <c r="T156" s="142" t="s">
        <v>273</v>
      </c>
      <c r="U156" s="141">
        <f t="shared" si="51"/>
        <v>0</v>
      </c>
      <c r="V156" s="142" t="s">
        <v>274</v>
      </c>
      <c r="W156" s="146">
        <f t="shared" si="54"/>
        <v>0</v>
      </c>
      <c r="X156" s="147" t="s">
        <v>277</v>
      </c>
      <c r="Y156" s="45">
        <f t="shared" si="66"/>
        <v>0</v>
      </c>
      <c r="Z156" s="43" t="s">
        <v>284</v>
      </c>
      <c r="AA156" s="45">
        <f t="shared" si="67"/>
        <v>0</v>
      </c>
      <c r="AB156" s="43" t="s">
        <v>285</v>
      </c>
      <c r="AC156" s="44">
        <f t="shared" si="55"/>
        <v>0</v>
      </c>
      <c r="AD156" s="101"/>
      <c r="AE156" s="98">
        <v>6</v>
      </c>
      <c r="AF156" s="97">
        <f t="shared" si="56"/>
        <v>0</v>
      </c>
      <c r="AG156" s="97">
        <v>4664</v>
      </c>
      <c r="AH156" s="82">
        <f t="shared" si="57"/>
        <v>388.66666666666674</v>
      </c>
      <c r="AI156" s="98" t="s">
        <v>896</v>
      </c>
      <c r="AJ156" s="75">
        <f t="shared" si="52"/>
        <v>0</v>
      </c>
      <c r="AK156" s="73">
        <f t="shared" si="58"/>
        <v>388.66666666666674</v>
      </c>
    </row>
    <row r="157" spans="1:41" s="38" customFormat="1">
      <c r="A157" s="122" t="s">
        <v>816</v>
      </c>
      <c r="B157" s="42"/>
      <c r="C157" s="42"/>
      <c r="D157" s="134"/>
      <c r="E157" s="43"/>
      <c r="F157" s="74"/>
      <c r="G157" s="42"/>
      <c r="H157" s="42"/>
      <c r="I157" s="42"/>
      <c r="J157" s="123"/>
      <c r="K157" s="80"/>
      <c r="L157" s="43"/>
      <c r="M157" s="80"/>
      <c r="N157" s="141">
        <f t="shared" si="53"/>
        <v>0</v>
      </c>
      <c r="O157" s="142"/>
      <c r="P157" s="142"/>
      <c r="Q157" s="141">
        <f t="shared" si="68"/>
        <v>0</v>
      </c>
      <c r="R157" s="142"/>
      <c r="S157" s="142">
        <f t="shared" si="65"/>
        <v>0</v>
      </c>
      <c r="T157" s="142" t="s">
        <v>273</v>
      </c>
      <c r="U157" s="141">
        <f t="shared" si="51"/>
        <v>0</v>
      </c>
      <c r="V157" s="142" t="s">
        <v>274</v>
      </c>
      <c r="W157" s="146">
        <f t="shared" si="54"/>
        <v>0</v>
      </c>
      <c r="X157" s="147" t="s">
        <v>277</v>
      </c>
      <c r="Y157" s="45">
        <f t="shared" si="66"/>
        <v>0</v>
      </c>
      <c r="Z157" s="43" t="s">
        <v>284</v>
      </c>
      <c r="AA157" s="45">
        <f t="shared" si="67"/>
        <v>0</v>
      </c>
      <c r="AB157" s="43" t="s">
        <v>285</v>
      </c>
      <c r="AC157" s="44">
        <f t="shared" si="55"/>
        <v>0</v>
      </c>
      <c r="AD157" s="101"/>
      <c r="AE157" s="98">
        <v>6</v>
      </c>
      <c r="AF157" s="97">
        <f t="shared" si="56"/>
        <v>0</v>
      </c>
      <c r="AG157" s="97">
        <v>5950</v>
      </c>
      <c r="AH157" s="82">
        <f t="shared" si="57"/>
        <v>495.83333333333331</v>
      </c>
      <c r="AI157" s="98" t="s">
        <v>896</v>
      </c>
      <c r="AJ157" s="75">
        <f t="shared" si="52"/>
        <v>0</v>
      </c>
      <c r="AK157" s="73">
        <f t="shared" si="58"/>
        <v>495.83333333333331</v>
      </c>
    </row>
    <row r="158" spans="1:41" s="38" customFormat="1">
      <c r="A158" s="122" t="s">
        <v>817</v>
      </c>
      <c r="B158" s="42"/>
      <c r="C158" s="42"/>
      <c r="D158" s="134"/>
      <c r="E158" s="43"/>
      <c r="F158" s="74"/>
      <c r="G158" s="42"/>
      <c r="H158" s="42"/>
      <c r="I158" s="42"/>
      <c r="J158" s="123"/>
      <c r="K158" s="80"/>
      <c r="L158" s="43"/>
      <c r="M158" s="80"/>
      <c r="N158" s="141">
        <f t="shared" si="53"/>
        <v>0</v>
      </c>
      <c r="O158" s="142"/>
      <c r="P158" s="142"/>
      <c r="Q158" s="141">
        <f t="shared" si="68"/>
        <v>0</v>
      </c>
      <c r="R158" s="142"/>
      <c r="S158" s="142">
        <f t="shared" si="65"/>
        <v>0</v>
      </c>
      <c r="T158" s="142" t="s">
        <v>273</v>
      </c>
      <c r="U158" s="141">
        <f t="shared" si="51"/>
        <v>0</v>
      </c>
      <c r="V158" s="142" t="s">
        <v>274</v>
      </c>
      <c r="W158" s="146">
        <f t="shared" si="54"/>
        <v>0</v>
      </c>
      <c r="X158" s="147" t="s">
        <v>277</v>
      </c>
      <c r="Y158" s="45">
        <f t="shared" si="66"/>
        <v>0</v>
      </c>
      <c r="Z158" s="43" t="s">
        <v>284</v>
      </c>
      <c r="AA158" s="45">
        <f t="shared" si="67"/>
        <v>0</v>
      </c>
      <c r="AB158" s="43" t="s">
        <v>285</v>
      </c>
      <c r="AC158" s="44">
        <f t="shared" si="55"/>
        <v>0</v>
      </c>
      <c r="AD158" s="101"/>
      <c r="AE158" s="98">
        <v>6</v>
      </c>
      <c r="AF158" s="97">
        <f t="shared" si="56"/>
        <v>0</v>
      </c>
      <c r="AG158" s="97">
        <v>4664</v>
      </c>
      <c r="AH158" s="82">
        <f t="shared" si="57"/>
        <v>388.66666666666674</v>
      </c>
      <c r="AI158" s="98" t="s">
        <v>896</v>
      </c>
      <c r="AJ158" s="75">
        <f t="shared" si="52"/>
        <v>0</v>
      </c>
      <c r="AK158" s="73">
        <f t="shared" si="58"/>
        <v>388.66666666666674</v>
      </c>
    </row>
    <row r="159" spans="1:41" s="38" customFormat="1">
      <c r="A159" s="122" t="s">
        <v>818</v>
      </c>
      <c r="B159" s="87"/>
      <c r="C159" s="87"/>
      <c r="D159" s="135"/>
      <c r="E159" s="90"/>
      <c r="F159" s="88"/>
      <c r="G159" s="87"/>
      <c r="H159" s="87"/>
      <c r="I159" s="87"/>
      <c r="J159" s="123"/>
      <c r="K159" s="89"/>
      <c r="L159" s="90"/>
      <c r="M159" s="89"/>
      <c r="N159" s="141">
        <f t="shared" si="53"/>
        <v>0</v>
      </c>
      <c r="O159" s="142"/>
      <c r="P159" s="142"/>
      <c r="Q159" s="141">
        <f t="shared" si="68"/>
        <v>0</v>
      </c>
      <c r="R159" s="142"/>
      <c r="S159" s="142">
        <f t="shared" si="65"/>
        <v>0</v>
      </c>
      <c r="T159" s="142" t="s">
        <v>273</v>
      </c>
      <c r="U159" s="141">
        <f t="shared" si="51"/>
        <v>0</v>
      </c>
      <c r="V159" s="142" t="s">
        <v>274</v>
      </c>
      <c r="W159" s="146">
        <f t="shared" si="54"/>
        <v>0</v>
      </c>
      <c r="X159" s="147" t="s">
        <v>277</v>
      </c>
      <c r="Y159" s="91">
        <f t="shared" si="66"/>
        <v>0</v>
      </c>
      <c r="Z159" s="90" t="s">
        <v>284</v>
      </c>
      <c r="AA159" s="91">
        <f t="shared" si="67"/>
        <v>0</v>
      </c>
      <c r="AB159" s="90" t="s">
        <v>285</v>
      </c>
      <c r="AC159" s="44">
        <f t="shared" si="55"/>
        <v>0</v>
      </c>
      <c r="AD159" s="101"/>
      <c r="AE159" s="98">
        <v>6</v>
      </c>
      <c r="AF159" s="97">
        <f t="shared" si="56"/>
        <v>0</v>
      </c>
      <c r="AG159" s="97">
        <v>4571</v>
      </c>
      <c r="AH159" s="82">
        <f t="shared" si="57"/>
        <v>380.91666666666669</v>
      </c>
      <c r="AI159" s="105" t="s">
        <v>896</v>
      </c>
      <c r="AJ159" s="92">
        <f t="shared" si="52"/>
        <v>0</v>
      </c>
      <c r="AK159" s="73">
        <f t="shared" si="58"/>
        <v>380.91666666666669</v>
      </c>
    </row>
    <row r="160" spans="1:41" s="93" customFormat="1">
      <c r="A160" s="122" t="s">
        <v>819</v>
      </c>
      <c r="B160" s="42"/>
      <c r="C160" s="42"/>
      <c r="D160" s="134"/>
      <c r="E160" s="43"/>
      <c r="F160" s="74"/>
      <c r="G160" s="42"/>
      <c r="H160" s="42"/>
      <c r="I160" s="42"/>
      <c r="J160" s="123"/>
      <c r="K160" s="80"/>
      <c r="L160" s="43"/>
      <c r="M160" s="80"/>
      <c r="N160" s="141">
        <f t="shared" si="53"/>
        <v>0</v>
      </c>
      <c r="O160" s="142"/>
      <c r="P160" s="142"/>
      <c r="Q160" s="141">
        <f t="shared" si="68"/>
        <v>0</v>
      </c>
      <c r="R160" s="142"/>
      <c r="S160" s="142">
        <f t="shared" si="65"/>
        <v>0</v>
      </c>
      <c r="T160" s="142" t="s">
        <v>273</v>
      </c>
      <c r="U160" s="141">
        <f t="shared" si="51"/>
        <v>0</v>
      </c>
      <c r="V160" s="142" t="s">
        <v>274</v>
      </c>
      <c r="W160" s="146">
        <f t="shared" si="54"/>
        <v>0</v>
      </c>
      <c r="X160" s="147" t="s">
        <v>277</v>
      </c>
      <c r="Y160" s="45">
        <f t="shared" si="66"/>
        <v>0</v>
      </c>
      <c r="Z160" s="43" t="s">
        <v>284</v>
      </c>
      <c r="AA160" s="45">
        <f t="shared" si="67"/>
        <v>0</v>
      </c>
      <c r="AB160" s="43" t="s">
        <v>285</v>
      </c>
      <c r="AC160" s="44">
        <f t="shared" si="55"/>
        <v>0</v>
      </c>
      <c r="AD160" s="101"/>
      <c r="AE160" s="98">
        <v>6</v>
      </c>
      <c r="AF160" s="97">
        <f t="shared" si="56"/>
        <v>0</v>
      </c>
      <c r="AG160" s="97">
        <v>3800</v>
      </c>
      <c r="AH160" s="82">
        <f t="shared" si="57"/>
        <v>316.66666666666669</v>
      </c>
      <c r="AI160" s="98" t="s">
        <v>896</v>
      </c>
      <c r="AJ160" s="75">
        <f t="shared" si="52"/>
        <v>0</v>
      </c>
      <c r="AK160" s="73">
        <f t="shared" si="58"/>
        <v>316.66666666666669</v>
      </c>
      <c r="AO160" s="38"/>
    </row>
    <row r="161" spans="1:41" s="38" customFormat="1">
      <c r="A161" s="122" t="s">
        <v>820</v>
      </c>
      <c r="B161" s="42"/>
      <c r="C161" s="42"/>
      <c r="D161" s="134"/>
      <c r="E161" s="43"/>
      <c r="F161" s="74"/>
      <c r="G161" s="42"/>
      <c r="H161" s="42"/>
      <c r="I161" s="86"/>
      <c r="J161" s="123"/>
      <c r="K161" s="80"/>
      <c r="L161" s="43"/>
      <c r="M161" s="80"/>
      <c r="N161" s="141">
        <f t="shared" si="53"/>
        <v>0</v>
      </c>
      <c r="O161" s="142"/>
      <c r="P161" s="142"/>
      <c r="Q161" s="141">
        <f t="shared" si="68"/>
        <v>0</v>
      </c>
      <c r="R161" s="142"/>
      <c r="S161" s="142">
        <f t="shared" si="65"/>
        <v>0</v>
      </c>
      <c r="T161" s="142" t="s">
        <v>273</v>
      </c>
      <c r="U161" s="141">
        <f t="shared" si="51"/>
        <v>0</v>
      </c>
      <c r="V161" s="142" t="s">
        <v>274</v>
      </c>
      <c r="W161" s="146">
        <f t="shared" si="54"/>
        <v>0</v>
      </c>
      <c r="X161" s="147" t="s">
        <v>277</v>
      </c>
      <c r="Y161" s="45">
        <f t="shared" si="66"/>
        <v>0</v>
      </c>
      <c r="Z161" s="43" t="s">
        <v>284</v>
      </c>
      <c r="AA161" s="45">
        <f t="shared" si="67"/>
        <v>0</v>
      </c>
      <c r="AB161" s="43" t="s">
        <v>285</v>
      </c>
      <c r="AC161" s="44">
        <f t="shared" si="55"/>
        <v>0</v>
      </c>
      <c r="AD161" s="101"/>
      <c r="AE161" s="98">
        <v>6</v>
      </c>
      <c r="AF161" s="97">
        <f t="shared" si="56"/>
        <v>0</v>
      </c>
      <c r="AG161" s="97">
        <v>7593</v>
      </c>
      <c r="AH161" s="82">
        <f t="shared" si="57"/>
        <v>632.75</v>
      </c>
      <c r="AI161" s="98" t="s">
        <v>896</v>
      </c>
      <c r="AJ161" s="75">
        <f t="shared" si="52"/>
        <v>0</v>
      </c>
      <c r="AK161" s="73">
        <f t="shared" si="58"/>
        <v>632.75</v>
      </c>
      <c r="AO161" s="93"/>
    </row>
    <row r="162" spans="1:41" s="38" customFormat="1">
      <c r="A162" s="122" t="s">
        <v>821</v>
      </c>
      <c r="B162" s="42"/>
      <c r="C162" s="42"/>
      <c r="D162" s="134"/>
      <c r="E162" s="43"/>
      <c r="F162" s="74"/>
      <c r="G162" s="42"/>
      <c r="H162" s="42"/>
      <c r="I162" s="42"/>
      <c r="J162" s="123"/>
      <c r="K162" s="80"/>
      <c r="L162" s="43"/>
      <c r="M162" s="80"/>
      <c r="N162" s="141">
        <f t="shared" si="53"/>
        <v>0</v>
      </c>
      <c r="O162" s="142"/>
      <c r="P162" s="142"/>
      <c r="Q162" s="141">
        <f t="shared" si="68"/>
        <v>0</v>
      </c>
      <c r="R162" s="142"/>
      <c r="S162" s="142">
        <f t="shared" si="65"/>
        <v>0</v>
      </c>
      <c r="T162" s="142" t="s">
        <v>273</v>
      </c>
      <c r="U162" s="141">
        <f t="shared" si="51"/>
        <v>0</v>
      </c>
      <c r="V162" s="142" t="s">
        <v>274</v>
      </c>
      <c r="W162" s="146">
        <f t="shared" si="54"/>
        <v>0</v>
      </c>
      <c r="X162" s="147" t="s">
        <v>277</v>
      </c>
      <c r="Y162" s="45">
        <f t="shared" si="66"/>
        <v>0</v>
      </c>
      <c r="Z162" s="43" t="s">
        <v>284</v>
      </c>
      <c r="AA162" s="45">
        <f t="shared" si="67"/>
        <v>0</v>
      </c>
      <c r="AB162" s="43" t="s">
        <v>285</v>
      </c>
      <c r="AC162" s="44">
        <f t="shared" si="55"/>
        <v>0</v>
      </c>
      <c r="AD162" s="101"/>
      <c r="AE162" s="98">
        <v>6</v>
      </c>
      <c r="AF162" s="97">
        <f t="shared" si="56"/>
        <v>0</v>
      </c>
      <c r="AG162" s="97">
        <v>4571</v>
      </c>
      <c r="AH162" s="82">
        <f t="shared" si="57"/>
        <v>380.91666666666669</v>
      </c>
      <c r="AI162" s="98" t="s">
        <v>896</v>
      </c>
      <c r="AJ162" s="75">
        <f t="shared" si="52"/>
        <v>0</v>
      </c>
      <c r="AK162" s="73">
        <f t="shared" si="58"/>
        <v>380.91666666666669</v>
      </c>
    </row>
    <row r="163" spans="1:41" s="38" customFormat="1">
      <c r="A163" s="122" t="s">
        <v>822</v>
      </c>
      <c r="B163" s="42"/>
      <c r="C163" s="42"/>
      <c r="D163" s="134"/>
      <c r="E163" s="43"/>
      <c r="F163" s="74"/>
      <c r="G163" s="42"/>
      <c r="H163" s="42"/>
      <c r="I163" s="42"/>
      <c r="J163" s="123"/>
      <c r="K163" s="80"/>
      <c r="L163" s="43"/>
      <c r="M163" s="80"/>
      <c r="N163" s="141">
        <f t="shared" si="53"/>
        <v>0</v>
      </c>
      <c r="O163" s="142"/>
      <c r="P163" s="142"/>
      <c r="Q163" s="141">
        <f t="shared" si="68"/>
        <v>0</v>
      </c>
      <c r="R163" s="142"/>
      <c r="S163" s="142">
        <f t="shared" si="65"/>
        <v>0</v>
      </c>
      <c r="T163" s="142" t="s">
        <v>273</v>
      </c>
      <c r="U163" s="141">
        <f t="shared" si="51"/>
        <v>0</v>
      </c>
      <c r="V163" s="142" t="s">
        <v>274</v>
      </c>
      <c r="W163" s="146">
        <f t="shared" si="54"/>
        <v>0</v>
      </c>
      <c r="X163" s="147" t="s">
        <v>277</v>
      </c>
      <c r="Y163" s="45">
        <f t="shared" si="66"/>
        <v>0</v>
      </c>
      <c r="Z163" s="43" t="s">
        <v>284</v>
      </c>
      <c r="AA163" s="45">
        <f t="shared" si="67"/>
        <v>0</v>
      </c>
      <c r="AB163" s="43" t="s">
        <v>285</v>
      </c>
      <c r="AC163" s="44">
        <f t="shared" si="55"/>
        <v>0</v>
      </c>
      <c r="AD163" s="101"/>
      <c r="AE163" s="98">
        <v>6</v>
      </c>
      <c r="AF163" s="97">
        <f t="shared" si="56"/>
        <v>0</v>
      </c>
      <c r="AG163" s="97">
        <v>4664</v>
      </c>
      <c r="AH163" s="82">
        <f t="shared" si="57"/>
        <v>388.66666666666674</v>
      </c>
      <c r="AI163" s="98" t="s">
        <v>896</v>
      </c>
      <c r="AJ163" s="75">
        <f t="shared" si="52"/>
        <v>0</v>
      </c>
      <c r="AK163" s="73">
        <f t="shared" si="58"/>
        <v>388.66666666666674</v>
      </c>
    </row>
    <row r="164" spans="1:41" s="38" customFormat="1">
      <c r="A164" s="122" t="s">
        <v>823</v>
      </c>
      <c r="B164" s="42"/>
      <c r="C164" s="42"/>
      <c r="D164" s="136"/>
      <c r="E164" s="122"/>
      <c r="F164" s="74"/>
      <c r="G164" s="42"/>
      <c r="H164" s="42"/>
      <c r="I164" s="86"/>
      <c r="J164" s="123"/>
      <c r="K164" s="80"/>
      <c r="L164" s="43"/>
      <c r="M164" s="80"/>
      <c r="N164" s="141">
        <f t="shared" si="53"/>
        <v>0</v>
      </c>
      <c r="O164" s="142"/>
      <c r="P164" s="142"/>
      <c r="Q164" s="141">
        <v>0</v>
      </c>
      <c r="R164" s="142"/>
      <c r="S164" s="142">
        <f t="shared" si="65"/>
        <v>0</v>
      </c>
      <c r="T164" s="142" t="s">
        <v>273</v>
      </c>
      <c r="U164" s="141">
        <f t="shared" si="51"/>
        <v>0</v>
      </c>
      <c r="V164" s="142" t="s">
        <v>274</v>
      </c>
      <c r="W164" s="146">
        <f t="shared" si="54"/>
        <v>0</v>
      </c>
      <c r="X164" s="147" t="s">
        <v>277</v>
      </c>
      <c r="Y164" s="45">
        <f t="shared" si="66"/>
        <v>0</v>
      </c>
      <c r="Z164" s="43" t="s">
        <v>284</v>
      </c>
      <c r="AA164" s="45">
        <f t="shared" si="67"/>
        <v>0</v>
      </c>
      <c r="AB164" s="43" t="s">
        <v>285</v>
      </c>
      <c r="AC164" s="44">
        <f t="shared" si="55"/>
        <v>0</v>
      </c>
      <c r="AD164" s="101"/>
      <c r="AE164" s="98">
        <v>6</v>
      </c>
      <c r="AF164" s="97">
        <f t="shared" si="56"/>
        <v>0</v>
      </c>
      <c r="AG164" s="97">
        <v>7500</v>
      </c>
      <c r="AH164" s="82">
        <f t="shared" si="57"/>
        <v>625</v>
      </c>
      <c r="AI164" s="98" t="s">
        <v>896</v>
      </c>
      <c r="AJ164" s="75">
        <f t="shared" si="52"/>
        <v>0</v>
      </c>
      <c r="AK164" s="73">
        <f t="shared" si="58"/>
        <v>625</v>
      </c>
    </row>
    <row r="165" spans="1:41" s="38" customFormat="1">
      <c r="A165" s="122" t="s">
        <v>824</v>
      </c>
      <c r="B165" s="94"/>
      <c r="C165" s="94"/>
      <c r="D165" s="135"/>
      <c r="E165" s="90"/>
      <c r="F165" s="88"/>
      <c r="G165" s="94"/>
      <c r="H165" s="94"/>
      <c r="I165" s="94"/>
      <c r="J165" s="123"/>
      <c r="K165" s="89"/>
      <c r="L165" s="90"/>
      <c r="M165" s="89"/>
      <c r="N165" s="141">
        <f t="shared" si="53"/>
        <v>0</v>
      </c>
      <c r="O165" s="142"/>
      <c r="P165" s="142"/>
      <c r="Q165" s="141">
        <f t="shared" ref="Q165:Q166" si="75">+P165*$D$1</f>
        <v>0</v>
      </c>
      <c r="R165" s="142"/>
      <c r="S165" s="142">
        <f t="shared" si="65"/>
        <v>0</v>
      </c>
      <c r="T165" s="142" t="s">
        <v>273</v>
      </c>
      <c r="U165" s="141">
        <f t="shared" si="51"/>
        <v>0</v>
      </c>
      <c r="V165" s="142" t="s">
        <v>274</v>
      </c>
      <c r="W165" s="146">
        <f t="shared" si="54"/>
        <v>0</v>
      </c>
      <c r="X165" s="147" t="s">
        <v>277</v>
      </c>
      <c r="Y165" s="91">
        <f t="shared" ref="Y165:Y166" si="76">IF(G165="RIMAC EPS EMPRESA PRESTADORA DE SALUD",((((K165*40%)+M165)*0.0675)*$D$1),((((K165*40%)+M165)*0.09))*$D$1)</f>
        <v>0</v>
      </c>
      <c r="Z165" s="90" t="s">
        <v>284</v>
      </c>
      <c r="AA165" s="91">
        <f t="shared" ref="AA165:AA166" si="77">IF(G165="RIMAC EPS EMPRESA PRESTADORA DE SALUD",((K165*40%)+M165)*0.0225*$D$1+Q165*0.0225,0)</f>
        <v>0</v>
      </c>
      <c r="AB165" s="90" t="s">
        <v>285</v>
      </c>
      <c r="AC165" s="44">
        <f t="shared" si="55"/>
        <v>0</v>
      </c>
      <c r="AD165" s="101"/>
      <c r="AE165" s="98">
        <v>6</v>
      </c>
      <c r="AF165" s="97">
        <f t="shared" si="56"/>
        <v>0</v>
      </c>
      <c r="AG165" s="97">
        <v>4571</v>
      </c>
      <c r="AH165" s="82">
        <f t="shared" si="57"/>
        <v>380.91666666666669</v>
      </c>
      <c r="AI165" s="105" t="s">
        <v>896</v>
      </c>
      <c r="AJ165" s="92">
        <f t="shared" si="52"/>
        <v>0</v>
      </c>
      <c r="AK165" s="73">
        <f t="shared" si="58"/>
        <v>380.91666666666669</v>
      </c>
    </row>
    <row r="166" spans="1:41" s="93" customFormat="1">
      <c r="A166" s="122" t="s">
        <v>825</v>
      </c>
      <c r="B166" s="94"/>
      <c r="C166" s="94"/>
      <c r="D166" s="137"/>
      <c r="E166" s="127"/>
      <c r="F166" s="88"/>
      <c r="G166" s="87"/>
      <c r="H166" s="87"/>
      <c r="I166" s="87"/>
      <c r="J166" s="123"/>
      <c r="K166" s="89"/>
      <c r="L166" s="90"/>
      <c r="M166" s="89"/>
      <c r="N166" s="141">
        <f t="shared" si="53"/>
        <v>0</v>
      </c>
      <c r="O166" s="142"/>
      <c r="P166" s="142"/>
      <c r="Q166" s="141">
        <f t="shared" si="75"/>
        <v>0</v>
      </c>
      <c r="R166" s="142"/>
      <c r="S166" s="142">
        <f t="shared" si="65"/>
        <v>0</v>
      </c>
      <c r="T166" s="142" t="s">
        <v>273</v>
      </c>
      <c r="U166" s="141">
        <f t="shared" si="51"/>
        <v>0</v>
      </c>
      <c r="V166" s="142" t="s">
        <v>274</v>
      </c>
      <c r="W166" s="146">
        <f t="shared" si="54"/>
        <v>0</v>
      </c>
      <c r="X166" s="147" t="s">
        <v>277</v>
      </c>
      <c r="Y166" s="91">
        <f t="shared" si="76"/>
        <v>0</v>
      </c>
      <c r="Z166" s="90" t="s">
        <v>284</v>
      </c>
      <c r="AA166" s="91">
        <f t="shared" si="77"/>
        <v>0</v>
      </c>
      <c r="AB166" s="90" t="s">
        <v>285</v>
      </c>
      <c r="AC166" s="44">
        <f t="shared" si="55"/>
        <v>0</v>
      </c>
      <c r="AD166" s="101"/>
      <c r="AE166" s="98">
        <v>6</v>
      </c>
      <c r="AF166" s="97">
        <f t="shared" si="56"/>
        <v>0</v>
      </c>
      <c r="AG166" s="97">
        <v>4571</v>
      </c>
      <c r="AH166" s="82">
        <f t="shared" si="57"/>
        <v>380.91666666666669</v>
      </c>
      <c r="AI166" s="105" t="s">
        <v>896</v>
      </c>
      <c r="AJ166" s="92">
        <f t="shared" si="52"/>
        <v>0</v>
      </c>
      <c r="AK166" s="73">
        <f t="shared" si="58"/>
        <v>380.91666666666669</v>
      </c>
      <c r="AO166" s="38"/>
    </row>
    <row r="167" spans="1:41" s="93" customFormat="1">
      <c r="A167" s="122" t="s">
        <v>826</v>
      </c>
      <c r="B167" s="94"/>
      <c r="C167" s="94"/>
      <c r="D167" s="135"/>
      <c r="E167" s="90"/>
      <c r="F167" s="88"/>
      <c r="G167" s="94"/>
      <c r="H167" s="94"/>
      <c r="I167" s="94"/>
      <c r="J167" s="123"/>
      <c r="K167" s="89"/>
      <c r="L167" s="90"/>
      <c r="M167" s="89"/>
      <c r="N167" s="141">
        <f t="shared" si="53"/>
        <v>0</v>
      </c>
      <c r="O167" s="142"/>
      <c r="P167" s="142"/>
      <c r="Q167" s="141">
        <f t="shared" ref="Q167" si="78">+P167*$D$1</f>
        <v>0</v>
      </c>
      <c r="R167" s="142"/>
      <c r="S167" s="142">
        <f t="shared" si="65"/>
        <v>0</v>
      </c>
      <c r="T167" s="142" t="s">
        <v>273</v>
      </c>
      <c r="U167" s="141">
        <f t="shared" si="51"/>
        <v>0</v>
      </c>
      <c r="V167" s="142" t="s">
        <v>274</v>
      </c>
      <c r="W167" s="146">
        <f t="shared" si="54"/>
        <v>0</v>
      </c>
      <c r="X167" s="147" t="s">
        <v>277</v>
      </c>
      <c r="Y167" s="91">
        <f t="shared" ref="Y167" si="79">IF(G167="RIMAC EPS EMPRESA PRESTADORA DE SALUD",((((K167*40%)+M167)*0.0675)*$D$1),((((K167*40%)+M167)*0.09))*$D$1)</f>
        <v>0</v>
      </c>
      <c r="Z167" s="90" t="s">
        <v>284</v>
      </c>
      <c r="AA167" s="91">
        <f t="shared" ref="AA167" si="80">IF(G167="RIMAC EPS EMPRESA PRESTADORA DE SALUD",((K167*40%)+M167)*0.0225*$D$1+Q167*0.0225,0)</f>
        <v>0</v>
      </c>
      <c r="AB167" s="90" t="s">
        <v>285</v>
      </c>
      <c r="AC167" s="44">
        <f t="shared" si="55"/>
        <v>0</v>
      </c>
      <c r="AD167" s="101"/>
      <c r="AE167" s="98">
        <v>6</v>
      </c>
      <c r="AF167" s="97">
        <f t="shared" si="56"/>
        <v>0</v>
      </c>
      <c r="AG167" s="97">
        <v>4571</v>
      </c>
      <c r="AH167" s="82">
        <f t="shared" si="57"/>
        <v>380.91666666666669</v>
      </c>
      <c r="AI167" s="105" t="s">
        <v>896</v>
      </c>
      <c r="AJ167" s="92">
        <f t="shared" si="52"/>
        <v>0</v>
      </c>
      <c r="AK167" s="73">
        <f t="shared" si="58"/>
        <v>380.91666666666669</v>
      </c>
    </row>
    <row r="168" spans="1:41" s="93" customFormat="1">
      <c r="A168" s="122" t="s">
        <v>827</v>
      </c>
      <c r="B168" s="42"/>
      <c r="C168" s="42"/>
      <c r="D168" s="134"/>
      <c r="E168" s="43"/>
      <c r="F168" s="74"/>
      <c r="G168" s="42"/>
      <c r="H168" s="42"/>
      <c r="I168" s="42"/>
      <c r="J168" s="123"/>
      <c r="K168" s="80"/>
      <c r="L168" s="43"/>
      <c r="M168" s="80"/>
      <c r="N168" s="141">
        <f t="shared" si="53"/>
        <v>0</v>
      </c>
      <c r="O168" s="142"/>
      <c r="P168" s="142"/>
      <c r="Q168" s="141">
        <f t="shared" si="68"/>
        <v>0</v>
      </c>
      <c r="R168" s="142"/>
      <c r="S168" s="142">
        <f t="shared" si="65"/>
        <v>0</v>
      </c>
      <c r="T168" s="142" t="s">
        <v>273</v>
      </c>
      <c r="U168" s="141">
        <f t="shared" si="51"/>
        <v>0</v>
      </c>
      <c r="V168" s="142" t="s">
        <v>274</v>
      </c>
      <c r="W168" s="146">
        <f t="shared" si="54"/>
        <v>0</v>
      </c>
      <c r="X168" s="147" t="s">
        <v>277</v>
      </c>
      <c r="Y168" s="45">
        <f t="shared" si="66"/>
        <v>0</v>
      </c>
      <c r="Z168" s="43" t="s">
        <v>284</v>
      </c>
      <c r="AA168" s="45">
        <f t="shared" si="67"/>
        <v>0</v>
      </c>
      <c r="AB168" s="43" t="s">
        <v>285</v>
      </c>
      <c r="AC168" s="44">
        <f t="shared" si="55"/>
        <v>0</v>
      </c>
      <c r="AD168" s="101"/>
      <c r="AE168" s="98">
        <v>6</v>
      </c>
      <c r="AF168" s="97">
        <f t="shared" si="56"/>
        <v>0</v>
      </c>
      <c r="AG168" s="97">
        <v>5950</v>
      </c>
      <c r="AH168" s="82">
        <f t="shared" si="57"/>
        <v>495.83333333333331</v>
      </c>
      <c r="AI168" s="98" t="s">
        <v>896</v>
      </c>
      <c r="AJ168" s="75">
        <f t="shared" si="52"/>
        <v>0</v>
      </c>
      <c r="AK168" s="73">
        <f t="shared" si="58"/>
        <v>495.83333333333331</v>
      </c>
    </row>
    <row r="169" spans="1:41" s="38" customFormat="1">
      <c r="A169" s="122" t="s">
        <v>828</v>
      </c>
      <c r="B169" s="86"/>
      <c r="C169" s="42"/>
      <c r="D169" s="134"/>
      <c r="E169" s="43"/>
      <c r="F169" s="74"/>
      <c r="G169" s="42"/>
      <c r="H169" s="42"/>
      <c r="I169" s="42"/>
      <c r="J169" s="123"/>
      <c r="K169" s="80"/>
      <c r="L169" s="43"/>
      <c r="M169" s="80"/>
      <c r="N169" s="141">
        <f t="shared" si="53"/>
        <v>0</v>
      </c>
      <c r="O169" s="142"/>
      <c r="P169" s="142"/>
      <c r="Q169" s="141">
        <f t="shared" ref="Q169" si="81">+P169*$D$1</f>
        <v>0</v>
      </c>
      <c r="R169" s="142"/>
      <c r="S169" s="142">
        <f t="shared" si="65"/>
        <v>0</v>
      </c>
      <c r="T169" s="142" t="s">
        <v>273</v>
      </c>
      <c r="U169" s="141">
        <f t="shared" si="51"/>
        <v>0</v>
      </c>
      <c r="V169" s="142" t="s">
        <v>274</v>
      </c>
      <c r="W169" s="146">
        <f t="shared" si="54"/>
        <v>0</v>
      </c>
      <c r="X169" s="147" t="s">
        <v>277</v>
      </c>
      <c r="Y169" s="45">
        <f t="shared" ref="Y169" si="82">IF(G169="RIMAC EPS EMPRESA PRESTADORA DE SALUD",((((K169*40%)+M169)*0.0675)*$D$1),((((K169*40%)+M169)*0.09))*$D$1)</f>
        <v>0</v>
      </c>
      <c r="Z169" s="43" t="s">
        <v>284</v>
      </c>
      <c r="AA169" s="45">
        <f t="shared" ref="AA169" si="83">IF(G169="RIMAC EPS EMPRESA PRESTADORA DE SALUD",((K169*40%)+M169)*0.0225*$D$1+Q169*0.0225,0)</f>
        <v>0</v>
      </c>
      <c r="AB169" s="43" t="s">
        <v>285</v>
      </c>
      <c r="AC169" s="44">
        <f t="shared" si="55"/>
        <v>0</v>
      </c>
      <c r="AD169" s="101"/>
      <c r="AE169" s="98">
        <v>6</v>
      </c>
      <c r="AF169" s="97">
        <f t="shared" si="56"/>
        <v>0</v>
      </c>
      <c r="AG169" s="97">
        <v>6043</v>
      </c>
      <c r="AH169" s="82">
        <f t="shared" si="57"/>
        <v>503.58333333333337</v>
      </c>
      <c r="AI169" s="98" t="s">
        <v>896</v>
      </c>
      <c r="AJ169" s="75">
        <f t="shared" si="52"/>
        <v>0</v>
      </c>
      <c r="AK169" s="73">
        <f t="shared" si="58"/>
        <v>503.58333333333337</v>
      </c>
      <c r="AO169" s="93"/>
    </row>
    <row r="170" spans="1:41" s="38" customFormat="1">
      <c r="A170" s="122" t="s">
        <v>829</v>
      </c>
      <c r="B170" s="42"/>
      <c r="C170" s="42"/>
      <c r="D170" s="134"/>
      <c r="E170" s="43"/>
      <c r="F170" s="74"/>
      <c r="G170" s="42"/>
      <c r="H170" s="42"/>
      <c r="I170" s="42"/>
      <c r="J170" s="123"/>
      <c r="K170" s="80"/>
      <c r="L170" s="43"/>
      <c r="M170" s="80"/>
      <c r="N170" s="141">
        <f t="shared" si="53"/>
        <v>0</v>
      </c>
      <c r="O170" s="142"/>
      <c r="P170" s="142"/>
      <c r="Q170" s="141">
        <f t="shared" si="68"/>
        <v>0</v>
      </c>
      <c r="R170" s="142"/>
      <c r="S170" s="142">
        <f t="shared" si="65"/>
        <v>0</v>
      </c>
      <c r="T170" s="142" t="s">
        <v>273</v>
      </c>
      <c r="U170" s="141">
        <f t="shared" si="51"/>
        <v>0</v>
      </c>
      <c r="V170" s="142" t="s">
        <v>274</v>
      </c>
      <c r="W170" s="146">
        <f t="shared" si="54"/>
        <v>0</v>
      </c>
      <c r="X170" s="147" t="s">
        <v>277</v>
      </c>
      <c r="Y170" s="45">
        <f t="shared" si="66"/>
        <v>0</v>
      </c>
      <c r="Z170" s="43" t="s">
        <v>284</v>
      </c>
      <c r="AA170" s="45">
        <f t="shared" si="67"/>
        <v>0</v>
      </c>
      <c r="AB170" s="43" t="s">
        <v>285</v>
      </c>
      <c r="AC170" s="44">
        <f t="shared" si="55"/>
        <v>0</v>
      </c>
      <c r="AD170" s="101"/>
      <c r="AE170" s="98">
        <v>6</v>
      </c>
      <c r="AF170" s="97">
        <f t="shared" si="56"/>
        <v>0</v>
      </c>
      <c r="AG170" s="97">
        <v>5950</v>
      </c>
      <c r="AH170" s="82">
        <f t="shared" si="57"/>
        <v>495.83333333333331</v>
      </c>
      <c r="AI170" s="98" t="s">
        <v>896</v>
      </c>
      <c r="AJ170" s="75">
        <f t="shared" si="52"/>
        <v>0</v>
      </c>
      <c r="AK170" s="73">
        <f t="shared" si="58"/>
        <v>495.83333333333331</v>
      </c>
    </row>
    <row r="171" spans="1:41" s="38" customFormat="1" ht="14.25" customHeight="1">
      <c r="A171" s="122" t="s">
        <v>830</v>
      </c>
      <c r="B171" s="42"/>
      <c r="C171" s="42"/>
      <c r="D171" s="134"/>
      <c r="E171" s="43"/>
      <c r="F171" s="74"/>
      <c r="G171" s="42"/>
      <c r="H171" s="42"/>
      <c r="I171" s="42"/>
      <c r="J171" s="123"/>
      <c r="K171" s="80"/>
      <c r="L171" s="43"/>
      <c r="M171" s="80"/>
      <c r="N171" s="141">
        <f t="shared" si="53"/>
        <v>0</v>
      </c>
      <c r="O171" s="142"/>
      <c r="P171" s="142"/>
      <c r="Q171" s="141">
        <f t="shared" si="68"/>
        <v>0</v>
      </c>
      <c r="R171" s="142"/>
      <c r="S171" s="142">
        <f t="shared" si="65"/>
        <v>0</v>
      </c>
      <c r="T171" s="142" t="s">
        <v>273</v>
      </c>
      <c r="U171" s="141">
        <f t="shared" si="51"/>
        <v>0</v>
      </c>
      <c r="V171" s="142" t="s">
        <v>274</v>
      </c>
      <c r="W171" s="146">
        <f t="shared" si="54"/>
        <v>0</v>
      </c>
      <c r="X171" s="147" t="s">
        <v>277</v>
      </c>
      <c r="Y171" s="45">
        <f t="shared" si="66"/>
        <v>0</v>
      </c>
      <c r="Z171" s="43" t="s">
        <v>284</v>
      </c>
      <c r="AA171" s="45">
        <f t="shared" si="67"/>
        <v>0</v>
      </c>
      <c r="AB171" s="43" t="s">
        <v>285</v>
      </c>
      <c r="AC171" s="44">
        <f t="shared" si="55"/>
        <v>0</v>
      </c>
      <c r="AD171" s="101"/>
      <c r="AE171" s="98">
        <v>6</v>
      </c>
      <c r="AF171" s="97">
        <f t="shared" si="56"/>
        <v>0</v>
      </c>
      <c r="AG171" s="97">
        <v>4571</v>
      </c>
      <c r="AH171" s="82">
        <f t="shared" si="57"/>
        <v>380.91666666666669</v>
      </c>
      <c r="AI171" s="98" t="s">
        <v>896</v>
      </c>
      <c r="AJ171" s="75">
        <f t="shared" si="52"/>
        <v>0</v>
      </c>
      <c r="AK171" s="73">
        <f t="shared" si="58"/>
        <v>380.91666666666669</v>
      </c>
    </row>
    <row r="172" spans="1:41" s="38" customFormat="1">
      <c r="A172" s="122" t="s">
        <v>831</v>
      </c>
      <c r="B172" s="42"/>
      <c r="C172" s="42"/>
      <c r="D172" s="134"/>
      <c r="E172" s="43"/>
      <c r="F172" s="74"/>
      <c r="G172" s="42"/>
      <c r="H172" s="42"/>
      <c r="I172" s="42"/>
      <c r="J172" s="123"/>
      <c r="K172" s="80"/>
      <c r="L172" s="43"/>
      <c r="M172" s="80"/>
      <c r="N172" s="141">
        <f t="shared" si="53"/>
        <v>0</v>
      </c>
      <c r="O172" s="142"/>
      <c r="P172" s="142"/>
      <c r="Q172" s="141">
        <f t="shared" si="68"/>
        <v>0</v>
      </c>
      <c r="R172" s="142"/>
      <c r="S172" s="142">
        <f t="shared" si="65"/>
        <v>0</v>
      </c>
      <c r="T172" s="142" t="s">
        <v>273</v>
      </c>
      <c r="U172" s="141">
        <f t="shared" si="51"/>
        <v>0</v>
      </c>
      <c r="V172" s="142" t="s">
        <v>274</v>
      </c>
      <c r="W172" s="146">
        <f t="shared" si="54"/>
        <v>0</v>
      </c>
      <c r="X172" s="147" t="s">
        <v>277</v>
      </c>
      <c r="Y172" s="45">
        <f t="shared" si="66"/>
        <v>0</v>
      </c>
      <c r="Z172" s="43" t="s">
        <v>284</v>
      </c>
      <c r="AA172" s="45">
        <f t="shared" si="67"/>
        <v>0</v>
      </c>
      <c r="AB172" s="43" t="s">
        <v>285</v>
      </c>
      <c r="AC172" s="44">
        <f t="shared" si="55"/>
        <v>0</v>
      </c>
      <c r="AD172" s="101"/>
      <c r="AE172" s="98">
        <v>6</v>
      </c>
      <c r="AF172" s="97">
        <f t="shared" si="56"/>
        <v>0</v>
      </c>
      <c r="AG172" s="97">
        <v>4743</v>
      </c>
      <c r="AH172" s="82">
        <f t="shared" si="57"/>
        <v>395.25</v>
      </c>
      <c r="AI172" s="98" t="s">
        <v>896</v>
      </c>
      <c r="AJ172" s="75">
        <f t="shared" si="52"/>
        <v>0</v>
      </c>
      <c r="AK172" s="73">
        <f t="shared" si="58"/>
        <v>395.25</v>
      </c>
    </row>
    <row r="173" spans="1:41" s="38" customFormat="1">
      <c r="A173" s="122" t="s">
        <v>832</v>
      </c>
      <c r="B173" s="42"/>
      <c r="C173" s="42"/>
      <c r="D173" s="134"/>
      <c r="E173" s="43"/>
      <c r="F173" s="74"/>
      <c r="G173" s="42"/>
      <c r="H173" s="42"/>
      <c r="I173" s="42"/>
      <c r="J173" s="123"/>
      <c r="K173" s="80"/>
      <c r="L173" s="43"/>
      <c r="M173" s="80"/>
      <c r="N173" s="141">
        <f t="shared" si="53"/>
        <v>0</v>
      </c>
      <c r="O173" s="142"/>
      <c r="P173" s="142"/>
      <c r="Q173" s="141">
        <f t="shared" si="68"/>
        <v>0</v>
      </c>
      <c r="R173" s="142"/>
      <c r="S173" s="142">
        <f t="shared" si="65"/>
        <v>0</v>
      </c>
      <c r="T173" s="142" t="s">
        <v>273</v>
      </c>
      <c r="U173" s="141">
        <f t="shared" si="51"/>
        <v>0</v>
      </c>
      <c r="V173" s="142" t="s">
        <v>274</v>
      </c>
      <c r="W173" s="146">
        <f t="shared" si="54"/>
        <v>0</v>
      </c>
      <c r="X173" s="147" t="s">
        <v>277</v>
      </c>
      <c r="Y173" s="45">
        <f t="shared" si="66"/>
        <v>0</v>
      </c>
      <c r="Z173" s="43" t="s">
        <v>284</v>
      </c>
      <c r="AA173" s="45">
        <f t="shared" si="67"/>
        <v>0</v>
      </c>
      <c r="AB173" s="43" t="s">
        <v>285</v>
      </c>
      <c r="AC173" s="44">
        <f t="shared" si="55"/>
        <v>0</v>
      </c>
      <c r="AD173" s="101"/>
      <c r="AE173" s="98">
        <v>6</v>
      </c>
      <c r="AF173" s="97">
        <f t="shared" si="56"/>
        <v>0</v>
      </c>
      <c r="AG173" s="97">
        <v>4650</v>
      </c>
      <c r="AH173" s="82">
        <f t="shared" si="57"/>
        <v>387.5</v>
      </c>
      <c r="AI173" s="98" t="s">
        <v>896</v>
      </c>
      <c r="AJ173" s="75">
        <f t="shared" si="52"/>
        <v>0</v>
      </c>
      <c r="AK173" s="73">
        <f t="shared" si="58"/>
        <v>387.5</v>
      </c>
    </row>
    <row r="174" spans="1:41" s="38" customFormat="1">
      <c r="A174" s="122" t="s">
        <v>833</v>
      </c>
      <c r="B174" s="42"/>
      <c r="C174" s="42"/>
      <c r="D174" s="134"/>
      <c r="E174" s="43"/>
      <c r="F174" s="74"/>
      <c r="G174" s="42"/>
      <c r="H174" s="42"/>
      <c r="I174" s="42"/>
      <c r="J174" s="123"/>
      <c r="K174" s="80"/>
      <c r="L174" s="43"/>
      <c r="M174" s="80"/>
      <c r="N174" s="141">
        <f t="shared" si="53"/>
        <v>0</v>
      </c>
      <c r="O174" s="142"/>
      <c r="P174" s="142"/>
      <c r="Q174" s="141">
        <f t="shared" si="68"/>
        <v>0</v>
      </c>
      <c r="R174" s="142"/>
      <c r="S174" s="142">
        <f t="shared" si="65"/>
        <v>0</v>
      </c>
      <c r="T174" s="142" t="s">
        <v>273</v>
      </c>
      <c r="U174" s="141">
        <f t="shared" si="51"/>
        <v>0</v>
      </c>
      <c r="V174" s="142" t="s">
        <v>274</v>
      </c>
      <c r="W174" s="146">
        <f t="shared" si="54"/>
        <v>0</v>
      </c>
      <c r="X174" s="147" t="s">
        <v>277</v>
      </c>
      <c r="Y174" s="45">
        <f t="shared" si="66"/>
        <v>0</v>
      </c>
      <c r="Z174" s="43" t="s">
        <v>284</v>
      </c>
      <c r="AA174" s="45">
        <f t="shared" si="67"/>
        <v>0</v>
      </c>
      <c r="AB174" s="43" t="s">
        <v>285</v>
      </c>
      <c r="AC174" s="44">
        <f t="shared" si="55"/>
        <v>0</v>
      </c>
      <c r="AD174" s="101"/>
      <c r="AE174" s="98">
        <v>6</v>
      </c>
      <c r="AF174" s="97">
        <f t="shared" si="56"/>
        <v>0</v>
      </c>
      <c r="AG174" s="97">
        <v>4664</v>
      </c>
      <c r="AH174" s="82">
        <f t="shared" si="57"/>
        <v>388.66666666666674</v>
      </c>
      <c r="AI174" s="98" t="s">
        <v>896</v>
      </c>
      <c r="AJ174" s="75">
        <f t="shared" si="52"/>
        <v>0</v>
      </c>
      <c r="AK174" s="73">
        <f t="shared" si="58"/>
        <v>388.66666666666674</v>
      </c>
    </row>
    <row r="175" spans="1:41" s="38" customFormat="1">
      <c r="A175" s="122" t="s">
        <v>834</v>
      </c>
      <c r="B175" s="42"/>
      <c r="C175" s="42"/>
      <c r="D175" s="134"/>
      <c r="E175" s="43"/>
      <c r="F175" s="74"/>
      <c r="G175" s="42"/>
      <c r="H175" s="42"/>
      <c r="I175" s="42"/>
      <c r="J175" s="123"/>
      <c r="K175" s="80"/>
      <c r="L175" s="43"/>
      <c r="M175" s="80"/>
      <c r="N175" s="141">
        <f t="shared" si="53"/>
        <v>0</v>
      </c>
      <c r="O175" s="142"/>
      <c r="P175" s="142"/>
      <c r="Q175" s="141">
        <f t="shared" si="68"/>
        <v>0</v>
      </c>
      <c r="R175" s="142"/>
      <c r="S175" s="142">
        <f t="shared" si="65"/>
        <v>0</v>
      </c>
      <c r="T175" s="142" t="s">
        <v>273</v>
      </c>
      <c r="U175" s="141">
        <f t="shared" si="51"/>
        <v>0</v>
      </c>
      <c r="V175" s="142" t="s">
        <v>274</v>
      </c>
      <c r="W175" s="146">
        <f t="shared" si="54"/>
        <v>0</v>
      </c>
      <c r="X175" s="147" t="s">
        <v>277</v>
      </c>
      <c r="Y175" s="45">
        <f t="shared" si="66"/>
        <v>0</v>
      </c>
      <c r="Z175" s="43" t="s">
        <v>284</v>
      </c>
      <c r="AA175" s="45">
        <f t="shared" si="67"/>
        <v>0</v>
      </c>
      <c r="AB175" s="43" t="s">
        <v>285</v>
      </c>
      <c r="AC175" s="44">
        <f t="shared" si="55"/>
        <v>0</v>
      </c>
      <c r="AD175" s="101"/>
      <c r="AE175" s="98">
        <v>6</v>
      </c>
      <c r="AF175" s="97">
        <f t="shared" si="56"/>
        <v>0</v>
      </c>
      <c r="AG175" s="97">
        <v>4664</v>
      </c>
      <c r="AH175" s="82">
        <f t="shared" si="57"/>
        <v>388.66666666666674</v>
      </c>
      <c r="AI175" s="98" t="s">
        <v>896</v>
      </c>
      <c r="AJ175" s="75">
        <f t="shared" si="52"/>
        <v>0</v>
      </c>
      <c r="AK175" s="73">
        <f t="shared" si="58"/>
        <v>388.66666666666674</v>
      </c>
    </row>
    <row r="176" spans="1:41" s="38" customFormat="1">
      <c r="A176" s="122" t="s">
        <v>835</v>
      </c>
      <c r="B176" s="87"/>
      <c r="C176" s="87"/>
      <c r="D176" s="135"/>
      <c r="E176" s="90"/>
      <c r="F176" s="88"/>
      <c r="G176" s="87"/>
      <c r="H176" s="87"/>
      <c r="I176" s="87"/>
      <c r="J176" s="123"/>
      <c r="K176" s="89"/>
      <c r="L176" s="90"/>
      <c r="M176" s="89"/>
      <c r="N176" s="141">
        <f t="shared" si="53"/>
        <v>0</v>
      </c>
      <c r="O176" s="142"/>
      <c r="P176" s="142"/>
      <c r="Q176" s="141">
        <f t="shared" si="68"/>
        <v>0</v>
      </c>
      <c r="R176" s="142"/>
      <c r="S176" s="142">
        <f t="shared" si="65"/>
        <v>0</v>
      </c>
      <c r="T176" s="142" t="s">
        <v>273</v>
      </c>
      <c r="U176" s="141">
        <f t="shared" si="51"/>
        <v>0</v>
      </c>
      <c r="V176" s="142" t="s">
        <v>274</v>
      </c>
      <c r="W176" s="146">
        <f t="shared" si="54"/>
        <v>0</v>
      </c>
      <c r="X176" s="147" t="s">
        <v>277</v>
      </c>
      <c r="Y176" s="91">
        <f t="shared" si="66"/>
        <v>0</v>
      </c>
      <c r="Z176" s="90" t="s">
        <v>284</v>
      </c>
      <c r="AA176" s="91">
        <f t="shared" si="67"/>
        <v>0</v>
      </c>
      <c r="AB176" s="90" t="s">
        <v>285</v>
      </c>
      <c r="AC176" s="44">
        <f t="shared" si="55"/>
        <v>0</v>
      </c>
      <c r="AD176" s="101"/>
      <c r="AE176" s="98">
        <v>6</v>
      </c>
      <c r="AF176" s="97">
        <f t="shared" si="56"/>
        <v>0</v>
      </c>
      <c r="AG176" s="97">
        <v>4571</v>
      </c>
      <c r="AH176" s="82">
        <f t="shared" si="57"/>
        <v>380.91666666666669</v>
      </c>
      <c r="AI176" s="105" t="s">
        <v>896</v>
      </c>
      <c r="AJ176" s="92">
        <f t="shared" si="52"/>
        <v>0</v>
      </c>
      <c r="AK176" s="73">
        <f t="shared" si="58"/>
        <v>380.91666666666669</v>
      </c>
    </row>
    <row r="177" spans="1:41" s="93" customFormat="1">
      <c r="A177" s="122" t="s">
        <v>836</v>
      </c>
      <c r="B177" s="42"/>
      <c r="C177" s="42"/>
      <c r="D177" s="134"/>
      <c r="E177" s="43"/>
      <c r="F177" s="74"/>
      <c r="G177" s="42"/>
      <c r="H177" s="42"/>
      <c r="I177" s="42"/>
      <c r="J177" s="123"/>
      <c r="K177" s="80"/>
      <c r="L177" s="43"/>
      <c r="M177" s="80"/>
      <c r="N177" s="141">
        <f t="shared" si="53"/>
        <v>0</v>
      </c>
      <c r="O177" s="142"/>
      <c r="P177" s="142"/>
      <c r="Q177" s="141">
        <f t="shared" si="68"/>
        <v>0</v>
      </c>
      <c r="R177" s="142"/>
      <c r="S177" s="142">
        <f t="shared" si="65"/>
        <v>0</v>
      </c>
      <c r="T177" s="142" t="s">
        <v>273</v>
      </c>
      <c r="U177" s="141">
        <f t="shared" si="51"/>
        <v>0</v>
      </c>
      <c r="V177" s="142" t="s">
        <v>274</v>
      </c>
      <c r="W177" s="146">
        <f t="shared" si="54"/>
        <v>0</v>
      </c>
      <c r="X177" s="147" t="s">
        <v>277</v>
      </c>
      <c r="Y177" s="45">
        <f t="shared" si="66"/>
        <v>0</v>
      </c>
      <c r="Z177" s="43" t="s">
        <v>284</v>
      </c>
      <c r="AA177" s="45">
        <f t="shared" si="67"/>
        <v>0</v>
      </c>
      <c r="AB177" s="43" t="s">
        <v>285</v>
      </c>
      <c r="AC177" s="44">
        <f t="shared" si="55"/>
        <v>0</v>
      </c>
      <c r="AD177" s="101"/>
      <c r="AE177" s="98">
        <v>6</v>
      </c>
      <c r="AF177" s="97">
        <f t="shared" si="56"/>
        <v>0</v>
      </c>
      <c r="AG177" s="97">
        <v>3893</v>
      </c>
      <c r="AH177" s="82">
        <f t="shared" si="57"/>
        <v>324.41666666666669</v>
      </c>
      <c r="AI177" s="98" t="s">
        <v>896</v>
      </c>
      <c r="AJ177" s="75">
        <f t="shared" si="52"/>
        <v>0</v>
      </c>
      <c r="AK177" s="73">
        <f t="shared" si="58"/>
        <v>324.41666666666669</v>
      </c>
      <c r="AO177" s="38"/>
    </row>
    <row r="178" spans="1:41" s="38" customFormat="1">
      <c r="A178" s="122" t="s">
        <v>837</v>
      </c>
      <c r="B178" s="42"/>
      <c r="C178" s="42"/>
      <c r="D178" s="134"/>
      <c r="E178" s="43"/>
      <c r="F178" s="74"/>
      <c r="G178" s="42"/>
      <c r="H178" s="42"/>
      <c r="I178" s="42"/>
      <c r="J178" s="123"/>
      <c r="K178" s="80"/>
      <c r="L178" s="43"/>
      <c r="M178" s="80"/>
      <c r="N178" s="141">
        <f t="shared" si="53"/>
        <v>0</v>
      </c>
      <c r="O178" s="142"/>
      <c r="P178" s="142"/>
      <c r="Q178" s="141">
        <f t="shared" si="68"/>
        <v>0</v>
      </c>
      <c r="R178" s="142"/>
      <c r="S178" s="142">
        <f t="shared" si="65"/>
        <v>0</v>
      </c>
      <c r="T178" s="142" t="s">
        <v>273</v>
      </c>
      <c r="U178" s="141">
        <f t="shared" si="51"/>
        <v>0</v>
      </c>
      <c r="V178" s="142" t="s">
        <v>274</v>
      </c>
      <c r="W178" s="146">
        <f t="shared" si="54"/>
        <v>0</v>
      </c>
      <c r="X178" s="147" t="s">
        <v>277</v>
      </c>
      <c r="Y178" s="45">
        <f t="shared" si="66"/>
        <v>0</v>
      </c>
      <c r="Z178" s="43" t="s">
        <v>284</v>
      </c>
      <c r="AA178" s="45">
        <f t="shared" si="67"/>
        <v>0</v>
      </c>
      <c r="AB178" s="43" t="s">
        <v>285</v>
      </c>
      <c r="AC178" s="44">
        <f t="shared" si="55"/>
        <v>0</v>
      </c>
      <c r="AD178" s="101"/>
      <c r="AE178" s="98">
        <v>6</v>
      </c>
      <c r="AF178" s="97">
        <f t="shared" si="56"/>
        <v>0</v>
      </c>
      <c r="AG178" s="97">
        <v>3800</v>
      </c>
      <c r="AH178" s="82">
        <f t="shared" si="57"/>
        <v>316.66666666666669</v>
      </c>
      <c r="AI178" s="98" t="s">
        <v>896</v>
      </c>
      <c r="AJ178" s="75">
        <f t="shared" si="52"/>
        <v>0</v>
      </c>
      <c r="AK178" s="73">
        <f t="shared" si="58"/>
        <v>316.66666666666669</v>
      </c>
      <c r="AO178" s="93"/>
    </row>
    <row r="179" spans="1:41" s="38" customFormat="1">
      <c r="A179" s="122" t="s">
        <v>838</v>
      </c>
      <c r="B179" s="42"/>
      <c r="C179" s="42"/>
      <c r="D179" s="134"/>
      <c r="E179" s="43"/>
      <c r="F179" s="74"/>
      <c r="G179" s="42"/>
      <c r="H179" s="42"/>
      <c r="I179" s="42"/>
      <c r="J179" s="123"/>
      <c r="K179" s="80"/>
      <c r="L179" s="43"/>
      <c r="M179" s="80"/>
      <c r="N179" s="141">
        <f t="shared" si="53"/>
        <v>0</v>
      </c>
      <c r="O179" s="142"/>
      <c r="P179" s="142"/>
      <c r="Q179" s="141">
        <f t="shared" si="68"/>
        <v>0</v>
      </c>
      <c r="R179" s="142"/>
      <c r="S179" s="142">
        <f t="shared" si="65"/>
        <v>0</v>
      </c>
      <c r="T179" s="142" t="s">
        <v>273</v>
      </c>
      <c r="U179" s="141">
        <f t="shared" si="51"/>
        <v>0</v>
      </c>
      <c r="V179" s="142" t="s">
        <v>274</v>
      </c>
      <c r="W179" s="146">
        <f t="shared" si="54"/>
        <v>0</v>
      </c>
      <c r="X179" s="147" t="s">
        <v>277</v>
      </c>
      <c r="Y179" s="45">
        <f t="shared" si="66"/>
        <v>0</v>
      </c>
      <c r="Z179" s="43" t="s">
        <v>284</v>
      </c>
      <c r="AA179" s="45">
        <f t="shared" si="67"/>
        <v>0</v>
      </c>
      <c r="AB179" s="43" t="s">
        <v>285</v>
      </c>
      <c r="AC179" s="44">
        <f t="shared" si="55"/>
        <v>0</v>
      </c>
      <c r="AD179" s="101"/>
      <c r="AE179" s="98">
        <v>6</v>
      </c>
      <c r="AF179" s="97">
        <f t="shared" si="56"/>
        <v>0</v>
      </c>
      <c r="AG179" s="97">
        <v>3800</v>
      </c>
      <c r="AH179" s="82">
        <f t="shared" si="57"/>
        <v>316.66666666666669</v>
      </c>
      <c r="AI179" s="98" t="s">
        <v>896</v>
      </c>
      <c r="AJ179" s="75">
        <f t="shared" si="52"/>
        <v>0</v>
      </c>
      <c r="AK179" s="73">
        <f t="shared" si="58"/>
        <v>316.66666666666669</v>
      </c>
    </row>
    <row r="180" spans="1:41" s="38" customFormat="1">
      <c r="A180" s="122" t="s">
        <v>839</v>
      </c>
      <c r="B180" s="42"/>
      <c r="C180" s="42"/>
      <c r="D180" s="134"/>
      <c r="E180" s="43"/>
      <c r="F180" s="74"/>
      <c r="G180" s="42"/>
      <c r="H180" s="42"/>
      <c r="I180" s="42"/>
      <c r="J180" s="123"/>
      <c r="K180" s="80"/>
      <c r="L180" s="43"/>
      <c r="M180" s="80"/>
      <c r="N180" s="141">
        <f t="shared" si="53"/>
        <v>0</v>
      </c>
      <c r="O180" s="142"/>
      <c r="P180" s="142"/>
      <c r="Q180" s="141">
        <f t="shared" si="68"/>
        <v>0</v>
      </c>
      <c r="R180" s="142"/>
      <c r="S180" s="142">
        <f t="shared" si="65"/>
        <v>0</v>
      </c>
      <c r="T180" s="142" t="s">
        <v>273</v>
      </c>
      <c r="U180" s="141">
        <f t="shared" si="51"/>
        <v>0</v>
      </c>
      <c r="V180" s="142" t="s">
        <v>274</v>
      </c>
      <c r="W180" s="146">
        <f t="shared" si="54"/>
        <v>0</v>
      </c>
      <c r="X180" s="147" t="s">
        <v>277</v>
      </c>
      <c r="Y180" s="45">
        <f t="shared" si="66"/>
        <v>0</v>
      </c>
      <c r="Z180" s="43" t="s">
        <v>284</v>
      </c>
      <c r="AA180" s="45">
        <f t="shared" si="67"/>
        <v>0</v>
      </c>
      <c r="AB180" s="43" t="s">
        <v>285</v>
      </c>
      <c r="AC180" s="44">
        <f t="shared" si="55"/>
        <v>0</v>
      </c>
      <c r="AD180" s="101"/>
      <c r="AE180" s="98">
        <v>6</v>
      </c>
      <c r="AF180" s="97">
        <f t="shared" si="56"/>
        <v>0</v>
      </c>
      <c r="AG180" s="97">
        <v>4664</v>
      </c>
      <c r="AH180" s="82">
        <f t="shared" si="57"/>
        <v>388.66666666666674</v>
      </c>
      <c r="AI180" s="98" t="s">
        <v>896</v>
      </c>
      <c r="AJ180" s="75">
        <f t="shared" si="52"/>
        <v>0</v>
      </c>
      <c r="AK180" s="73">
        <f t="shared" si="58"/>
        <v>388.66666666666674</v>
      </c>
    </row>
    <row r="181" spans="1:41" s="38" customFormat="1">
      <c r="A181" s="122" t="s">
        <v>840</v>
      </c>
      <c r="B181" s="42"/>
      <c r="C181" s="42"/>
      <c r="D181" s="134"/>
      <c r="E181" s="43"/>
      <c r="F181" s="74"/>
      <c r="G181" s="42"/>
      <c r="H181" s="42"/>
      <c r="I181" s="42"/>
      <c r="J181" s="123"/>
      <c r="K181" s="80"/>
      <c r="L181" s="43"/>
      <c r="M181" s="80"/>
      <c r="N181" s="141">
        <f t="shared" si="53"/>
        <v>0</v>
      </c>
      <c r="O181" s="142"/>
      <c r="P181" s="142"/>
      <c r="Q181" s="141">
        <f t="shared" si="68"/>
        <v>0</v>
      </c>
      <c r="R181" s="142"/>
      <c r="S181" s="142">
        <f t="shared" si="65"/>
        <v>0</v>
      </c>
      <c r="T181" s="142" t="s">
        <v>273</v>
      </c>
      <c r="U181" s="141">
        <f t="shared" si="51"/>
        <v>0</v>
      </c>
      <c r="V181" s="142" t="s">
        <v>274</v>
      </c>
      <c r="W181" s="146">
        <f t="shared" si="54"/>
        <v>0</v>
      </c>
      <c r="X181" s="147" t="s">
        <v>277</v>
      </c>
      <c r="Y181" s="45">
        <f t="shared" si="66"/>
        <v>0</v>
      </c>
      <c r="Z181" s="43" t="s">
        <v>284</v>
      </c>
      <c r="AA181" s="45">
        <f t="shared" si="67"/>
        <v>0</v>
      </c>
      <c r="AB181" s="43" t="s">
        <v>285</v>
      </c>
      <c r="AC181" s="44">
        <f t="shared" si="55"/>
        <v>0</v>
      </c>
      <c r="AD181" s="101"/>
      <c r="AE181" s="98">
        <v>6</v>
      </c>
      <c r="AF181" s="97">
        <f t="shared" si="56"/>
        <v>0</v>
      </c>
      <c r="AG181" s="97">
        <v>6043</v>
      </c>
      <c r="AH181" s="82">
        <f t="shared" si="57"/>
        <v>503.58333333333337</v>
      </c>
      <c r="AI181" s="98" t="s">
        <v>896</v>
      </c>
      <c r="AJ181" s="75">
        <f t="shared" si="52"/>
        <v>0</v>
      </c>
      <c r="AK181" s="73">
        <f t="shared" si="58"/>
        <v>503.58333333333337</v>
      </c>
    </row>
    <row r="182" spans="1:41" s="38" customFormat="1">
      <c r="A182" s="122" t="s">
        <v>841</v>
      </c>
      <c r="B182" s="42"/>
      <c r="C182" s="42"/>
      <c r="D182" s="134"/>
      <c r="E182" s="43"/>
      <c r="F182" s="74"/>
      <c r="G182" s="42"/>
      <c r="H182" s="42"/>
      <c r="I182" s="42"/>
      <c r="J182" s="123"/>
      <c r="K182" s="80"/>
      <c r="L182" s="43"/>
      <c r="M182" s="80"/>
      <c r="N182" s="141">
        <f t="shared" si="53"/>
        <v>0</v>
      </c>
      <c r="O182" s="142"/>
      <c r="P182" s="142"/>
      <c r="Q182" s="141">
        <f t="shared" si="68"/>
        <v>0</v>
      </c>
      <c r="R182" s="142"/>
      <c r="S182" s="142">
        <f t="shared" si="65"/>
        <v>0</v>
      </c>
      <c r="T182" s="142" t="s">
        <v>273</v>
      </c>
      <c r="U182" s="141">
        <f t="shared" si="51"/>
        <v>0</v>
      </c>
      <c r="V182" s="142" t="s">
        <v>274</v>
      </c>
      <c r="W182" s="146">
        <f t="shared" si="54"/>
        <v>0</v>
      </c>
      <c r="X182" s="147" t="s">
        <v>277</v>
      </c>
      <c r="Y182" s="45">
        <f t="shared" si="66"/>
        <v>0</v>
      </c>
      <c r="Z182" s="43" t="s">
        <v>284</v>
      </c>
      <c r="AA182" s="45">
        <f t="shared" si="67"/>
        <v>0</v>
      </c>
      <c r="AB182" s="43" t="s">
        <v>285</v>
      </c>
      <c r="AC182" s="44">
        <f t="shared" si="55"/>
        <v>0</v>
      </c>
      <c r="AD182" s="101"/>
      <c r="AE182" s="98">
        <v>6</v>
      </c>
      <c r="AF182" s="97">
        <f t="shared" si="56"/>
        <v>0</v>
      </c>
      <c r="AG182" s="97">
        <v>4664</v>
      </c>
      <c r="AH182" s="82">
        <f t="shared" si="57"/>
        <v>388.66666666666674</v>
      </c>
      <c r="AI182" s="98" t="s">
        <v>896</v>
      </c>
      <c r="AJ182" s="75">
        <f t="shared" si="52"/>
        <v>0</v>
      </c>
      <c r="AK182" s="73">
        <f t="shared" si="58"/>
        <v>388.66666666666674</v>
      </c>
    </row>
    <row r="183" spans="1:41" s="38" customFormat="1">
      <c r="A183" s="122" t="s">
        <v>842</v>
      </c>
      <c r="B183" s="94"/>
      <c r="C183" s="94"/>
      <c r="D183" s="135"/>
      <c r="E183" s="90"/>
      <c r="F183" s="88"/>
      <c r="G183" s="94"/>
      <c r="H183" s="94"/>
      <c r="I183" s="87"/>
      <c r="J183" s="123"/>
      <c r="K183" s="89"/>
      <c r="L183" s="90"/>
      <c r="M183" s="89"/>
      <c r="N183" s="141">
        <f t="shared" si="53"/>
        <v>0</v>
      </c>
      <c r="O183" s="142"/>
      <c r="P183" s="142"/>
      <c r="Q183" s="141">
        <f t="shared" ref="Q183" si="84">+P183*$D$1</f>
        <v>0</v>
      </c>
      <c r="R183" s="142"/>
      <c r="S183" s="142">
        <f t="shared" si="65"/>
        <v>0</v>
      </c>
      <c r="T183" s="142" t="s">
        <v>273</v>
      </c>
      <c r="U183" s="141">
        <f t="shared" si="51"/>
        <v>0</v>
      </c>
      <c r="V183" s="142" t="s">
        <v>274</v>
      </c>
      <c r="W183" s="146">
        <f t="shared" si="54"/>
        <v>0</v>
      </c>
      <c r="X183" s="147" t="s">
        <v>277</v>
      </c>
      <c r="Y183" s="91">
        <f t="shared" ref="Y183" si="85">IF(G183="RIMAC EPS EMPRESA PRESTADORA DE SALUD",((((K183*40%)+M183)*0.0675)*$D$1),((((K183*40%)+M183)*0.09))*$D$1)</f>
        <v>0</v>
      </c>
      <c r="Z183" s="90" t="s">
        <v>284</v>
      </c>
      <c r="AA183" s="91">
        <f t="shared" ref="AA183" si="86">IF(G183="RIMAC EPS EMPRESA PRESTADORA DE SALUD",((K183*40%)+M183)*0.0225*$D$1+Q183*0.0225,0)</f>
        <v>0</v>
      </c>
      <c r="AB183" s="90" t="s">
        <v>285</v>
      </c>
      <c r="AC183" s="44">
        <f t="shared" si="55"/>
        <v>0</v>
      </c>
      <c r="AD183" s="101"/>
      <c r="AE183" s="98">
        <v>6</v>
      </c>
      <c r="AF183" s="97">
        <f t="shared" si="56"/>
        <v>0</v>
      </c>
      <c r="AG183" s="97">
        <v>4571</v>
      </c>
      <c r="AH183" s="82">
        <f t="shared" si="57"/>
        <v>380.91666666666669</v>
      </c>
      <c r="AI183" s="105" t="s">
        <v>896</v>
      </c>
      <c r="AJ183" s="92">
        <f t="shared" si="52"/>
        <v>0</v>
      </c>
      <c r="AK183" s="73">
        <f t="shared" si="58"/>
        <v>380.91666666666669</v>
      </c>
    </row>
    <row r="184" spans="1:41" s="93" customFormat="1">
      <c r="A184" s="122" t="s">
        <v>843</v>
      </c>
      <c r="B184" s="42"/>
      <c r="C184" s="42"/>
      <c r="D184" s="134"/>
      <c r="E184" s="43"/>
      <c r="F184" s="74"/>
      <c r="G184" s="42"/>
      <c r="H184" s="42"/>
      <c r="I184" s="42"/>
      <c r="J184" s="123"/>
      <c r="K184" s="80"/>
      <c r="L184" s="43"/>
      <c r="M184" s="80"/>
      <c r="N184" s="141">
        <f t="shared" si="53"/>
        <v>0</v>
      </c>
      <c r="O184" s="142"/>
      <c r="P184" s="142"/>
      <c r="Q184" s="141">
        <f t="shared" si="68"/>
        <v>0</v>
      </c>
      <c r="R184" s="142"/>
      <c r="S184" s="142">
        <f t="shared" si="65"/>
        <v>0</v>
      </c>
      <c r="T184" s="142" t="s">
        <v>273</v>
      </c>
      <c r="U184" s="141">
        <f t="shared" si="51"/>
        <v>0</v>
      </c>
      <c r="V184" s="142" t="s">
        <v>274</v>
      </c>
      <c r="W184" s="146">
        <f t="shared" si="54"/>
        <v>0</v>
      </c>
      <c r="X184" s="147" t="s">
        <v>277</v>
      </c>
      <c r="Y184" s="45">
        <f t="shared" si="66"/>
        <v>0</v>
      </c>
      <c r="Z184" s="43" t="s">
        <v>284</v>
      </c>
      <c r="AA184" s="45">
        <f t="shared" si="67"/>
        <v>0</v>
      </c>
      <c r="AB184" s="43" t="s">
        <v>285</v>
      </c>
      <c r="AC184" s="44">
        <f t="shared" si="55"/>
        <v>0</v>
      </c>
      <c r="AD184" s="101"/>
      <c r="AE184" s="98">
        <v>6</v>
      </c>
      <c r="AF184" s="97">
        <f t="shared" si="56"/>
        <v>0</v>
      </c>
      <c r="AG184" s="97">
        <v>3893</v>
      </c>
      <c r="AH184" s="82">
        <f t="shared" si="57"/>
        <v>324.41666666666669</v>
      </c>
      <c r="AI184" s="98" t="s">
        <v>896</v>
      </c>
      <c r="AJ184" s="75">
        <f t="shared" si="52"/>
        <v>0</v>
      </c>
      <c r="AK184" s="73">
        <f t="shared" si="58"/>
        <v>324.41666666666669</v>
      </c>
      <c r="AO184" s="38"/>
    </row>
    <row r="185" spans="1:41" s="38" customFormat="1">
      <c r="A185" s="122" t="s">
        <v>844</v>
      </c>
      <c r="B185" s="86"/>
      <c r="C185" s="86"/>
      <c r="D185" s="134"/>
      <c r="E185" s="43"/>
      <c r="F185" s="74"/>
      <c r="G185" s="42"/>
      <c r="H185" s="42"/>
      <c r="I185" s="42"/>
      <c r="J185" s="123"/>
      <c r="K185" s="80"/>
      <c r="L185" s="43"/>
      <c r="M185" s="80"/>
      <c r="N185" s="141">
        <f t="shared" si="53"/>
        <v>0</v>
      </c>
      <c r="O185" s="142"/>
      <c r="P185" s="142"/>
      <c r="Q185" s="141">
        <f t="shared" si="68"/>
        <v>0</v>
      </c>
      <c r="R185" s="142"/>
      <c r="S185" s="142">
        <f t="shared" si="65"/>
        <v>0</v>
      </c>
      <c r="T185" s="142" t="s">
        <v>273</v>
      </c>
      <c r="U185" s="141">
        <f t="shared" si="51"/>
        <v>0</v>
      </c>
      <c r="V185" s="142" t="s">
        <v>274</v>
      </c>
      <c r="W185" s="146">
        <f t="shared" si="54"/>
        <v>0</v>
      </c>
      <c r="X185" s="147" t="s">
        <v>277</v>
      </c>
      <c r="Y185" s="45">
        <f t="shared" si="66"/>
        <v>0</v>
      </c>
      <c r="Z185" s="43" t="s">
        <v>284</v>
      </c>
      <c r="AA185" s="45">
        <f t="shared" si="67"/>
        <v>0</v>
      </c>
      <c r="AB185" s="43" t="s">
        <v>285</v>
      </c>
      <c r="AC185" s="44">
        <f t="shared" si="55"/>
        <v>0</v>
      </c>
      <c r="AD185" s="101"/>
      <c r="AE185" s="98">
        <v>6</v>
      </c>
      <c r="AF185" s="97">
        <f t="shared" si="56"/>
        <v>0</v>
      </c>
      <c r="AG185" s="97">
        <v>3800</v>
      </c>
      <c r="AH185" s="82">
        <f t="shared" si="57"/>
        <v>316.66666666666669</v>
      </c>
      <c r="AI185" s="98" t="s">
        <v>896</v>
      </c>
      <c r="AJ185" s="75">
        <f t="shared" si="52"/>
        <v>0</v>
      </c>
      <c r="AK185" s="73">
        <f t="shared" si="58"/>
        <v>316.66666666666669</v>
      </c>
      <c r="AO185" s="93"/>
    </row>
    <row r="186" spans="1:41" s="38" customFormat="1">
      <c r="A186" s="122" t="s">
        <v>845</v>
      </c>
      <c r="B186" s="94"/>
      <c r="C186" s="94"/>
      <c r="D186" s="135"/>
      <c r="E186" s="90"/>
      <c r="F186" s="88"/>
      <c r="G186" s="94"/>
      <c r="H186" s="87"/>
      <c r="I186" s="94"/>
      <c r="J186" s="123"/>
      <c r="K186" s="89"/>
      <c r="L186" s="90"/>
      <c r="M186" s="89"/>
      <c r="N186" s="141">
        <f t="shared" si="53"/>
        <v>0</v>
      </c>
      <c r="O186" s="142"/>
      <c r="P186" s="142"/>
      <c r="Q186" s="141">
        <f t="shared" si="68"/>
        <v>0</v>
      </c>
      <c r="R186" s="142"/>
      <c r="S186" s="142">
        <f t="shared" si="65"/>
        <v>0</v>
      </c>
      <c r="T186" s="142" t="s">
        <v>273</v>
      </c>
      <c r="U186" s="143">
        <v>3809.17</v>
      </c>
      <c r="V186" s="142" t="s">
        <v>274</v>
      </c>
      <c r="W186" s="148">
        <v>137.13</v>
      </c>
      <c r="X186" s="147" t="s">
        <v>277</v>
      </c>
      <c r="Y186" s="91">
        <f t="shared" si="66"/>
        <v>0</v>
      </c>
      <c r="Z186" s="90" t="s">
        <v>284</v>
      </c>
      <c r="AA186" s="91">
        <f t="shared" si="67"/>
        <v>0</v>
      </c>
      <c r="AB186" s="90" t="s">
        <v>285</v>
      </c>
      <c r="AC186" s="44">
        <f t="shared" si="55"/>
        <v>3946.3</v>
      </c>
      <c r="AD186" s="101"/>
      <c r="AE186" s="98">
        <v>6</v>
      </c>
      <c r="AF186" s="97">
        <f t="shared" si="56"/>
        <v>0</v>
      </c>
      <c r="AG186" s="97">
        <v>3809.17</v>
      </c>
      <c r="AH186" s="82">
        <f t="shared" si="57"/>
        <v>317.43083333333334</v>
      </c>
      <c r="AI186" s="105" t="s">
        <v>896</v>
      </c>
      <c r="AJ186" s="92">
        <f t="shared" si="52"/>
        <v>3946.3</v>
      </c>
      <c r="AK186" s="73">
        <f t="shared" si="58"/>
        <v>4263.7308333333331</v>
      </c>
    </row>
    <row r="187" spans="1:41" s="93" customFormat="1">
      <c r="A187" s="122" t="s">
        <v>846</v>
      </c>
      <c r="B187" s="42"/>
      <c r="C187" s="42"/>
      <c r="D187" s="134"/>
      <c r="E187" s="43"/>
      <c r="F187" s="74"/>
      <c r="G187" s="42"/>
      <c r="H187" s="42"/>
      <c r="I187" s="42"/>
      <c r="J187" s="123"/>
      <c r="K187" s="80"/>
      <c r="L187" s="43"/>
      <c r="M187" s="80"/>
      <c r="N187" s="141">
        <f t="shared" si="53"/>
        <v>0</v>
      </c>
      <c r="O187" s="142"/>
      <c r="P187" s="142"/>
      <c r="Q187" s="141">
        <f t="shared" si="68"/>
        <v>0</v>
      </c>
      <c r="R187" s="142"/>
      <c r="S187" s="142">
        <f t="shared" si="65"/>
        <v>0</v>
      </c>
      <c r="T187" s="142" t="s">
        <v>273</v>
      </c>
      <c r="U187" s="141">
        <f t="shared" si="51"/>
        <v>0</v>
      </c>
      <c r="V187" s="142" t="s">
        <v>274</v>
      </c>
      <c r="W187" s="146">
        <f t="shared" si="54"/>
        <v>0</v>
      </c>
      <c r="X187" s="147" t="s">
        <v>277</v>
      </c>
      <c r="Y187" s="45">
        <f t="shared" si="66"/>
        <v>0</v>
      </c>
      <c r="Z187" s="43" t="s">
        <v>284</v>
      </c>
      <c r="AA187" s="45">
        <f t="shared" si="67"/>
        <v>0</v>
      </c>
      <c r="AB187" s="43" t="s">
        <v>285</v>
      </c>
      <c r="AC187" s="44">
        <f t="shared" si="55"/>
        <v>0</v>
      </c>
      <c r="AD187" s="101"/>
      <c r="AE187" s="98">
        <v>6</v>
      </c>
      <c r="AF187" s="97">
        <f t="shared" si="56"/>
        <v>0</v>
      </c>
      <c r="AG187" s="97">
        <v>4650</v>
      </c>
      <c r="AH187" s="82">
        <f t="shared" si="57"/>
        <v>387.5</v>
      </c>
      <c r="AI187" s="98" t="s">
        <v>896</v>
      </c>
      <c r="AJ187" s="75">
        <f t="shared" si="52"/>
        <v>0</v>
      </c>
      <c r="AK187" s="73">
        <f t="shared" si="58"/>
        <v>387.5</v>
      </c>
      <c r="AO187" s="38"/>
    </row>
    <row r="188" spans="1:41" s="38" customFormat="1">
      <c r="A188" s="122" t="s">
        <v>847</v>
      </c>
      <c r="B188" s="42"/>
      <c r="C188" s="42"/>
      <c r="D188" s="134"/>
      <c r="E188" s="43"/>
      <c r="F188" s="74"/>
      <c r="G188" s="42"/>
      <c r="H188" s="42"/>
      <c r="I188" s="42"/>
      <c r="J188" s="123"/>
      <c r="K188" s="80"/>
      <c r="L188" s="43"/>
      <c r="M188" s="80"/>
      <c r="N188" s="141">
        <f t="shared" si="53"/>
        <v>0</v>
      </c>
      <c r="O188" s="142"/>
      <c r="P188" s="142"/>
      <c r="Q188" s="141">
        <f t="shared" si="68"/>
        <v>0</v>
      </c>
      <c r="R188" s="142"/>
      <c r="S188" s="142">
        <f t="shared" si="65"/>
        <v>0</v>
      </c>
      <c r="T188" s="142" t="s">
        <v>273</v>
      </c>
      <c r="U188" s="141">
        <f t="shared" si="51"/>
        <v>0</v>
      </c>
      <c r="V188" s="142" t="s">
        <v>274</v>
      </c>
      <c r="W188" s="146">
        <f t="shared" si="54"/>
        <v>0</v>
      </c>
      <c r="X188" s="147" t="s">
        <v>277</v>
      </c>
      <c r="Y188" s="45">
        <f t="shared" si="66"/>
        <v>0</v>
      </c>
      <c r="Z188" s="43" t="s">
        <v>284</v>
      </c>
      <c r="AA188" s="45">
        <f t="shared" si="67"/>
        <v>0</v>
      </c>
      <c r="AB188" s="43" t="s">
        <v>285</v>
      </c>
      <c r="AC188" s="44">
        <f t="shared" si="55"/>
        <v>0</v>
      </c>
      <c r="AD188" s="101"/>
      <c r="AE188" s="98">
        <v>6</v>
      </c>
      <c r="AF188" s="97">
        <f t="shared" si="56"/>
        <v>0</v>
      </c>
      <c r="AG188" s="97">
        <v>7593</v>
      </c>
      <c r="AH188" s="82">
        <f t="shared" si="57"/>
        <v>632.75</v>
      </c>
      <c r="AI188" s="98" t="s">
        <v>896</v>
      </c>
      <c r="AJ188" s="75">
        <f t="shared" si="52"/>
        <v>0</v>
      </c>
      <c r="AK188" s="73">
        <f t="shared" si="58"/>
        <v>632.75</v>
      </c>
      <c r="AO188" s="93"/>
    </row>
    <row r="189" spans="1:41" s="38" customFormat="1">
      <c r="A189" s="122" t="s">
        <v>848</v>
      </c>
      <c r="B189" s="42"/>
      <c r="C189" s="42"/>
      <c r="D189" s="134"/>
      <c r="E189" s="43"/>
      <c r="F189" s="74"/>
      <c r="G189" s="42"/>
      <c r="H189" s="42"/>
      <c r="I189" s="42"/>
      <c r="J189" s="123"/>
      <c r="K189" s="80"/>
      <c r="L189" s="43"/>
      <c r="M189" s="80"/>
      <c r="N189" s="141">
        <f t="shared" si="53"/>
        <v>0</v>
      </c>
      <c r="O189" s="142"/>
      <c r="P189" s="142"/>
      <c r="Q189" s="141">
        <f t="shared" si="68"/>
        <v>0</v>
      </c>
      <c r="R189" s="142"/>
      <c r="S189" s="142">
        <f t="shared" si="65"/>
        <v>0</v>
      </c>
      <c r="T189" s="142" t="s">
        <v>273</v>
      </c>
      <c r="U189" s="141">
        <f t="shared" si="51"/>
        <v>0</v>
      </c>
      <c r="V189" s="142" t="s">
        <v>274</v>
      </c>
      <c r="W189" s="146">
        <f t="shared" si="54"/>
        <v>0</v>
      </c>
      <c r="X189" s="147" t="s">
        <v>277</v>
      </c>
      <c r="Y189" s="45">
        <f t="shared" si="66"/>
        <v>0</v>
      </c>
      <c r="Z189" s="43" t="s">
        <v>284</v>
      </c>
      <c r="AA189" s="45">
        <f t="shared" si="67"/>
        <v>0</v>
      </c>
      <c r="AB189" s="43" t="s">
        <v>285</v>
      </c>
      <c r="AC189" s="44">
        <f t="shared" si="55"/>
        <v>0</v>
      </c>
      <c r="AD189" s="101"/>
      <c r="AE189" s="98">
        <v>6</v>
      </c>
      <c r="AF189" s="97">
        <f t="shared" si="56"/>
        <v>0</v>
      </c>
      <c r="AG189" s="97">
        <v>3800</v>
      </c>
      <c r="AH189" s="82">
        <f t="shared" si="57"/>
        <v>316.66666666666669</v>
      </c>
      <c r="AI189" s="98" t="s">
        <v>896</v>
      </c>
      <c r="AJ189" s="75">
        <f t="shared" si="52"/>
        <v>0</v>
      </c>
      <c r="AK189" s="73">
        <f t="shared" si="58"/>
        <v>316.66666666666669</v>
      </c>
    </row>
    <row r="190" spans="1:41" s="38" customFormat="1">
      <c r="A190" s="122" t="s">
        <v>849</v>
      </c>
      <c r="B190" s="42"/>
      <c r="C190" s="42"/>
      <c r="D190" s="134"/>
      <c r="E190" s="43"/>
      <c r="F190" s="74"/>
      <c r="G190" s="42"/>
      <c r="H190" s="42"/>
      <c r="I190" s="42"/>
      <c r="J190" s="123"/>
      <c r="K190" s="80"/>
      <c r="L190" s="43"/>
      <c r="M190" s="80"/>
      <c r="N190" s="141">
        <f t="shared" si="53"/>
        <v>0</v>
      </c>
      <c r="O190" s="142"/>
      <c r="P190" s="142"/>
      <c r="Q190" s="141">
        <f t="shared" si="68"/>
        <v>0</v>
      </c>
      <c r="R190" s="142"/>
      <c r="S190" s="142">
        <f t="shared" si="65"/>
        <v>0</v>
      </c>
      <c r="T190" s="142" t="s">
        <v>273</v>
      </c>
      <c r="U190" s="141">
        <f t="shared" si="51"/>
        <v>0</v>
      </c>
      <c r="V190" s="142" t="s">
        <v>274</v>
      </c>
      <c r="W190" s="146">
        <f t="shared" si="54"/>
        <v>0</v>
      </c>
      <c r="X190" s="147" t="s">
        <v>277</v>
      </c>
      <c r="Y190" s="45">
        <f t="shared" si="66"/>
        <v>0</v>
      </c>
      <c r="Z190" s="43" t="s">
        <v>284</v>
      </c>
      <c r="AA190" s="45">
        <f t="shared" si="67"/>
        <v>0</v>
      </c>
      <c r="AB190" s="43" t="s">
        <v>285</v>
      </c>
      <c r="AC190" s="44">
        <f t="shared" si="55"/>
        <v>0</v>
      </c>
      <c r="AD190" s="101"/>
      <c r="AE190" s="98">
        <v>6</v>
      </c>
      <c r="AF190" s="97">
        <f t="shared" si="56"/>
        <v>0</v>
      </c>
      <c r="AG190" s="97">
        <v>3800</v>
      </c>
      <c r="AH190" s="82">
        <f t="shared" si="57"/>
        <v>316.66666666666669</v>
      </c>
      <c r="AI190" s="98" t="s">
        <v>896</v>
      </c>
      <c r="AJ190" s="75">
        <f t="shared" si="52"/>
        <v>0</v>
      </c>
      <c r="AK190" s="73">
        <f t="shared" si="58"/>
        <v>316.66666666666669</v>
      </c>
    </row>
    <row r="191" spans="1:41" s="38" customFormat="1">
      <c r="A191" s="122" t="s">
        <v>850</v>
      </c>
      <c r="B191" s="42"/>
      <c r="C191" s="42"/>
      <c r="D191" s="134"/>
      <c r="E191" s="43"/>
      <c r="F191" s="74"/>
      <c r="G191" s="42"/>
      <c r="H191" s="86"/>
      <c r="I191" s="42"/>
      <c r="J191" s="123"/>
      <c r="K191" s="80"/>
      <c r="L191" s="43"/>
      <c r="M191" s="80"/>
      <c r="N191" s="141">
        <f t="shared" si="53"/>
        <v>0</v>
      </c>
      <c r="O191" s="142"/>
      <c r="P191" s="142"/>
      <c r="Q191" s="141">
        <f t="shared" si="68"/>
        <v>0</v>
      </c>
      <c r="R191" s="142"/>
      <c r="S191" s="142">
        <f t="shared" si="65"/>
        <v>0</v>
      </c>
      <c r="T191" s="142" t="s">
        <v>273</v>
      </c>
      <c r="U191" s="141">
        <f t="shared" si="51"/>
        <v>0</v>
      </c>
      <c r="V191" s="142" t="s">
        <v>274</v>
      </c>
      <c r="W191" s="146">
        <f t="shared" si="54"/>
        <v>0</v>
      </c>
      <c r="X191" s="147" t="s">
        <v>277</v>
      </c>
      <c r="Y191" s="45">
        <f t="shared" si="66"/>
        <v>0</v>
      </c>
      <c r="Z191" s="43" t="s">
        <v>284</v>
      </c>
      <c r="AA191" s="45">
        <f t="shared" si="67"/>
        <v>0</v>
      </c>
      <c r="AB191" s="43" t="s">
        <v>285</v>
      </c>
      <c r="AC191" s="44">
        <f t="shared" si="55"/>
        <v>0</v>
      </c>
      <c r="AD191" s="101"/>
      <c r="AE191" s="98">
        <v>6</v>
      </c>
      <c r="AF191" s="97">
        <f t="shared" si="56"/>
        <v>0</v>
      </c>
      <c r="AG191" s="97">
        <v>4571</v>
      </c>
      <c r="AH191" s="82">
        <f t="shared" si="57"/>
        <v>380.91666666666669</v>
      </c>
      <c r="AI191" s="98" t="s">
        <v>896</v>
      </c>
      <c r="AJ191" s="75">
        <f t="shared" si="52"/>
        <v>0</v>
      </c>
      <c r="AK191" s="73">
        <f t="shared" si="58"/>
        <v>380.91666666666669</v>
      </c>
    </row>
    <row r="192" spans="1:41" s="38" customFormat="1">
      <c r="A192" s="122" t="s">
        <v>851</v>
      </c>
      <c r="B192" s="87"/>
      <c r="C192" s="87"/>
      <c r="D192" s="135"/>
      <c r="E192" s="90"/>
      <c r="F192" s="88"/>
      <c r="G192" s="87"/>
      <c r="H192" s="87"/>
      <c r="I192" s="95"/>
      <c r="J192" s="123"/>
      <c r="K192" s="89"/>
      <c r="L192" s="90"/>
      <c r="M192" s="89"/>
      <c r="N192" s="141">
        <f t="shared" si="53"/>
        <v>0</v>
      </c>
      <c r="O192" s="142"/>
      <c r="P192" s="142"/>
      <c r="Q192" s="141">
        <f t="shared" si="68"/>
        <v>0</v>
      </c>
      <c r="R192" s="142"/>
      <c r="S192" s="142">
        <f t="shared" si="65"/>
        <v>0</v>
      </c>
      <c r="T192" s="142" t="s">
        <v>273</v>
      </c>
      <c r="U192" s="141">
        <f t="shared" ref="U192:U248" si="87">(K192+M192)*$I$1</f>
        <v>0</v>
      </c>
      <c r="V192" s="142" t="s">
        <v>274</v>
      </c>
      <c r="W192" s="146">
        <f t="shared" si="54"/>
        <v>0</v>
      </c>
      <c r="X192" s="147" t="s">
        <v>277</v>
      </c>
      <c r="Y192" s="91">
        <f t="shared" si="66"/>
        <v>0</v>
      </c>
      <c r="Z192" s="90" t="s">
        <v>284</v>
      </c>
      <c r="AA192" s="91">
        <f t="shared" si="67"/>
        <v>0</v>
      </c>
      <c r="AB192" s="90" t="s">
        <v>285</v>
      </c>
      <c r="AC192" s="44">
        <f t="shared" si="55"/>
        <v>0</v>
      </c>
      <c r="AD192" s="101"/>
      <c r="AE192" s="98">
        <v>6</v>
      </c>
      <c r="AF192" s="97">
        <f t="shared" si="56"/>
        <v>0</v>
      </c>
      <c r="AG192" s="97">
        <v>3150</v>
      </c>
      <c r="AH192" s="82">
        <f t="shared" si="57"/>
        <v>262.5</v>
      </c>
      <c r="AI192" s="105" t="s">
        <v>896</v>
      </c>
      <c r="AJ192" s="92">
        <f t="shared" si="52"/>
        <v>0</v>
      </c>
      <c r="AK192" s="73">
        <f t="shared" si="58"/>
        <v>262.5</v>
      </c>
    </row>
    <row r="193" spans="1:41" s="93" customFormat="1">
      <c r="A193" s="122" t="s">
        <v>852</v>
      </c>
      <c r="B193" s="42"/>
      <c r="C193" s="42"/>
      <c r="D193" s="134"/>
      <c r="E193" s="43"/>
      <c r="F193" s="74"/>
      <c r="G193" s="42"/>
      <c r="H193" s="42"/>
      <c r="I193" s="42"/>
      <c r="J193" s="123"/>
      <c r="K193" s="80"/>
      <c r="L193" s="43"/>
      <c r="M193" s="80"/>
      <c r="N193" s="141">
        <f t="shared" si="53"/>
        <v>0</v>
      </c>
      <c r="O193" s="142"/>
      <c r="P193" s="142"/>
      <c r="Q193" s="141">
        <f t="shared" si="68"/>
        <v>0</v>
      </c>
      <c r="R193" s="142"/>
      <c r="S193" s="142">
        <f t="shared" si="65"/>
        <v>0</v>
      </c>
      <c r="T193" s="142" t="s">
        <v>273</v>
      </c>
      <c r="U193" s="141">
        <f t="shared" si="87"/>
        <v>0</v>
      </c>
      <c r="V193" s="142" t="s">
        <v>274</v>
      </c>
      <c r="W193" s="146">
        <f t="shared" si="54"/>
        <v>0</v>
      </c>
      <c r="X193" s="147" t="s">
        <v>277</v>
      </c>
      <c r="Y193" s="45">
        <f t="shared" si="66"/>
        <v>0</v>
      </c>
      <c r="Z193" s="43" t="s">
        <v>284</v>
      </c>
      <c r="AA193" s="45">
        <f t="shared" si="67"/>
        <v>0</v>
      </c>
      <c r="AB193" s="43" t="s">
        <v>285</v>
      </c>
      <c r="AC193" s="44">
        <f t="shared" si="55"/>
        <v>0</v>
      </c>
      <c r="AD193" s="101"/>
      <c r="AE193" s="98">
        <v>6</v>
      </c>
      <c r="AF193" s="97">
        <f t="shared" si="56"/>
        <v>0</v>
      </c>
      <c r="AG193" s="97">
        <v>4571</v>
      </c>
      <c r="AH193" s="82">
        <f t="shared" si="57"/>
        <v>380.91666666666669</v>
      </c>
      <c r="AI193" s="98" t="s">
        <v>896</v>
      </c>
      <c r="AJ193" s="75">
        <f t="shared" si="52"/>
        <v>0</v>
      </c>
      <c r="AK193" s="73">
        <f t="shared" si="58"/>
        <v>380.91666666666669</v>
      </c>
      <c r="AO193" s="38"/>
    </row>
    <row r="194" spans="1:41" s="38" customFormat="1">
      <c r="A194" s="122" t="s">
        <v>853</v>
      </c>
      <c r="B194" s="42"/>
      <c r="C194" s="42"/>
      <c r="D194" s="134"/>
      <c r="E194" s="43"/>
      <c r="F194" s="74"/>
      <c r="G194" s="42"/>
      <c r="H194" s="42"/>
      <c r="I194" s="42"/>
      <c r="J194" s="123"/>
      <c r="K194" s="80"/>
      <c r="L194" s="43"/>
      <c r="M194" s="80"/>
      <c r="N194" s="141">
        <f t="shared" si="53"/>
        <v>0</v>
      </c>
      <c r="O194" s="142"/>
      <c r="P194" s="142"/>
      <c r="Q194" s="141">
        <f t="shared" si="68"/>
        <v>0</v>
      </c>
      <c r="R194" s="142"/>
      <c r="S194" s="142">
        <f t="shared" si="65"/>
        <v>0</v>
      </c>
      <c r="T194" s="142" t="s">
        <v>273</v>
      </c>
      <c r="U194" s="141">
        <f t="shared" si="87"/>
        <v>0</v>
      </c>
      <c r="V194" s="142" t="s">
        <v>274</v>
      </c>
      <c r="W194" s="146">
        <f t="shared" si="54"/>
        <v>0</v>
      </c>
      <c r="X194" s="147" t="s">
        <v>277</v>
      </c>
      <c r="Y194" s="45">
        <f t="shared" si="66"/>
        <v>0</v>
      </c>
      <c r="Z194" s="43" t="s">
        <v>284</v>
      </c>
      <c r="AA194" s="45">
        <f t="shared" si="67"/>
        <v>0</v>
      </c>
      <c r="AB194" s="43" t="s">
        <v>285</v>
      </c>
      <c r="AC194" s="44">
        <f t="shared" si="55"/>
        <v>0</v>
      </c>
      <c r="AD194" s="101"/>
      <c r="AE194" s="98">
        <v>6</v>
      </c>
      <c r="AF194" s="97">
        <f t="shared" si="56"/>
        <v>0</v>
      </c>
      <c r="AG194" s="97">
        <v>4571</v>
      </c>
      <c r="AH194" s="82">
        <f t="shared" si="57"/>
        <v>380.91666666666669</v>
      </c>
      <c r="AI194" s="98" t="s">
        <v>896</v>
      </c>
      <c r="AJ194" s="75">
        <f t="shared" ref="AJ194:AJ232" si="88">N194+S194+U194+W194</f>
        <v>0</v>
      </c>
      <c r="AK194" s="73">
        <f t="shared" si="58"/>
        <v>380.91666666666669</v>
      </c>
      <c r="AO194" s="93"/>
    </row>
    <row r="195" spans="1:41" s="38" customFormat="1">
      <c r="A195" s="122" t="s">
        <v>854</v>
      </c>
      <c r="B195" s="42"/>
      <c r="C195" s="42"/>
      <c r="D195" s="134"/>
      <c r="E195" s="43"/>
      <c r="F195" s="74"/>
      <c r="G195" s="42"/>
      <c r="H195" s="42"/>
      <c r="I195" s="42"/>
      <c r="J195" s="123"/>
      <c r="K195" s="80"/>
      <c r="L195" s="43"/>
      <c r="M195" s="80"/>
      <c r="N195" s="141">
        <f t="shared" ref="N195:N248" si="89">SUM(K195:M195)*$D$1</f>
        <v>0</v>
      </c>
      <c r="O195" s="142"/>
      <c r="P195" s="142"/>
      <c r="Q195" s="141">
        <f t="shared" si="68"/>
        <v>0</v>
      </c>
      <c r="R195" s="142"/>
      <c r="S195" s="142">
        <f t="shared" si="65"/>
        <v>0</v>
      </c>
      <c r="T195" s="142" t="s">
        <v>273</v>
      </c>
      <c r="U195" s="141">
        <f t="shared" si="87"/>
        <v>0</v>
      </c>
      <c r="V195" s="142" t="s">
        <v>274</v>
      </c>
      <c r="W195" s="146">
        <f t="shared" ref="W195:W248" si="90">IF(G195="RIMAC EPS EMPRESA PRESTADORA DE SALUD",((((K195*40%)+M195)*0.0675)*$I$1),((((K195*40%)+M195)*0.09))*$I$1)</f>
        <v>0</v>
      </c>
      <c r="X195" s="147" t="s">
        <v>277</v>
      </c>
      <c r="Y195" s="45">
        <f t="shared" si="66"/>
        <v>0</v>
      </c>
      <c r="Z195" s="43" t="s">
        <v>284</v>
      </c>
      <c r="AA195" s="45">
        <f t="shared" si="67"/>
        <v>0</v>
      </c>
      <c r="AB195" s="43" t="s">
        <v>285</v>
      </c>
      <c r="AC195" s="44">
        <f t="shared" ref="AC195:AC232" si="91">N195+S195+U195+W195+Y195+AA195</f>
        <v>0</v>
      </c>
      <c r="AD195" s="101"/>
      <c r="AE195" s="98">
        <v>6</v>
      </c>
      <c r="AF195" s="97">
        <f t="shared" si="56"/>
        <v>0</v>
      </c>
      <c r="AG195" s="97">
        <v>4571</v>
      </c>
      <c r="AH195" s="82">
        <f t="shared" si="57"/>
        <v>380.91666666666669</v>
      </c>
      <c r="AI195" s="98" t="s">
        <v>896</v>
      </c>
      <c r="AJ195" s="75">
        <f t="shared" si="88"/>
        <v>0</v>
      </c>
      <c r="AK195" s="73">
        <f t="shared" ref="AK195:AK232" si="92">AC195+AH195</f>
        <v>380.91666666666669</v>
      </c>
    </row>
    <row r="196" spans="1:41" s="38" customFormat="1">
      <c r="A196" s="122" t="s">
        <v>855</v>
      </c>
      <c r="B196" s="42"/>
      <c r="C196" s="42"/>
      <c r="D196" s="134"/>
      <c r="E196" s="43"/>
      <c r="F196" s="74"/>
      <c r="G196" s="42"/>
      <c r="H196" s="42"/>
      <c r="I196" s="42"/>
      <c r="J196" s="123"/>
      <c r="K196" s="80"/>
      <c r="L196" s="43"/>
      <c r="M196" s="80"/>
      <c r="N196" s="141">
        <f t="shared" si="89"/>
        <v>0</v>
      </c>
      <c r="O196" s="142"/>
      <c r="P196" s="142"/>
      <c r="Q196" s="141">
        <f t="shared" si="68"/>
        <v>0</v>
      </c>
      <c r="R196" s="142"/>
      <c r="S196" s="142">
        <f t="shared" si="65"/>
        <v>0</v>
      </c>
      <c r="T196" s="142" t="s">
        <v>273</v>
      </c>
      <c r="U196" s="141">
        <f t="shared" si="87"/>
        <v>0</v>
      </c>
      <c r="V196" s="142" t="s">
        <v>274</v>
      </c>
      <c r="W196" s="146">
        <f t="shared" si="90"/>
        <v>0</v>
      </c>
      <c r="X196" s="147" t="s">
        <v>277</v>
      </c>
      <c r="Y196" s="45">
        <f t="shared" si="66"/>
        <v>0</v>
      </c>
      <c r="Z196" s="43" t="s">
        <v>284</v>
      </c>
      <c r="AA196" s="45">
        <f t="shared" si="67"/>
        <v>0</v>
      </c>
      <c r="AB196" s="43" t="s">
        <v>285</v>
      </c>
      <c r="AC196" s="44">
        <f t="shared" si="91"/>
        <v>0</v>
      </c>
      <c r="AD196" s="101"/>
      <c r="AE196" s="98">
        <v>6</v>
      </c>
      <c r="AF196" s="97">
        <f t="shared" ref="AF196:AF248" si="93">N196</f>
        <v>0</v>
      </c>
      <c r="AG196" s="97">
        <v>4571</v>
      </c>
      <c r="AH196" s="82">
        <f t="shared" ref="AH196:AH248" si="94">(AF196+(AG196/6))/12*AE196</f>
        <v>380.91666666666669</v>
      </c>
      <c r="AI196" s="98" t="s">
        <v>896</v>
      </c>
      <c r="AJ196" s="75">
        <f t="shared" si="88"/>
        <v>0</v>
      </c>
      <c r="AK196" s="73">
        <f t="shared" si="92"/>
        <v>380.91666666666669</v>
      </c>
    </row>
    <row r="197" spans="1:41" s="38" customFormat="1">
      <c r="A197" s="122" t="s">
        <v>894</v>
      </c>
      <c r="B197" s="42"/>
      <c r="C197" s="42"/>
      <c r="D197" s="134"/>
      <c r="E197" s="43"/>
      <c r="F197" s="74"/>
      <c r="G197" s="42"/>
      <c r="H197" s="42"/>
      <c r="I197" s="42"/>
      <c r="J197" s="123"/>
      <c r="K197" s="80"/>
      <c r="L197" s="43"/>
      <c r="M197" s="80"/>
      <c r="N197" s="141">
        <f t="shared" si="89"/>
        <v>0</v>
      </c>
      <c r="O197" s="142"/>
      <c r="P197" s="142"/>
      <c r="Q197" s="141">
        <f t="shared" si="68"/>
        <v>0</v>
      </c>
      <c r="R197" s="142"/>
      <c r="S197" s="142">
        <f t="shared" si="65"/>
        <v>0</v>
      </c>
      <c r="T197" s="142" t="s">
        <v>273</v>
      </c>
      <c r="U197" s="141">
        <f t="shared" si="87"/>
        <v>0</v>
      </c>
      <c r="V197" s="142" t="s">
        <v>274</v>
      </c>
      <c r="W197" s="146">
        <f t="shared" si="90"/>
        <v>0</v>
      </c>
      <c r="X197" s="147" t="s">
        <v>277</v>
      </c>
      <c r="Y197" s="45">
        <f t="shared" si="66"/>
        <v>0</v>
      </c>
      <c r="Z197" s="43" t="s">
        <v>284</v>
      </c>
      <c r="AA197" s="45">
        <f t="shared" si="67"/>
        <v>0</v>
      </c>
      <c r="AB197" s="43" t="s">
        <v>285</v>
      </c>
      <c r="AC197" s="44">
        <f t="shared" si="91"/>
        <v>0</v>
      </c>
      <c r="AD197" s="101"/>
      <c r="AE197" s="98">
        <v>6</v>
      </c>
      <c r="AF197" s="97">
        <f t="shared" si="93"/>
        <v>0</v>
      </c>
      <c r="AG197" s="97">
        <v>4664</v>
      </c>
      <c r="AH197" s="82">
        <f t="shared" si="94"/>
        <v>388.66666666666674</v>
      </c>
      <c r="AI197" s="98" t="s">
        <v>896</v>
      </c>
      <c r="AJ197" s="75">
        <f t="shared" si="88"/>
        <v>0</v>
      </c>
      <c r="AK197" s="73">
        <f t="shared" si="92"/>
        <v>388.66666666666674</v>
      </c>
    </row>
    <row r="198" spans="1:41" s="38" customFormat="1">
      <c r="A198" s="122" t="s">
        <v>856</v>
      </c>
      <c r="B198" s="42"/>
      <c r="C198" s="42"/>
      <c r="D198" s="134"/>
      <c r="E198" s="43"/>
      <c r="F198" s="74"/>
      <c r="G198" s="42"/>
      <c r="H198" s="42"/>
      <c r="I198" s="42"/>
      <c r="J198" s="123"/>
      <c r="K198" s="80"/>
      <c r="L198" s="43"/>
      <c r="M198" s="80"/>
      <c r="N198" s="141">
        <f t="shared" si="89"/>
        <v>0</v>
      </c>
      <c r="O198" s="142"/>
      <c r="P198" s="142"/>
      <c r="Q198" s="141">
        <f t="shared" si="68"/>
        <v>0</v>
      </c>
      <c r="R198" s="142"/>
      <c r="S198" s="142">
        <f t="shared" si="65"/>
        <v>0</v>
      </c>
      <c r="T198" s="142" t="s">
        <v>273</v>
      </c>
      <c r="U198" s="141">
        <f t="shared" si="87"/>
        <v>0</v>
      </c>
      <c r="V198" s="142" t="s">
        <v>274</v>
      </c>
      <c r="W198" s="146">
        <f t="shared" si="90"/>
        <v>0</v>
      </c>
      <c r="X198" s="147" t="s">
        <v>277</v>
      </c>
      <c r="Y198" s="45">
        <f t="shared" si="66"/>
        <v>0</v>
      </c>
      <c r="Z198" s="43" t="s">
        <v>284</v>
      </c>
      <c r="AA198" s="45">
        <f t="shared" si="67"/>
        <v>0</v>
      </c>
      <c r="AB198" s="43" t="s">
        <v>285</v>
      </c>
      <c r="AC198" s="44">
        <f t="shared" si="91"/>
        <v>0</v>
      </c>
      <c r="AD198" s="101"/>
      <c r="AE198" s="98">
        <v>6</v>
      </c>
      <c r="AF198" s="97">
        <f t="shared" si="93"/>
        <v>0</v>
      </c>
      <c r="AG198" s="97">
        <v>4571</v>
      </c>
      <c r="AH198" s="82">
        <f t="shared" si="94"/>
        <v>380.91666666666669</v>
      </c>
      <c r="AI198" s="98" t="s">
        <v>896</v>
      </c>
      <c r="AJ198" s="75">
        <f t="shared" si="88"/>
        <v>0</v>
      </c>
      <c r="AK198" s="73">
        <f t="shared" si="92"/>
        <v>380.91666666666669</v>
      </c>
    </row>
    <row r="199" spans="1:41" s="38" customFormat="1">
      <c r="A199" s="122" t="s">
        <v>857</v>
      </c>
      <c r="B199" s="42"/>
      <c r="C199" s="42"/>
      <c r="D199" s="134"/>
      <c r="E199" s="43"/>
      <c r="F199" s="74"/>
      <c r="G199" s="42"/>
      <c r="H199" s="42"/>
      <c r="I199" s="42"/>
      <c r="J199" s="123"/>
      <c r="K199" s="80"/>
      <c r="L199" s="43"/>
      <c r="M199" s="80"/>
      <c r="N199" s="141">
        <f t="shared" si="89"/>
        <v>0</v>
      </c>
      <c r="O199" s="142"/>
      <c r="P199" s="142"/>
      <c r="Q199" s="141">
        <f t="shared" si="68"/>
        <v>0</v>
      </c>
      <c r="R199" s="142"/>
      <c r="S199" s="142">
        <f t="shared" si="65"/>
        <v>0</v>
      </c>
      <c r="T199" s="142" t="s">
        <v>273</v>
      </c>
      <c r="U199" s="141">
        <f t="shared" si="87"/>
        <v>0</v>
      </c>
      <c r="V199" s="142" t="s">
        <v>274</v>
      </c>
      <c r="W199" s="146">
        <f t="shared" si="90"/>
        <v>0</v>
      </c>
      <c r="X199" s="147" t="s">
        <v>277</v>
      </c>
      <c r="Y199" s="45">
        <f t="shared" si="66"/>
        <v>0</v>
      </c>
      <c r="Z199" s="43" t="s">
        <v>284</v>
      </c>
      <c r="AA199" s="45">
        <f t="shared" si="67"/>
        <v>0</v>
      </c>
      <c r="AB199" s="43" t="s">
        <v>285</v>
      </c>
      <c r="AC199" s="44">
        <f t="shared" si="91"/>
        <v>0</v>
      </c>
      <c r="AD199" s="101"/>
      <c r="AE199" s="98">
        <v>6</v>
      </c>
      <c r="AF199" s="97">
        <f t="shared" si="93"/>
        <v>0</v>
      </c>
      <c r="AG199" s="97">
        <v>4664</v>
      </c>
      <c r="AH199" s="82">
        <f t="shared" si="94"/>
        <v>388.66666666666674</v>
      </c>
      <c r="AI199" s="98" t="s">
        <v>896</v>
      </c>
      <c r="AJ199" s="75">
        <f t="shared" si="88"/>
        <v>0</v>
      </c>
      <c r="AK199" s="73">
        <f t="shared" si="92"/>
        <v>388.66666666666674</v>
      </c>
    </row>
    <row r="200" spans="1:41" s="38" customFormat="1">
      <c r="A200" s="122" t="s">
        <v>858</v>
      </c>
      <c r="B200" s="42"/>
      <c r="C200" s="42"/>
      <c r="D200" s="134"/>
      <c r="E200" s="43"/>
      <c r="F200" s="74"/>
      <c r="G200" s="42"/>
      <c r="H200" s="42"/>
      <c r="I200" s="42"/>
      <c r="J200" s="123"/>
      <c r="K200" s="80"/>
      <c r="L200" s="43"/>
      <c r="M200" s="80"/>
      <c r="N200" s="141">
        <f t="shared" si="89"/>
        <v>0</v>
      </c>
      <c r="O200" s="142"/>
      <c r="P200" s="142"/>
      <c r="Q200" s="141">
        <f t="shared" si="68"/>
        <v>0</v>
      </c>
      <c r="R200" s="142"/>
      <c r="S200" s="142">
        <f t="shared" si="65"/>
        <v>0</v>
      </c>
      <c r="T200" s="142" t="s">
        <v>273</v>
      </c>
      <c r="U200" s="141">
        <f t="shared" si="87"/>
        <v>0</v>
      </c>
      <c r="V200" s="142" t="s">
        <v>274</v>
      </c>
      <c r="W200" s="146">
        <f t="shared" si="90"/>
        <v>0</v>
      </c>
      <c r="X200" s="147" t="s">
        <v>277</v>
      </c>
      <c r="Y200" s="45">
        <f t="shared" si="66"/>
        <v>0</v>
      </c>
      <c r="Z200" s="43" t="s">
        <v>284</v>
      </c>
      <c r="AA200" s="45">
        <f t="shared" si="67"/>
        <v>0</v>
      </c>
      <c r="AB200" s="43" t="s">
        <v>285</v>
      </c>
      <c r="AC200" s="44">
        <f t="shared" si="91"/>
        <v>0</v>
      </c>
      <c r="AD200" s="101"/>
      <c r="AE200" s="98">
        <v>6</v>
      </c>
      <c r="AF200" s="97">
        <f t="shared" si="93"/>
        <v>0</v>
      </c>
      <c r="AG200" s="97">
        <v>4571</v>
      </c>
      <c r="AH200" s="82">
        <f t="shared" si="94"/>
        <v>380.91666666666669</v>
      </c>
      <c r="AI200" s="98" t="s">
        <v>896</v>
      </c>
      <c r="AJ200" s="75">
        <f t="shared" si="88"/>
        <v>0</v>
      </c>
      <c r="AK200" s="73">
        <f t="shared" si="92"/>
        <v>380.91666666666669</v>
      </c>
    </row>
    <row r="201" spans="1:41" s="38" customFormat="1">
      <c r="A201" s="122" t="s">
        <v>859</v>
      </c>
      <c r="B201" s="42"/>
      <c r="C201" s="42"/>
      <c r="D201" s="134"/>
      <c r="E201" s="43"/>
      <c r="F201" s="74"/>
      <c r="G201" s="42"/>
      <c r="H201" s="42"/>
      <c r="I201" s="42"/>
      <c r="J201" s="123"/>
      <c r="K201" s="80"/>
      <c r="L201" s="43"/>
      <c r="M201" s="80"/>
      <c r="N201" s="141">
        <f t="shared" si="89"/>
        <v>0</v>
      </c>
      <c r="O201" s="142"/>
      <c r="P201" s="142"/>
      <c r="Q201" s="141">
        <f t="shared" si="68"/>
        <v>0</v>
      </c>
      <c r="R201" s="142"/>
      <c r="S201" s="142">
        <f t="shared" si="65"/>
        <v>0</v>
      </c>
      <c r="T201" s="142" t="s">
        <v>273</v>
      </c>
      <c r="U201" s="141">
        <f t="shared" si="87"/>
        <v>0</v>
      </c>
      <c r="V201" s="142" t="s">
        <v>274</v>
      </c>
      <c r="W201" s="146">
        <f t="shared" si="90"/>
        <v>0</v>
      </c>
      <c r="X201" s="147" t="s">
        <v>277</v>
      </c>
      <c r="Y201" s="45">
        <f t="shared" si="66"/>
        <v>0</v>
      </c>
      <c r="Z201" s="43" t="s">
        <v>284</v>
      </c>
      <c r="AA201" s="45">
        <f t="shared" si="67"/>
        <v>0</v>
      </c>
      <c r="AB201" s="43" t="s">
        <v>285</v>
      </c>
      <c r="AC201" s="44">
        <f t="shared" si="91"/>
        <v>0</v>
      </c>
      <c r="AD201" s="101"/>
      <c r="AE201" s="98">
        <v>6</v>
      </c>
      <c r="AF201" s="97">
        <f t="shared" si="93"/>
        <v>0</v>
      </c>
      <c r="AG201" s="97">
        <v>3800</v>
      </c>
      <c r="AH201" s="82">
        <f t="shared" si="94"/>
        <v>316.66666666666669</v>
      </c>
      <c r="AI201" s="98" t="s">
        <v>896</v>
      </c>
      <c r="AJ201" s="75">
        <f t="shared" si="88"/>
        <v>0</v>
      </c>
      <c r="AK201" s="73">
        <f t="shared" si="92"/>
        <v>316.66666666666669</v>
      </c>
    </row>
    <row r="202" spans="1:41" s="38" customFormat="1">
      <c r="A202" s="122" t="s">
        <v>860</v>
      </c>
      <c r="B202" s="94"/>
      <c r="C202" s="94"/>
      <c r="D202" s="135"/>
      <c r="E202" s="90"/>
      <c r="F202" s="88"/>
      <c r="G202" s="94"/>
      <c r="H202" s="94"/>
      <c r="I202" s="94"/>
      <c r="J202" s="123"/>
      <c r="K202" s="89"/>
      <c r="L202" s="90"/>
      <c r="M202" s="89"/>
      <c r="N202" s="141">
        <f t="shared" si="89"/>
        <v>0</v>
      </c>
      <c r="O202" s="142"/>
      <c r="P202" s="142"/>
      <c r="Q202" s="141">
        <f t="shared" ref="Q202:Q203" si="95">+P202*$D$1</f>
        <v>0</v>
      </c>
      <c r="R202" s="142"/>
      <c r="S202" s="142">
        <f t="shared" si="65"/>
        <v>0</v>
      </c>
      <c r="T202" s="142" t="s">
        <v>273</v>
      </c>
      <c r="U202" s="141">
        <f t="shared" si="87"/>
        <v>0</v>
      </c>
      <c r="V202" s="142" t="s">
        <v>274</v>
      </c>
      <c r="W202" s="146">
        <f t="shared" si="90"/>
        <v>0</v>
      </c>
      <c r="X202" s="147" t="s">
        <v>277</v>
      </c>
      <c r="Y202" s="91">
        <f t="shared" ref="Y202:Y203" si="96">IF(G202="RIMAC EPS EMPRESA PRESTADORA DE SALUD",((((K202*40%)+M202)*0.0675)*$D$1),((((K202*40%)+M202)*0.09))*$D$1)</f>
        <v>0</v>
      </c>
      <c r="Z202" s="90" t="s">
        <v>284</v>
      </c>
      <c r="AA202" s="91">
        <f t="shared" ref="AA202:AA203" si="97">IF(G202="RIMAC EPS EMPRESA PRESTADORA DE SALUD",((K202*40%)+M202)*0.0225*$D$1+Q202*0.0225,0)</f>
        <v>0</v>
      </c>
      <c r="AB202" s="90" t="s">
        <v>285</v>
      </c>
      <c r="AC202" s="44">
        <f t="shared" si="91"/>
        <v>0</v>
      </c>
      <c r="AD202" s="101"/>
      <c r="AE202" s="98">
        <v>6</v>
      </c>
      <c r="AF202" s="97">
        <f t="shared" si="93"/>
        <v>0</v>
      </c>
      <c r="AG202" s="97">
        <v>3800</v>
      </c>
      <c r="AH202" s="82">
        <f t="shared" si="94"/>
        <v>316.66666666666669</v>
      </c>
      <c r="AI202" s="105" t="s">
        <v>896</v>
      </c>
      <c r="AJ202" s="92">
        <f t="shared" si="88"/>
        <v>0</v>
      </c>
      <c r="AK202" s="73">
        <f t="shared" si="92"/>
        <v>316.66666666666669</v>
      </c>
    </row>
    <row r="203" spans="1:41" s="93" customFormat="1">
      <c r="A203" s="122" t="s">
        <v>861</v>
      </c>
      <c r="B203" s="86"/>
      <c r="C203" s="86"/>
      <c r="D203" s="134"/>
      <c r="E203" s="43"/>
      <c r="F203" s="74"/>
      <c r="G203" s="86"/>
      <c r="H203" s="42"/>
      <c r="I203" s="42"/>
      <c r="J203" s="123"/>
      <c r="K203" s="80"/>
      <c r="L203" s="43"/>
      <c r="M203" s="80"/>
      <c r="N203" s="141">
        <f t="shared" si="89"/>
        <v>0</v>
      </c>
      <c r="O203" s="142"/>
      <c r="P203" s="142"/>
      <c r="Q203" s="141">
        <f t="shared" si="95"/>
        <v>0</v>
      </c>
      <c r="R203" s="142"/>
      <c r="S203" s="142">
        <f t="shared" si="65"/>
        <v>0</v>
      </c>
      <c r="T203" s="142" t="s">
        <v>273</v>
      </c>
      <c r="U203" s="141">
        <f t="shared" si="87"/>
        <v>0</v>
      </c>
      <c r="V203" s="142" t="s">
        <v>274</v>
      </c>
      <c r="W203" s="146">
        <f t="shared" si="90"/>
        <v>0</v>
      </c>
      <c r="X203" s="147" t="s">
        <v>277</v>
      </c>
      <c r="Y203" s="45">
        <f t="shared" si="96"/>
        <v>0</v>
      </c>
      <c r="Z203" s="43" t="s">
        <v>284</v>
      </c>
      <c r="AA203" s="45">
        <f t="shared" si="97"/>
        <v>0</v>
      </c>
      <c r="AB203" s="43" t="s">
        <v>285</v>
      </c>
      <c r="AC203" s="44">
        <f t="shared" si="91"/>
        <v>0</v>
      </c>
      <c r="AD203" s="101"/>
      <c r="AE203" s="98">
        <v>6</v>
      </c>
      <c r="AF203" s="97">
        <f t="shared" si="93"/>
        <v>0</v>
      </c>
      <c r="AG203" s="97">
        <v>4664</v>
      </c>
      <c r="AH203" s="82">
        <f t="shared" si="94"/>
        <v>388.66666666666674</v>
      </c>
      <c r="AI203" s="98" t="s">
        <v>896</v>
      </c>
      <c r="AJ203" s="75">
        <f t="shared" si="88"/>
        <v>0</v>
      </c>
      <c r="AK203" s="73">
        <f t="shared" si="92"/>
        <v>388.66666666666674</v>
      </c>
      <c r="AO203" s="38"/>
    </row>
    <row r="204" spans="1:41" s="38" customFormat="1">
      <c r="A204" s="122" t="s">
        <v>862</v>
      </c>
      <c r="B204" s="42"/>
      <c r="C204" s="42"/>
      <c r="D204" s="134"/>
      <c r="E204" s="43"/>
      <c r="F204" s="74"/>
      <c r="G204" s="42"/>
      <c r="H204" s="42"/>
      <c r="I204" s="42"/>
      <c r="J204" s="123"/>
      <c r="K204" s="80"/>
      <c r="L204" s="43"/>
      <c r="M204" s="80"/>
      <c r="N204" s="141">
        <f t="shared" si="89"/>
        <v>0</v>
      </c>
      <c r="O204" s="142"/>
      <c r="P204" s="142"/>
      <c r="Q204" s="141">
        <f t="shared" si="68"/>
        <v>0</v>
      </c>
      <c r="R204" s="142"/>
      <c r="S204" s="142">
        <f t="shared" si="65"/>
        <v>0</v>
      </c>
      <c r="T204" s="142" t="s">
        <v>273</v>
      </c>
      <c r="U204" s="141">
        <f t="shared" si="87"/>
        <v>0</v>
      </c>
      <c r="V204" s="142" t="s">
        <v>274</v>
      </c>
      <c r="W204" s="146">
        <f t="shared" si="90"/>
        <v>0</v>
      </c>
      <c r="X204" s="147" t="s">
        <v>277</v>
      </c>
      <c r="Y204" s="45">
        <f t="shared" si="66"/>
        <v>0</v>
      </c>
      <c r="Z204" s="43" t="s">
        <v>284</v>
      </c>
      <c r="AA204" s="45">
        <f t="shared" si="67"/>
        <v>0</v>
      </c>
      <c r="AB204" s="43" t="s">
        <v>285</v>
      </c>
      <c r="AC204" s="44">
        <f t="shared" si="91"/>
        <v>0</v>
      </c>
      <c r="AD204" s="101"/>
      <c r="AE204" s="98">
        <v>6</v>
      </c>
      <c r="AF204" s="97">
        <f t="shared" si="93"/>
        <v>0</v>
      </c>
      <c r="AG204" s="97">
        <v>3950</v>
      </c>
      <c r="AH204" s="82">
        <f t="shared" si="94"/>
        <v>329.16666666666669</v>
      </c>
      <c r="AI204" s="98" t="s">
        <v>896</v>
      </c>
      <c r="AJ204" s="75">
        <f t="shared" si="88"/>
        <v>0</v>
      </c>
      <c r="AK204" s="73">
        <f t="shared" si="92"/>
        <v>329.16666666666669</v>
      </c>
      <c r="AO204" s="93"/>
    </row>
    <row r="205" spans="1:41" s="38" customFormat="1">
      <c r="A205" s="122" t="s">
        <v>863</v>
      </c>
      <c r="B205" s="94"/>
      <c r="C205" s="94"/>
      <c r="D205" s="135"/>
      <c r="E205" s="90"/>
      <c r="F205" s="88"/>
      <c r="G205" s="94"/>
      <c r="H205" s="87"/>
      <c r="I205" s="94"/>
      <c r="J205" s="123"/>
      <c r="K205" s="89"/>
      <c r="L205" s="90"/>
      <c r="M205" s="89"/>
      <c r="N205" s="141">
        <f t="shared" si="89"/>
        <v>0</v>
      </c>
      <c r="O205" s="142"/>
      <c r="P205" s="142"/>
      <c r="Q205" s="141">
        <f t="shared" si="68"/>
        <v>0</v>
      </c>
      <c r="R205" s="142"/>
      <c r="S205" s="142">
        <f t="shared" si="65"/>
        <v>0</v>
      </c>
      <c r="T205" s="142" t="s">
        <v>273</v>
      </c>
      <c r="U205" s="143">
        <v>3809.17</v>
      </c>
      <c r="V205" s="142" t="s">
        <v>274</v>
      </c>
      <c r="W205" s="148">
        <v>137.13</v>
      </c>
      <c r="X205" s="147" t="s">
        <v>277</v>
      </c>
      <c r="Y205" s="91">
        <f t="shared" si="66"/>
        <v>0</v>
      </c>
      <c r="Z205" s="90" t="s">
        <v>284</v>
      </c>
      <c r="AA205" s="91">
        <f t="shared" si="67"/>
        <v>0</v>
      </c>
      <c r="AB205" s="90" t="s">
        <v>285</v>
      </c>
      <c r="AC205" s="44">
        <f t="shared" si="91"/>
        <v>3946.3</v>
      </c>
      <c r="AD205" s="101"/>
      <c r="AE205" s="98">
        <v>6</v>
      </c>
      <c r="AF205" s="97">
        <f t="shared" si="93"/>
        <v>0</v>
      </c>
      <c r="AG205" s="97">
        <v>3809.17</v>
      </c>
      <c r="AH205" s="82">
        <f t="shared" si="94"/>
        <v>317.43083333333334</v>
      </c>
      <c r="AI205" s="105" t="s">
        <v>896</v>
      </c>
      <c r="AJ205" s="92">
        <f t="shared" si="88"/>
        <v>3946.3</v>
      </c>
      <c r="AK205" s="73">
        <f t="shared" si="92"/>
        <v>4263.7308333333331</v>
      </c>
    </row>
    <row r="206" spans="1:41" s="93" customFormat="1">
      <c r="A206" s="122" t="s">
        <v>864</v>
      </c>
      <c r="B206" s="42"/>
      <c r="C206" s="42"/>
      <c r="D206" s="134"/>
      <c r="E206" s="43"/>
      <c r="F206" s="74"/>
      <c r="G206" s="42"/>
      <c r="H206" s="42"/>
      <c r="I206" s="42"/>
      <c r="J206" s="123"/>
      <c r="K206" s="80"/>
      <c r="L206" s="43"/>
      <c r="M206" s="80"/>
      <c r="N206" s="141">
        <f t="shared" si="89"/>
        <v>0</v>
      </c>
      <c r="O206" s="142"/>
      <c r="P206" s="142"/>
      <c r="Q206" s="141">
        <f t="shared" si="68"/>
        <v>0</v>
      </c>
      <c r="R206" s="142"/>
      <c r="S206" s="142">
        <f t="shared" si="65"/>
        <v>0</v>
      </c>
      <c r="T206" s="142" t="s">
        <v>273</v>
      </c>
      <c r="U206" s="141">
        <f t="shared" si="87"/>
        <v>0</v>
      </c>
      <c r="V206" s="142" t="s">
        <v>274</v>
      </c>
      <c r="W206" s="146">
        <f t="shared" si="90"/>
        <v>0</v>
      </c>
      <c r="X206" s="147" t="s">
        <v>277</v>
      </c>
      <c r="Y206" s="45">
        <f t="shared" si="66"/>
        <v>0</v>
      </c>
      <c r="Z206" s="43" t="s">
        <v>284</v>
      </c>
      <c r="AA206" s="45">
        <f t="shared" si="67"/>
        <v>0</v>
      </c>
      <c r="AB206" s="43" t="s">
        <v>285</v>
      </c>
      <c r="AC206" s="44">
        <f t="shared" si="91"/>
        <v>0</v>
      </c>
      <c r="AD206" s="101"/>
      <c r="AE206" s="98">
        <v>6</v>
      </c>
      <c r="AF206" s="97">
        <f t="shared" si="93"/>
        <v>0</v>
      </c>
      <c r="AG206" s="97">
        <v>4743</v>
      </c>
      <c r="AH206" s="82">
        <f t="shared" si="94"/>
        <v>395.25</v>
      </c>
      <c r="AI206" s="98" t="s">
        <v>896</v>
      </c>
      <c r="AJ206" s="75">
        <f t="shared" si="88"/>
        <v>0</v>
      </c>
      <c r="AK206" s="73">
        <f t="shared" si="92"/>
        <v>395.25</v>
      </c>
      <c r="AO206" s="38"/>
    </row>
    <row r="207" spans="1:41" s="38" customFormat="1">
      <c r="A207" s="122" t="s">
        <v>865</v>
      </c>
      <c r="B207" s="86"/>
      <c r="C207" s="86"/>
      <c r="D207" s="134"/>
      <c r="E207" s="43"/>
      <c r="F207" s="74"/>
      <c r="G207" s="86"/>
      <c r="H207" s="42"/>
      <c r="I207" s="42"/>
      <c r="J207" s="123"/>
      <c r="K207" s="80"/>
      <c r="L207" s="43"/>
      <c r="M207" s="80"/>
      <c r="N207" s="141">
        <f t="shared" si="89"/>
        <v>0</v>
      </c>
      <c r="O207" s="142"/>
      <c r="P207" s="142"/>
      <c r="Q207" s="141">
        <f t="shared" si="68"/>
        <v>0</v>
      </c>
      <c r="R207" s="142"/>
      <c r="S207" s="142">
        <f t="shared" si="65"/>
        <v>0</v>
      </c>
      <c r="T207" s="142" t="s">
        <v>273</v>
      </c>
      <c r="U207" s="141">
        <f t="shared" si="87"/>
        <v>0</v>
      </c>
      <c r="V207" s="142" t="s">
        <v>274</v>
      </c>
      <c r="W207" s="146">
        <f t="shared" si="90"/>
        <v>0</v>
      </c>
      <c r="X207" s="147" t="s">
        <v>277</v>
      </c>
      <c r="Y207" s="45">
        <f t="shared" si="66"/>
        <v>0</v>
      </c>
      <c r="Z207" s="43" t="s">
        <v>284</v>
      </c>
      <c r="AA207" s="45">
        <f t="shared" si="67"/>
        <v>0</v>
      </c>
      <c r="AB207" s="43" t="s">
        <v>285</v>
      </c>
      <c r="AC207" s="44">
        <f t="shared" si="91"/>
        <v>0</v>
      </c>
      <c r="AD207" s="101"/>
      <c r="AE207" s="98">
        <v>6</v>
      </c>
      <c r="AF207" s="97">
        <f t="shared" si="93"/>
        <v>0</v>
      </c>
      <c r="AG207" s="97">
        <v>9000</v>
      </c>
      <c r="AH207" s="82">
        <f t="shared" si="94"/>
        <v>750</v>
      </c>
      <c r="AI207" s="98" t="s">
        <v>896</v>
      </c>
      <c r="AJ207" s="75">
        <f t="shared" si="88"/>
        <v>0</v>
      </c>
      <c r="AK207" s="73">
        <f t="shared" si="92"/>
        <v>750</v>
      </c>
      <c r="AO207" s="93"/>
    </row>
    <row r="208" spans="1:41" s="38" customFormat="1">
      <c r="A208" s="122" t="s">
        <v>866</v>
      </c>
      <c r="B208" s="87"/>
      <c r="C208" s="87"/>
      <c r="D208" s="135"/>
      <c r="E208" s="90"/>
      <c r="F208" s="88"/>
      <c r="G208" s="87"/>
      <c r="H208" s="87"/>
      <c r="I208" s="87"/>
      <c r="J208" s="123"/>
      <c r="K208" s="89"/>
      <c r="L208" s="90"/>
      <c r="M208" s="89"/>
      <c r="N208" s="141">
        <f t="shared" si="89"/>
        <v>0</v>
      </c>
      <c r="O208" s="142"/>
      <c r="P208" s="142"/>
      <c r="Q208" s="141">
        <f t="shared" si="68"/>
        <v>0</v>
      </c>
      <c r="R208" s="142"/>
      <c r="S208" s="142">
        <f t="shared" si="65"/>
        <v>0</v>
      </c>
      <c r="T208" s="142" t="s">
        <v>273</v>
      </c>
      <c r="U208" s="141">
        <f t="shared" si="87"/>
        <v>0</v>
      </c>
      <c r="V208" s="142" t="s">
        <v>274</v>
      </c>
      <c r="W208" s="146">
        <f t="shared" si="90"/>
        <v>0</v>
      </c>
      <c r="X208" s="147" t="s">
        <v>277</v>
      </c>
      <c r="Y208" s="91">
        <f t="shared" si="66"/>
        <v>0</v>
      </c>
      <c r="Z208" s="90" t="s">
        <v>284</v>
      </c>
      <c r="AA208" s="91">
        <f t="shared" si="67"/>
        <v>0</v>
      </c>
      <c r="AB208" s="90" t="s">
        <v>285</v>
      </c>
      <c r="AC208" s="44">
        <f t="shared" si="91"/>
        <v>0</v>
      </c>
      <c r="AD208" s="101"/>
      <c r="AE208" s="98">
        <v>6</v>
      </c>
      <c r="AF208" s="97">
        <f t="shared" si="93"/>
        <v>0</v>
      </c>
      <c r="AG208" s="97">
        <v>4571</v>
      </c>
      <c r="AH208" s="82">
        <f t="shared" si="94"/>
        <v>380.91666666666669</v>
      </c>
      <c r="AI208" s="105" t="s">
        <v>896</v>
      </c>
      <c r="AJ208" s="92">
        <f t="shared" si="88"/>
        <v>0</v>
      </c>
      <c r="AK208" s="73">
        <f t="shared" si="92"/>
        <v>380.91666666666669</v>
      </c>
    </row>
    <row r="209" spans="1:41" s="93" customFormat="1">
      <c r="A209" s="122" t="s">
        <v>867</v>
      </c>
      <c r="B209" s="42"/>
      <c r="C209" s="42"/>
      <c r="D209" s="134"/>
      <c r="E209" s="43"/>
      <c r="F209" s="74"/>
      <c r="G209" s="42"/>
      <c r="H209" s="42"/>
      <c r="I209" s="42"/>
      <c r="J209" s="123"/>
      <c r="K209" s="80"/>
      <c r="L209" s="43"/>
      <c r="M209" s="80"/>
      <c r="N209" s="141">
        <f t="shared" si="89"/>
        <v>0</v>
      </c>
      <c r="O209" s="142"/>
      <c r="P209" s="142"/>
      <c r="Q209" s="141">
        <f t="shared" si="68"/>
        <v>0</v>
      </c>
      <c r="R209" s="142"/>
      <c r="S209" s="142">
        <f t="shared" si="65"/>
        <v>0</v>
      </c>
      <c r="T209" s="142" t="s">
        <v>273</v>
      </c>
      <c r="U209" s="141">
        <f t="shared" si="87"/>
        <v>0</v>
      </c>
      <c r="V209" s="142" t="s">
        <v>274</v>
      </c>
      <c r="W209" s="146">
        <f t="shared" si="90"/>
        <v>0</v>
      </c>
      <c r="X209" s="147" t="s">
        <v>277</v>
      </c>
      <c r="Y209" s="45">
        <f t="shared" si="66"/>
        <v>0</v>
      </c>
      <c r="Z209" s="43" t="s">
        <v>284</v>
      </c>
      <c r="AA209" s="45">
        <f t="shared" si="67"/>
        <v>0</v>
      </c>
      <c r="AB209" s="43" t="s">
        <v>285</v>
      </c>
      <c r="AC209" s="44">
        <f t="shared" si="91"/>
        <v>0</v>
      </c>
      <c r="AD209" s="101"/>
      <c r="AE209" s="98">
        <v>6</v>
      </c>
      <c r="AF209" s="97">
        <f t="shared" si="93"/>
        <v>0</v>
      </c>
      <c r="AG209" s="97">
        <v>3800</v>
      </c>
      <c r="AH209" s="82">
        <f t="shared" si="94"/>
        <v>316.66666666666669</v>
      </c>
      <c r="AI209" s="98" t="s">
        <v>896</v>
      </c>
      <c r="AJ209" s="75">
        <f t="shared" si="88"/>
        <v>0</v>
      </c>
      <c r="AK209" s="73">
        <f t="shared" si="92"/>
        <v>316.66666666666669</v>
      </c>
      <c r="AO209" s="38"/>
    </row>
    <row r="210" spans="1:41" s="38" customFormat="1">
      <c r="A210" s="122" t="s">
        <v>868</v>
      </c>
      <c r="B210" s="42"/>
      <c r="C210" s="42"/>
      <c r="D210" s="134"/>
      <c r="E210" s="43"/>
      <c r="F210" s="74"/>
      <c r="G210" s="42"/>
      <c r="H210" s="42"/>
      <c r="I210" s="42"/>
      <c r="J210" s="123"/>
      <c r="K210" s="80"/>
      <c r="L210" s="43"/>
      <c r="M210" s="80"/>
      <c r="N210" s="141">
        <f t="shared" si="89"/>
        <v>0</v>
      </c>
      <c r="O210" s="142"/>
      <c r="P210" s="142"/>
      <c r="Q210" s="141">
        <f t="shared" si="68"/>
        <v>0</v>
      </c>
      <c r="R210" s="142"/>
      <c r="S210" s="142">
        <f t="shared" ref="S210:S248" si="98">IF($L$1="SI",400,0)</f>
        <v>0</v>
      </c>
      <c r="T210" s="142" t="s">
        <v>273</v>
      </c>
      <c r="U210" s="141">
        <f t="shared" si="87"/>
        <v>0</v>
      </c>
      <c r="V210" s="142" t="s">
        <v>274</v>
      </c>
      <c r="W210" s="146">
        <f t="shared" si="90"/>
        <v>0</v>
      </c>
      <c r="X210" s="147" t="s">
        <v>277</v>
      </c>
      <c r="Y210" s="45">
        <f t="shared" ref="Y210:Y245" si="99">IF(G210="RIMAC EPS EMPRESA PRESTADORA DE SALUD",((((K210*40%)+M210)*0.0675)*$D$1),((((K210*40%)+M210)*0.09))*$D$1)</f>
        <v>0</v>
      </c>
      <c r="Z210" s="43" t="s">
        <v>284</v>
      </c>
      <c r="AA210" s="45">
        <f t="shared" ref="AA210:AA245" si="100">IF(G210="RIMAC EPS EMPRESA PRESTADORA DE SALUD",((K210*40%)+M210)*0.0225*$D$1+Q210*0.0225,0)</f>
        <v>0</v>
      </c>
      <c r="AB210" s="43" t="s">
        <v>285</v>
      </c>
      <c r="AC210" s="44">
        <f t="shared" si="91"/>
        <v>0</v>
      </c>
      <c r="AD210" s="101"/>
      <c r="AE210" s="98">
        <v>6</v>
      </c>
      <c r="AF210" s="97">
        <f t="shared" si="93"/>
        <v>0</v>
      </c>
      <c r="AG210" s="97">
        <v>4650</v>
      </c>
      <c r="AH210" s="82">
        <f t="shared" si="94"/>
        <v>387.5</v>
      </c>
      <c r="AI210" s="98" t="s">
        <v>896</v>
      </c>
      <c r="AJ210" s="75">
        <f t="shared" si="88"/>
        <v>0</v>
      </c>
      <c r="AK210" s="73">
        <f t="shared" si="92"/>
        <v>387.5</v>
      </c>
      <c r="AO210" s="93"/>
    </row>
    <row r="211" spans="1:41" s="38" customFormat="1">
      <c r="A211" s="122" t="s">
        <v>869</v>
      </c>
      <c r="B211" s="42"/>
      <c r="C211" s="42"/>
      <c r="D211" s="134"/>
      <c r="E211" s="43"/>
      <c r="F211" s="74"/>
      <c r="G211" s="42"/>
      <c r="H211" s="42"/>
      <c r="I211" s="42"/>
      <c r="J211" s="123"/>
      <c r="K211" s="80"/>
      <c r="L211" s="43"/>
      <c r="M211" s="80"/>
      <c r="N211" s="141">
        <f t="shared" si="89"/>
        <v>0</v>
      </c>
      <c r="O211" s="142"/>
      <c r="P211" s="142"/>
      <c r="Q211" s="141">
        <f t="shared" ref="Q211:Q245" si="101">+P211*$D$1</f>
        <v>0</v>
      </c>
      <c r="R211" s="142"/>
      <c r="S211" s="142">
        <f t="shared" si="98"/>
        <v>0</v>
      </c>
      <c r="T211" s="142" t="s">
        <v>273</v>
      </c>
      <c r="U211" s="141">
        <f t="shared" si="87"/>
        <v>0</v>
      </c>
      <c r="V211" s="142" t="s">
        <v>274</v>
      </c>
      <c r="W211" s="146">
        <f t="shared" si="90"/>
        <v>0</v>
      </c>
      <c r="X211" s="147" t="s">
        <v>277</v>
      </c>
      <c r="Y211" s="45">
        <f t="shared" si="99"/>
        <v>0</v>
      </c>
      <c r="Z211" s="43" t="s">
        <v>284</v>
      </c>
      <c r="AA211" s="45">
        <f t="shared" si="100"/>
        <v>0</v>
      </c>
      <c r="AB211" s="43" t="s">
        <v>285</v>
      </c>
      <c r="AC211" s="44">
        <f t="shared" si="91"/>
        <v>0</v>
      </c>
      <c r="AD211" s="101"/>
      <c r="AE211" s="98">
        <v>6</v>
      </c>
      <c r="AF211" s="97">
        <f t="shared" si="93"/>
        <v>0</v>
      </c>
      <c r="AG211" s="97">
        <v>3893</v>
      </c>
      <c r="AH211" s="82">
        <f t="shared" si="94"/>
        <v>324.41666666666669</v>
      </c>
      <c r="AI211" s="98" t="s">
        <v>896</v>
      </c>
      <c r="AJ211" s="75">
        <f t="shared" si="88"/>
        <v>0</v>
      </c>
      <c r="AK211" s="73">
        <f t="shared" si="92"/>
        <v>324.41666666666669</v>
      </c>
    </row>
    <row r="212" spans="1:41" s="38" customFormat="1">
      <c r="A212" s="122" t="s">
        <v>870</v>
      </c>
      <c r="B212" s="94"/>
      <c r="C212" s="94"/>
      <c r="D212" s="135"/>
      <c r="E212" s="90"/>
      <c r="F212" s="88"/>
      <c r="G212" s="94"/>
      <c r="H212" s="94"/>
      <c r="I212" s="94"/>
      <c r="J212" s="123"/>
      <c r="K212" s="89"/>
      <c r="L212" s="90"/>
      <c r="M212" s="89"/>
      <c r="N212" s="141">
        <f t="shared" si="89"/>
        <v>0</v>
      </c>
      <c r="O212" s="142"/>
      <c r="P212" s="142"/>
      <c r="Q212" s="141">
        <f t="shared" ref="Q212" si="102">+P212*$D$1</f>
        <v>0</v>
      </c>
      <c r="R212" s="142"/>
      <c r="S212" s="142">
        <f t="shared" si="98"/>
        <v>0</v>
      </c>
      <c r="T212" s="142" t="s">
        <v>273</v>
      </c>
      <c r="U212" s="141">
        <f t="shared" si="87"/>
        <v>0</v>
      </c>
      <c r="V212" s="142" t="s">
        <v>274</v>
      </c>
      <c r="W212" s="146">
        <f t="shared" si="90"/>
        <v>0</v>
      </c>
      <c r="X212" s="147" t="s">
        <v>277</v>
      </c>
      <c r="Y212" s="91">
        <f t="shared" ref="Y212" si="103">IF(G212="RIMAC EPS EMPRESA PRESTADORA DE SALUD",((((K212*40%)+M212)*0.0675)*$D$1),((((K212*40%)+M212)*0.09))*$D$1)</f>
        <v>0</v>
      </c>
      <c r="Z212" s="90" t="s">
        <v>284</v>
      </c>
      <c r="AA212" s="91">
        <f t="shared" ref="AA212" si="104">IF(G212="RIMAC EPS EMPRESA PRESTADORA DE SALUD",((K212*40%)+M212)*0.0225*$D$1+Q212*0.0225,0)</f>
        <v>0</v>
      </c>
      <c r="AB212" s="90" t="s">
        <v>285</v>
      </c>
      <c r="AC212" s="44">
        <f t="shared" si="91"/>
        <v>0</v>
      </c>
      <c r="AD212" s="101"/>
      <c r="AE212" s="98">
        <v>6</v>
      </c>
      <c r="AF212" s="97">
        <f t="shared" si="93"/>
        <v>0</v>
      </c>
      <c r="AG212" s="97">
        <v>4571</v>
      </c>
      <c r="AH212" s="82">
        <f t="shared" si="94"/>
        <v>380.91666666666669</v>
      </c>
      <c r="AI212" s="105" t="s">
        <v>896</v>
      </c>
      <c r="AJ212" s="92">
        <f t="shared" si="88"/>
        <v>0</v>
      </c>
      <c r="AK212" s="73">
        <f t="shared" si="92"/>
        <v>380.91666666666669</v>
      </c>
    </row>
    <row r="213" spans="1:41" s="93" customFormat="1">
      <c r="A213" s="122" t="s">
        <v>871</v>
      </c>
      <c r="B213" s="42"/>
      <c r="C213" s="42"/>
      <c r="D213" s="134"/>
      <c r="E213" s="43"/>
      <c r="F213" s="74"/>
      <c r="G213" s="42"/>
      <c r="H213" s="42"/>
      <c r="I213" s="42"/>
      <c r="J213" s="123"/>
      <c r="K213" s="80"/>
      <c r="L213" s="43"/>
      <c r="M213" s="80"/>
      <c r="N213" s="141">
        <f t="shared" si="89"/>
        <v>0</v>
      </c>
      <c r="O213" s="142"/>
      <c r="P213" s="142"/>
      <c r="Q213" s="141">
        <f t="shared" si="101"/>
        <v>0</v>
      </c>
      <c r="R213" s="142"/>
      <c r="S213" s="142">
        <f t="shared" si="98"/>
        <v>0</v>
      </c>
      <c r="T213" s="142" t="s">
        <v>273</v>
      </c>
      <c r="U213" s="141">
        <f t="shared" si="87"/>
        <v>0</v>
      </c>
      <c r="V213" s="142" t="s">
        <v>274</v>
      </c>
      <c r="W213" s="146">
        <f t="shared" si="90"/>
        <v>0</v>
      </c>
      <c r="X213" s="147" t="s">
        <v>277</v>
      </c>
      <c r="Y213" s="45">
        <f t="shared" si="99"/>
        <v>0</v>
      </c>
      <c r="Z213" s="43" t="s">
        <v>284</v>
      </c>
      <c r="AA213" s="45">
        <f t="shared" si="100"/>
        <v>0</v>
      </c>
      <c r="AB213" s="43" t="s">
        <v>285</v>
      </c>
      <c r="AC213" s="44">
        <f t="shared" si="91"/>
        <v>0</v>
      </c>
      <c r="AD213" s="101"/>
      <c r="AE213" s="98">
        <v>6</v>
      </c>
      <c r="AF213" s="97">
        <f t="shared" si="93"/>
        <v>0</v>
      </c>
      <c r="AG213" s="97">
        <v>3800</v>
      </c>
      <c r="AH213" s="82">
        <f t="shared" si="94"/>
        <v>316.66666666666669</v>
      </c>
      <c r="AI213" s="98" t="s">
        <v>896</v>
      </c>
      <c r="AJ213" s="75">
        <f t="shared" si="88"/>
        <v>0</v>
      </c>
      <c r="AK213" s="73">
        <f t="shared" si="92"/>
        <v>316.66666666666669</v>
      </c>
      <c r="AO213" s="38"/>
    </row>
    <row r="214" spans="1:41" s="38" customFormat="1">
      <c r="A214" s="122" t="s">
        <v>872</v>
      </c>
      <c r="B214" s="87"/>
      <c r="C214" s="87"/>
      <c r="D214" s="135"/>
      <c r="E214" s="90"/>
      <c r="F214" s="88"/>
      <c r="G214" s="87"/>
      <c r="H214" s="87"/>
      <c r="I214" s="87"/>
      <c r="J214" s="123"/>
      <c r="K214" s="89"/>
      <c r="L214" s="90"/>
      <c r="M214" s="89"/>
      <c r="N214" s="141">
        <f t="shared" si="89"/>
        <v>0</v>
      </c>
      <c r="O214" s="142"/>
      <c r="P214" s="142"/>
      <c r="Q214" s="141">
        <f t="shared" si="101"/>
        <v>0</v>
      </c>
      <c r="R214" s="142"/>
      <c r="S214" s="142">
        <f t="shared" si="98"/>
        <v>0</v>
      </c>
      <c r="T214" s="142" t="s">
        <v>273</v>
      </c>
      <c r="U214" s="141">
        <f t="shared" si="87"/>
        <v>0</v>
      </c>
      <c r="V214" s="142" t="s">
        <v>274</v>
      </c>
      <c r="W214" s="146">
        <f t="shared" si="90"/>
        <v>0</v>
      </c>
      <c r="X214" s="147" t="s">
        <v>277</v>
      </c>
      <c r="Y214" s="91">
        <f t="shared" si="99"/>
        <v>0</v>
      </c>
      <c r="Z214" s="90" t="s">
        <v>284</v>
      </c>
      <c r="AA214" s="91">
        <f t="shared" si="100"/>
        <v>0</v>
      </c>
      <c r="AB214" s="90" t="s">
        <v>285</v>
      </c>
      <c r="AC214" s="44">
        <f t="shared" si="91"/>
        <v>0</v>
      </c>
      <c r="AD214" s="101"/>
      <c r="AE214" s="98">
        <v>6</v>
      </c>
      <c r="AF214" s="97">
        <f t="shared" si="93"/>
        <v>0</v>
      </c>
      <c r="AG214" s="97">
        <v>4571</v>
      </c>
      <c r="AH214" s="82">
        <f t="shared" si="94"/>
        <v>380.91666666666669</v>
      </c>
      <c r="AI214" s="105" t="s">
        <v>896</v>
      </c>
      <c r="AJ214" s="92">
        <f t="shared" si="88"/>
        <v>0</v>
      </c>
      <c r="AK214" s="73">
        <f t="shared" si="92"/>
        <v>380.91666666666669</v>
      </c>
      <c r="AO214" s="93"/>
    </row>
    <row r="215" spans="1:41" s="93" customFormat="1">
      <c r="A215" s="122" t="s">
        <v>873</v>
      </c>
      <c r="B215" s="42"/>
      <c r="C215" s="42"/>
      <c r="D215" s="134"/>
      <c r="E215" s="43"/>
      <c r="F215" s="74"/>
      <c r="G215" s="42"/>
      <c r="H215" s="42"/>
      <c r="I215" s="42"/>
      <c r="J215" s="123"/>
      <c r="K215" s="80"/>
      <c r="L215" s="43"/>
      <c r="M215" s="80"/>
      <c r="N215" s="141">
        <f t="shared" si="89"/>
        <v>0</v>
      </c>
      <c r="O215" s="142"/>
      <c r="P215" s="142"/>
      <c r="Q215" s="141">
        <f t="shared" si="101"/>
        <v>0</v>
      </c>
      <c r="R215" s="142"/>
      <c r="S215" s="142">
        <f t="shared" si="98"/>
        <v>0</v>
      </c>
      <c r="T215" s="142" t="s">
        <v>273</v>
      </c>
      <c r="U215" s="141">
        <f t="shared" si="87"/>
        <v>0</v>
      </c>
      <c r="V215" s="142" t="s">
        <v>274</v>
      </c>
      <c r="W215" s="146">
        <f t="shared" si="90"/>
        <v>0</v>
      </c>
      <c r="X215" s="147" t="s">
        <v>277</v>
      </c>
      <c r="Y215" s="45">
        <f t="shared" si="99"/>
        <v>0</v>
      </c>
      <c r="Z215" s="43" t="s">
        <v>284</v>
      </c>
      <c r="AA215" s="45">
        <f t="shared" si="100"/>
        <v>0</v>
      </c>
      <c r="AB215" s="43" t="s">
        <v>285</v>
      </c>
      <c r="AC215" s="44">
        <f t="shared" si="91"/>
        <v>0</v>
      </c>
      <c r="AD215" s="101"/>
      <c r="AE215" s="98">
        <v>6</v>
      </c>
      <c r="AF215" s="97">
        <f t="shared" si="93"/>
        <v>0</v>
      </c>
      <c r="AG215" s="97">
        <v>3893</v>
      </c>
      <c r="AH215" s="82">
        <f t="shared" si="94"/>
        <v>324.41666666666669</v>
      </c>
      <c r="AI215" s="98" t="s">
        <v>896</v>
      </c>
      <c r="AJ215" s="75">
        <f t="shared" si="88"/>
        <v>0</v>
      </c>
      <c r="AK215" s="73">
        <f t="shared" si="92"/>
        <v>324.41666666666669</v>
      </c>
      <c r="AO215" s="38"/>
    </row>
    <row r="216" spans="1:41" s="38" customFormat="1">
      <c r="A216" s="122" t="s">
        <v>874</v>
      </c>
      <c r="B216" s="42"/>
      <c r="C216" s="42"/>
      <c r="D216" s="134"/>
      <c r="E216" s="43"/>
      <c r="F216" s="74"/>
      <c r="G216" s="42"/>
      <c r="H216" s="42"/>
      <c r="I216" s="42"/>
      <c r="J216" s="123"/>
      <c r="K216" s="80"/>
      <c r="L216" s="43"/>
      <c r="M216" s="80"/>
      <c r="N216" s="141">
        <f t="shared" si="89"/>
        <v>0</v>
      </c>
      <c r="O216" s="142"/>
      <c r="P216" s="142"/>
      <c r="Q216" s="141">
        <f t="shared" si="101"/>
        <v>0</v>
      </c>
      <c r="R216" s="142"/>
      <c r="S216" s="142">
        <f t="shared" si="98"/>
        <v>0</v>
      </c>
      <c r="T216" s="142" t="s">
        <v>273</v>
      </c>
      <c r="U216" s="141">
        <f t="shared" si="87"/>
        <v>0</v>
      </c>
      <c r="V216" s="142" t="s">
        <v>274</v>
      </c>
      <c r="W216" s="146">
        <f t="shared" si="90"/>
        <v>0</v>
      </c>
      <c r="X216" s="147" t="s">
        <v>277</v>
      </c>
      <c r="Y216" s="45">
        <f t="shared" si="99"/>
        <v>0</v>
      </c>
      <c r="Z216" s="43" t="s">
        <v>284</v>
      </c>
      <c r="AA216" s="45">
        <f t="shared" si="100"/>
        <v>0</v>
      </c>
      <c r="AB216" s="43" t="s">
        <v>285</v>
      </c>
      <c r="AC216" s="44">
        <f t="shared" si="91"/>
        <v>0</v>
      </c>
      <c r="AD216" s="101"/>
      <c r="AE216" s="98">
        <v>6</v>
      </c>
      <c r="AF216" s="97">
        <f t="shared" si="93"/>
        <v>0</v>
      </c>
      <c r="AG216" s="97">
        <v>3800</v>
      </c>
      <c r="AH216" s="82">
        <f t="shared" si="94"/>
        <v>316.66666666666669</v>
      </c>
      <c r="AI216" s="98" t="s">
        <v>896</v>
      </c>
      <c r="AJ216" s="75">
        <f t="shared" si="88"/>
        <v>0</v>
      </c>
      <c r="AK216" s="73">
        <f t="shared" si="92"/>
        <v>316.66666666666669</v>
      </c>
      <c r="AO216" s="93"/>
    </row>
    <row r="217" spans="1:41" s="38" customFormat="1">
      <c r="A217" s="122" t="s">
        <v>875</v>
      </c>
      <c r="B217" s="86"/>
      <c r="C217" s="86"/>
      <c r="D217" s="134"/>
      <c r="E217" s="43"/>
      <c r="F217" s="74"/>
      <c r="G217" s="86"/>
      <c r="H217" s="86"/>
      <c r="I217" s="86"/>
      <c r="J217" s="123"/>
      <c r="K217" s="80"/>
      <c r="L217" s="43"/>
      <c r="M217" s="80"/>
      <c r="N217" s="141">
        <f t="shared" si="89"/>
        <v>0</v>
      </c>
      <c r="O217" s="142"/>
      <c r="P217" s="142"/>
      <c r="Q217" s="141">
        <f t="shared" si="101"/>
        <v>0</v>
      </c>
      <c r="R217" s="142"/>
      <c r="S217" s="142">
        <f t="shared" si="98"/>
        <v>0</v>
      </c>
      <c r="T217" s="142" t="s">
        <v>273</v>
      </c>
      <c r="U217" s="143">
        <v>3809.17</v>
      </c>
      <c r="V217" s="142" t="s">
        <v>274</v>
      </c>
      <c r="W217" s="148">
        <v>137.13</v>
      </c>
      <c r="X217" s="147" t="s">
        <v>277</v>
      </c>
      <c r="Y217" s="45">
        <f t="shared" si="99"/>
        <v>0</v>
      </c>
      <c r="Z217" s="43" t="s">
        <v>284</v>
      </c>
      <c r="AA217" s="45">
        <f t="shared" si="100"/>
        <v>0</v>
      </c>
      <c r="AB217" s="43" t="s">
        <v>285</v>
      </c>
      <c r="AC217" s="44">
        <f t="shared" si="91"/>
        <v>3946.3</v>
      </c>
      <c r="AD217" s="101"/>
      <c r="AE217" s="98">
        <v>6</v>
      </c>
      <c r="AF217" s="97">
        <f t="shared" si="93"/>
        <v>0</v>
      </c>
      <c r="AG217" s="97">
        <v>3809.17</v>
      </c>
      <c r="AH217" s="82">
        <f t="shared" si="94"/>
        <v>317.43083333333334</v>
      </c>
      <c r="AI217" s="98" t="s">
        <v>896</v>
      </c>
      <c r="AJ217" s="75">
        <f t="shared" si="88"/>
        <v>3946.3</v>
      </c>
      <c r="AK217" s="73">
        <f t="shared" si="92"/>
        <v>4263.7308333333331</v>
      </c>
    </row>
    <row r="218" spans="1:41" s="38" customFormat="1">
      <c r="A218" s="122" t="s">
        <v>876</v>
      </c>
      <c r="B218" s="94"/>
      <c r="C218" s="94"/>
      <c r="D218" s="135"/>
      <c r="E218" s="90"/>
      <c r="F218" s="88"/>
      <c r="G218" s="94"/>
      <c r="H218" s="94"/>
      <c r="I218" s="94"/>
      <c r="J218" s="123"/>
      <c r="K218" s="89"/>
      <c r="L218" s="90"/>
      <c r="M218" s="89"/>
      <c r="N218" s="141">
        <f t="shared" si="89"/>
        <v>0</v>
      </c>
      <c r="O218" s="142"/>
      <c r="P218" s="142"/>
      <c r="Q218" s="141">
        <f t="shared" ref="Q218" si="105">+P218*$D$1</f>
        <v>0</v>
      </c>
      <c r="R218" s="142"/>
      <c r="S218" s="142">
        <f t="shared" si="98"/>
        <v>0</v>
      </c>
      <c r="T218" s="142" t="s">
        <v>273</v>
      </c>
      <c r="U218" s="141">
        <f t="shared" si="87"/>
        <v>0</v>
      </c>
      <c r="V218" s="142" t="s">
        <v>274</v>
      </c>
      <c r="W218" s="146">
        <f t="shared" si="90"/>
        <v>0</v>
      </c>
      <c r="X218" s="147" t="s">
        <v>277</v>
      </c>
      <c r="Y218" s="91">
        <f t="shared" ref="Y218" si="106">IF(G218="RIMAC EPS EMPRESA PRESTADORA DE SALUD",((((K218*40%)+M218)*0.0675)*$D$1),((((K218*40%)+M218)*0.09))*$D$1)</f>
        <v>0</v>
      </c>
      <c r="Z218" s="90" t="s">
        <v>284</v>
      </c>
      <c r="AA218" s="91">
        <f t="shared" ref="AA218" si="107">IF(G218="RIMAC EPS EMPRESA PRESTADORA DE SALUD",((K218*40%)+M218)*0.0225*$D$1+Q218*0.0225,0)</f>
        <v>0</v>
      </c>
      <c r="AB218" s="90" t="s">
        <v>285</v>
      </c>
      <c r="AC218" s="44">
        <f t="shared" si="91"/>
        <v>0</v>
      </c>
      <c r="AD218" s="101"/>
      <c r="AE218" s="98">
        <v>6</v>
      </c>
      <c r="AF218" s="97">
        <f t="shared" si="93"/>
        <v>0</v>
      </c>
      <c r="AG218" s="97">
        <v>4571</v>
      </c>
      <c r="AH218" s="82">
        <f t="shared" si="94"/>
        <v>380.91666666666669</v>
      </c>
      <c r="AI218" s="105" t="s">
        <v>896</v>
      </c>
      <c r="AJ218" s="92">
        <f t="shared" si="88"/>
        <v>0</v>
      </c>
      <c r="AK218" s="73">
        <f t="shared" si="92"/>
        <v>380.91666666666669</v>
      </c>
    </row>
    <row r="219" spans="1:41" s="93" customFormat="1">
      <c r="A219" s="122" t="s">
        <v>877</v>
      </c>
      <c r="B219" s="42"/>
      <c r="C219" s="42"/>
      <c r="D219" s="134"/>
      <c r="E219" s="43"/>
      <c r="F219" s="74"/>
      <c r="G219" s="42"/>
      <c r="H219" s="42"/>
      <c r="I219" s="42"/>
      <c r="J219" s="123"/>
      <c r="K219" s="80"/>
      <c r="L219" s="43"/>
      <c r="M219" s="80"/>
      <c r="N219" s="141">
        <f t="shared" si="89"/>
        <v>0</v>
      </c>
      <c r="O219" s="142"/>
      <c r="P219" s="142"/>
      <c r="Q219" s="141">
        <f t="shared" si="101"/>
        <v>0</v>
      </c>
      <c r="R219" s="142"/>
      <c r="S219" s="142">
        <f t="shared" si="98"/>
        <v>0</v>
      </c>
      <c r="T219" s="142" t="s">
        <v>273</v>
      </c>
      <c r="U219" s="141">
        <f t="shared" si="87"/>
        <v>0</v>
      </c>
      <c r="V219" s="142" t="s">
        <v>274</v>
      </c>
      <c r="W219" s="146">
        <f t="shared" si="90"/>
        <v>0</v>
      </c>
      <c r="X219" s="147" t="s">
        <v>277</v>
      </c>
      <c r="Y219" s="45">
        <f t="shared" si="99"/>
        <v>0</v>
      </c>
      <c r="Z219" s="43" t="s">
        <v>284</v>
      </c>
      <c r="AA219" s="45">
        <f t="shared" si="100"/>
        <v>0</v>
      </c>
      <c r="AB219" s="43" t="s">
        <v>285</v>
      </c>
      <c r="AC219" s="44">
        <f t="shared" si="91"/>
        <v>0</v>
      </c>
      <c r="AD219" s="101"/>
      <c r="AE219" s="98">
        <v>6</v>
      </c>
      <c r="AF219" s="97">
        <f t="shared" si="93"/>
        <v>0</v>
      </c>
      <c r="AG219" s="97">
        <v>3800</v>
      </c>
      <c r="AH219" s="82">
        <f t="shared" si="94"/>
        <v>316.66666666666669</v>
      </c>
      <c r="AI219" s="98" t="s">
        <v>896</v>
      </c>
      <c r="AJ219" s="75">
        <f t="shared" si="88"/>
        <v>0</v>
      </c>
      <c r="AK219" s="73">
        <f t="shared" si="92"/>
        <v>316.66666666666669</v>
      </c>
      <c r="AO219" s="38"/>
    </row>
    <row r="220" spans="1:41" s="38" customFormat="1">
      <c r="A220" s="122" t="s">
        <v>878</v>
      </c>
      <c r="B220" s="42"/>
      <c r="C220" s="42"/>
      <c r="D220" s="134"/>
      <c r="E220" s="43"/>
      <c r="F220" s="74"/>
      <c r="G220" s="42"/>
      <c r="H220" s="42"/>
      <c r="I220" s="42"/>
      <c r="J220" s="123"/>
      <c r="K220" s="80"/>
      <c r="L220" s="43"/>
      <c r="M220" s="80"/>
      <c r="N220" s="141">
        <f t="shared" si="89"/>
        <v>0</v>
      </c>
      <c r="O220" s="142"/>
      <c r="P220" s="142"/>
      <c r="Q220" s="141">
        <f t="shared" si="101"/>
        <v>0</v>
      </c>
      <c r="R220" s="142"/>
      <c r="S220" s="142">
        <f t="shared" si="98"/>
        <v>0</v>
      </c>
      <c r="T220" s="142" t="s">
        <v>273</v>
      </c>
      <c r="U220" s="141">
        <f t="shared" si="87"/>
        <v>0</v>
      </c>
      <c r="V220" s="142" t="s">
        <v>274</v>
      </c>
      <c r="W220" s="146">
        <f t="shared" si="90"/>
        <v>0</v>
      </c>
      <c r="X220" s="147" t="s">
        <v>277</v>
      </c>
      <c r="Y220" s="45">
        <f t="shared" si="99"/>
        <v>0</v>
      </c>
      <c r="Z220" s="43" t="s">
        <v>284</v>
      </c>
      <c r="AA220" s="45">
        <f t="shared" si="100"/>
        <v>0</v>
      </c>
      <c r="AB220" s="43" t="s">
        <v>285</v>
      </c>
      <c r="AC220" s="44">
        <f t="shared" si="91"/>
        <v>0</v>
      </c>
      <c r="AD220" s="101"/>
      <c r="AE220" s="98">
        <v>6</v>
      </c>
      <c r="AF220" s="97">
        <f t="shared" si="93"/>
        <v>0</v>
      </c>
      <c r="AG220" s="97">
        <v>5950</v>
      </c>
      <c r="AH220" s="82">
        <f t="shared" si="94"/>
        <v>495.83333333333331</v>
      </c>
      <c r="AI220" s="98" t="s">
        <v>896</v>
      </c>
      <c r="AJ220" s="75">
        <f t="shared" si="88"/>
        <v>0</v>
      </c>
      <c r="AK220" s="73">
        <f t="shared" si="92"/>
        <v>495.83333333333331</v>
      </c>
      <c r="AO220" s="93"/>
    </row>
    <row r="221" spans="1:41" s="38" customFormat="1">
      <c r="A221" s="122" t="s">
        <v>879</v>
      </c>
      <c r="B221" s="42"/>
      <c r="C221" s="42"/>
      <c r="D221" s="134"/>
      <c r="E221" s="43"/>
      <c r="F221" s="74"/>
      <c r="G221" s="42"/>
      <c r="H221" s="42"/>
      <c r="I221" s="42"/>
      <c r="J221" s="123"/>
      <c r="K221" s="80"/>
      <c r="L221" s="43"/>
      <c r="M221" s="80"/>
      <c r="N221" s="141">
        <f t="shared" si="89"/>
        <v>0</v>
      </c>
      <c r="O221" s="142"/>
      <c r="P221" s="142"/>
      <c r="Q221" s="141">
        <f t="shared" si="101"/>
        <v>0</v>
      </c>
      <c r="R221" s="142"/>
      <c r="S221" s="142">
        <f t="shared" si="98"/>
        <v>0</v>
      </c>
      <c r="T221" s="142" t="s">
        <v>273</v>
      </c>
      <c r="U221" s="141">
        <f t="shared" si="87"/>
        <v>0</v>
      </c>
      <c r="V221" s="142" t="s">
        <v>274</v>
      </c>
      <c r="W221" s="146">
        <f t="shared" si="90"/>
        <v>0</v>
      </c>
      <c r="X221" s="147" t="s">
        <v>277</v>
      </c>
      <c r="Y221" s="45">
        <f t="shared" si="99"/>
        <v>0</v>
      </c>
      <c r="Z221" s="43" t="s">
        <v>284</v>
      </c>
      <c r="AA221" s="45">
        <f t="shared" si="100"/>
        <v>0</v>
      </c>
      <c r="AB221" s="43" t="s">
        <v>285</v>
      </c>
      <c r="AC221" s="44">
        <f t="shared" si="91"/>
        <v>0</v>
      </c>
      <c r="AD221" s="101"/>
      <c r="AE221" s="98">
        <v>6</v>
      </c>
      <c r="AF221" s="97">
        <f t="shared" si="93"/>
        <v>0</v>
      </c>
      <c r="AG221" s="97">
        <v>4571</v>
      </c>
      <c r="AH221" s="82">
        <f t="shared" si="94"/>
        <v>380.91666666666669</v>
      </c>
      <c r="AI221" s="98" t="s">
        <v>896</v>
      </c>
      <c r="AJ221" s="75">
        <f t="shared" si="88"/>
        <v>0</v>
      </c>
      <c r="AK221" s="73">
        <f t="shared" si="92"/>
        <v>380.91666666666669</v>
      </c>
    </row>
    <row r="222" spans="1:41" s="38" customFormat="1">
      <c r="A222" s="122" t="s">
        <v>903</v>
      </c>
      <c r="B222" s="42"/>
      <c r="C222" s="42"/>
      <c r="D222" s="134"/>
      <c r="E222" s="43"/>
      <c r="F222" s="74"/>
      <c r="G222" s="42"/>
      <c r="H222" s="42"/>
      <c r="I222" s="42"/>
      <c r="J222" s="123"/>
      <c r="K222" s="80"/>
      <c r="L222" s="43"/>
      <c r="M222" s="80"/>
      <c r="N222" s="141">
        <f t="shared" si="89"/>
        <v>0</v>
      </c>
      <c r="O222" s="142"/>
      <c r="P222" s="142"/>
      <c r="Q222" s="141">
        <f t="shared" si="101"/>
        <v>0</v>
      </c>
      <c r="R222" s="142"/>
      <c r="S222" s="142">
        <f t="shared" si="98"/>
        <v>0</v>
      </c>
      <c r="T222" s="142" t="s">
        <v>273</v>
      </c>
      <c r="U222" s="141">
        <f t="shared" si="87"/>
        <v>0</v>
      </c>
      <c r="V222" s="142" t="s">
        <v>274</v>
      </c>
      <c r="W222" s="146">
        <f t="shared" si="90"/>
        <v>0</v>
      </c>
      <c r="X222" s="147" t="s">
        <v>277</v>
      </c>
      <c r="Y222" s="45">
        <f t="shared" si="99"/>
        <v>0</v>
      </c>
      <c r="Z222" s="43" t="s">
        <v>284</v>
      </c>
      <c r="AA222" s="45">
        <f t="shared" si="100"/>
        <v>0</v>
      </c>
      <c r="AB222" s="43" t="s">
        <v>285</v>
      </c>
      <c r="AC222" s="44">
        <f t="shared" si="91"/>
        <v>0</v>
      </c>
      <c r="AD222" s="101"/>
      <c r="AE222" s="98">
        <v>6</v>
      </c>
      <c r="AF222" s="97">
        <f t="shared" si="93"/>
        <v>0</v>
      </c>
      <c r="AG222" s="97">
        <v>4571</v>
      </c>
      <c r="AH222" s="82">
        <f t="shared" si="94"/>
        <v>380.91666666666669</v>
      </c>
      <c r="AI222" s="98" t="s">
        <v>896</v>
      </c>
      <c r="AJ222" s="75">
        <f t="shared" si="88"/>
        <v>0</v>
      </c>
      <c r="AK222" s="73">
        <f t="shared" si="92"/>
        <v>380.91666666666669</v>
      </c>
    </row>
    <row r="223" spans="1:41" s="38" customFormat="1">
      <c r="A223" s="122" t="s">
        <v>904</v>
      </c>
      <c r="B223" s="42"/>
      <c r="C223" s="42"/>
      <c r="D223" s="134"/>
      <c r="E223" s="43"/>
      <c r="F223" s="74"/>
      <c r="G223" s="42"/>
      <c r="H223" s="42"/>
      <c r="I223" s="42"/>
      <c r="J223" s="123"/>
      <c r="K223" s="80"/>
      <c r="L223" s="43"/>
      <c r="M223" s="80"/>
      <c r="N223" s="141">
        <f t="shared" si="89"/>
        <v>0</v>
      </c>
      <c r="O223" s="142"/>
      <c r="P223" s="142"/>
      <c r="Q223" s="141">
        <f t="shared" si="101"/>
        <v>0</v>
      </c>
      <c r="R223" s="142"/>
      <c r="S223" s="142">
        <f t="shared" si="98"/>
        <v>0</v>
      </c>
      <c r="T223" s="142" t="s">
        <v>273</v>
      </c>
      <c r="U223" s="141">
        <f t="shared" si="87"/>
        <v>0</v>
      </c>
      <c r="V223" s="142" t="s">
        <v>274</v>
      </c>
      <c r="W223" s="146">
        <f t="shared" si="90"/>
        <v>0</v>
      </c>
      <c r="X223" s="147" t="s">
        <v>277</v>
      </c>
      <c r="Y223" s="45">
        <f t="shared" si="99"/>
        <v>0</v>
      </c>
      <c r="Z223" s="43" t="s">
        <v>284</v>
      </c>
      <c r="AA223" s="45">
        <f t="shared" si="100"/>
        <v>0</v>
      </c>
      <c r="AB223" s="43" t="s">
        <v>285</v>
      </c>
      <c r="AC223" s="44">
        <f t="shared" si="91"/>
        <v>0</v>
      </c>
      <c r="AD223" s="101"/>
      <c r="AE223" s="98">
        <v>6</v>
      </c>
      <c r="AF223" s="97">
        <f t="shared" si="93"/>
        <v>0</v>
      </c>
      <c r="AG223" s="97">
        <v>5950</v>
      </c>
      <c r="AH223" s="82">
        <f t="shared" si="94"/>
        <v>495.83333333333331</v>
      </c>
      <c r="AI223" s="98" t="s">
        <v>896</v>
      </c>
      <c r="AJ223" s="75">
        <f t="shared" si="88"/>
        <v>0</v>
      </c>
      <c r="AK223" s="73">
        <f t="shared" si="92"/>
        <v>495.83333333333331</v>
      </c>
    </row>
    <row r="224" spans="1:41" s="38" customFormat="1">
      <c r="A224" s="122" t="s">
        <v>905</v>
      </c>
      <c r="B224" s="94"/>
      <c r="C224" s="94"/>
      <c r="D224" s="135"/>
      <c r="E224" s="90"/>
      <c r="F224" s="88"/>
      <c r="G224" s="87"/>
      <c r="H224" s="87"/>
      <c r="I224" s="87"/>
      <c r="J224" s="123"/>
      <c r="K224" s="89"/>
      <c r="L224" s="90"/>
      <c r="M224" s="89"/>
      <c r="N224" s="141">
        <f t="shared" si="89"/>
        <v>0</v>
      </c>
      <c r="O224" s="142"/>
      <c r="P224" s="142"/>
      <c r="Q224" s="141">
        <f t="shared" si="101"/>
        <v>0</v>
      </c>
      <c r="R224" s="142"/>
      <c r="S224" s="142">
        <f t="shared" si="98"/>
        <v>0</v>
      </c>
      <c r="T224" s="142" t="s">
        <v>273</v>
      </c>
      <c r="U224" s="141">
        <f t="shared" si="87"/>
        <v>0</v>
      </c>
      <c r="V224" s="142" t="s">
        <v>274</v>
      </c>
      <c r="W224" s="146">
        <f t="shared" si="90"/>
        <v>0</v>
      </c>
      <c r="X224" s="147" t="s">
        <v>277</v>
      </c>
      <c r="Y224" s="91">
        <f t="shared" si="99"/>
        <v>0</v>
      </c>
      <c r="Z224" s="90" t="s">
        <v>284</v>
      </c>
      <c r="AA224" s="91">
        <f t="shared" si="100"/>
        <v>0</v>
      </c>
      <c r="AB224" s="90" t="s">
        <v>285</v>
      </c>
      <c r="AC224" s="44">
        <f t="shared" si="91"/>
        <v>0</v>
      </c>
      <c r="AD224" s="101"/>
      <c r="AE224" s="98">
        <v>6</v>
      </c>
      <c r="AF224" s="97">
        <f t="shared" si="93"/>
        <v>0</v>
      </c>
      <c r="AG224" s="97">
        <v>3800</v>
      </c>
      <c r="AH224" s="82">
        <f t="shared" si="94"/>
        <v>316.66666666666669</v>
      </c>
      <c r="AI224" s="105" t="s">
        <v>896</v>
      </c>
      <c r="AJ224" s="92">
        <f t="shared" si="88"/>
        <v>0</v>
      </c>
      <c r="AK224" s="73">
        <f t="shared" si="92"/>
        <v>316.66666666666669</v>
      </c>
    </row>
    <row r="225" spans="1:41" s="93" customFormat="1">
      <c r="A225" s="122" t="s">
        <v>906</v>
      </c>
      <c r="B225" s="87"/>
      <c r="C225" s="87"/>
      <c r="D225" s="135"/>
      <c r="E225" s="90"/>
      <c r="F225" s="88"/>
      <c r="G225" s="87"/>
      <c r="H225" s="87"/>
      <c r="I225" s="87"/>
      <c r="J225" s="123"/>
      <c r="K225" s="89"/>
      <c r="L225" s="90"/>
      <c r="M225" s="89"/>
      <c r="N225" s="141">
        <f t="shared" si="89"/>
        <v>0</v>
      </c>
      <c r="O225" s="142"/>
      <c r="P225" s="142"/>
      <c r="Q225" s="141">
        <f t="shared" si="101"/>
        <v>0</v>
      </c>
      <c r="R225" s="142"/>
      <c r="S225" s="142">
        <f t="shared" si="98"/>
        <v>0</v>
      </c>
      <c r="T225" s="142" t="s">
        <v>273</v>
      </c>
      <c r="U225" s="141">
        <f t="shared" si="87"/>
        <v>0</v>
      </c>
      <c r="V225" s="142" t="s">
        <v>274</v>
      </c>
      <c r="W225" s="146">
        <f t="shared" si="90"/>
        <v>0</v>
      </c>
      <c r="X225" s="147" t="s">
        <v>277</v>
      </c>
      <c r="Y225" s="91">
        <f t="shared" si="99"/>
        <v>0</v>
      </c>
      <c r="Z225" s="90" t="s">
        <v>284</v>
      </c>
      <c r="AA225" s="91">
        <f t="shared" si="100"/>
        <v>0</v>
      </c>
      <c r="AB225" s="90" t="s">
        <v>285</v>
      </c>
      <c r="AC225" s="44">
        <f t="shared" si="91"/>
        <v>0</v>
      </c>
      <c r="AD225" s="101"/>
      <c r="AE225" s="98">
        <v>6</v>
      </c>
      <c r="AF225" s="97">
        <f t="shared" si="93"/>
        <v>0</v>
      </c>
      <c r="AG225" s="97">
        <v>4571</v>
      </c>
      <c r="AH225" s="82">
        <f t="shared" si="94"/>
        <v>380.91666666666669</v>
      </c>
      <c r="AI225" s="105" t="s">
        <v>896</v>
      </c>
      <c r="AJ225" s="92">
        <f t="shared" si="88"/>
        <v>0</v>
      </c>
      <c r="AK225" s="73">
        <f t="shared" si="92"/>
        <v>380.91666666666669</v>
      </c>
      <c r="AO225" s="38"/>
    </row>
    <row r="226" spans="1:41" s="93" customFormat="1">
      <c r="A226" s="122" t="s">
        <v>907</v>
      </c>
      <c r="B226" s="42"/>
      <c r="C226" s="42"/>
      <c r="D226" s="134"/>
      <c r="E226" s="43"/>
      <c r="F226" s="74"/>
      <c r="G226" s="42"/>
      <c r="H226" s="42"/>
      <c r="I226" s="42"/>
      <c r="J226" s="123"/>
      <c r="K226" s="80"/>
      <c r="L226" s="43"/>
      <c r="M226" s="80"/>
      <c r="N226" s="141">
        <f t="shared" si="89"/>
        <v>0</v>
      </c>
      <c r="O226" s="142"/>
      <c r="P226" s="142"/>
      <c r="Q226" s="141">
        <f t="shared" si="101"/>
        <v>0</v>
      </c>
      <c r="R226" s="142"/>
      <c r="S226" s="142">
        <f t="shared" si="98"/>
        <v>0</v>
      </c>
      <c r="T226" s="142" t="s">
        <v>273</v>
      </c>
      <c r="U226" s="141">
        <f t="shared" si="87"/>
        <v>0</v>
      </c>
      <c r="V226" s="142" t="s">
        <v>274</v>
      </c>
      <c r="W226" s="146">
        <f t="shared" si="90"/>
        <v>0</v>
      </c>
      <c r="X226" s="147" t="s">
        <v>277</v>
      </c>
      <c r="Y226" s="45">
        <f t="shared" si="99"/>
        <v>0</v>
      </c>
      <c r="Z226" s="43" t="s">
        <v>284</v>
      </c>
      <c r="AA226" s="45">
        <f t="shared" si="100"/>
        <v>0</v>
      </c>
      <c r="AB226" s="43" t="s">
        <v>285</v>
      </c>
      <c r="AC226" s="44">
        <f t="shared" si="91"/>
        <v>0</v>
      </c>
      <c r="AD226" s="101"/>
      <c r="AE226" s="98">
        <v>6</v>
      </c>
      <c r="AF226" s="97">
        <f t="shared" si="93"/>
        <v>0</v>
      </c>
      <c r="AG226" s="97">
        <v>3800</v>
      </c>
      <c r="AH226" s="82">
        <f t="shared" si="94"/>
        <v>316.66666666666669</v>
      </c>
      <c r="AI226" s="98" t="s">
        <v>896</v>
      </c>
      <c r="AJ226" s="75">
        <f t="shared" si="88"/>
        <v>0</v>
      </c>
      <c r="AK226" s="73">
        <f t="shared" si="92"/>
        <v>316.66666666666669</v>
      </c>
    </row>
    <row r="227" spans="1:41" s="38" customFormat="1">
      <c r="A227" s="122" t="s">
        <v>908</v>
      </c>
      <c r="B227" s="42"/>
      <c r="C227" s="42"/>
      <c r="D227" s="134"/>
      <c r="E227" s="43"/>
      <c r="F227" s="74"/>
      <c r="G227" s="42"/>
      <c r="H227" s="42"/>
      <c r="I227" s="42"/>
      <c r="J227" s="123"/>
      <c r="K227" s="80"/>
      <c r="L227" s="43"/>
      <c r="M227" s="80"/>
      <c r="N227" s="141">
        <f t="shared" si="89"/>
        <v>0</v>
      </c>
      <c r="O227" s="142"/>
      <c r="P227" s="142"/>
      <c r="Q227" s="141">
        <f t="shared" si="101"/>
        <v>0</v>
      </c>
      <c r="R227" s="142"/>
      <c r="S227" s="142">
        <f t="shared" si="98"/>
        <v>0</v>
      </c>
      <c r="T227" s="142" t="s">
        <v>273</v>
      </c>
      <c r="U227" s="141">
        <f t="shared" si="87"/>
        <v>0</v>
      </c>
      <c r="V227" s="142" t="s">
        <v>274</v>
      </c>
      <c r="W227" s="146">
        <f t="shared" si="90"/>
        <v>0</v>
      </c>
      <c r="X227" s="147" t="s">
        <v>277</v>
      </c>
      <c r="Y227" s="45">
        <f t="shared" si="99"/>
        <v>0</v>
      </c>
      <c r="Z227" s="43" t="s">
        <v>284</v>
      </c>
      <c r="AA227" s="45">
        <f t="shared" si="100"/>
        <v>0</v>
      </c>
      <c r="AB227" s="43" t="s">
        <v>285</v>
      </c>
      <c r="AC227" s="44">
        <f t="shared" si="91"/>
        <v>0</v>
      </c>
      <c r="AD227" s="101"/>
      <c r="AE227" s="98">
        <v>6</v>
      </c>
      <c r="AF227" s="97">
        <f t="shared" si="93"/>
        <v>0</v>
      </c>
      <c r="AG227" s="97">
        <v>4571</v>
      </c>
      <c r="AH227" s="82">
        <f t="shared" si="94"/>
        <v>380.91666666666669</v>
      </c>
      <c r="AI227" s="98" t="s">
        <v>896</v>
      </c>
      <c r="AJ227" s="75">
        <f t="shared" si="88"/>
        <v>0</v>
      </c>
      <c r="AK227" s="73">
        <f t="shared" si="92"/>
        <v>380.91666666666669</v>
      </c>
      <c r="AO227" s="93"/>
    </row>
    <row r="228" spans="1:41" s="38" customFormat="1">
      <c r="A228" s="122" t="s">
        <v>880</v>
      </c>
      <c r="B228" s="42"/>
      <c r="C228" s="42"/>
      <c r="D228" s="134"/>
      <c r="E228" s="43"/>
      <c r="F228" s="74"/>
      <c r="G228" s="42"/>
      <c r="H228" s="42"/>
      <c r="I228" s="42"/>
      <c r="J228" s="123"/>
      <c r="K228" s="80"/>
      <c r="L228" s="43"/>
      <c r="M228" s="80"/>
      <c r="N228" s="141">
        <f t="shared" si="89"/>
        <v>0</v>
      </c>
      <c r="O228" s="142"/>
      <c r="P228" s="142"/>
      <c r="Q228" s="141">
        <f t="shared" si="101"/>
        <v>0</v>
      </c>
      <c r="R228" s="142"/>
      <c r="S228" s="142">
        <f t="shared" si="98"/>
        <v>0</v>
      </c>
      <c r="T228" s="142" t="s">
        <v>273</v>
      </c>
      <c r="U228" s="141">
        <f t="shared" si="87"/>
        <v>0</v>
      </c>
      <c r="V228" s="142" t="s">
        <v>274</v>
      </c>
      <c r="W228" s="146">
        <f t="shared" si="90"/>
        <v>0</v>
      </c>
      <c r="X228" s="147" t="s">
        <v>277</v>
      </c>
      <c r="Y228" s="45">
        <f t="shared" si="99"/>
        <v>0</v>
      </c>
      <c r="Z228" s="43" t="s">
        <v>284</v>
      </c>
      <c r="AA228" s="45">
        <f t="shared" si="100"/>
        <v>0</v>
      </c>
      <c r="AB228" s="43" t="s">
        <v>285</v>
      </c>
      <c r="AC228" s="44">
        <f t="shared" si="91"/>
        <v>0</v>
      </c>
      <c r="AD228" s="101"/>
      <c r="AE228" s="98">
        <v>6</v>
      </c>
      <c r="AF228" s="97">
        <f t="shared" si="93"/>
        <v>0</v>
      </c>
      <c r="AG228" s="97">
        <v>3800</v>
      </c>
      <c r="AH228" s="82">
        <f t="shared" si="94"/>
        <v>316.66666666666669</v>
      </c>
      <c r="AI228" s="98" t="s">
        <v>896</v>
      </c>
      <c r="AJ228" s="75">
        <f t="shared" si="88"/>
        <v>0</v>
      </c>
      <c r="AK228" s="73">
        <f t="shared" si="92"/>
        <v>316.66666666666669</v>
      </c>
    </row>
    <row r="229" spans="1:41" s="38" customFormat="1">
      <c r="A229" s="122" t="s">
        <v>881</v>
      </c>
      <c r="B229" s="42"/>
      <c r="C229" s="42"/>
      <c r="D229" s="134"/>
      <c r="E229" s="43"/>
      <c r="F229" s="74"/>
      <c r="G229" s="42"/>
      <c r="H229" s="42"/>
      <c r="I229" s="42"/>
      <c r="J229" s="123"/>
      <c r="K229" s="80"/>
      <c r="L229" s="43"/>
      <c r="M229" s="80"/>
      <c r="N229" s="141">
        <f t="shared" si="89"/>
        <v>0</v>
      </c>
      <c r="O229" s="142"/>
      <c r="P229" s="142"/>
      <c r="Q229" s="141">
        <f t="shared" si="101"/>
        <v>0</v>
      </c>
      <c r="R229" s="142"/>
      <c r="S229" s="142">
        <f t="shared" si="98"/>
        <v>0</v>
      </c>
      <c r="T229" s="142" t="s">
        <v>273</v>
      </c>
      <c r="U229" s="141">
        <f t="shared" si="87"/>
        <v>0</v>
      </c>
      <c r="V229" s="142" t="s">
        <v>274</v>
      </c>
      <c r="W229" s="146">
        <f t="shared" si="90"/>
        <v>0</v>
      </c>
      <c r="X229" s="147" t="s">
        <v>277</v>
      </c>
      <c r="Y229" s="45">
        <f t="shared" si="99"/>
        <v>0</v>
      </c>
      <c r="Z229" s="43" t="s">
        <v>284</v>
      </c>
      <c r="AA229" s="45">
        <f t="shared" si="100"/>
        <v>0</v>
      </c>
      <c r="AB229" s="43" t="s">
        <v>285</v>
      </c>
      <c r="AC229" s="44">
        <f t="shared" si="91"/>
        <v>0</v>
      </c>
      <c r="AD229" s="101"/>
      <c r="AE229" s="98">
        <v>6</v>
      </c>
      <c r="AF229" s="97">
        <f t="shared" si="93"/>
        <v>0</v>
      </c>
      <c r="AG229" s="97">
        <v>4043</v>
      </c>
      <c r="AH229" s="82">
        <f t="shared" si="94"/>
        <v>336.91666666666669</v>
      </c>
      <c r="AI229" s="98" t="s">
        <v>896</v>
      </c>
      <c r="AJ229" s="75">
        <f t="shared" si="88"/>
        <v>0</v>
      </c>
      <c r="AK229" s="73">
        <f t="shared" si="92"/>
        <v>336.91666666666669</v>
      </c>
    </row>
    <row r="230" spans="1:41" s="38" customFormat="1">
      <c r="A230" s="122" t="s">
        <v>909</v>
      </c>
      <c r="B230" s="42"/>
      <c r="C230" s="42"/>
      <c r="D230" s="134"/>
      <c r="E230" s="43"/>
      <c r="F230" s="74"/>
      <c r="G230" s="42"/>
      <c r="H230" s="42"/>
      <c r="I230" s="42"/>
      <c r="J230" s="123"/>
      <c r="K230" s="80"/>
      <c r="L230" s="43"/>
      <c r="M230" s="80"/>
      <c r="N230" s="141">
        <f t="shared" si="89"/>
        <v>0</v>
      </c>
      <c r="O230" s="142"/>
      <c r="P230" s="142"/>
      <c r="Q230" s="141">
        <f t="shared" si="101"/>
        <v>0</v>
      </c>
      <c r="R230" s="142"/>
      <c r="S230" s="142">
        <f t="shared" si="98"/>
        <v>0</v>
      </c>
      <c r="T230" s="142" t="s">
        <v>273</v>
      </c>
      <c r="U230" s="141">
        <f t="shared" si="87"/>
        <v>0</v>
      </c>
      <c r="V230" s="142" t="s">
        <v>274</v>
      </c>
      <c r="W230" s="146">
        <f t="shared" si="90"/>
        <v>0</v>
      </c>
      <c r="X230" s="147" t="s">
        <v>277</v>
      </c>
      <c r="Y230" s="45">
        <f t="shared" si="99"/>
        <v>0</v>
      </c>
      <c r="Z230" s="43" t="s">
        <v>284</v>
      </c>
      <c r="AA230" s="45">
        <f t="shared" si="100"/>
        <v>0</v>
      </c>
      <c r="AB230" s="43" t="s">
        <v>285</v>
      </c>
      <c r="AC230" s="44">
        <f t="shared" si="91"/>
        <v>0</v>
      </c>
      <c r="AD230" s="101"/>
      <c r="AE230" s="98">
        <v>6</v>
      </c>
      <c r="AF230" s="97">
        <f t="shared" si="93"/>
        <v>0</v>
      </c>
      <c r="AG230" s="97">
        <v>3800</v>
      </c>
      <c r="AH230" s="82">
        <f t="shared" si="94"/>
        <v>316.66666666666669</v>
      </c>
      <c r="AI230" s="98" t="s">
        <v>896</v>
      </c>
      <c r="AJ230" s="75">
        <f t="shared" si="88"/>
        <v>0</v>
      </c>
      <c r="AK230" s="73">
        <f t="shared" si="92"/>
        <v>316.66666666666669</v>
      </c>
    </row>
    <row r="231" spans="1:41" s="38" customFormat="1">
      <c r="A231" s="122" t="s">
        <v>910</v>
      </c>
      <c r="B231" s="42"/>
      <c r="C231" s="42"/>
      <c r="D231" s="134"/>
      <c r="E231" s="43"/>
      <c r="F231" s="74"/>
      <c r="G231" s="42"/>
      <c r="H231" s="42"/>
      <c r="I231" s="42"/>
      <c r="J231" s="123"/>
      <c r="K231" s="80"/>
      <c r="L231" s="43"/>
      <c r="M231" s="80"/>
      <c r="N231" s="141">
        <f t="shared" si="89"/>
        <v>0</v>
      </c>
      <c r="O231" s="142"/>
      <c r="P231" s="142"/>
      <c r="Q231" s="141">
        <f t="shared" si="101"/>
        <v>0</v>
      </c>
      <c r="R231" s="142"/>
      <c r="S231" s="142">
        <f t="shared" si="98"/>
        <v>0</v>
      </c>
      <c r="T231" s="142" t="s">
        <v>273</v>
      </c>
      <c r="U231" s="141">
        <f t="shared" si="87"/>
        <v>0</v>
      </c>
      <c r="V231" s="142" t="s">
        <v>274</v>
      </c>
      <c r="W231" s="146">
        <f t="shared" si="90"/>
        <v>0</v>
      </c>
      <c r="X231" s="147" t="s">
        <v>277</v>
      </c>
      <c r="Y231" s="45">
        <f t="shared" si="99"/>
        <v>0</v>
      </c>
      <c r="Z231" s="43" t="s">
        <v>284</v>
      </c>
      <c r="AA231" s="45">
        <f t="shared" si="100"/>
        <v>0</v>
      </c>
      <c r="AB231" s="43" t="s">
        <v>285</v>
      </c>
      <c r="AC231" s="44">
        <f t="shared" si="91"/>
        <v>0</v>
      </c>
      <c r="AD231" s="101"/>
      <c r="AE231" s="98">
        <v>6</v>
      </c>
      <c r="AF231" s="97">
        <f t="shared" si="93"/>
        <v>0</v>
      </c>
      <c r="AG231" s="97">
        <v>3893</v>
      </c>
      <c r="AH231" s="82">
        <f t="shared" si="94"/>
        <v>324.41666666666669</v>
      </c>
      <c r="AI231" s="98" t="s">
        <v>896</v>
      </c>
      <c r="AJ231" s="75">
        <f t="shared" si="88"/>
        <v>0</v>
      </c>
      <c r="AK231" s="73">
        <f t="shared" si="92"/>
        <v>324.41666666666669</v>
      </c>
    </row>
    <row r="232" spans="1:41" s="38" customFormat="1">
      <c r="A232" s="122" t="s">
        <v>911</v>
      </c>
      <c r="B232" s="42"/>
      <c r="C232" s="42"/>
      <c r="D232" s="134"/>
      <c r="E232" s="43"/>
      <c r="F232" s="74"/>
      <c r="G232" s="42"/>
      <c r="H232" s="42"/>
      <c r="I232" s="42"/>
      <c r="J232" s="123"/>
      <c r="K232" s="80"/>
      <c r="L232" s="43"/>
      <c r="M232" s="80"/>
      <c r="N232" s="141">
        <f t="shared" si="89"/>
        <v>0</v>
      </c>
      <c r="O232" s="142"/>
      <c r="P232" s="142"/>
      <c r="Q232" s="141">
        <f t="shared" si="101"/>
        <v>0</v>
      </c>
      <c r="R232" s="142"/>
      <c r="S232" s="142">
        <f t="shared" si="98"/>
        <v>0</v>
      </c>
      <c r="T232" s="142" t="s">
        <v>273</v>
      </c>
      <c r="U232" s="141">
        <f t="shared" si="87"/>
        <v>0</v>
      </c>
      <c r="V232" s="142" t="s">
        <v>274</v>
      </c>
      <c r="W232" s="146">
        <f t="shared" si="90"/>
        <v>0</v>
      </c>
      <c r="X232" s="147" t="s">
        <v>277</v>
      </c>
      <c r="Y232" s="45">
        <f t="shared" si="99"/>
        <v>0</v>
      </c>
      <c r="Z232" s="43" t="s">
        <v>284</v>
      </c>
      <c r="AA232" s="45">
        <f t="shared" si="100"/>
        <v>0</v>
      </c>
      <c r="AB232" s="43" t="s">
        <v>285</v>
      </c>
      <c r="AC232" s="44">
        <f t="shared" si="91"/>
        <v>0</v>
      </c>
      <c r="AD232" s="101"/>
      <c r="AE232" s="98">
        <v>6</v>
      </c>
      <c r="AF232" s="97">
        <f t="shared" si="93"/>
        <v>0</v>
      </c>
      <c r="AG232" s="97">
        <v>3950</v>
      </c>
      <c r="AH232" s="82">
        <f t="shared" si="94"/>
        <v>329.16666666666669</v>
      </c>
      <c r="AI232" s="98" t="s">
        <v>896</v>
      </c>
      <c r="AJ232" s="75">
        <f t="shared" si="88"/>
        <v>0</v>
      </c>
      <c r="AK232" s="73">
        <f t="shared" si="92"/>
        <v>329.16666666666669</v>
      </c>
    </row>
    <row r="233" spans="1:41" s="67" customFormat="1">
      <c r="A233" s="124" t="s">
        <v>912</v>
      </c>
      <c r="B233" s="59"/>
      <c r="C233" s="59"/>
      <c r="D233" s="138"/>
      <c r="E233" s="128"/>
      <c r="F233" s="60"/>
      <c r="G233" s="59"/>
      <c r="H233" s="59"/>
      <c r="I233" s="85"/>
      <c r="J233" s="109"/>
      <c r="K233" s="61"/>
      <c r="L233" s="62"/>
      <c r="M233" s="61"/>
      <c r="N233" s="144">
        <f t="shared" si="89"/>
        <v>0</v>
      </c>
      <c r="O233" s="145"/>
      <c r="P233" s="145"/>
      <c r="Q233" s="144">
        <f t="shared" si="101"/>
        <v>0</v>
      </c>
      <c r="R233" s="145"/>
      <c r="S233" s="145">
        <f t="shared" si="98"/>
        <v>0</v>
      </c>
      <c r="T233" s="145" t="s">
        <v>273</v>
      </c>
      <c r="U233" s="144">
        <f t="shared" si="87"/>
        <v>0</v>
      </c>
      <c r="V233" s="145" t="s">
        <v>274</v>
      </c>
      <c r="W233" s="149">
        <f t="shared" si="90"/>
        <v>0</v>
      </c>
      <c r="X233" s="150" t="s">
        <v>277</v>
      </c>
      <c r="Y233" s="64">
        <f t="shared" si="99"/>
        <v>0</v>
      </c>
      <c r="Z233" s="62" t="s">
        <v>284</v>
      </c>
      <c r="AA233" s="64">
        <f t="shared" si="100"/>
        <v>0</v>
      </c>
      <c r="AB233" s="62" t="s">
        <v>285</v>
      </c>
      <c r="AC233" s="63">
        <f t="shared" ref="AC233:AC248" si="108">N233+S233+U233+W233+Y233+AA233</f>
        <v>0</v>
      </c>
      <c r="AD233" s="102"/>
      <c r="AE233" s="98">
        <v>6</v>
      </c>
      <c r="AF233" s="97">
        <f t="shared" si="93"/>
        <v>0</v>
      </c>
      <c r="AG233" s="97">
        <v>4571</v>
      </c>
      <c r="AH233" s="82">
        <f t="shared" si="94"/>
        <v>380.91666666666669</v>
      </c>
      <c r="AI233" s="106" t="s">
        <v>896</v>
      </c>
      <c r="AJ233" s="65">
        <f t="shared" ref="AJ233:AJ248" si="109">N233+S233+U233+W233</f>
        <v>0</v>
      </c>
      <c r="AK233" s="66" t="e">
        <f>AC233+#REF!</f>
        <v>#REF!</v>
      </c>
      <c r="AO233" s="96"/>
    </row>
    <row r="234" spans="1:41" s="67" customFormat="1">
      <c r="A234" s="124" t="s">
        <v>913</v>
      </c>
      <c r="B234" s="59"/>
      <c r="C234" s="59"/>
      <c r="D234" s="138"/>
      <c r="E234" s="128"/>
      <c r="F234" s="60"/>
      <c r="G234" s="59"/>
      <c r="H234" s="59"/>
      <c r="I234" s="85"/>
      <c r="J234" s="109"/>
      <c r="K234" s="61"/>
      <c r="L234" s="62"/>
      <c r="M234" s="61"/>
      <c r="N234" s="144">
        <f t="shared" si="89"/>
        <v>0</v>
      </c>
      <c r="O234" s="145"/>
      <c r="P234" s="145"/>
      <c r="Q234" s="144">
        <f t="shared" si="101"/>
        <v>0</v>
      </c>
      <c r="R234" s="145"/>
      <c r="S234" s="145">
        <f t="shared" si="98"/>
        <v>0</v>
      </c>
      <c r="T234" s="145" t="s">
        <v>273</v>
      </c>
      <c r="U234" s="144">
        <f t="shared" si="87"/>
        <v>0</v>
      </c>
      <c r="V234" s="145" t="s">
        <v>274</v>
      </c>
      <c r="W234" s="149">
        <f t="shared" si="90"/>
        <v>0</v>
      </c>
      <c r="X234" s="150" t="s">
        <v>277</v>
      </c>
      <c r="Y234" s="64">
        <f t="shared" si="99"/>
        <v>0</v>
      </c>
      <c r="Z234" s="62" t="s">
        <v>284</v>
      </c>
      <c r="AA234" s="64">
        <f t="shared" si="100"/>
        <v>0</v>
      </c>
      <c r="AB234" s="62" t="s">
        <v>285</v>
      </c>
      <c r="AC234" s="63">
        <f t="shared" si="108"/>
        <v>0</v>
      </c>
      <c r="AD234" s="102"/>
      <c r="AE234" s="98">
        <v>6</v>
      </c>
      <c r="AF234" s="97">
        <f t="shared" si="93"/>
        <v>0</v>
      </c>
      <c r="AG234" s="97">
        <v>4571</v>
      </c>
      <c r="AH234" s="82">
        <f t="shared" si="94"/>
        <v>380.91666666666669</v>
      </c>
      <c r="AI234" s="106" t="s">
        <v>896</v>
      </c>
      <c r="AJ234" s="65">
        <f t="shared" si="109"/>
        <v>0</v>
      </c>
      <c r="AK234" s="66" t="e">
        <f>AC234+#REF!</f>
        <v>#REF!</v>
      </c>
    </row>
    <row r="235" spans="1:41" s="67" customFormat="1">
      <c r="A235" s="124" t="s">
        <v>883</v>
      </c>
      <c r="B235" s="59"/>
      <c r="C235" s="59"/>
      <c r="D235" s="139"/>
      <c r="E235" s="62"/>
      <c r="F235" s="60"/>
      <c r="G235" s="59"/>
      <c r="H235" s="59"/>
      <c r="I235" s="85"/>
      <c r="J235" s="109"/>
      <c r="K235" s="61"/>
      <c r="L235" s="62"/>
      <c r="M235" s="61"/>
      <c r="N235" s="144">
        <f t="shared" si="89"/>
        <v>0</v>
      </c>
      <c r="O235" s="145"/>
      <c r="P235" s="145"/>
      <c r="Q235" s="144">
        <f t="shared" si="101"/>
        <v>0</v>
      </c>
      <c r="R235" s="145"/>
      <c r="S235" s="145">
        <f t="shared" si="98"/>
        <v>0</v>
      </c>
      <c r="T235" s="145" t="s">
        <v>273</v>
      </c>
      <c r="U235" s="144">
        <f t="shared" si="87"/>
        <v>0</v>
      </c>
      <c r="V235" s="145" t="s">
        <v>274</v>
      </c>
      <c r="W235" s="149">
        <f t="shared" si="90"/>
        <v>0</v>
      </c>
      <c r="X235" s="150" t="s">
        <v>277</v>
      </c>
      <c r="Y235" s="64">
        <f t="shared" si="99"/>
        <v>0</v>
      </c>
      <c r="Z235" s="62" t="s">
        <v>284</v>
      </c>
      <c r="AA235" s="64">
        <f t="shared" si="100"/>
        <v>0</v>
      </c>
      <c r="AB235" s="62" t="s">
        <v>285</v>
      </c>
      <c r="AC235" s="63">
        <f t="shared" si="108"/>
        <v>0</v>
      </c>
      <c r="AD235" s="102"/>
      <c r="AE235" s="98">
        <v>6</v>
      </c>
      <c r="AF235" s="97">
        <f t="shared" si="93"/>
        <v>0</v>
      </c>
      <c r="AG235" s="97">
        <v>4571</v>
      </c>
      <c r="AH235" s="82">
        <f t="shared" si="94"/>
        <v>380.91666666666669</v>
      </c>
      <c r="AI235" s="106" t="s">
        <v>896</v>
      </c>
      <c r="AJ235" s="65">
        <f t="shared" si="109"/>
        <v>0</v>
      </c>
      <c r="AK235" s="66" t="e">
        <f>AC235+#REF!</f>
        <v>#REF!</v>
      </c>
    </row>
    <row r="236" spans="1:41" s="67" customFormat="1">
      <c r="A236" s="124" t="s">
        <v>883</v>
      </c>
      <c r="B236" s="59"/>
      <c r="C236" s="59"/>
      <c r="D236" s="139"/>
      <c r="E236" s="62"/>
      <c r="F236" s="60"/>
      <c r="G236" s="59"/>
      <c r="H236" s="59"/>
      <c r="I236" s="85"/>
      <c r="J236" s="109"/>
      <c r="K236" s="61"/>
      <c r="L236" s="62"/>
      <c r="M236" s="61"/>
      <c r="N236" s="144">
        <f t="shared" ref="N236" si="110">SUM(K236:M236)*$D$1</f>
        <v>0</v>
      </c>
      <c r="O236" s="145"/>
      <c r="P236" s="145"/>
      <c r="Q236" s="144">
        <f t="shared" ref="Q236" si="111">+P236*$D$1</f>
        <v>0</v>
      </c>
      <c r="R236" s="145"/>
      <c r="S236" s="145">
        <f t="shared" si="98"/>
        <v>0</v>
      </c>
      <c r="T236" s="145" t="s">
        <v>273</v>
      </c>
      <c r="U236" s="144">
        <f t="shared" ref="U236" si="112">(K236+M236)*$I$1</f>
        <v>0</v>
      </c>
      <c r="V236" s="145" t="s">
        <v>274</v>
      </c>
      <c r="W236" s="149">
        <f t="shared" ref="W236" si="113">IF(G236="RIMAC EPS EMPRESA PRESTADORA DE SALUD",((((K236*40%)+M236)*0.0675)*$I$1),((((K236*40%)+M236)*0.09))*$I$1)</f>
        <v>0</v>
      </c>
      <c r="X236" s="150" t="s">
        <v>277</v>
      </c>
      <c r="Y236" s="64">
        <f t="shared" ref="Y236" si="114">IF(G236="RIMAC EPS EMPRESA PRESTADORA DE SALUD",((((K236*40%)+M236)*0.0675)*$D$1),((((K236*40%)+M236)*0.09))*$D$1)</f>
        <v>0</v>
      </c>
      <c r="Z236" s="62" t="s">
        <v>284</v>
      </c>
      <c r="AA236" s="64">
        <f t="shared" ref="AA236" si="115">IF(G236="RIMAC EPS EMPRESA PRESTADORA DE SALUD",((K236*40%)+M236)*0.0225*$D$1+Q236*0.0225,0)</f>
        <v>0</v>
      </c>
      <c r="AB236" s="62" t="s">
        <v>285</v>
      </c>
      <c r="AC236" s="63">
        <f t="shared" ref="AC236" si="116">N236+S236+U236+W236+Y236+AA236</f>
        <v>0</v>
      </c>
      <c r="AD236" s="102"/>
      <c r="AE236" s="98">
        <v>6</v>
      </c>
      <c r="AF236" s="97">
        <f t="shared" si="93"/>
        <v>0</v>
      </c>
      <c r="AG236" s="97">
        <v>4571</v>
      </c>
      <c r="AH236" s="82">
        <f t="shared" si="94"/>
        <v>380.91666666666669</v>
      </c>
      <c r="AI236" s="106" t="s">
        <v>896</v>
      </c>
      <c r="AJ236" s="65">
        <f t="shared" ref="AJ236" si="117">N236+S236+U236+W236</f>
        <v>0</v>
      </c>
      <c r="AK236" s="66" t="e">
        <f>AC236+#REF!</f>
        <v>#REF!</v>
      </c>
    </row>
    <row r="237" spans="1:41" s="67" customFormat="1">
      <c r="A237" s="124" t="s">
        <v>885</v>
      </c>
      <c r="B237" s="125"/>
      <c r="C237" s="59"/>
      <c r="D237" s="139"/>
      <c r="E237" s="62"/>
      <c r="F237" s="60"/>
      <c r="G237" s="125"/>
      <c r="H237" s="125"/>
      <c r="I237" s="125"/>
      <c r="J237" s="109"/>
      <c r="K237" s="61"/>
      <c r="L237" s="62"/>
      <c r="M237" s="61"/>
      <c r="N237" s="144">
        <f>SUM(K237:M237)*$D$1</f>
        <v>0</v>
      </c>
      <c r="O237" s="145"/>
      <c r="P237" s="145"/>
      <c r="Q237" s="144">
        <f>+P237*$D$1</f>
        <v>0</v>
      </c>
      <c r="R237" s="145"/>
      <c r="S237" s="145">
        <f t="shared" si="30"/>
        <v>0</v>
      </c>
      <c r="T237" s="145" t="s">
        <v>273</v>
      </c>
      <c r="U237" s="144">
        <f>(K237+M237)*$I$1</f>
        <v>0</v>
      </c>
      <c r="V237" s="145" t="s">
        <v>274</v>
      </c>
      <c r="W237" s="149">
        <f>IF(G237="RIMAC EPS EMPRESA PRESTADORA DE SALUD",((((K237*40%)+M237)*0.0675)*$I$1),((((K237*40%)+M237)*0.09))*$I$1)</f>
        <v>0</v>
      </c>
      <c r="X237" s="150" t="s">
        <v>277</v>
      </c>
      <c r="Y237" s="64">
        <f>IF(G237="RIMAC EPS EMPRESA PRESTADORA DE SALUD",((((K237*40%)+M237)*0.0675)*$D$1),((((K237*40%)+M237)*0.09))*$D$1)</f>
        <v>0</v>
      </c>
      <c r="Z237" s="62" t="s">
        <v>284</v>
      </c>
      <c r="AA237" s="64">
        <f>IF(G237="RIMAC EPS EMPRESA PRESTADORA DE SALUD",((K237*40%)+M237)*0.0225*$D$1+Q237*0.0225,0)</f>
        <v>0</v>
      </c>
      <c r="AB237" s="62" t="s">
        <v>285</v>
      </c>
      <c r="AC237" s="63">
        <f>N237+S237+U237+W237+Y237+AA237</f>
        <v>0</v>
      </c>
      <c r="AD237" s="102"/>
      <c r="AE237" s="98">
        <v>6</v>
      </c>
      <c r="AF237" s="97">
        <f t="shared" si="93"/>
        <v>0</v>
      </c>
      <c r="AG237" s="97">
        <v>3800</v>
      </c>
      <c r="AH237" s="82">
        <f t="shared" si="94"/>
        <v>316.66666666666669</v>
      </c>
      <c r="AI237" s="106" t="s">
        <v>896</v>
      </c>
      <c r="AJ237" s="65">
        <f t="shared" si="109"/>
        <v>0</v>
      </c>
      <c r="AK237" s="66" t="e">
        <f>AC237+#REF!</f>
        <v>#REF!</v>
      </c>
    </row>
    <row r="238" spans="1:41" s="67" customFormat="1">
      <c r="A238" s="124" t="s">
        <v>886</v>
      </c>
      <c r="B238" s="59"/>
      <c r="C238" s="59"/>
      <c r="D238" s="139"/>
      <c r="E238" s="62"/>
      <c r="F238" s="60"/>
      <c r="G238" s="62"/>
      <c r="H238" s="59"/>
      <c r="I238" s="85"/>
      <c r="J238" s="109"/>
      <c r="K238" s="61"/>
      <c r="L238" s="62"/>
      <c r="M238" s="61"/>
      <c r="N238" s="144">
        <f t="shared" si="89"/>
        <v>0</v>
      </c>
      <c r="O238" s="145"/>
      <c r="P238" s="145"/>
      <c r="Q238" s="144">
        <f t="shared" si="101"/>
        <v>0</v>
      </c>
      <c r="R238" s="145"/>
      <c r="S238" s="145">
        <f t="shared" si="98"/>
        <v>0</v>
      </c>
      <c r="T238" s="145" t="s">
        <v>273</v>
      </c>
      <c r="U238" s="144">
        <f t="shared" si="87"/>
        <v>0</v>
      </c>
      <c r="V238" s="145" t="s">
        <v>274</v>
      </c>
      <c r="W238" s="149">
        <f t="shared" si="90"/>
        <v>0</v>
      </c>
      <c r="X238" s="150" t="s">
        <v>277</v>
      </c>
      <c r="Y238" s="64">
        <f t="shared" si="99"/>
        <v>0</v>
      </c>
      <c r="Z238" s="62" t="s">
        <v>284</v>
      </c>
      <c r="AA238" s="64">
        <f t="shared" si="100"/>
        <v>0</v>
      </c>
      <c r="AB238" s="62" t="s">
        <v>285</v>
      </c>
      <c r="AC238" s="63">
        <f t="shared" si="108"/>
        <v>0</v>
      </c>
      <c r="AD238" s="102"/>
      <c r="AE238" s="98">
        <v>6</v>
      </c>
      <c r="AF238" s="97">
        <f t="shared" si="93"/>
        <v>0</v>
      </c>
      <c r="AG238" s="97">
        <v>3800</v>
      </c>
      <c r="AH238" s="82">
        <f t="shared" si="94"/>
        <v>316.66666666666669</v>
      </c>
      <c r="AI238" s="106" t="s">
        <v>896</v>
      </c>
      <c r="AJ238" s="65">
        <f t="shared" si="109"/>
        <v>0</v>
      </c>
      <c r="AK238" s="66" t="e">
        <f>AC238+#REF!</f>
        <v>#REF!</v>
      </c>
    </row>
    <row r="239" spans="1:41" s="67" customFormat="1">
      <c r="A239" s="124" t="s">
        <v>914</v>
      </c>
      <c r="B239" s="59"/>
      <c r="C239" s="59"/>
      <c r="D239" s="139"/>
      <c r="E239" s="62"/>
      <c r="F239" s="60"/>
      <c r="G239" s="62"/>
      <c r="H239" s="59"/>
      <c r="I239" s="85"/>
      <c r="J239" s="109"/>
      <c r="K239" s="61"/>
      <c r="L239" s="62"/>
      <c r="M239" s="61"/>
      <c r="N239" s="144">
        <f t="shared" si="89"/>
        <v>0</v>
      </c>
      <c r="O239" s="145"/>
      <c r="P239" s="145"/>
      <c r="Q239" s="144">
        <f t="shared" si="101"/>
        <v>0</v>
      </c>
      <c r="R239" s="145"/>
      <c r="S239" s="145">
        <f t="shared" si="98"/>
        <v>0</v>
      </c>
      <c r="T239" s="145" t="s">
        <v>273</v>
      </c>
      <c r="U239" s="144">
        <f t="shared" si="87"/>
        <v>0</v>
      </c>
      <c r="V239" s="145" t="s">
        <v>274</v>
      </c>
      <c r="W239" s="149">
        <f t="shared" si="90"/>
        <v>0</v>
      </c>
      <c r="X239" s="150" t="s">
        <v>277</v>
      </c>
      <c r="Y239" s="64">
        <f t="shared" si="99"/>
        <v>0</v>
      </c>
      <c r="Z239" s="62" t="s">
        <v>284</v>
      </c>
      <c r="AA239" s="64">
        <f t="shared" si="100"/>
        <v>0</v>
      </c>
      <c r="AB239" s="62" t="s">
        <v>285</v>
      </c>
      <c r="AC239" s="63">
        <f t="shared" si="108"/>
        <v>0</v>
      </c>
      <c r="AD239" s="102"/>
      <c r="AE239" s="98">
        <v>6</v>
      </c>
      <c r="AF239" s="97">
        <f t="shared" si="93"/>
        <v>0</v>
      </c>
      <c r="AG239" s="97">
        <v>3800</v>
      </c>
      <c r="AH239" s="82">
        <f t="shared" si="94"/>
        <v>316.66666666666669</v>
      </c>
      <c r="AI239" s="106" t="s">
        <v>896</v>
      </c>
      <c r="AJ239" s="65">
        <f t="shared" si="109"/>
        <v>0</v>
      </c>
      <c r="AK239" s="66" t="e">
        <f>AC239+#REF!</f>
        <v>#REF!</v>
      </c>
    </row>
    <row r="240" spans="1:41" s="67" customFormat="1">
      <c r="A240" s="124" t="s">
        <v>884</v>
      </c>
      <c r="B240" s="125"/>
      <c r="C240" s="139"/>
      <c r="D240" s="140"/>
      <c r="E240" s="124"/>
      <c r="F240" s="60"/>
      <c r="G240" s="125"/>
      <c r="H240" s="125"/>
      <c r="I240" s="125"/>
      <c r="J240" s="109"/>
      <c r="K240" s="61"/>
      <c r="L240" s="62"/>
      <c r="M240" s="61"/>
      <c r="N240" s="144">
        <f>SUM(K240:M240)*$D$1</f>
        <v>0</v>
      </c>
      <c r="O240" s="145"/>
      <c r="P240" s="145"/>
      <c r="Q240" s="144">
        <f t="shared" ref="Q240" si="118">+P240*$D$1</f>
        <v>0</v>
      </c>
      <c r="R240" s="145"/>
      <c r="S240" s="145">
        <f t="shared" si="1"/>
        <v>0</v>
      </c>
      <c r="T240" s="145" t="s">
        <v>273</v>
      </c>
      <c r="U240" s="144">
        <f>(K240+M240)*$I$1</f>
        <v>0</v>
      </c>
      <c r="V240" s="145" t="s">
        <v>274</v>
      </c>
      <c r="W240" s="149">
        <f>IF(G240="RIMAC EPS EMPRESA PRESTADORA DE SALUD",((((K240*40%)+M240)*0.0675)*$I$1),((((K240*40%)+M240)*0.09))*$I$1)</f>
        <v>0</v>
      </c>
      <c r="X240" s="150" t="s">
        <v>277</v>
      </c>
      <c r="Y240" s="64">
        <f t="shared" ref="Y240" si="119">IF(G240="RIMAC EPS EMPRESA PRESTADORA DE SALUD",((((K240*40%)+M240)*0.0675)*$D$1),((((K240*40%)+M240)*0.09))*$D$1)</f>
        <v>0</v>
      </c>
      <c r="Z240" s="62" t="s">
        <v>284</v>
      </c>
      <c r="AA240" s="64">
        <f t="shared" ref="AA240" si="120">IF(G240="RIMAC EPS EMPRESA PRESTADORA DE SALUD",((K240*40%)+M240)*0.0225*$D$1+Q240*0.0225,0)</f>
        <v>0</v>
      </c>
      <c r="AB240" s="62" t="s">
        <v>285</v>
      </c>
      <c r="AC240" s="63">
        <f>N240+S240+U240+W240+Y240+AA240</f>
        <v>0</v>
      </c>
      <c r="AD240" s="102"/>
      <c r="AE240" s="98">
        <v>6</v>
      </c>
      <c r="AF240" s="97">
        <f t="shared" si="93"/>
        <v>0</v>
      </c>
      <c r="AG240" s="97">
        <v>4571</v>
      </c>
      <c r="AH240" s="82">
        <f t="shared" si="94"/>
        <v>380.91666666666669</v>
      </c>
      <c r="AI240" s="106" t="s">
        <v>896</v>
      </c>
      <c r="AJ240" s="65">
        <f>N240+S240+U240+W240</f>
        <v>0</v>
      </c>
      <c r="AK240" s="66" t="e">
        <f>AC240+#REF!</f>
        <v>#REF!</v>
      </c>
    </row>
    <row r="241" spans="1:41" s="67" customFormat="1">
      <c r="A241" s="124" t="s">
        <v>915</v>
      </c>
      <c r="B241" s="125"/>
      <c r="C241" s="139"/>
      <c r="D241" s="139"/>
      <c r="E241" s="62"/>
      <c r="F241" s="60"/>
      <c r="G241" s="125"/>
      <c r="H241" s="59"/>
      <c r="I241" s="125"/>
      <c r="J241" s="109"/>
      <c r="K241" s="61"/>
      <c r="L241" s="62"/>
      <c r="M241" s="61"/>
      <c r="N241" s="144">
        <f>SUM(K241:M241)*$D$1</f>
        <v>0</v>
      </c>
      <c r="O241" s="145"/>
      <c r="P241" s="145"/>
      <c r="Q241" s="144">
        <f t="shared" ref="Q241" si="121">+P241*$D$1</f>
        <v>0</v>
      </c>
      <c r="R241" s="145"/>
      <c r="S241" s="145">
        <f t="shared" si="30"/>
        <v>0</v>
      </c>
      <c r="T241" s="145" t="s">
        <v>273</v>
      </c>
      <c r="U241" s="144">
        <f>(K241+M241)*$I$1</f>
        <v>0</v>
      </c>
      <c r="V241" s="145" t="s">
        <v>274</v>
      </c>
      <c r="W241" s="149">
        <f>IF(G241="RIMAC EPS EMPRESA PRESTADORA DE SALUD",((((K241*40%)+M241)*0.0675)*$I$1),((((K241*40%)+M241)*0.09))*$I$1)</f>
        <v>0</v>
      </c>
      <c r="X241" s="150" t="s">
        <v>277</v>
      </c>
      <c r="Y241" s="64">
        <f t="shared" ref="Y241" si="122">IF(G241="RIMAC EPS EMPRESA PRESTADORA DE SALUD",((((K241*40%)+M241)*0.0675)*$D$1),((((K241*40%)+M241)*0.09))*$D$1)</f>
        <v>0</v>
      </c>
      <c r="Z241" s="62" t="s">
        <v>284</v>
      </c>
      <c r="AA241" s="64">
        <f t="shared" ref="AA241" si="123">IF(G241="RIMAC EPS EMPRESA PRESTADORA DE SALUD",((K241*40%)+M241)*0.0225*$D$1+Q241*0.0225,0)</f>
        <v>0</v>
      </c>
      <c r="AB241" s="62" t="s">
        <v>285</v>
      </c>
      <c r="AC241" s="63">
        <f>N241+S241+U241+W241+Y241+AA241</f>
        <v>0</v>
      </c>
      <c r="AD241" s="102"/>
      <c r="AE241" s="98">
        <v>6</v>
      </c>
      <c r="AF241" s="97">
        <f t="shared" si="93"/>
        <v>0</v>
      </c>
      <c r="AG241" s="97">
        <v>3800</v>
      </c>
      <c r="AH241" s="82">
        <f t="shared" si="94"/>
        <v>316.66666666666669</v>
      </c>
      <c r="AI241" s="106" t="s">
        <v>896</v>
      </c>
      <c r="AJ241" s="65">
        <f t="shared" si="109"/>
        <v>0</v>
      </c>
      <c r="AK241" s="66" t="e">
        <f>AC241+#REF!</f>
        <v>#REF!</v>
      </c>
    </row>
    <row r="242" spans="1:41" s="67" customFormat="1">
      <c r="A242" s="124" t="s">
        <v>916</v>
      </c>
      <c r="B242" s="59"/>
      <c r="C242" s="85"/>
      <c r="D242" s="138"/>
      <c r="E242" s="128"/>
      <c r="F242" s="60"/>
      <c r="G242" s="62"/>
      <c r="H242" s="59"/>
      <c r="I242" s="85"/>
      <c r="J242" s="109"/>
      <c r="K242" s="61"/>
      <c r="L242" s="62"/>
      <c r="M242" s="61"/>
      <c r="N242" s="144">
        <f>SUM(K242:M242)*$D$1</f>
        <v>0</v>
      </c>
      <c r="O242" s="145"/>
      <c r="P242" s="145"/>
      <c r="Q242" s="144">
        <f t="shared" ref="Q242" si="124">+P242*$D$1</f>
        <v>0</v>
      </c>
      <c r="R242" s="145"/>
      <c r="S242" s="145">
        <f t="shared" si="98"/>
        <v>0</v>
      </c>
      <c r="T242" s="145" t="s">
        <v>273</v>
      </c>
      <c r="U242" s="144">
        <f>(K242+M242)*$I$1</f>
        <v>0</v>
      </c>
      <c r="V242" s="145" t="s">
        <v>274</v>
      </c>
      <c r="W242" s="149">
        <f>IF(G242="RIMAC EPS EMPRESA PRESTADORA DE SALUD",((((K242*40%)+M242)*0.0675)*$I$1),((((K242*40%)+M242)*0.09))*$I$1)</f>
        <v>0</v>
      </c>
      <c r="X242" s="150" t="s">
        <v>277</v>
      </c>
      <c r="Y242" s="64">
        <f t="shared" ref="Y242" si="125">IF(G242="RIMAC EPS EMPRESA PRESTADORA DE SALUD",((((K242*40%)+M242)*0.0675)*$D$1),((((K242*40%)+M242)*0.09))*$D$1)</f>
        <v>0</v>
      </c>
      <c r="Z242" s="62" t="s">
        <v>284</v>
      </c>
      <c r="AA242" s="64">
        <f t="shared" ref="AA242" si="126">IF(G242="RIMAC EPS EMPRESA PRESTADORA DE SALUD",((K242*40%)+M242)*0.0225*$D$1+Q242*0.0225,0)</f>
        <v>0</v>
      </c>
      <c r="AB242" s="62" t="s">
        <v>285</v>
      </c>
      <c r="AC242" s="63">
        <f>N242+S242+U242+W242+Y242+AA242</f>
        <v>0</v>
      </c>
      <c r="AD242" s="102"/>
      <c r="AE242" s="98">
        <v>6</v>
      </c>
      <c r="AF242" s="97">
        <f t="shared" si="93"/>
        <v>0</v>
      </c>
      <c r="AG242" s="97">
        <v>3800</v>
      </c>
      <c r="AH242" s="82">
        <f t="shared" si="94"/>
        <v>316.66666666666669</v>
      </c>
      <c r="AI242" s="106" t="s">
        <v>896</v>
      </c>
      <c r="AJ242" s="65">
        <f t="shared" si="109"/>
        <v>0</v>
      </c>
      <c r="AK242" s="66" t="e">
        <f>AC242+#REF!</f>
        <v>#REF!</v>
      </c>
    </row>
    <row r="243" spans="1:41" s="67" customFormat="1">
      <c r="A243" s="124" t="s">
        <v>887</v>
      </c>
      <c r="B243" s="59"/>
      <c r="C243" s="85"/>
      <c r="D243" s="138"/>
      <c r="E243" s="128"/>
      <c r="F243" s="60"/>
      <c r="G243" s="62"/>
      <c r="H243" s="59"/>
      <c r="I243" s="85"/>
      <c r="J243" s="109"/>
      <c r="K243" s="61"/>
      <c r="L243" s="62"/>
      <c r="M243" s="61"/>
      <c r="N243" s="144">
        <f>SUM(K243:M243)*$D$1</f>
        <v>0</v>
      </c>
      <c r="O243" s="145"/>
      <c r="P243" s="145"/>
      <c r="Q243" s="144">
        <f t="shared" ref="Q243" si="127">+P243*$D$1</f>
        <v>0</v>
      </c>
      <c r="R243" s="145"/>
      <c r="S243" s="145">
        <f t="shared" si="98"/>
        <v>0</v>
      </c>
      <c r="T243" s="145" t="s">
        <v>273</v>
      </c>
      <c r="U243" s="144">
        <f>(K243+M243)*$I$1</f>
        <v>0</v>
      </c>
      <c r="V243" s="145" t="s">
        <v>274</v>
      </c>
      <c r="W243" s="149">
        <f>IF(G243="RIMAC EPS EMPRESA PRESTADORA DE SALUD",((((K243*40%)+M243)*0.0675)*$I$1),((((K243*40%)+M243)*0.09))*$I$1)</f>
        <v>0</v>
      </c>
      <c r="X243" s="150" t="s">
        <v>277</v>
      </c>
      <c r="Y243" s="64">
        <f t="shared" ref="Y243" si="128">IF(G243="RIMAC EPS EMPRESA PRESTADORA DE SALUD",((((K243*40%)+M243)*0.0675)*$D$1),((((K243*40%)+M243)*0.09))*$D$1)</f>
        <v>0</v>
      </c>
      <c r="Z243" s="62" t="s">
        <v>284</v>
      </c>
      <c r="AA243" s="64">
        <f t="shared" ref="AA243" si="129">IF(G243="RIMAC EPS EMPRESA PRESTADORA DE SALUD",((K243*40%)+M243)*0.0225*$D$1+Q243*0.0225,0)</f>
        <v>0</v>
      </c>
      <c r="AB243" s="62" t="s">
        <v>285</v>
      </c>
      <c r="AC243" s="63">
        <f>N243+S243+U243+W243+Y243+AA243</f>
        <v>0</v>
      </c>
      <c r="AD243" s="102"/>
      <c r="AE243" s="98">
        <v>6</v>
      </c>
      <c r="AF243" s="97">
        <f t="shared" si="93"/>
        <v>0</v>
      </c>
      <c r="AG243" s="97">
        <v>3800</v>
      </c>
      <c r="AH243" s="82">
        <f t="shared" si="94"/>
        <v>316.66666666666669</v>
      </c>
      <c r="AI243" s="106" t="s">
        <v>896</v>
      </c>
      <c r="AJ243" s="65">
        <f t="shared" si="109"/>
        <v>0</v>
      </c>
      <c r="AK243" s="66" t="e">
        <f>AC243+#REF!</f>
        <v>#REF!</v>
      </c>
    </row>
    <row r="244" spans="1:41" s="67" customFormat="1">
      <c r="A244" s="124" t="s">
        <v>888</v>
      </c>
      <c r="B244" s="59"/>
      <c r="C244" s="85"/>
      <c r="D244" s="138"/>
      <c r="E244" s="128"/>
      <c r="F244" s="60"/>
      <c r="G244" s="59"/>
      <c r="H244" s="59"/>
      <c r="I244" s="85"/>
      <c r="J244" s="109"/>
      <c r="K244" s="61"/>
      <c r="L244" s="62"/>
      <c r="M244" s="61"/>
      <c r="N244" s="144">
        <f>SUM(K244:M244)*$D$1</f>
        <v>0</v>
      </c>
      <c r="O244" s="145"/>
      <c r="P244" s="145"/>
      <c r="Q244" s="144">
        <f>+P244*$D$1</f>
        <v>0</v>
      </c>
      <c r="R244" s="145"/>
      <c r="S244" s="145">
        <f t="shared" si="98"/>
        <v>0</v>
      </c>
      <c r="T244" s="145" t="s">
        <v>273</v>
      </c>
      <c r="U244" s="144">
        <f>(K244+M244)*$I$1</f>
        <v>0</v>
      </c>
      <c r="V244" s="145" t="s">
        <v>274</v>
      </c>
      <c r="W244" s="149">
        <f>IF(G244="RIMAC EPS EMPRESA PRESTADORA DE SALUD",((((K244*40%)+M244)*0.0675)*$I$1),((((K244*40%)+M244)*0.09))*$I$1)</f>
        <v>0</v>
      </c>
      <c r="X244" s="150" t="s">
        <v>277</v>
      </c>
      <c r="Y244" s="64">
        <f>IF(G244="RIMAC EPS EMPRESA PRESTADORA DE SALUD",((((K244*40%)+M244)*0.0675)*$D$1),((((K244*40%)+M244)*0.09))*$D$1)</f>
        <v>0</v>
      </c>
      <c r="Z244" s="62" t="s">
        <v>284</v>
      </c>
      <c r="AA244" s="64">
        <f>IF(G244="RIMAC EPS EMPRESA PRESTADORA DE SALUD",((K244*40%)+M244)*0.0225*$D$1+Q244*0.0225,0)</f>
        <v>0</v>
      </c>
      <c r="AB244" s="62" t="s">
        <v>285</v>
      </c>
      <c r="AC244" s="63">
        <f>N244+S244+U244+W244+Y244+AA244</f>
        <v>0</v>
      </c>
      <c r="AD244" s="102"/>
      <c r="AE244" s="98">
        <v>6</v>
      </c>
      <c r="AF244" s="97">
        <f t="shared" si="93"/>
        <v>0</v>
      </c>
      <c r="AG244" s="97">
        <v>4650</v>
      </c>
      <c r="AH244" s="82">
        <f t="shared" si="94"/>
        <v>387.5</v>
      </c>
      <c r="AI244" s="106" t="s">
        <v>896</v>
      </c>
      <c r="AJ244" s="65">
        <f t="shared" si="109"/>
        <v>0</v>
      </c>
      <c r="AK244" s="66" t="e">
        <f>AC244+#REF!</f>
        <v>#REF!</v>
      </c>
    </row>
    <row r="245" spans="1:41" s="67" customFormat="1">
      <c r="A245" s="124" t="s">
        <v>917</v>
      </c>
      <c r="B245" s="59"/>
      <c r="C245" s="85"/>
      <c r="D245" s="138"/>
      <c r="E245" s="128"/>
      <c r="F245" s="60"/>
      <c r="G245" s="59"/>
      <c r="H245" s="59"/>
      <c r="I245" s="85"/>
      <c r="J245" s="109"/>
      <c r="K245" s="61"/>
      <c r="L245" s="62"/>
      <c r="M245" s="61"/>
      <c r="N245" s="144">
        <f t="shared" si="89"/>
        <v>0</v>
      </c>
      <c r="O245" s="145"/>
      <c r="P245" s="145"/>
      <c r="Q245" s="144">
        <f t="shared" si="101"/>
        <v>0</v>
      </c>
      <c r="R245" s="145"/>
      <c r="S245" s="145">
        <f t="shared" si="98"/>
        <v>0</v>
      </c>
      <c r="T245" s="145" t="s">
        <v>273</v>
      </c>
      <c r="U245" s="144">
        <f t="shared" si="87"/>
        <v>0</v>
      </c>
      <c r="V245" s="145" t="s">
        <v>274</v>
      </c>
      <c r="W245" s="149">
        <f t="shared" si="90"/>
        <v>0</v>
      </c>
      <c r="X245" s="150" t="s">
        <v>277</v>
      </c>
      <c r="Y245" s="64">
        <f t="shared" si="99"/>
        <v>0</v>
      </c>
      <c r="Z245" s="62" t="s">
        <v>284</v>
      </c>
      <c r="AA245" s="64">
        <f t="shared" si="100"/>
        <v>0</v>
      </c>
      <c r="AB245" s="62" t="s">
        <v>285</v>
      </c>
      <c r="AC245" s="63">
        <f t="shared" si="108"/>
        <v>0</v>
      </c>
      <c r="AD245" s="102"/>
      <c r="AE245" s="98">
        <v>6</v>
      </c>
      <c r="AF245" s="97">
        <f t="shared" si="93"/>
        <v>0</v>
      </c>
      <c r="AG245" s="97">
        <v>5950</v>
      </c>
      <c r="AH245" s="82">
        <f t="shared" si="94"/>
        <v>495.83333333333331</v>
      </c>
      <c r="AI245" s="106" t="s">
        <v>896</v>
      </c>
      <c r="AJ245" s="65">
        <f t="shared" si="109"/>
        <v>0</v>
      </c>
      <c r="AK245" s="66" t="e">
        <f>AC245+#REF!</f>
        <v>#REF!</v>
      </c>
    </row>
    <row r="246" spans="1:41" s="96" customFormat="1">
      <c r="A246" s="124" t="s">
        <v>882</v>
      </c>
      <c r="B246" s="59"/>
      <c r="C246" s="59"/>
      <c r="D246" s="140"/>
      <c r="E246" s="124"/>
      <c r="F246" s="60"/>
      <c r="G246" s="59"/>
      <c r="H246" s="59"/>
      <c r="I246" s="85"/>
      <c r="J246" s="109"/>
      <c r="K246" s="61"/>
      <c r="L246" s="62"/>
      <c r="M246" s="61"/>
      <c r="N246" s="144">
        <f>SUM(K246:M246)*$D$1</f>
        <v>0</v>
      </c>
      <c r="O246" s="145"/>
      <c r="P246" s="145"/>
      <c r="Q246" s="144">
        <f>+P246*$D$1</f>
        <v>0</v>
      </c>
      <c r="R246" s="145"/>
      <c r="S246" s="145">
        <f t="shared" si="98"/>
        <v>0</v>
      </c>
      <c r="T246" s="145" t="s">
        <v>273</v>
      </c>
      <c r="U246" s="144">
        <f>(K246+M246)*$I$1</f>
        <v>0</v>
      </c>
      <c r="V246" s="145" t="s">
        <v>274</v>
      </c>
      <c r="W246" s="149">
        <f>IF(G246="RIMAC EPS EMPRESA PRESTADORA DE SALUD",((((K246*40%)+M246)*0.0675)*$I$1),((((K246*40%)+M246)*0.09))*$I$1)</f>
        <v>0</v>
      </c>
      <c r="X246" s="150" t="s">
        <v>277</v>
      </c>
      <c r="Y246" s="64">
        <f>IF(G246="RIMAC EPS EMPRESA PRESTADORA DE SALUD",((((K246*40%)+M246)*0.0675)*$D$1),((((K246*40%)+M246)*0.09))*$D$1)</f>
        <v>0</v>
      </c>
      <c r="Z246" s="62" t="s">
        <v>284</v>
      </c>
      <c r="AA246" s="64">
        <f>IF(G246="RIMAC EPS EMPRESA PRESTADORA DE SALUD",((K246*40%)+M246)*0.0225*$D$1+Q246*0.0225,0)</f>
        <v>0</v>
      </c>
      <c r="AB246" s="62" t="s">
        <v>285</v>
      </c>
      <c r="AC246" s="63">
        <f>N246+S246+U246+W246+Y246+AA246</f>
        <v>0</v>
      </c>
      <c r="AD246" s="102"/>
      <c r="AE246" s="98">
        <v>6</v>
      </c>
      <c r="AF246" s="97">
        <f t="shared" si="93"/>
        <v>0</v>
      </c>
      <c r="AG246" s="97">
        <v>3150</v>
      </c>
      <c r="AH246" s="82">
        <f t="shared" si="94"/>
        <v>262.5</v>
      </c>
      <c r="AI246" s="106" t="s">
        <v>896</v>
      </c>
      <c r="AJ246" s="65">
        <f>N246+S246+U246+W246</f>
        <v>0</v>
      </c>
      <c r="AK246" s="66" t="e">
        <f>AC246+#REF!</f>
        <v>#REF!</v>
      </c>
    </row>
    <row r="247" spans="1:41" s="67" customFormat="1">
      <c r="A247" s="124" t="s">
        <v>918</v>
      </c>
      <c r="B247" s="59"/>
      <c r="C247" s="59"/>
      <c r="D247" s="138"/>
      <c r="E247" s="128"/>
      <c r="F247" s="60"/>
      <c r="G247" s="59"/>
      <c r="H247" s="59"/>
      <c r="I247" s="85"/>
      <c r="J247" s="109"/>
      <c r="K247" s="61"/>
      <c r="L247" s="62"/>
      <c r="M247" s="61"/>
      <c r="N247" s="144">
        <f t="shared" si="89"/>
        <v>0</v>
      </c>
      <c r="O247" s="145"/>
      <c r="P247" s="145"/>
      <c r="Q247" s="144">
        <f t="shared" ref="Q247:Q248" si="130">+P247*$D$1</f>
        <v>0</v>
      </c>
      <c r="R247" s="145"/>
      <c r="S247" s="145">
        <f t="shared" si="98"/>
        <v>0</v>
      </c>
      <c r="T247" s="145" t="s">
        <v>273</v>
      </c>
      <c r="U247" s="144">
        <f t="shared" si="87"/>
        <v>0</v>
      </c>
      <c r="V247" s="145" t="s">
        <v>274</v>
      </c>
      <c r="W247" s="149">
        <f t="shared" si="90"/>
        <v>0</v>
      </c>
      <c r="X247" s="150" t="s">
        <v>277</v>
      </c>
      <c r="Y247" s="64">
        <f t="shared" ref="Y247:Y248" si="131">IF(G247="RIMAC EPS EMPRESA PRESTADORA DE SALUD",((((K247*40%)+M247)*0.0675)*$D$1),((((K247*40%)+M247)*0.09))*$D$1)</f>
        <v>0</v>
      </c>
      <c r="Z247" s="62" t="s">
        <v>284</v>
      </c>
      <c r="AA247" s="64">
        <f t="shared" ref="AA247:AA248" si="132">IF(G247="RIMAC EPS EMPRESA PRESTADORA DE SALUD",((K247*40%)+M247)*0.0225*$D$1+Q247*0.0225,0)</f>
        <v>0</v>
      </c>
      <c r="AB247" s="62" t="s">
        <v>285</v>
      </c>
      <c r="AC247" s="63">
        <f t="shared" si="108"/>
        <v>0</v>
      </c>
      <c r="AD247" s="102"/>
      <c r="AE247" s="98">
        <v>6</v>
      </c>
      <c r="AF247" s="97">
        <f t="shared" si="93"/>
        <v>0</v>
      </c>
      <c r="AG247" s="97">
        <v>5950</v>
      </c>
      <c r="AH247" s="82">
        <f t="shared" si="94"/>
        <v>495.83333333333331</v>
      </c>
      <c r="AI247" s="106" t="s">
        <v>896</v>
      </c>
      <c r="AJ247" s="65">
        <f t="shared" si="109"/>
        <v>0</v>
      </c>
      <c r="AK247" s="66" t="e">
        <f>AC247+#REF!</f>
        <v>#REF!</v>
      </c>
    </row>
    <row r="248" spans="1:41" s="67" customFormat="1">
      <c r="A248" s="124" t="s">
        <v>919</v>
      </c>
      <c r="B248" s="59"/>
      <c r="C248" s="59"/>
      <c r="D248" s="139"/>
      <c r="E248" s="62"/>
      <c r="F248" s="60"/>
      <c r="G248" s="59"/>
      <c r="H248" s="59"/>
      <c r="I248" s="85"/>
      <c r="J248" s="109"/>
      <c r="K248" s="61"/>
      <c r="L248" s="62"/>
      <c r="M248" s="61"/>
      <c r="N248" s="144">
        <f t="shared" si="89"/>
        <v>0</v>
      </c>
      <c r="O248" s="145"/>
      <c r="P248" s="145"/>
      <c r="Q248" s="144">
        <f t="shared" si="130"/>
        <v>0</v>
      </c>
      <c r="R248" s="145"/>
      <c r="S248" s="145">
        <f t="shared" si="98"/>
        <v>0</v>
      </c>
      <c r="T248" s="145" t="s">
        <v>273</v>
      </c>
      <c r="U248" s="144">
        <f t="shared" si="87"/>
        <v>0</v>
      </c>
      <c r="V248" s="145" t="s">
        <v>274</v>
      </c>
      <c r="W248" s="149">
        <f t="shared" si="90"/>
        <v>0</v>
      </c>
      <c r="X248" s="150" t="s">
        <v>277</v>
      </c>
      <c r="Y248" s="64">
        <f t="shared" si="131"/>
        <v>0</v>
      </c>
      <c r="Z248" s="62" t="s">
        <v>284</v>
      </c>
      <c r="AA248" s="64">
        <f t="shared" si="132"/>
        <v>0</v>
      </c>
      <c r="AB248" s="62" t="s">
        <v>285</v>
      </c>
      <c r="AC248" s="63">
        <f t="shared" si="108"/>
        <v>0</v>
      </c>
      <c r="AD248" s="102"/>
      <c r="AE248" s="98">
        <v>6</v>
      </c>
      <c r="AF248" s="97">
        <f t="shared" si="93"/>
        <v>0</v>
      </c>
      <c r="AG248" s="97">
        <v>4650</v>
      </c>
      <c r="AH248" s="82">
        <f t="shared" si="94"/>
        <v>387.5</v>
      </c>
      <c r="AI248" s="106" t="s">
        <v>896</v>
      </c>
      <c r="AJ248" s="65">
        <f t="shared" si="109"/>
        <v>0</v>
      </c>
      <c r="AK248" s="66" t="e">
        <f>AC248+#REF!</f>
        <v>#REF!</v>
      </c>
    </row>
    <row r="249" spans="1:41" s="67" customFormat="1">
      <c r="A249" s="19"/>
      <c r="B249" s="1"/>
      <c r="C249" s="13"/>
      <c r="D249" s="1"/>
      <c r="E249" s="37"/>
      <c r="F249" s="39"/>
      <c r="G249" s="1"/>
      <c r="H249" s="1"/>
      <c r="I249" s="1"/>
      <c r="J249" s="108"/>
      <c r="K249" s="79"/>
      <c r="L249" s="3"/>
      <c r="M249" s="79"/>
      <c r="N249" s="77"/>
      <c r="O249" s="3"/>
      <c r="P249" s="3"/>
      <c r="Q249" s="18"/>
      <c r="R249" s="7"/>
      <c r="S249" s="5"/>
      <c r="T249" s="5"/>
      <c r="U249" s="18"/>
      <c r="V249" s="7"/>
      <c r="W249" s="18"/>
      <c r="X249" s="7"/>
      <c r="Y249" s="10"/>
      <c r="Z249"/>
      <c r="AA249"/>
      <c r="AB249"/>
      <c r="AC249" s="10"/>
      <c r="AD249" s="103"/>
      <c r="AE249" s="10"/>
      <c r="AF249" s="56"/>
      <c r="AG249" s="56"/>
      <c r="AH249" s="83"/>
      <c r="AI249" s="10"/>
      <c r="AJ249" s="10"/>
      <c r="AK249" s="58"/>
    </row>
    <row r="250" spans="1:41">
      <c r="A250" s="46"/>
      <c r="B250" s="51"/>
      <c r="C250" s="51"/>
      <c r="D250" s="41"/>
      <c r="E250" s="40"/>
      <c r="F250" s="52"/>
      <c r="G250" s="51"/>
      <c r="H250" s="51"/>
      <c r="I250" s="51"/>
      <c r="J250" s="110"/>
      <c r="K250" s="81"/>
      <c r="L250" s="53"/>
      <c r="M250" s="81"/>
      <c r="N250" s="78"/>
      <c r="O250" s="53"/>
      <c r="P250" s="53"/>
      <c r="Q250" s="50"/>
      <c r="R250" s="53"/>
      <c r="S250" s="50">
        <f>SUM(S3:S248)</f>
        <v>0</v>
      </c>
      <c r="T250" s="53"/>
      <c r="U250" s="50">
        <f>SUM(U3:U248)</f>
        <v>24403.35</v>
      </c>
      <c r="V250" s="53"/>
      <c r="W250" s="50">
        <f>SUM(W3:W248)</f>
        <v>878.52</v>
      </c>
      <c r="X250" s="54"/>
      <c r="Y250" s="50">
        <f>SUM(Y3:Y248)</f>
        <v>0</v>
      </c>
      <c r="Z250" s="53"/>
      <c r="AA250" s="50">
        <f>SUM(AA3:AA248)</f>
        <v>0</v>
      </c>
      <c r="AB250" s="53"/>
      <c r="AC250" s="50">
        <f>SUM(AC3:AC248)</f>
        <v>25281.87</v>
      </c>
      <c r="AD250" s="84"/>
      <c r="AE250" s="50"/>
      <c r="AF250" s="50">
        <f t="shared" ref="AF250:AK250" si="133">SUM(AF3:AF248)</f>
        <v>0</v>
      </c>
      <c r="AG250" s="50">
        <f t="shared" si="133"/>
        <v>1119741.3500000001</v>
      </c>
      <c r="AH250" s="84">
        <f t="shared" si="133"/>
        <v>93311.77916666682</v>
      </c>
      <c r="AI250" s="84">
        <f t="shared" si="133"/>
        <v>0</v>
      </c>
      <c r="AJ250" s="84">
        <f t="shared" si="133"/>
        <v>25281.87</v>
      </c>
      <c r="AK250" s="84" t="e">
        <f t="shared" si="133"/>
        <v>#REF!</v>
      </c>
      <c r="AO250" s="67"/>
    </row>
  </sheetData>
  <sortState ref="B12:AB283">
    <sortCondition ref="C12:C283"/>
  </sortState>
  <mergeCells count="2">
    <mergeCell ref="AE1:AI1"/>
    <mergeCell ref="Y1:AB1"/>
  </mergeCells>
  <phoneticPr fontId="2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95"/>
  <sheetViews>
    <sheetView zoomScale="70" zoomScaleNormal="70" workbookViewId="0">
      <pane xSplit="2" ySplit="2" topLeftCell="C257" activePane="bottomRight" state="frozen"/>
      <selection pane="topRight" activeCell="C1" sqref="C1"/>
      <selection pane="bottomLeft" activeCell="A3" sqref="A3"/>
      <selection pane="bottomRight" activeCell="I254" sqref="I254"/>
    </sheetView>
  </sheetViews>
  <sheetFormatPr baseColWidth="10" defaultColWidth="11.42578125" defaultRowHeight="15"/>
  <cols>
    <col min="1" max="1" width="8.7109375" style="20" customWidth="1"/>
    <col min="2" max="2" width="50.7109375" style="13" customWidth="1"/>
    <col min="3" max="3" width="6.7109375" style="20" customWidth="1"/>
    <col min="4" max="4" width="8.7109375" style="20" customWidth="1"/>
    <col min="5" max="5" width="11" style="20" customWidth="1"/>
    <col min="6" max="6" width="41.28515625" style="20" customWidth="1"/>
    <col min="7" max="7" width="30.140625" style="20" customWidth="1"/>
    <col min="8" max="8" width="12.85546875" style="3" bestFit="1" customWidth="1"/>
    <col min="9" max="9" width="11.42578125" style="3"/>
    <col min="10" max="10" width="10.28515625" style="3" bestFit="1" customWidth="1"/>
    <col min="11" max="11" width="18.7109375" style="17" bestFit="1" customWidth="1"/>
    <col min="12" max="12" width="15" style="3" bestFit="1" customWidth="1"/>
    <col min="13" max="13" width="12.42578125" style="18" bestFit="1" customWidth="1"/>
    <col min="14" max="14" width="12.140625" style="7" customWidth="1"/>
    <col min="15" max="16" width="15" style="5" customWidth="1"/>
    <col min="17" max="17" width="13.85546875" style="18" bestFit="1" customWidth="1"/>
    <col min="18" max="18" width="16.42578125" style="7" bestFit="1" customWidth="1"/>
    <col min="19" max="19" width="13.140625" style="18" bestFit="1" customWidth="1"/>
    <col min="20" max="20" width="13" style="7" bestFit="1" customWidth="1"/>
    <col min="21" max="21" width="12.28515625" style="15" customWidth="1"/>
    <col min="22" max="22" width="17.28515625" style="15" bestFit="1" customWidth="1"/>
    <col min="23" max="23" width="11.42578125" style="9"/>
    <col min="24" max="24" width="11.42578125" style="10"/>
    <col min="25" max="27" width="11.42578125" style="19"/>
    <col min="28" max="28" width="17.28515625" style="10" customWidth="1"/>
    <col min="29" max="16384" width="11.42578125" style="19"/>
  </cols>
  <sheetData>
    <row r="1" spans="1:28">
      <c r="B1" s="13" t="s">
        <v>291</v>
      </c>
      <c r="C1" s="20">
        <v>12</v>
      </c>
      <c r="F1" s="20" t="s">
        <v>643</v>
      </c>
      <c r="G1" s="20">
        <v>2</v>
      </c>
    </row>
    <row r="2" spans="1:28">
      <c r="A2" s="20" t="s">
        <v>0</v>
      </c>
      <c r="B2" s="13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" t="s">
        <v>264</v>
      </c>
      <c r="I2" s="2" t="s">
        <v>281</v>
      </c>
      <c r="J2" s="2" t="s">
        <v>266</v>
      </c>
      <c r="K2" s="17" t="s">
        <v>286</v>
      </c>
      <c r="L2" s="2" t="s">
        <v>265</v>
      </c>
      <c r="M2" s="18" t="s">
        <v>278</v>
      </c>
      <c r="N2" s="6" t="s">
        <v>280</v>
      </c>
      <c r="O2" s="4" t="s">
        <v>271</v>
      </c>
      <c r="P2" s="4" t="s">
        <v>272</v>
      </c>
      <c r="Q2" s="18" t="s">
        <v>287</v>
      </c>
      <c r="R2" s="6" t="s">
        <v>275</v>
      </c>
      <c r="S2" s="18" t="s">
        <v>288</v>
      </c>
      <c r="T2" s="6" t="s">
        <v>276</v>
      </c>
      <c r="U2" s="15" t="s">
        <v>306</v>
      </c>
      <c r="V2" s="15" t="s">
        <v>267</v>
      </c>
      <c r="W2" s="8" t="s">
        <v>268</v>
      </c>
      <c r="X2" s="18" t="s">
        <v>289</v>
      </c>
      <c r="Y2" s="6" t="s">
        <v>282</v>
      </c>
      <c r="Z2" s="6" t="s">
        <v>290</v>
      </c>
      <c r="AA2" s="6" t="s">
        <v>283</v>
      </c>
      <c r="AB2" s="18" t="s">
        <v>307</v>
      </c>
    </row>
    <row r="3" spans="1:28">
      <c r="A3" s="20" t="s">
        <v>341</v>
      </c>
      <c r="B3" s="13" t="s">
        <v>308</v>
      </c>
      <c r="C3" s="20" t="s">
        <v>7</v>
      </c>
      <c r="D3" s="20">
        <v>1</v>
      </c>
      <c r="E3" s="19"/>
      <c r="F3" s="20" t="s">
        <v>26</v>
      </c>
      <c r="G3" s="20" t="s">
        <v>10</v>
      </c>
      <c r="H3" s="23">
        <v>1928</v>
      </c>
      <c r="I3" s="3">
        <v>720</v>
      </c>
      <c r="K3" s="17">
        <f t="shared" ref="K3:K66" si="0">SUM(H3:J3)*$C$1</f>
        <v>31776</v>
      </c>
      <c r="L3" s="3" t="s">
        <v>337</v>
      </c>
      <c r="M3" s="18">
        <v>0</v>
      </c>
      <c r="O3" s="5">
        <v>400</v>
      </c>
      <c r="P3" s="5" t="s">
        <v>273</v>
      </c>
      <c r="Q3" s="18">
        <f t="shared" ref="Q3:Q66" si="1">(H3+J3)*$G$1</f>
        <v>3856</v>
      </c>
      <c r="R3" s="7" t="s">
        <v>274</v>
      </c>
      <c r="S3" s="18">
        <f t="shared" ref="S3:S66" si="2">+Q3*0.09</f>
        <v>347.03999999999996</v>
      </c>
      <c r="T3" s="7" t="s">
        <v>277</v>
      </c>
      <c r="U3" s="15">
        <v>852</v>
      </c>
      <c r="V3" s="15">
        <f t="shared" ref="V3:V66" si="3">+U3*$C$1</f>
        <v>10224</v>
      </c>
      <c r="W3" s="9" t="s">
        <v>269</v>
      </c>
      <c r="X3" s="10">
        <f t="shared" ref="X3:X66" si="4">+(H3+J3)*0.09*$C$1+M3*0.09</f>
        <v>2082.2399999999998</v>
      </c>
      <c r="Y3" s="19" t="s">
        <v>284</v>
      </c>
      <c r="Z3" s="10"/>
      <c r="AA3" s="19" t="s">
        <v>285</v>
      </c>
      <c r="AB3" s="10">
        <f t="shared" ref="AB3:AB66" si="5">+K3+M3+O3+Q3+S3+V3+X3+Z3</f>
        <v>48685.279999999999</v>
      </c>
    </row>
    <row r="4" spans="1:28">
      <c r="A4" s="20" t="s">
        <v>342</v>
      </c>
      <c r="B4" s="13" t="s">
        <v>309</v>
      </c>
      <c r="C4" s="20" t="s">
        <v>45</v>
      </c>
      <c r="D4" s="20">
        <v>1</v>
      </c>
      <c r="E4" s="20" t="s">
        <v>8</v>
      </c>
      <c r="F4" s="20" t="s">
        <v>9</v>
      </c>
      <c r="G4" s="20" t="s">
        <v>160</v>
      </c>
      <c r="H4" s="23">
        <v>7878</v>
      </c>
      <c r="I4" s="3">
        <v>720</v>
      </c>
      <c r="K4" s="17">
        <f t="shared" si="0"/>
        <v>103176</v>
      </c>
      <c r="L4" s="3" t="s">
        <v>338</v>
      </c>
      <c r="M4" s="18">
        <v>0</v>
      </c>
      <c r="O4" s="5">
        <v>400</v>
      </c>
      <c r="P4" s="5" t="s">
        <v>273</v>
      </c>
      <c r="Q4" s="18">
        <f t="shared" si="1"/>
        <v>15756</v>
      </c>
      <c r="R4" s="7" t="s">
        <v>274</v>
      </c>
      <c r="S4" s="18">
        <f t="shared" si="2"/>
        <v>1418.04</v>
      </c>
      <c r="T4" s="7" t="s">
        <v>277</v>
      </c>
      <c r="U4" s="15">
        <v>2402</v>
      </c>
      <c r="V4" s="15">
        <f t="shared" si="3"/>
        <v>28824</v>
      </c>
      <c r="W4" s="9" t="s">
        <v>269</v>
      </c>
      <c r="X4" s="10">
        <f t="shared" si="4"/>
        <v>8508.24</v>
      </c>
      <c r="Y4" s="19" t="s">
        <v>284</v>
      </c>
      <c r="AB4" s="10">
        <f t="shared" si="5"/>
        <v>158082.27999999997</v>
      </c>
    </row>
    <row r="5" spans="1:28">
      <c r="A5" s="20" t="s">
        <v>343</v>
      </c>
      <c r="B5" s="13" t="s">
        <v>11</v>
      </c>
      <c r="C5" s="20" t="s">
        <v>12</v>
      </c>
      <c r="D5" s="20">
        <v>1</v>
      </c>
      <c r="E5" s="19"/>
      <c r="F5" s="20" t="s">
        <v>9</v>
      </c>
      <c r="G5" s="20" t="s">
        <v>13</v>
      </c>
      <c r="H5" s="23">
        <v>2378</v>
      </c>
      <c r="I5" s="3">
        <v>720</v>
      </c>
      <c r="J5" s="3">
        <v>93</v>
      </c>
      <c r="K5" s="17">
        <f t="shared" si="0"/>
        <v>38292</v>
      </c>
      <c r="L5" s="3" t="s">
        <v>339</v>
      </c>
      <c r="M5" s="18">
        <v>2427.8000000000002</v>
      </c>
      <c r="N5" s="7" t="s">
        <v>279</v>
      </c>
      <c r="O5" s="5">
        <v>400</v>
      </c>
      <c r="P5" s="5" t="s">
        <v>273</v>
      </c>
      <c r="Q5" s="18">
        <f t="shared" si="1"/>
        <v>4942</v>
      </c>
      <c r="R5" s="7" t="s">
        <v>274</v>
      </c>
      <c r="S5" s="18">
        <f t="shared" si="2"/>
        <v>444.78</v>
      </c>
      <c r="T5" s="7" t="s">
        <v>277</v>
      </c>
      <c r="U5" s="15">
        <v>1302</v>
      </c>
      <c r="V5" s="15">
        <f t="shared" si="3"/>
        <v>15624</v>
      </c>
      <c r="W5" s="9" t="s">
        <v>270</v>
      </c>
      <c r="X5" s="10">
        <f t="shared" si="4"/>
        <v>2887.1819999999998</v>
      </c>
      <c r="Y5" s="19" t="s">
        <v>284</v>
      </c>
      <c r="Z5" s="10"/>
      <c r="AB5" s="10">
        <f t="shared" si="5"/>
        <v>65017.762000000002</v>
      </c>
    </row>
    <row r="6" spans="1:28">
      <c r="A6" s="20" t="s">
        <v>344</v>
      </c>
      <c r="B6" s="13" t="s">
        <v>310</v>
      </c>
      <c r="C6" s="20" t="s">
        <v>14</v>
      </c>
      <c r="D6" s="20">
        <v>1</v>
      </c>
      <c r="E6" s="20" t="s">
        <v>8</v>
      </c>
      <c r="F6" s="20" t="s">
        <v>9</v>
      </c>
      <c r="G6" s="20" t="s">
        <v>15</v>
      </c>
      <c r="H6" s="23">
        <v>2268</v>
      </c>
      <c r="I6" s="3">
        <v>720</v>
      </c>
      <c r="K6" s="17">
        <f t="shared" si="0"/>
        <v>35856</v>
      </c>
      <c r="L6" s="3" t="s">
        <v>338</v>
      </c>
      <c r="M6" s="18">
        <v>0</v>
      </c>
      <c r="O6" s="5">
        <v>400</v>
      </c>
      <c r="P6" s="5" t="s">
        <v>273</v>
      </c>
      <c r="Q6" s="18">
        <f t="shared" si="1"/>
        <v>4536</v>
      </c>
      <c r="R6" s="7" t="s">
        <v>274</v>
      </c>
      <c r="S6" s="18">
        <f t="shared" si="2"/>
        <v>408.24</v>
      </c>
      <c r="T6" s="7" t="s">
        <v>277</v>
      </c>
      <c r="U6" s="15">
        <v>852</v>
      </c>
      <c r="V6" s="15">
        <f t="shared" si="3"/>
        <v>10224</v>
      </c>
      <c r="W6" s="9" t="s">
        <v>269</v>
      </c>
      <c r="X6" s="10">
        <f t="shared" si="4"/>
        <v>2449.44</v>
      </c>
      <c r="Y6" s="19" t="s">
        <v>284</v>
      </c>
      <c r="AB6" s="10">
        <f t="shared" si="5"/>
        <v>53873.68</v>
      </c>
    </row>
    <row r="7" spans="1:28">
      <c r="A7" s="20" t="s">
        <v>345</v>
      </c>
      <c r="B7" s="13" t="s">
        <v>17</v>
      </c>
      <c r="C7" s="20" t="s">
        <v>7</v>
      </c>
      <c r="D7" s="20">
        <v>1</v>
      </c>
      <c r="E7" s="19"/>
      <c r="F7" s="20" t="s">
        <v>9</v>
      </c>
      <c r="G7" s="20" t="s">
        <v>10</v>
      </c>
      <c r="H7" s="23">
        <v>1928</v>
      </c>
      <c r="I7" s="3">
        <v>720</v>
      </c>
      <c r="K7" s="17">
        <f t="shared" si="0"/>
        <v>31776</v>
      </c>
      <c r="L7" s="3" t="s">
        <v>338</v>
      </c>
      <c r="M7" s="18">
        <v>0</v>
      </c>
      <c r="O7" s="5">
        <v>400</v>
      </c>
      <c r="P7" s="5" t="s">
        <v>273</v>
      </c>
      <c r="Q7" s="18">
        <f t="shared" si="1"/>
        <v>3856</v>
      </c>
      <c r="R7" s="7" t="s">
        <v>274</v>
      </c>
      <c r="S7" s="18">
        <f t="shared" si="2"/>
        <v>347.03999999999996</v>
      </c>
      <c r="T7" s="7" t="s">
        <v>277</v>
      </c>
      <c r="U7" s="15">
        <v>852</v>
      </c>
      <c r="V7" s="15">
        <f t="shared" si="3"/>
        <v>10224</v>
      </c>
      <c r="W7" s="9" t="s">
        <v>269</v>
      </c>
      <c r="X7" s="10">
        <f t="shared" si="4"/>
        <v>2082.2399999999998</v>
      </c>
      <c r="Y7" s="19" t="s">
        <v>284</v>
      </c>
      <c r="AB7" s="10">
        <f t="shared" si="5"/>
        <v>48685.279999999999</v>
      </c>
    </row>
    <row r="8" spans="1:28">
      <c r="A8" s="20" t="s">
        <v>346</v>
      </c>
      <c r="B8" s="13" t="s">
        <v>18</v>
      </c>
      <c r="C8" s="20" t="s">
        <v>12</v>
      </c>
      <c r="D8" s="20">
        <v>1</v>
      </c>
      <c r="E8" s="19"/>
      <c r="F8" s="20" t="s">
        <v>9</v>
      </c>
      <c r="G8" s="20" t="s">
        <v>19</v>
      </c>
      <c r="H8" s="23">
        <v>3978</v>
      </c>
      <c r="I8" s="3">
        <v>720</v>
      </c>
      <c r="J8" s="3">
        <v>93</v>
      </c>
      <c r="K8" s="17">
        <f t="shared" si="0"/>
        <v>57492</v>
      </c>
      <c r="L8" s="3" t="s">
        <v>338</v>
      </c>
      <c r="M8" s="18">
        <v>0</v>
      </c>
      <c r="O8" s="5">
        <v>400</v>
      </c>
      <c r="P8" s="5" t="s">
        <v>273</v>
      </c>
      <c r="Q8" s="18">
        <f t="shared" si="1"/>
        <v>8142</v>
      </c>
      <c r="R8" s="7" t="s">
        <v>274</v>
      </c>
      <c r="S8" s="18">
        <f t="shared" si="2"/>
        <v>732.78</v>
      </c>
      <c r="T8" s="7" t="s">
        <v>277</v>
      </c>
      <c r="U8" s="15">
        <v>802</v>
      </c>
      <c r="V8" s="15">
        <f t="shared" si="3"/>
        <v>9624</v>
      </c>
      <c r="W8" s="9" t="s">
        <v>269</v>
      </c>
      <c r="X8" s="10">
        <f t="shared" si="4"/>
        <v>4396.68</v>
      </c>
      <c r="Y8" s="19" t="s">
        <v>284</v>
      </c>
      <c r="AB8" s="10">
        <f t="shared" si="5"/>
        <v>80787.459999999992</v>
      </c>
    </row>
    <row r="9" spans="1:28">
      <c r="A9" s="20" t="s">
        <v>347</v>
      </c>
      <c r="B9" s="13" t="s">
        <v>20</v>
      </c>
      <c r="C9" s="20" t="s">
        <v>12</v>
      </c>
      <c r="D9" s="20">
        <v>1</v>
      </c>
      <c r="E9" s="19"/>
      <c r="F9" s="20" t="s">
        <v>9</v>
      </c>
      <c r="G9" s="20" t="s">
        <v>19</v>
      </c>
      <c r="H9" s="23">
        <v>3978</v>
      </c>
      <c r="I9" s="3">
        <v>720</v>
      </c>
      <c r="K9" s="17">
        <f t="shared" si="0"/>
        <v>56376</v>
      </c>
      <c r="L9" s="3" t="s">
        <v>338</v>
      </c>
      <c r="M9" s="18">
        <v>0</v>
      </c>
      <c r="O9" s="5">
        <v>400</v>
      </c>
      <c r="P9" s="5" t="s">
        <v>273</v>
      </c>
      <c r="Q9" s="18">
        <f t="shared" si="1"/>
        <v>7956</v>
      </c>
      <c r="R9" s="7" t="s">
        <v>274</v>
      </c>
      <c r="S9" s="18">
        <f t="shared" si="2"/>
        <v>716.04</v>
      </c>
      <c r="T9" s="7" t="s">
        <v>277</v>
      </c>
      <c r="U9" s="15">
        <v>802</v>
      </c>
      <c r="V9" s="15">
        <f t="shared" si="3"/>
        <v>9624</v>
      </c>
      <c r="W9" s="9" t="s">
        <v>269</v>
      </c>
      <c r="X9" s="10">
        <f t="shared" si="4"/>
        <v>4296.24</v>
      </c>
      <c r="Y9" s="19" t="s">
        <v>284</v>
      </c>
      <c r="AB9" s="10">
        <f t="shared" si="5"/>
        <v>79368.280000000013</v>
      </c>
    </row>
    <row r="10" spans="1:28">
      <c r="A10" s="20" t="s">
        <v>348</v>
      </c>
      <c r="B10" s="13" t="s">
        <v>311</v>
      </c>
      <c r="C10" s="20" t="s">
        <v>14</v>
      </c>
      <c r="D10" s="20">
        <v>1</v>
      </c>
      <c r="E10" s="19"/>
      <c r="F10" s="20" t="s">
        <v>9</v>
      </c>
      <c r="G10" s="20" t="s">
        <v>15</v>
      </c>
      <c r="H10" s="23">
        <v>2268</v>
      </c>
      <c r="I10" s="3">
        <v>720</v>
      </c>
      <c r="J10" s="3">
        <v>93</v>
      </c>
      <c r="K10" s="17">
        <f t="shared" si="0"/>
        <v>36972</v>
      </c>
      <c r="L10" s="3" t="s">
        <v>338</v>
      </c>
      <c r="M10" s="18">
        <v>0</v>
      </c>
      <c r="O10" s="5">
        <v>400</v>
      </c>
      <c r="P10" s="5" t="s">
        <v>273</v>
      </c>
      <c r="Q10" s="18">
        <f t="shared" si="1"/>
        <v>4722</v>
      </c>
      <c r="R10" s="7" t="s">
        <v>274</v>
      </c>
      <c r="S10" s="18">
        <f t="shared" si="2"/>
        <v>424.97999999999996</v>
      </c>
      <c r="T10" s="7" t="s">
        <v>277</v>
      </c>
      <c r="U10" s="15">
        <v>852</v>
      </c>
      <c r="V10" s="15">
        <f t="shared" si="3"/>
        <v>10224</v>
      </c>
      <c r="W10" s="9" t="s">
        <v>269</v>
      </c>
      <c r="X10" s="10">
        <f t="shared" si="4"/>
        <v>2549.8799999999997</v>
      </c>
      <c r="Y10" s="19" t="s">
        <v>284</v>
      </c>
      <c r="AB10" s="10">
        <f t="shared" si="5"/>
        <v>55292.86</v>
      </c>
    </row>
    <row r="11" spans="1:28">
      <c r="A11" s="20" t="s">
        <v>349</v>
      </c>
      <c r="B11" s="13" t="s">
        <v>21</v>
      </c>
      <c r="C11" s="20" t="s">
        <v>7</v>
      </c>
      <c r="D11" s="20">
        <v>1</v>
      </c>
      <c r="E11" s="19"/>
      <c r="F11" s="20" t="s">
        <v>9</v>
      </c>
      <c r="G11" s="20" t="s">
        <v>15</v>
      </c>
      <c r="H11" s="23">
        <v>2268</v>
      </c>
      <c r="I11" s="3">
        <v>720</v>
      </c>
      <c r="J11" s="3">
        <v>93</v>
      </c>
      <c r="K11" s="17">
        <f t="shared" si="0"/>
        <v>36972</v>
      </c>
      <c r="L11" s="3" t="s">
        <v>338</v>
      </c>
      <c r="M11" s="18">
        <v>0</v>
      </c>
      <c r="O11" s="5">
        <v>400</v>
      </c>
      <c r="P11" s="5" t="s">
        <v>273</v>
      </c>
      <c r="Q11" s="18">
        <f t="shared" si="1"/>
        <v>4722</v>
      </c>
      <c r="R11" s="7" t="s">
        <v>274</v>
      </c>
      <c r="S11" s="18">
        <f t="shared" si="2"/>
        <v>424.97999999999996</v>
      </c>
      <c r="T11" s="7" t="s">
        <v>277</v>
      </c>
      <c r="U11" s="15">
        <v>852</v>
      </c>
      <c r="V11" s="15">
        <f t="shared" si="3"/>
        <v>10224</v>
      </c>
      <c r="W11" s="9" t="s">
        <v>269</v>
      </c>
      <c r="X11" s="10">
        <f t="shared" si="4"/>
        <v>2549.8799999999997</v>
      </c>
      <c r="Y11" s="19" t="s">
        <v>284</v>
      </c>
      <c r="AB11" s="10">
        <f t="shared" si="5"/>
        <v>55292.86</v>
      </c>
    </row>
    <row r="12" spans="1:28">
      <c r="A12" s="20" t="s">
        <v>350</v>
      </c>
      <c r="B12" s="13" t="s">
        <v>22</v>
      </c>
      <c r="C12" s="20" t="s">
        <v>12</v>
      </c>
      <c r="D12" s="20">
        <v>1</v>
      </c>
      <c r="E12" s="19"/>
      <c r="F12" s="20" t="s">
        <v>9</v>
      </c>
      <c r="G12" s="20" t="s">
        <v>23</v>
      </c>
      <c r="H12" s="23">
        <v>1928</v>
      </c>
      <c r="I12" s="3">
        <v>720</v>
      </c>
      <c r="K12" s="17">
        <f t="shared" si="0"/>
        <v>31776</v>
      </c>
      <c r="L12" s="3" t="s">
        <v>340</v>
      </c>
      <c r="M12" s="18">
        <v>3638.34</v>
      </c>
      <c r="N12" s="7" t="s">
        <v>279</v>
      </c>
      <c r="O12" s="5">
        <v>400</v>
      </c>
      <c r="P12" s="5" t="s">
        <v>273</v>
      </c>
      <c r="Q12" s="18">
        <f t="shared" si="1"/>
        <v>3856</v>
      </c>
      <c r="R12" s="7" t="s">
        <v>274</v>
      </c>
      <c r="S12" s="18">
        <f t="shared" si="2"/>
        <v>347.03999999999996</v>
      </c>
      <c r="T12" s="7" t="s">
        <v>277</v>
      </c>
      <c r="U12" s="15">
        <v>852</v>
      </c>
      <c r="V12" s="15">
        <f t="shared" si="3"/>
        <v>10224</v>
      </c>
      <c r="W12" s="9" t="s">
        <v>270</v>
      </c>
      <c r="X12" s="10">
        <f t="shared" si="4"/>
        <v>2409.6905999999999</v>
      </c>
      <c r="Y12" s="19" t="s">
        <v>284</v>
      </c>
      <c r="AB12" s="10">
        <f t="shared" si="5"/>
        <v>52651.070599999999</v>
      </c>
    </row>
    <row r="13" spans="1:28">
      <c r="A13" s="20" t="s">
        <v>351</v>
      </c>
      <c r="B13" s="13" t="s">
        <v>24</v>
      </c>
      <c r="C13" s="20" t="s">
        <v>25</v>
      </c>
      <c r="D13" s="20">
        <v>1</v>
      </c>
      <c r="E13" s="19"/>
      <c r="F13" s="20" t="s">
        <v>9</v>
      </c>
      <c r="G13" s="20" t="s">
        <v>15</v>
      </c>
      <c r="H13" s="23">
        <v>2268</v>
      </c>
      <c r="I13" s="3">
        <v>720</v>
      </c>
      <c r="K13" s="17">
        <f t="shared" si="0"/>
        <v>35856</v>
      </c>
      <c r="L13" s="3" t="s">
        <v>338</v>
      </c>
      <c r="M13" s="18">
        <v>0</v>
      </c>
      <c r="O13" s="5">
        <v>400</v>
      </c>
      <c r="P13" s="5" t="s">
        <v>273</v>
      </c>
      <c r="Q13" s="18">
        <f t="shared" si="1"/>
        <v>4536</v>
      </c>
      <c r="R13" s="7" t="s">
        <v>274</v>
      </c>
      <c r="S13" s="18">
        <f t="shared" si="2"/>
        <v>408.24</v>
      </c>
      <c r="T13" s="7" t="s">
        <v>277</v>
      </c>
      <c r="U13" s="15">
        <v>852</v>
      </c>
      <c r="V13" s="15">
        <f t="shared" si="3"/>
        <v>10224</v>
      </c>
      <c r="W13" s="9" t="s">
        <v>269</v>
      </c>
      <c r="X13" s="10">
        <f t="shared" si="4"/>
        <v>2449.44</v>
      </c>
      <c r="Y13" s="19" t="s">
        <v>284</v>
      </c>
      <c r="AB13" s="10">
        <f t="shared" si="5"/>
        <v>53873.68</v>
      </c>
    </row>
    <row r="14" spans="1:28">
      <c r="A14" s="30">
        <v>45744447</v>
      </c>
      <c r="B14" s="13" t="s">
        <v>646</v>
      </c>
      <c r="C14" s="20" t="s">
        <v>12</v>
      </c>
      <c r="D14" s="20">
        <v>1</v>
      </c>
      <c r="E14" s="19"/>
      <c r="F14" s="20" t="s">
        <v>26</v>
      </c>
      <c r="G14" s="20" t="s">
        <v>23</v>
      </c>
      <c r="H14" s="23">
        <v>1928</v>
      </c>
      <c r="I14" s="3">
        <v>720</v>
      </c>
      <c r="K14" s="17">
        <f t="shared" si="0"/>
        <v>31776</v>
      </c>
      <c r="L14" s="3" t="s">
        <v>340</v>
      </c>
      <c r="M14" s="18">
        <v>0</v>
      </c>
      <c r="O14" s="5">
        <v>400</v>
      </c>
      <c r="P14" s="5" t="s">
        <v>273</v>
      </c>
      <c r="Q14" s="18">
        <f t="shared" si="1"/>
        <v>3856</v>
      </c>
      <c r="R14" s="7" t="s">
        <v>274</v>
      </c>
      <c r="S14" s="18">
        <f t="shared" si="2"/>
        <v>347.03999999999996</v>
      </c>
      <c r="T14" s="7" t="s">
        <v>277</v>
      </c>
      <c r="U14" s="15">
        <v>852</v>
      </c>
      <c r="V14" s="15">
        <f t="shared" si="3"/>
        <v>10224</v>
      </c>
      <c r="W14" s="9" t="s">
        <v>269</v>
      </c>
      <c r="X14" s="10">
        <f t="shared" si="4"/>
        <v>2082.2399999999998</v>
      </c>
      <c r="Y14" s="19" t="s">
        <v>284</v>
      </c>
      <c r="AB14" s="10">
        <f t="shared" si="5"/>
        <v>48685.279999999999</v>
      </c>
    </row>
    <row r="15" spans="1:28">
      <c r="A15" s="20" t="s">
        <v>352</v>
      </c>
      <c r="B15" s="13" t="s">
        <v>27</v>
      </c>
      <c r="C15" s="20" t="s">
        <v>12</v>
      </c>
      <c r="D15" s="20">
        <v>1</v>
      </c>
      <c r="E15" s="19"/>
      <c r="F15" s="20" t="s">
        <v>9</v>
      </c>
      <c r="G15" s="20" t="s">
        <v>28</v>
      </c>
      <c r="H15" s="23">
        <v>1600</v>
      </c>
      <c r="I15" s="3">
        <v>720</v>
      </c>
      <c r="K15" s="17">
        <f t="shared" si="0"/>
        <v>27840</v>
      </c>
      <c r="L15" s="3" t="s">
        <v>338</v>
      </c>
      <c r="M15" s="18">
        <v>0</v>
      </c>
      <c r="O15" s="5">
        <v>400</v>
      </c>
      <c r="P15" s="5" t="s">
        <v>273</v>
      </c>
      <c r="Q15" s="18">
        <f t="shared" si="1"/>
        <v>3200</v>
      </c>
      <c r="R15" s="7" t="s">
        <v>274</v>
      </c>
      <c r="S15" s="18">
        <f t="shared" si="2"/>
        <v>288</v>
      </c>
      <c r="T15" s="7" t="s">
        <v>277</v>
      </c>
      <c r="U15" s="15">
        <v>802</v>
      </c>
      <c r="V15" s="15">
        <f t="shared" si="3"/>
        <v>9624</v>
      </c>
      <c r="W15" s="9" t="s">
        <v>269</v>
      </c>
      <c r="X15" s="10">
        <f t="shared" si="4"/>
        <v>1728</v>
      </c>
      <c r="Y15" s="19" t="s">
        <v>284</v>
      </c>
      <c r="AB15" s="10">
        <f t="shared" si="5"/>
        <v>43080</v>
      </c>
    </row>
    <row r="16" spans="1:28">
      <c r="A16" s="20" t="s">
        <v>353</v>
      </c>
      <c r="B16" s="13" t="s">
        <v>29</v>
      </c>
      <c r="C16" s="20" t="s">
        <v>12</v>
      </c>
      <c r="D16" s="20">
        <v>1</v>
      </c>
      <c r="E16" s="19"/>
      <c r="F16" s="20" t="s">
        <v>9</v>
      </c>
      <c r="G16" s="20" t="s">
        <v>30</v>
      </c>
      <c r="H16" s="23">
        <v>2378</v>
      </c>
      <c r="I16" s="3">
        <v>720</v>
      </c>
      <c r="J16" s="3">
        <v>93</v>
      </c>
      <c r="K16" s="17">
        <f t="shared" si="0"/>
        <v>38292</v>
      </c>
      <c r="L16" s="3" t="s">
        <v>339</v>
      </c>
      <c r="M16" s="18">
        <v>3303.4</v>
      </c>
      <c r="N16" s="7" t="s">
        <v>279</v>
      </c>
      <c r="O16" s="5">
        <v>400</v>
      </c>
      <c r="P16" s="5" t="s">
        <v>273</v>
      </c>
      <c r="Q16" s="18">
        <f t="shared" si="1"/>
        <v>4942</v>
      </c>
      <c r="R16" s="7" t="s">
        <v>274</v>
      </c>
      <c r="S16" s="18">
        <f t="shared" si="2"/>
        <v>444.78</v>
      </c>
      <c r="T16" s="7" t="s">
        <v>277</v>
      </c>
      <c r="U16" s="15">
        <v>1302</v>
      </c>
      <c r="V16" s="15">
        <f t="shared" si="3"/>
        <v>15624</v>
      </c>
      <c r="W16" s="9" t="s">
        <v>270</v>
      </c>
      <c r="X16" s="10">
        <f t="shared" si="4"/>
        <v>2965.9859999999999</v>
      </c>
      <c r="Y16" s="19" t="s">
        <v>284</v>
      </c>
      <c r="AB16" s="10">
        <f t="shared" si="5"/>
        <v>65972.165999999997</v>
      </c>
    </row>
    <row r="17" spans="1:28">
      <c r="A17" s="20" t="s">
        <v>354</v>
      </c>
      <c r="B17" s="13" t="s">
        <v>298</v>
      </c>
      <c r="C17" s="20" t="s">
        <v>25</v>
      </c>
      <c r="D17" s="20">
        <v>1</v>
      </c>
      <c r="E17" s="19"/>
      <c r="F17" s="20" t="s">
        <v>9</v>
      </c>
      <c r="G17" s="20" t="s">
        <v>15</v>
      </c>
      <c r="H17" s="23">
        <v>2268</v>
      </c>
      <c r="I17" s="3">
        <v>720</v>
      </c>
      <c r="K17" s="17">
        <f t="shared" si="0"/>
        <v>35856</v>
      </c>
      <c r="L17" s="3" t="s">
        <v>338</v>
      </c>
      <c r="M17" s="18">
        <v>0</v>
      </c>
      <c r="O17" s="5">
        <v>400</v>
      </c>
      <c r="P17" s="5" t="s">
        <v>273</v>
      </c>
      <c r="Q17" s="18">
        <f t="shared" si="1"/>
        <v>4536</v>
      </c>
      <c r="R17" s="7" t="s">
        <v>274</v>
      </c>
      <c r="S17" s="18">
        <f t="shared" si="2"/>
        <v>408.24</v>
      </c>
      <c r="T17" s="7" t="s">
        <v>277</v>
      </c>
      <c r="U17" s="15">
        <v>852</v>
      </c>
      <c r="V17" s="15">
        <f t="shared" si="3"/>
        <v>10224</v>
      </c>
      <c r="W17" s="9" t="s">
        <v>269</v>
      </c>
      <c r="X17" s="10">
        <f t="shared" si="4"/>
        <v>2449.44</v>
      </c>
      <c r="Y17" s="19" t="s">
        <v>284</v>
      </c>
      <c r="AB17" s="10">
        <f t="shared" si="5"/>
        <v>53873.68</v>
      </c>
    </row>
    <row r="18" spans="1:28">
      <c r="A18" s="20" t="s">
        <v>355</v>
      </c>
      <c r="B18" s="13" t="s">
        <v>31</v>
      </c>
      <c r="C18" s="20" t="s">
        <v>7</v>
      </c>
      <c r="D18" s="20">
        <v>1</v>
      </c>
      <c r="E18" s="19"/>
      <c r="F18" s="20" t="s">
        <v>9</v>
      </c>
      <c r="G18" s="20" t="s">
        <v>10</v>
      </c>
      <c r="H18" s="23">
        <v>1928</v>
      </c>
      <c r="I18" s="3">
        <v>720</v>
      </c>
      <c r="J18" s="3">
        <v>93</v>
      </c>
      <c r="K18" s="17">
        <f t="shared" si="0"/>
        <v>32892</v>
      </c>
      <c r="L18" s="3" t="s">
        <v>338</v>
      </c>
      <c r="M18" s="18">
        <v>0</v>
      </c>
      <c r="O18" s="5">
        <v>400</v>
      </c>
      <c r="P18" s="5" t="s">
        <v>273</v>
      </c>
      <c r="Q18" s="18">
        <f t="shared" si="1"/>
        <v>4042</v>
      </c>
      <c r="R18" s="7" t="s">
        <v>274</v>
      </c>
      <c r="S18" s="18">
        <f t="shared" si="2"/>
        <v>363.78</v>
      </c>
      <c r="T18" s="7" t="s">
        <v>277</v>
      </c>
      <c r="U18" s="15">
        <v>852</v>
      </c>
      <c r="V18" s="15">
        <f t="shared" si="3"/>
        <v>10224</v>
      </c>
      <c r="W18" s="9" t="s">
        <v>269</v>
      </c>
      <c r="X18" s="10">
        <f t="shared" si="4"/>
        <v>2182.6799999999998</v>
      </c>
      <c r="Y18" s="19" t="s">
        <v>284</v>
      </c>
      <c r="Z18" s="10"/>
      <c r="AA18" s="19" t="s">
        <v>285</v>
      </c>
      <c r="AB18" s="10">
        <f t="shared" si="5"/>
        <v>50104.46</v>
      </c>
    </row>
    <row r="19" spans="1:28">
      <c r="A19" s="20" t="s">
        <v>356</v>
      </c>
      <c r="B19" s="13" t="s">
        <v>32</v>
      </c>
      <c r="C19" s="20" t="s">
        <v>7</v>
      </c>
      <c r="D19" s="20">
        <v>1</v>
      </c>
      <c r="E19" s="19"/>
      <c r="F19" s="20" t="s">
        <v>9</v>
      </c>
      <c r="G19" s="20" t="s">
        <v>10</v>
      </c>
      <c r="H19" s="23">
        <v>1928</v>
      </c>
      <c r="I19" s="3">
        <v>720</v>
      </c>
      <c r="J19" s="3">
        <v>93</v>
      </c>
      <c r="K19" s="17">
        <f t="shared" si="0"/>
        <v>32892</v>
      </c>
      <c r="L19" s="3" t="s">
        <v>338</v>
      </c>
      <c r="M19" s="18">
        <v>0</v>
      </c>
      <c r="O19" s="5">
        <v>400</v>
      </c>
      <c r="P19" s="5" t="s">
        <v>273</v>
      </c>
      <c r="Q19" s="18">
        <f t="shared" si="1"/>
        <v>4042</v>
      </c>
      <c r="R19" s="7" t="s">
        <v>274</v>
      </c>
      <c r="S19" s="18">
        <f t="shared" si="2"/>
        <v>363.78</v>
      </c>
      <c r="T19" s="7" t="s">
        <v>277</v>
      </c>
      <c r="U19" s="15">
        <v>852</v>
      </c>
      <c r="V19" s="15">
        <f t="shared" si="3"/>
        <v>10224</v>
      </c>
      <c r="W19" s="9" t="s">
        <v>269</v>
      </c>
      <c r="X19" s="10">
        <f t="shared" si="4"/>
        <v>2182.6799999999998</v>
      </c>
      <c r="Y19" s="19" t="s">
        <v>284</v>
      </c>
      <c r="Z19" s="10"/>
      <c r="AB19" s="10">
        <f t="shared" si="5"/>
        <v>50104.46</v>
      </c>
    </row>
    <row r="20" spans="1:28">
      <c r="A20" s="20" t="s">
        <v>357</v>
      </c>
      <c r="B20" s="13" t="s">
        <v>33</v>
      </c>
      <c r="C20" s="20" t="s">
        <v>7</v>
      </c>
      <c r="D20" s="20">
        <v>1</v>
      </c>
      <c r="E20" s="19"/>
      <c r="F20" s="20" t="s">
        <v>9</v>
      </c>
      <c r="G20" s="20" t="s">
        <v>10</v>
      </c>
      <c r="H20" s="23">
        <v>1928</v>
      </c>
      <c r="I20" s="3">
        <v>720</v>
      </c>
      <c r="K20" s="17">
        <f t="shared" si="0"/>
        <v>31776</v>
      </c>
      <c r="L20" s="3" t="s">
        <v>338</v>
      </c>
      <c r="M20" s="18">
        <v>0</v>
      </c>
      <c r="O20" s="5">
        <v>400</v>
      </c>
      <c r="P20" s="5" t="s">
        <v>273</v>
      </c>
      <c r="Q20" s="18">
        <f t="shared" si="1"/>
        <v>3856</v>
      </c>
      <c r="R20" s="7" t="s">
        <v>274</v>
      </c>
      <c r="S20" s="18">
        <f t="shared" si="2"/>
        <v>347.03999999999996</v>
      </c>
      <c r="T20" s="7" t="s">
        <v>277</v>
      </c>
      <c r="U20" s="15">
        <v>852</v>
      </c>
      <c r="V20" s="15">
        <f t="shared" si="3"/>
        <v>10224</v>
      </c>
      <c r="W20" s="9" t="s">
        <v>269</v>
      </c>
      <c r="X20" s="10">
        <f t="shared" si="4"/>
        <v>2082.2399999999998</v>
      </c>
      <c r="Y20" s="19" t="s">
        <v>284</v>
      </c>
      <c r="Z20" s="10"/>
      <c r="AB20" s="10">
        <f t="shared" si="5"/>
        <v>48685.279999999999</v>
      </c>
    </row>
    <row r="21" spans="1:28">
      <c r="A21" s="20" t="s">
        <v>358</v>
      </c>
      <c r="B21" s="13" t="s">
        <v>34</v>
      </c>
      <c r="C21" s="20" t="s">
        <v>7</v>
      </c>
      <c r="D21" s="20">
        <v>1</v>
      </c>
      <c r="E21" s="20" t="s">
        <v>8</v>
      </c>
      <c r="F21" s="20" t="s">
        <v>9</v>
      </c>
      <c r="G21" s="20" t="s">
        <v>15</v>
      </c>
      <c r="H21" s="23">
        <v>2268</v>
      </c>
      <c r="I21" s="3">
        <v>720</v>
      </c>
      <c r="K21" s="17">
        <f t="shared" si="0"/>
        <v>35856</v>
      </c>
      <c r="L21" s="3" t="s">
        <v>338</v>
      </c>
      <c r="M21" s="18">
        <v>0</v>
      </c>
      <c r="O21" s="5">
        <v>400</v>
      </c>
      <c r="P21" s="5" t="s">
        <v>273</v>
      </c>
      <c r="Q21" s="18">
        <f t="shared" si="1"/>
        <v>4536</v>
      </c>
      <c r="R21" s="7" t="s">
        <v>274</v>
      </c>
      <c r="S21" s="18">
        <f t="shared" si="2"/>
        <v>408.24</v>
      </c>
      <c r="T21" s="7" t="s">
        <v>277</v>
      </c>
      <c r="U21" s="15">
        <v>852</v>
      </c>
      <c r="V21" s="15">
        <f t="shared" si="3"/>
        <v>10224</v>
      </c>
      <c r="W21" s="9" t="s">
        <v>269</v>
      </c>
      <c r="X21" s="10">
        <f t="shared" si="4"/>
        <v>2449.44</v>
      </c>
      <c r="Y21" s="19" t="s">
        <v>284</v>
      </c>
      <c r="AB21" s="10">
        <f t="shared" si="5"/>
        <v>53873.68</v>
      </c>
    </row>
    <row r="22" spans="1:28">
      <c r="A22" s="20" t="s">
        <v>359</v>
      </c>
      <c r="B22" s="13" t="s">
        <v>35</v>
      </c>
      <c r="C22" s="20" t="s">
        <v>36</v>
      </c>
      <c r="D22" s="20">
        <v>1</v>
      </c>
      <c r="E22" s="19"/>
      <c r="F22" s="20" t="s">
        <v>9</v>
      </c>
      <c r="G22" s="20" t="s">
        <v>37</v>
      </c>
      <c r="H22" s="23">
        <v>2378</v>
      </c>
      <c r="I22" s="3">
        <v>720</v>
      </c>
      <c r="K22" s="17">
        <f t="shared" si="0"/>
        <v>37176</v>
      </c>
      <c r="L22" s="3" t="s">
        <v>339</v>
      </c>
      <c r="M22" s="18">
        <v>0</v>
      </c>
      <c r="O22" s="5">
        <v>400</v>
      </c>
      <c r="P22" s="5" t="s">
        <v>273</v>
      </c>
      <c r="Q22" s="18">
        <f t="shared" si="1"/>
        <v>4756</v>
      </c>
      <c r="R22" s="7" t="s">
        <v>274</v>
      </c>
      <c r="S22" s="18">
        <f t="shared" si="2"/>
        <v>428.03999999999996</v>
      </c>
      <c r="T22" s="7" t="s">
        <v>277</v>
      </c>
      <c r="U22" s="15">
        <v>1302</v>
      </c>
      <c r="V22" s="15">
        <f t="shared" si="3"/>
        <v>15624</v>
      </c>
      <c r="W22" s="9" t="s">
        <v>270</v>
      </c>
      <c r="X22" s="10">
        <f t="shared" si="4"/>
        <v>2568.2399999999998</v>
      </c>
      <c r="Y22" s="19" t="s">
        <v>284</v>
      </c>
      <c r="AB22" s="10">
        <f t="shared" si="5"/>
        <v>60952.28</v>
      </c>
    </row>
    <row r="23" spans="1:28">
      <c r="A23" s="20" t="s">
        <v>360</v>
      </c>
      <c r="B23" s="13" t="s">
        <v>38</v>
      </c>
      <c r="C23" s="20" t="s">
        <v>7</v>
      </c>
      <c r="D23" s="20">
        <v>1</v>
      </c>
      <c r="E23" s="19"/>
      <c r="F23" s="20" t="s">
        <v>9</v>
      </c>
      <c r="G23" s="20" t="s">
        <v>15</v>
      </c>
      <c r="H23" s="23">
        <v>2268</v>
      </c>
      <c r="I23" s="3">
        <v>720</v>
      </c>
      <c r="J23" s="3">
        <v>93</v>
      </c>
      <c r="K23" s="17">
        <f t="shared" si="0"/>
        <v>36972</v>
      </c>
      <c r="L23" s="3" t="s">
        <v>338</v>
      </c>
      <c r="M23" s="18">
        <v>0</v>
      </c>
      <c r="O23" s="5">
        <v>400</v>
      </c>
      <c r="P23" s="5" t="s">
        <v>273</v>
      </c>
      <c r="Q23" s="18">
        <f t="shared" si="1"/>
        <v>4722</v>
      </c>
      <c r="R23" s="7" t="s">
        <v>274</v>
      </c>
      <c r="S23" s="18">
        <f t="shared" si="2"/>
        <v>424.97999999999996</v>
      </c>
      <c r="T23" s="7" t="s">
        <v>277</v>
      </c>
      <c r="U23" s="15">
        <v>852</v>
      </c>
      <c r="V23" s="15">
        <f t="shared" si="3"/>
        <v>10224</v>
      </c>
      <c r="W23" s="9" t="s">
        <v>269</v>
      </c>
      <c r="X23" s="10">
        <f t="shared" si="4"/>
        <v>2549.8799999999997</v>
      </c>
      <c r="Y23" s="19" t="s">
        <v>284</v>
      </c>
      <c r="AB23" s="10">
        <f t="shared" si="5"/>
        <v>55292.86</v>
      </c>
    </row>
    <row r="24" spans="1:28">
      <c r="A24" s="20" t="s">
        <v>361</v>
      </c>
      <c r="B24" s="13" t="s">
        <v>312</v>
      </c>
      <c r="C24" s="20" t="s">
        <v>45</v>
      </c>
      <c r="D24" s="20">
        <v>1</v>
      </c>
      <c r="E24" s="19"/>
      <c r="F24" s="20" t="s">
        <v>9</v>
      </c>
      <c r="G24" s="20" t="s">
        <v>46</v>
      </c>
      <c r="H24" s="23">
        <v>5478</v>
      </c>
      <c r="I24" s="3">
        <v>720</v>
      </c>
      <c r="J24" s="3">
        <v>93</v>
      </c>
      <c r="K24" s="17">
        <f t="shared" si="0"/>
        <v>75492</v>
      </c>
      <c r="L24" s="3" t="s">
        <v>338</v>
      </c>
      <c r="M24" s="18">
        <v>0</v>
      </c>
      <c r="O24" s="5">
        <v>400</v>
      </c>
      <c r="P24" s="5" t="s">
        <v>273</v>
      </c>
      <c r="Q24" s="18">
        <f t="shared" si="1"/>
        <v>11142</v>
      </c>
      <c r="R24" s="7" t="s">
        <v>274</v>
      </c>
      <c r="S24" s="18">
        <f t="shared" si="2"/>
        <v>1002.78</v>
      </c>
      <c r="T24" s="7" t="s">
        <v>277</v>
      </c>
      <c r="U24" s="15">
        <v>1302</v>
      </c>
      <c r="V24" s="15">
        <f t="shared" si="3"/>
        <v>15624</v>
      </c>
      <c r="W24" s="9" t="s">
        <v>269</v>
      </c>
      <c r="X24" s="10">
        <f t="shared" si="4"/>
        <v>6016.68</v>
      </c>
      <c r="Y24" s="19" t="s">
        <v>284</v>
      </c>
      <c r="AB24" s="10">
        <f t="shared" si="5"/>
        <v>109677.45999999999</v>
      </c>
    </row>
    <row r="25" spans="1:28">
      <c r="A25" s="20" t="s">
        <v>362</v>
      </c>
      <c r="B25" s="13" t="s">
        <v>39</v>
      </c>
      <c r="C25" s="20" t="s">
        <v>36</v>
      </c>
      <c r="D25" s="20">
        <v>1</v>
      </c>
      <c r="E25" s="19"/>
      <c r="F25" s="20" t="s">
        <v>9</v>
      </c>
      <c r="G25" s="20" t="s">
        <v>19</v>
      </c>
      <c r="H25" s="23">
        <v>3978</v>
      </c>
      <c r="I25" s="3">
        <v>720</v>
      </c>
      <c r="J25" s="3">
        <v>93</v>
      </c>
      <c r="K25" s="17">
        <f t="shared" si="0"/>
        <v>57492</v>
      </c>
      <c r="L25" s="3" t="s">
        <v>338</v>
      </c>
      <c r="M25" s="18">
        <v>0</v>
      </c>
      <c r="O25" s="5">
        <v>400</v>
      </c>
      <c r="P25" s="5" t="s">
        <v>273</v>
      </c>
      <c r="Q25" s="18">
        <f t="shared" si="1"/>
        <v>8142</v>
      </c>
      <c r="R25" s="7" t="s">
        <v>274</v>
      </c>
      <c r="S25" s="18">
        <f t="shared" si="2"/>
        <v>732.78</v>
      </c>
      <c r="T25" s="7" t="s">
        <v>277</v>
      </c>
      <c r="U25" s="15">
        <v>802</v>
      </c>
      <c r="V25" s="15">
        <f t="shared" si="3"/>
        <v>9624</v>
      </c>
      <c r="W25" s="9" t="s">
        <v>269</v>
      </c>
      <c r="X25" s="10">
        <f t="shared" si="4"/>
        <v>4396.68</v>
      </c>
      <c r="Y25" s="19" t="s">
        <v>284</v>
      </c>
      <c r="AB25" s="10">
        <f t="shared" si="5"/>
        <v>80787.459999999992</v>
      </c>
    </row>
    <row r="26" spans="1:28">
      <c r="A26" s="20" t="s">
        <v>363</v>
      </c>
      <c r="B26" s="13" t="s">
        <v>40</v>
      </c>
      <c r="C26" s="20" t="s">
        <v>14</v>
      </c>
      <c r="D26" s="20">
        <v>1</v>
      </c>
      <c r="E26" s="19"/>
      <c r="F26" s="20" t="s">
        <v>9</v>
      </c>
      <c r="G26" s="20" t="s">
        <v>15</v>
      </c>
      <c r="H26" s="23">
        <v>2268</v>
      </c>
      <c r="I26" s="3">
        <v>720</v>
      </c>
      <c r="K26" s="17">
        <f t="shared" si="0"/>
        <v>35856</v>
      </c>
      <c r="L26" s="3" t="s">
        <v>338</v>
      </c>
      <c r="M26" s="18">
        <v>0</v>
      </c>
      <c r="O26" s="5">
        <v>400</v>
      </c>
      <c r="P26" s="5" t="s">
        <v>273</v>
      </c>
      <c r="Q26" s="18">
        <f t="shared" si="1"/>
        <v>4536</v>
      </c>
      <c r="R26" s="7" t="s">
        <v>274</v>
      </c>
      <c r="S26" s="18">
        <f t="shared" si="2"/>
        <v>408.24</v>
      </c>
      <c r="T26" s="7" t="s">
        <v>277</v>
      </c>
      <c r="U26" s="15">
        <v>852</v>
      </c>
      <c r="V26" s="15">
        <f t="shared" si="3"/>
        <v>10224</v>
      </c>
      <c r="W26" s="9" t="s">
        <v>269</v>
      </c>
      <c r="X26" s="10">
        <f t="shared" si="4"/>
        <v>2449.44</v>
      </c>
      <c r="Y26" s="19" t="s">
        <v>284</v>
      </c>
      <c r="AB26" s="10">
        <f t="shared" si="5"/>
        <v>53873.68</v>
      </c>
    </row>
    <row r="27" spans="1:28">
      <c r="A27" s="20" t="s">
        <v>364</v>
      </c>
      <c r="B27" s="13" t="s">
        <v>299</v>
      </c>
      <c r="C27" s="20" t="s">
        <v>7</v>
      </c>
      <c r="D27" s="20">
        <v>1</v>
      </c>
      <c r="E27" s="19"/>
      <c r="F27" s="20" t="s">
        <v>9</v>
      </c>
      <c r="G27" s="20" t="s">
        <v>10</v>
      </c>
      <c r="H27" s="23">
        <v>1928</v>
      </c>
      <c r="I27" s="3">
        <v>720</v>
      </c>
      <c r="K27" s="17">
        <f t="shared" si="0"/>
        <v>31776</v>
      </c>
      <c r="L27" s="3" t="s">
        <v>338</v>
      </c>
      <c r="M27" s="18">
        <v>0</v>
      </c>
      <c r="O27" s="5">
        <v>400</v>
      </c>
      <c r="P27" s="5" t="s">
        <v>273</v>
      </c>
      <c r="Q27" s="18">
        <f t="shared" si="1"/>
        <v>3856</v>
      </c>
      <c r="R27" s="7" t="s">
        <v>274</v>
      </c>
      <c r="S27" s="18">
        <f t="shared" si="2"/>
        <v>347.03999999999996</v>
      </c>
      <c r="T27" s="7" t="s">
        <v>277</v>
      </c>
      <c r="U27" s="15">
        <v>852</v>
      </c>
      <c r="V27" s="15">
        <f t="shared" si="3"/>
        <v>10224</v>
      </c>
      <c r="W27" s="9" t="s">
        <v>269</v>
      </c>
      <c r="X27" s="10">
        <f t="shared" si="4"/>
        <v>2082.2399999999998</v>
      </c>
      <c r="Y27" s="19" t="s">
        <v>284</v>
      </c>
      <c r="AB27" s="10">
        <f t="shared" si="5"/>
        <v>48685.279999999999</v>
      </c>
    </row>
    <row r="28" spans="1:28">
      <c r="A28" s="20" t="s">
        <v>365</v>
      </c>
      <c r="B28" s="13" t="s">
        <v>41</v>
      </c>
      <c r="C28" s="20" t="s">
        <v>7</v>
      </c>
      <c r="D28" s="20">
        <v>1</v>
      </c>
      <c r="E28" s="19"/>
      <c r="F28" s="20" t="s">
        <v>26</v>
      </c>
      <c r="G28" s="20" t="s">
        <v>10</v>
      </c>
      <c r="H28" s="23">
        <v>1928</v>
      </c>
      <c r="I28" s="3">
        <v>720</v>
      </c>
      <c r="K28" s="17">
        <f t="shared" si="0"/>
        <v>31776</v>
      </c>
      <c r="L28" s="3" t="s">
        <v>337</v>
      </c>
      <c r="M28" s="18">
        <v>0</v>
      </c>
      <c r="O28" s="5">
        <v>400</v>
      </c>
      <c r="P28" s="5" t="s">
        <v>273</v>
      </c>
      <c r="Q28" s="18">
        <f t="shared" si="1"/>
        <v>3856</v>
      </c>
      <c r="R28" s="7" t="s">
        <v>274</v>
      </c>
      <c r="S28" s="18">
        <f t="shared" si="2"/>
        <v>347.03999999999996</v>
      </c>
      <c r="T28" s="7" t="s">
        <v>277</v>
      </c>
      <c r="U28" s="15">
        <v>852</v>
      </c>
      <c r="V28" s="15">
        <f t="shared" si="3"/>
        <v>10224</v>
      </c>
      <c r="W28" s="9" t="s">
        <v>269</v>
      </c>
      <c r="X28" s="10">
        <f t="shared" si="4"/>
        <v>2082.2399999999998</v>
      </c>
      <c r="Y28" s="19" t="s">
        <v>284</v>
      </c>
      <c r="AB28" s="10">
        <f t="shared" si="5"/>
        <v>48685.279999999999</v>
      </c>
    </row>
    <row r="29" spans="1:28">
      <c r="A29" s="20" t="s">
        <v>366</v>
      </c>
      <c r="B29" s="13" t="s">
        <v>42</v>
      </c>
      <c r="C29" s="20" t="s">
        <v>12</v>
      </c>
      <c r="D29" s="20">
        <v>1</v>
      </c>
      <c r="E29" s="19"/>
      <c r="F29" s="20" t="s">
        <v>9</v>
      </c>
      <c r="G29" s="20" t="s">
        <v>37</v>
      </c>
      <c r="H29" s="23">
        <v>2378</v>
      </c>
      <c r="I29" s="3">
        <v>720</v>
      </c>
      <c r="J29" s="3">
        <v>93</v>
      </c>
      <c r="K29" s="17">
        <f t="shared" si="0"/>
        <v>38292</v>
      </c>
      <c r="L29" s="3" t="s">
        <v>339</v>
      </c>
      <c r="M29" s="18">
        <v>0</v>
      </c>
      <c r="O29" s="5">
        <v>400</v>
      </c>
      <c r="P29" s="5" t="s">
        <v>273</v>
      </c>
      <c r="Q29" s="18">
        <f t="shared" si="1"/>
        <v>4942</v>
      </c>
      <c r="R29" s="7" t="s">
        <v>274</v>
      </c>
      <c r="S29" s="18">
        <f t="shared" si="2"/>
        <v>444.78</v>
      </c>
      <c r="T29" s="7" t="s">
        <v>277</v>
      </c>
      <c r="U29" s="15">
        <v>1302</v>
      </c>
      <c r="V29" s="15">
        <f t="shared" si="3"/>
        <v>15624</v>
      </c>
      <c r="W29" s="9" t="s">
        <v>270</v>
      </c>
      <c r="X29" s="10">
        <f t="shared" si="4"/>
        <v>2668.68</v>
      </c>
      <c r="Y29" s="19" t="s">
        <v>284</v>
      </c>
      <c r="AB29" s="10">
        <f t="shared" si="5"/>
        <v>62371.46</v>
      </c>
    </row>
    <row r="30" spans="1:28">
      <c r="A30" s="20" t="s">
        <v>367</v>
      </c>
      <c r="B30" s="13" t="s">
        <v>43</v>
      </c>
      <c r="C30" s="20" t="s">
        <v>36</v>
      </c>
      <c r="D30" s="20">
        <v>1</v>
      </c>
      <c r="E30" s="19"/>
      <c r="F30" s="20" t="s">
        <v>9</v>
      </c>
      <c r="G30" s="20" t="s">
        <v>37</v>
      </c>
      <c r="H30" s="23">
        <v>2378</v>
      </c>
      <c r="I30" s="3">
        <v>720</v>
      </c>
      <c r="J30" s="3">
        <v>93</v>
      </c>
      <c r="K30" s="17">
        <f t="shared" si="0"/>
        <v>38292</v>
      </c>
      <c r="L30" s="3" t="s">
        <v>339</v>
      </c>
      <c r="M30" s="18">
        <v>0</v>
      </c>
      <c r="O30" s="5">
        <v>400</v>
      </c>
      <c r="P30" s="5" t="s">
        <v>273</v>
      </c>
      <c r="Q30" s="18">
        <f t="shared" si="1"/>
        <v>4942</v>
      </c>
      <c r="R30" s="7" t="s">
        <v>274</v>
      </c>
      <c r="S30" s="18">
        <f t="shared" si="2"/>
        <v>444.78</v>
      </c>
      <c r="T30" s="7" t="s">
        <v>277</v>
      </c>
      <c r="U30" s="15">
        <v>1302</v>
      </c>
      <c r="V30" s="15">
        <f t="shared" si="3"/>
        <v>15624</v>
      </c>
      <c r="W30" s="9" t="s">
        <v>270</v>
      </c>
      <c r="X30" s="10">
        <f t="shared" si="4"/>
        <v>2668.68</v>
      </c>
      <c r="Y30" s="19" t="s">
        <v>284</v>
      </c>
      <c r="Z30" s="10"/>
      <c r="AA30" s="19" t="s">
        <v>285</v>
      </c>
      <c r="AB30" s="10">
        <f t="shared" si="5"/>
        <v>62371.46</v>
      </c>
    </row>
    <row r="31" spans="1:28">
      <c r="A31" s="20">
        <v>46754642</v>
      </c>
      <c r="B31" s="13" t="s">
        <v>653</v>
      </c>
      <c r="C31" s="20" t="s">
        <v>7</v>
      </c>
      <c r="D31" s="20">
        <v>1</v>
      </c>
      <c r="E31" s="19"/>
      <c r="F31" s="20" t="s">
        <v>26</v>
      </c>
      <c r="G31" s="20" t="s">
        <v>15</v>
      </c>
      <c r="H31" s="23">
        <v>2268</v>
      </c>
      <c r="I31" s="3">
        <v>720</v>
      </c>
      <c r="K31" s="17">
        <f t="shared" si="0"/>
        <v>35856</v>
      </c>
      <c r="L31" s="3" t="s">
        <v>337</v>
      </c>
      <c r="M31" s="18">
        <v>0</v>
      </c>
      <c r="O31" s="5">
        <v>400</v>
      </c>
      <c r="P31" s="5" t="s">
        <v>273</v>
      </c>
      <c r="Q31" s="18">
        <f t="shared" si="1"/>
        <v>4536</v>
      </c>
      <c r="R31" s="7" t="s">
        <v>274</v>
      </c>
      <c r="S31" s="18">
        <f t="shared" si="2"/>
        <v>408.24</v>
      </c>
      <c r="T31" s="7" t="s">
        <v>277</v>
      </c>
      <c r="U31" s="15">
        <v>852</v>
      </c>
      <c r="V31" s="15">
        <f t="shared" si="3"/>
        <v>10224</v>
      </c>
      <c r="W31" s="9" t="s">
        <v>269</v>
      </c>
      <c r="X31" s="10">
        <f t="shared" si="4"/>
        <v>2449.44</v>
      </c>
      <c r="Y31" s="19" t="s">
        <v>284</v>
      </c>
      <c r="AB31" s="10">
        <f t="shared" si="5"/>
        <v>53873.68</v>
      </c>
    </row>
    <row r="32" spans="1:28">
      <c r="A32" s="20" t="s">
        <v>368</v>
      </c>
      <c r="B32" s="13" t="s">
        <v>44</v>
      </c>
      <c r="C32" s="20" t="s">
        <v>45</v>
      </c>
      <c r="D32" s="20">
        <v>1</v>
      </c>
      <c r="E32" s="19"/>
      <c r="F32" s="20" t="s">
        <v>9</v>
      </c>
      <c r="G32" s="20" t="s">
        <v>46</v>
      </c>
      <c r="H32" s="23">
        <v>5478</v>
      </c>
      <c r="I32" s="3">
        <v>720</v>
      </c>
      <c r="J32" s="3">
        <v>93</v>
      </c>
      <c r="K32" s="17">
        <f t="shared" si="0"/>
        <v>75492</v>
      </c>
      <c r="L32" s="3" t="s">
        <v>338</v>
      </c>
      <c r="M32" s="18">
        <v>0</v>
      </c>
      <c r="O32" s="5">
        <v>400</v>
      </c>
      <c r="P32" s="5" t="s">
        <v>273</v>
      </c>
      <c r="Q32" s="18">
        <f t="shared" si="1"/>
        <v>11142</v>
      </c>
      <c r="R32" s="7" t="s">
        <v>274</v>
      </c>
      <c r="S32" s="18">
        <f t="shared" si="2"/>
        <v>1002.78</v>
      </c>
      <c r="T32" s="7" t="s">
        <v>277</v>
      </c>
      <c r="U32" s="15">
        <v>1302</v>
      </c>
      <c r="V32" s="15">
        <f t="shared" si="3"/>
        <v>15624</v>
      </c>
      <c r="W32" s="9" t="s">
        <v>269</v>
      </c>
      <c r="X32" s="10">
        <f t="shared" si="4"/>
        <v>6016.68</v>
      </c>
      <c r="Y32" s="19" t="s">
        <v>284</v>
      </c>
      <c r="Z32" s="10"/>
      <c r="AB32" s="10">
        <f t="shared" si="5"/>
        <v>109677.45999999999</v>
      </c>
    </row>
    <row r="33" spans="1:28">
      <c r="A33" s="20" t="s">
        <v>369</v>
      </c>
      <c r="B33" s="13" t="s">
        <v>47</v>
      </c>
      <c r="C33" s="20" t="s">
        <v>45</v>
      </c>
      <c r="D33" s="20">
        <v>1</v>
      </c>
      <c r="E33" s="19"/>
      <c r="F33" s="20" t="s">
        <v>9</v>
      </c>
      <c r="G33" s="20" t="s">
        <v>10</v>
      </c>
      <c r="H33" s="23">
        <v>1928</v>
      </c>
      <c r="I33" s="3">
        <v>720</v>
      </c>
      <c r="J33" s="3">
        <v>93</v>
      </c>
      <c r="K33" s="17">
        <f t="shared" si="0"/>
        <v>32892</v>
      </c>
      <c r="L33" s="3" t="s">
        <v>338</v>
      </c>
      <c r="M33" s="18">
        <v>0</v>
      </c>
      <c r="O33" s="5">
        <v>400</v>
      </c>
      <c r="P33" s="5" t="s">
        <v>273</v>
      </c>
      <c r="Q33" s="18">
        <f t="shared" si="1"/>
        <v>4042</v>
      </c>
      <c r="R33" s="7" t="s">
        <v>274</v>
      </c>
      <c r="S33" s="18">
        <f t="shared" si="2"/>
        <v>363.78</v>
      </c>
      <c r="T33" s="7" t="s">
        <v>277</v>
      </c>
      <c r="U33" s="15">
        <v>852</v>
      </c>
      <c r="V33" s="15">
        <f t="shared" si="3"/>
        <v>10224</v>
      </c>
      <c r="W33" s="9" t="s">
        <v>269</v>
      </c>
      <c r="X33" s="10">
        <f t="shared" si="4"/>
        <v>2182.6799999999998</v>
      </c>
      <c r="Y33" s="19" t="s">
        <v>284</v>
      </c>
      <c r="AB33" s="10">
        <f t="shared" si="5"/>
        <v>50104.46</v>
      </c>
    </row>
    <row r="34" spans="1:28">
      <c r="A34" s="20" t="s">
        <v>370</v>
      </c>
      <c r="B34" s="13" t="s">
        <v>48</v>
      </c>
      <c r="C34" s="20" t="s">
        <v>12</v>
      </c>
      <c r="D34" s="20">
        <v>1</v>
      </c>
      <c r="E34" s="20" t="s">
        <v>8</v>
      </c>
      <c r="F34" s="20" t="s">
        <v>9</v>
      </c>
      <c r="G34" s="20" t="s">
        <v>49</v>
      </c>
      <c r="H34" s="23">
        <v>2378</v>
      </c>
      <c r="I34" s="3">
        <v>720</v>
      </c>
      <c r="J34" s="3">
        <v>93</v>
      </c>
      <c r="K34" s="17">
        <f t="shared" si="0"/>
        <v>38292</v>
      </c>
      <c r="L34" s="3" t="s">
        <v>339</v>
      </c>
      <c r="M34" s="18">
        <v>7363</v>
      </c>
      <c r="N34" s="7" t="s">
        <v>279</v>
      </c>
      <c r="O34" s="5">
        <v>400</v>
      </c>
      <c r="P34" s="5" t="s">
        <v>273</v>
      </c>
      <c r="Q34" s="18">
        <f t="shared" si="1"/>
        <v>4942</v>
      </c>
      <c r="R34" s="7" t="s">
        <v>274</v>
      </c>
      <c r="S34" s="18">
        <f t="shared" si="2"/>
        <v>444.78</v>
      </c>
      <c r="T34" s="7" t="s">
        <v>277</v>
      </c>
      <c r="U34" s="15">
        <v>1302</v>
      </c>
      <c r="V34" s="15">
        <f t="shared" si="3"/>
        <v>15624</v>
      </c>
      <c r="W34" s="9" t="s">
        <v>270</v>
      </c>
      <c r="X34" s="10">
        <f t="shared" si="4"/>
        <v>3331.35</v>
      </c>
      <c r="Y34" s="19" t="s">
        <v>284</v>
      </c>
      <c r="Z34" s="10"/>
      <c r="AB34" s="10">
        <f t="shared" si="5"/>
        <v>70397.13</v>
      </c>
    </row>
    <row r="35" spans="1:28">
      <c r="A35" s="20" t="s">
        <v>371</v>
      </c>
      <c r="B35" s="13" t="s">
        <v>313</v>
      </c>
      <c r="C35" s="20" t="s">
        <v>7</v>
      </c>
      <c r="D35" s="20">
        <v>1</v>
      </c>
      <c r="E35" s="19"/>
      <c r="F35" s="20" t="s">
        <v>9</v>
      </c>
      <c r="G35" s="20" t="s">
        <v>15</v>
      </c>
      <c r="H35" s="23">
        <v>2268</v>
      </c>
      <c r="I35" s="3">
        <v>720</v>
      </c>
      <c r="J35" s="3">
        <v>93</v>
      </c>
      <c r="K35" s="17">
        <f t="shared" si="0"/>
        <v>36972</v>
      </c>
      <c r="L35" s="3" t="s">
        <v>338</v>
      </c>
      <c r="M35" s="18">
        <v>0</v>
      </c>
      <c r="O35" s="5">
        <v>400</v>
      </c>
      <c r="P35" s="5" t="s">
        <v>273</v>
      </c>
      <c r="Q35" s="18">
        <f t="shared" si="1"/>
        <v>4722</v>
      </c>
      <c r="R35" s="7" t="s">
        <v>274</v>
      </c>
      <c r="S35" s="18">
        <f t="shared" si="2"/>
        <v>424.97999999999996</v>
      </c>
      <c r="T35" s="7" t="s">
        <v>277</v>
      </c>
      <c r="U35" s="15">
        <v>852</v>
      </c>
      <c r="V35" s="15">
        <f t="shared" si="3"/>
        <v>10224</v>
      </c>
      <c r="W35" s="9" t="s">
        <v>269</v>
      </c>
      <c r="X35" s="10">
        <f t="shared" si="4"/>
        <v>2549.8799999999997</v>
      </c>
      <c r="Y35" s="19" t="s">
        <v>284</v>
      </c>
      <c r="AB35" s="10">
        <f t="shared" si="5"/>
        <v>55292.86</v>
      </c>
    </row>
    <row r="36" spans="1:28">
      <c r="A36" s="20" t="s">
        <v>372</v>
      </c>
      <c r="B36" s="13" t="s">
        <v>50</v>
      </c>
      <c r="C36" s="20" t="s">
        <v>12</v>
      </c>
      <c r="D36" s="20">
        <v>1</v>
      </c>
      <c r="E36" s="19"/>
      <c r="F36" s="20" t="s">
        <v>9</v>
      </c>
      <c r="G36" s="20" t="s">
        <v>28</v>
      </c>
      <c r="H36" s="23">
        <v>1600</v>
      </c>
      <c r="I36" s="3">
        <v>720</v>
      </c>
      <c r="J36" s="3">
        <v>93</v>
      </c>
      <c r="K36" s="17">
        <f t="shared" si="0"/>
        <v>28956</v>
      </c>
      <c r="L36" s="3" t="s">
        <v>338</v>
      </c>
      <c r="M36" s="18">
        <v>0</v>
      </c>
      <c r="O36" s="5">
        <v>400</v>
      </c>
      <c r="P36" s="5" t="s">
        <v>273</v>
      </c>
      <c r="Q36" s="18">
        <f t="shared" si="1"/>
        <v>3386</v>
      </c>
      <c r="R36" s="7" t="s">
        <v>274</v>
      </c>
      <c r="S36" s="18">
        <f t="shared" si="2"/>
        <v>304.74</v>
      </c>
      <c r="T36" s="7" t="s">
        <v>277</v>
      </c>
      <c r="U36" s="15">
        <v>802</v>
      </c>
      <c r="V36" s="15">
        <f t="shared" si="3"/>
        <v>9624</v>
      </c>
      <c r="W36" s="9" t="s">
        <v>269</v>
      </c>
      <c r="X36" s="10">
        <f t="shared" si="4"/>
        <v>1828.44</v>
      </c>
      <c r="Y36" s="19" t="s">
        <v>284</v>
      </c>
      <c r="AB36" s="10">
        <f t="shared" si="5"/>
        <v>44499.18</v>
      </c>
    </row>
    <row r="37" spans="1:28">
      <c r="A37" s="20" t="s">
        <v>373</v>
      </c>
      <c r="B37" s="13" t="s">
        <v>51</v>
      </c>
      <c r="C37" s="20" t="s">
        <v>36</v>
      </c>
      <c r="D37" s="20">
        <v>1</v>
      </c>
      <c r="E37" s="20" t="s">
        <v>8</v>
      </c>
      <c r="F37" s="20" t="s">
        <v>9</v>
      </c>
      <c r="G37" s="20" t="s">
        <v>37</v>
      </c>
      <c r="H37" s="23">
        <v>2378</v>
      </c>
      <c r="I37" s="3">
        <v>720</v>
      </c>
      <c r="J37" s="3">
        <v>93</v>
      </c>
      <c r="K37" s="17">
        <f t="shared" si="0"/>
        <v>38292</v>
      </c>
      <c r="L37" s="3" t="s">
        <v>339</v>
      </c>
      <c r="M37" s="18">
        <v>0</v>
      </c>
      <c r="O37" s="5">
        <v>400</v>
      </c>
      <c r="P37" s="5" t="s">
        <v>273</v>
      </c>
      <c r="Q37" s="18">
        <f t="shared" si="1"/>
        <v>4942</v>
      </c>
      <c r="R37" s="7" t="s">
        <v>274</v>
      </c>
      <c r="S37" s="18">
        <f t="shared" si="2"/>
        <v>444.78</v>
      </c>
      <c r="T37" s="7" t="s">
        <v>277</v>
      </c>
      <c r="U37" s="15">
        <v>1302</v>
      </c>
      <c r="V37" s="15">
        <f t="shared" si="3"/>
        <v>15624</v>
      </c>
      <c r="W37" s="9" t="s">
        <v>270</v>
      </c>
      <c r="X37" s="10">
        <f t="shared" si="4"/>
        <v>2668.68</v>
      </c>
      <c r="Y37" s="19" t="s">
        <v>284</v>
      </c>
      <c r="AB37" s="10">
        <f t="shared" si="5"/>
        <v>62371.46</v>
      </c>
    </row>
    <row r="38" spans="1:28">
      <c r="A38" s="20" t="s">
        <v>374</v>
      </c>
      <c r="B38" s="13" t="s">
        <v>52</v>
      </c>
      <c r="C38" s="20" t="s">
        <v>45</v>
      </c>
      <c r="D38" s="20">
        <v>1</v>
      </c>
      <c r="E38" s="19"/>
      <c r="F38" s="20" t="s">
        <v>9</v>
      </c>
      <c r="G38" s="20" t="s">
        <v>80</v>
      </c>
      <c r="H38" s="23">
        <v>2828</v>
      </c>
      <c r="I38" s="3">
        <v>720</v>
      </c>
      <c r="J38" s="3">
        <v>93</v>
      </c>
      <c r="K38" s="17">
        <f t="shared" si="0"/>
        <v>43692</v>
      </c>
      <c r="L38" s="3" t="s">
        <v>338</v>
      </c>
      <c r="M38" s="18">
        <v>0</v>
      </c>
      <c r="O38" s="5">
        <v>400</v>
      </c>
      <c r="P38" s="5" t="s">
        <v>273</v>
      </c>
      <c r="Q38" s="18">
        <f t="shared" si="1"/>
        <v>5842</v>
      </c>
      <c r="R38" s="7" t="s">
        <v>274</v>
      </c>
      <c r="S38" s="18">
        <f t="shared" si="2"/>
        <v>525.78</v>
      </c>
      <c r="T38" s="7" t="s">
        <v>277</v>
      </c>
      <c r="U38" s="15">
        <v>852</v>
      </c>
      <c r="V38" s="15">
        <f t="shared" si="3"/>
        <v>10224</v>
      </c>
      <c r="W38" s="9" t="s">
        <v>269</v>
      </c>
      <c r="X38" s="10">
        <f t="shared" si="4"/>
        <v>3154.68</v>
      </c>
      <c r="Y38" s="19" t="s">
        <v>284</v>
      </c>
      <c r="AB38" s="10">
        <f t="shared" si="5"/>
        <v>63838.46</v>
      </c>
    </row>
    <row r="39" spans="1:28">
      <c r="A39" s="20" t="s">
        <v>375</v>
      </c>
      <c r="B39" s="13" t="s">
        <v>54</v>
      </c>
      <c r="C39" s="20" t="s">
        <v>7</v>
      </c>
      <c r="D39" s="20">
        <v>1</v>
      </c>
      <c r="E39" s="19"/>
      <c r="F39" s="20" t="s">
        <v>9</v>
      </c>
      <c r="G39" s="20" t="s">
        <v>15</v>
      </c>
      <c r="H39" s="23">
        <v>2268</v>
      </c>
      <c r="I39" s="3">
        <v>720</v>
      </c>
      <c r="K39" s="17">
        <f t="shared" si="0"/>
        <v>35856</v>
      </c>
      <c r="L39" s="3" t="s">
        <v>338</v>
      </c>
      <c r="M39" s="18">
        <v>0</v>
      </c>
      <c r="O39" s="5">
        <v>400</v>
      </c>
      <c r="P39" s="5" t="s">
        <v>273</v>
      </c>
      <c r="Q39" s="18">
        <f t="shared" si="1"/>
        <v>4536</v>
      </c>
      <c r="R39" s="7" t="s">
        <v>274</v>
      </c>
      <c r="S39" s="18">
        <f t="shared" si="2"/>
        <v>408.24</v>
      </c>
      <c r="T39" s="7" t="s">
        <v>277</v>
      </c>
      <c r="U39" s="15">
        <v>852</v>
      </c>
      <c r="V39" s="15">
        <f t="shared" si="3"/>
        <v>10224</v>
      </c>
      <c r="W39" s="9" t="s">
        <v>269</v>
      </c>
      <c r="X39" s="10">
        <f t="shared" si="4"/>
        <v>2449.44</v>
      </c>
      <c r="Y39" s="19" t="s">
        <v>284</v>
      </c>
      <c r="AB39" s="10">
        <f t="shared" si="5"/>
        <v>53873.68</v>
      </c>
    </row>
    <row r="40" spans="1:28">
      <c r="A40" s="20" t="s">
        <v>376</v>
      </c>
      <c r="B40" s="13" t="s">
        <v>55</v>
      </c>
      <c r="C40" s="20" t="s">
        <v>45</v>
      </c>
      <c r="D40" s="20">
        <v>1</v>
      </c>
      <c r="E40" s="19"/>
      <c r="F40" s="20" t="s">
        <v>9</v>
      </c>
      <c r="G40" s="20" t="s">
        <v>10</v>
      </c>
      <c r="H40" s="23">
        <v>1928</v>
      </c>
      <c r="I40" s="3">
        <v>720</v>
      </c>
      <c r="K40" s="17">
        <f t="shared" si="0"/>
        <v>31776</v>
      </c>
      <c r="L40" s="3" t="s">
        <v>338</v>
      </c>
      <c r="M40" s="18">
        <v>0</v>
      </c>
      <c r="O40" s="5">
        <v>400</v>
      </c>
      <c r="P40" s="5" t="s">
        <v>273</v>
      </c>
      <c r="Q40" s="18">
        <f t="shared" si="1"/>
        <v>3856</v>
      </c>
      <c r="R40" s="7" t="s">
        <v>274</v>
      </c>
      <c r="S40" s="18">
        <f t="shared" si="2"/>
        <v>347.03999999999996</v>
      </c>
      <c r="T40" s="7" t="s">
        <v>277</v>
      </c>
      <c r="U40" s="15">
        <v>852</v>
      </c>
      <c r="V40" s="15">
        <f t="shared" si="3"/>
        <v>10224</v>
      </c>
      <c r="W40" s="9" t="s">
        <v>269</v>
      </c>
      <c r="X40" s="10">
        <f t="shared" si="4"/>
        <v>2082.2399999999998</v>
      </c>
      <c r="Y40" s="19" t="s">
        <v>284</v>
      </c>
      <c r="AB40" s="10">
        <f t="shared" si="5"/>
        <v>48685.279999999999</v>
      </c>
    </row>
    <row r="41" spans="1:28">
      <c r="A41" s="20" t="s">
        <v>377</v>
      </c>
      <c r="B41" s="13" t="s">
        <v>378</v>
      </c>
      <c r="C41" s="20" t="s">
        <v>7</v>
      </c>
      <c r="D41" s="20">
        <v>1</v>
      </c>
      <c r="E41" s="19"/>
      <c r="F41" s="20" t="s">
        <v>26</v>
      </c>
      <c r="G41" s="20" t="s">
        <v>10</v>
      </c>
      <c r="H41" s="23">
        <v>1928</v>
      </c>
      <c r="I41" s="3">
        <v>720</v>
      </c>
      <c r="K41" s="17">
        <f t="shared" si="0"/>
        <v>31776</v>
      </c>
      <c r="L41" s="3" t="s">
        <v>337</v>
      </c>
      <c r="M41" s="18">
        <v>0</v>
      </c>
      <c r="O41" s="5">
        <v>400</v>
      </c>
      <c r="P41" s="5" t="s">
        <v>273</v>
      </c>
      <c r="Q41" s="18">
        <f t="shared" si="1"/>
        <v>3856</v>
      </c>
      <c r="R41" s="7" t="s">
        <v>274</v>
      </c>
      <c r="S41" s="18">
        <f t="shared" si="2"/>
        <v>347.03999999999996</v>
      </c>
      <c r="T41" s="7" t="s">
        <v>277</v>
      </c>
      <c r="U41" s="15">
        <v>852</v>
      </c>
      <c r="V41" s="15">
        <f t="shared" si="3"/>
        <v>10224</v>
      </c>
      <c r="W41" s="9" t="s">
        <v>269</v>
      </c>
      <c r="X41" s="10">
        <f t="shared" si="4"/>
        <v>2082.2399999999998</v>
      </c>
      <c r="Y41" s="19" t="s">
        <v>284</v>
      </c>
      <c r="AB41" s="10">
        <f t="shared" si="5"/>
        <v>48685.279999999999</v>
      </c>
    </row>
    <row r="42" spans="1:28">
      <c r="A42" s="20" t="s">
        <v>379</v>
      </c>
      <c r="B42" s="13" t="s">
        <v>56</v>
      </c>
      <c r="C42" s="20" t="s">
        <v>12</v>
      </c>
      <c r="D42" s="20">
        <v>1</v>
      </c>
      <c r="E42" s="19"/>
      <c r="F42" s="20" t="s">
        <v>9</v>
      </c>
      <c r="G42" s="20" t="s">
        <v>23</v>
      </c>
      <c r="H42" s="23">
        <v>1928</v>
      </c>
      <c r="I42" s="3">
        <v>720</v>
      </c>
      <c r="K42" s="17">
        <f t="shared" si="0"/>
        <v>31776</v>
      </c>
      <c r="L42" s="3" t="s">
        <v>340</v>
      </c>
      <c r="M42" s="18">
        <v>0</v>
      </c>
      <c r="O42" s="5">
        <v>400</v>
      </c>
      <c r="P42" s="5" t="s">
        <v>273</v>
      </c>
      <c r="Q42" s="18">
        <f t="shared" si="1"/>
        <v>3856</v>
      </c>
      <c r="R42" s="7" t="s">
        <v>274</v>
      </c>
      <c r="S42" s="18">
        <f t="shared" si="2"/>
        <v>347.03999999999996</v>
      </c>
      <c r="T42" s="7" t="s">
        <v>277</v>
      </c>
      <c r="U42" s="15">
        <v>852</v>
      </c>
      <c r="V42" s="15">
        <f t="shared" si="3"/>
        <v>10224</v>
      </c>
      <c r="W42" s="9" t="s">
        <v>270</v>
      </c>
      <c r="X42" s="10">
        <f t="shared" si="4"/>
        <v>2082.2399999999998</v>
      </c>
      <c r="Y42" s="19" t="s">
        <v>284</v>
      </c>
      <c r="AB42" s="10">
        <f t="shared" si="5"/>
        <v>48685.279999999999</v>
      </c>
    </row>
    <row r="43" spans="1:28">
      <c r="A43" s="20" t="s">
        <v>380</v>
      </c>
      <c r="B43" s="13" t="s">
        <v>57</v>
      </c>
      <c r="C43" s="20" t="s">
        <v>12</v>
      </c>
      <c r="D43" s="20">
        <v>1</v>
      </c>
      <c r="E43" s="19"/>
      <c r="F43" s="20" t="s">
        <v>9</v>
      </c>
      <c r="G43" s="20" t="s">
        <v>37</v>
      </c>
      <c r="H43" s="23">
        <v>2378</v>
      </c>
      <c r="I43" s="3">
        <v>720</v>
      </c>
      <c r="K43" s="17">
        <f t="shared" si="0"/>
        <v>37176</v>
      </c>
      <c r="L43" s="3" t="s">
        <v>339</v>
      </c>
      <c r="M43" s="18">
        <v>0</v>
      </c>
      <c r="O43" s="5">
        <v>400</v>
      </c>
      <c r="P43" s="5" t="s">
        <v>273</v>
      </c>
      <c r="Q43" s="18">
        <f t="shared" si="1"/>
        <v>4756</v>
      </c>
      <c r="R43" s="7" t="s">
        <v>274</v>
      </c>
      <c r="S43" s="18">
        <f t="shared" si="2"/>
        <v>428.03999999999996</v>
      </c>
      <c r="T43" s="7" t="s">
        <v>277</v>
      </c>
      <c r="U43" s="15">
        <v>1302</v>
      </c>
      <c r="V43" s="15">
        <f t="shared" si="3"/>
        <v>15624</v>
      </c>
      <c r="W43" s="9" t="s">
        <v>270</v>
      </c>
      <c r="X43" s="10">
        <f t="shared" si="4"/>
        <v>2568.2399999999998</v>
      </c>
      <c r="Y43" s="19" t="s">
        <v>284</v>
      </c>
      <c r="AB43" s="10">
        <f t="shared" si="5"/>
        <v>60952.28</v>
      </c>
    </row>
    <row r="44" spans="1:28">
      <c r="A44" s="20" t="s">
        <v>381</v>
      </c>
      <c r="B44" s="13" t="s">
        <v>58</v>
      </c>
      <c r="C44" s="20" t="s">
        <v>12</v>
      </c>
      <c r="D44" s="20">
        <v>1</v>
      </c>
      <c r="E44" s="19"/>
      <c r="F44" s="20" t="s">
        <v>9</v>
      </c>
      <c r="G44" s="20" t="s">
        <v>28</v>
      </c>
      <c r="H44" s="23">
        <v>1600</v>
      </c>
      <c r="I44" s="3">
        <v>720</v>
      </c>
      <c r="J44" s="3">
        <v>93</v>
      </c>
      <c r="K44" s="17">
        <f t="shared" si="0"/>
        <v>28956</v>
      </c>
      <c r="L44" s="3" t="s">
        <v>338</v>
      </c>
      <c r="M44" s="18">
        <v>0</v>
      </c>
      <c r="O44" s="5">
        <v>400</v>
      </c>
      <c r="P44" s="5" t="s">
        <v>273</v>
      </c>
      <c r="Q44" s="18">
        <f t="shared" si="1"/>
        <v>3386</v>
      </c>
      <c r="R44" s="7" t="s">
        <v>274</v>
      </c>
      <c r="S44" s="18">
        <f t="shared" si="2"/>
        <v>304.74</v>
      </c>
      <c r="T44" s="7" t="s">
        <v>277</v>
      </c>
      <c r="U44" s="15">
        <v>802</v>
      </c>
      <c r="V44" s="15">
        <f t="shared" si="3"/>
        <v>9624</v>
      </c>
      <c r="W44" s="9" t="s">
        <v>269</v>
      </c>
      <c r="X44" s="10">
        <f t="shared" si="4"/>
        <v>1828.44</v>
      </c>
      <c r="Y44" s="19" t="s">
        <v>284</v>
      </c>
      <c r="AB44" s="10">
        <f t="shared" si="5"/>
        <v>44499.18</v>
      </c>
    </row>
    <row r="45" spans="1:28">
      <c r="A45" s="20" t="s">
        <v>382</v>
      </c>
      <c r="B45" s="13" t="s">
        <v>59</v>
      </c>
      <c r="C45" s="20" t="s">
        <v>14</v>
      </c>
      <c r="D45" s="20">
        <v>1</v>
      </c>
      <c r="E45" s="19"/>
      <c r="F45" s="20" t="s">
        <v>9</v>
      </c>
      <c r="G45" s="20" t="s">
        <v>15</v>
      </c>
      <c r="H45" s="23">
        <v>2268</v>
      </c>
      <c r="I45" s="3">
        <v>720</v>
      </c>
      <c r="K45" s="17">
        <f t="shared" si="0"/>
        <v>35856</v>
      </c>
      <c r="L45" s="3" t="s">
        <v>338</v>
      </c>
      <c r="M45" s="18">
        <v>0</v>
      </c>
      <c r="O45" s="5">
        <v>400</v>
      </c>
      <c r="P45" s="5" t="s">
        <v>273</v>
      </c>
      <c r="Q45" s="18">
        <f t="shared" si="1"/>
        <v>4536</v>
      </c>
      <c r="R45" s="7" t="s">
        <v>274</v>
      </c>
      <c r="S45" s="18">
        <f t="shared" si="2"/>
        <v>408.24</v>
      </c>
      <c r="T45" s="7" t="s">
        <v>277</v>
      </c>
      <c r="U45" s="15">
        <v>852</v>
      </c>
      <c r="V45" s="15">
        <f t="shared" si="3"/>
        <v>10224</v>
      </c>
      <c r="W45" s="9" t="s">
        <v>269</v>
      </c>
      <c r="X45" s="10">
        <f t="shared" si="4"/>
        <v>2449.44</v>
      </c>
      <c r="Y45" s="19" t="s">
        <v>284</v>
      </c>
      <c r="AB45" s="10">
        <f t="shared" si="5"/>
        <v>53873.68</v>
      </c>
    </row>
    <row r="46" spans="1:28">
      <c r="A46" s="20" t="s">
        <v>383</v>
      </c>
      <c r="B46" s="13" t="s">
        <v>60</v>
      </c>
      <c r="C46" s="20" t="s">
        <v>7</v>
      </c>
      <c r="D46" s="20">
        <v>1</v>
      </c>
      <c r="E46" s="19"/>
      <c r="F46" s="20" t="s">
        <v>9</v>
      </c>
      <c r="G46" s="20" t="s">
        <v>15</v>
      </c>
      <c r="H46" s="23">
        <v>2268</v>
      </c>
      <c r="I46" s="3">
        <v>720</v>
      </c>
      <c r="K46" s="17">
        <f t="shared" si="0"/>
        <v>35856</v>
      </c>
      <c r="L46" s="3" t="s">
        <v>338</v>
      </c>
      <c r="M46" s="18">
        <v>0</v>
      </c>
      <c r="O46" s="5">
        <v>400</v>
      </c>
      <c r="P46" s="5" t="s">
        <v>273</v>
      </c>
      <c r="Q46" s="18">
        <f t="shared" si="1"/>
        <v>4536</v>
      </c>
      <c r="R46" s="7" t="s">
        <v>274</v>
      </c>
      <c r="S46" s="18">
        <f t="shared" si="2"/>
        <v>408.24</v>
      </c>
      <c r="T46" s="7" t="s">
        <v>277</v>
      </c>
      <c r="U46" s="15">
        <v>852</v>
      </c>
      <c r="V46" s="15">
        <f t="shared" si="3"/>
        <v>10224</v>
      </c>
      <c r="W46" s="9" t="s">
        <v>269</v>
      </c>
      <c r="X46" s="10">
        <f t="shared" si="4"/>
        <v>2449.44</v>
      </c>
      <c r="Y46" s="19" t="s">
        <v>284</v>
      </c>
      <c r="AB46" s="10">
        <f t="shared" si="5"/>
        <v>53873.68</v>
      </c>
    </row>
    <row r="47" spans="1:28">
      <c r="A47" s="20" t="s">
        <v>384</v>
      </c>
      <c r="B47" s="13" t="s">
        <v>61</v>
      </c>
      <c r="C47" s="20" t="s">
        <v>7</v>
      </c>
      <c r="D47" s="20">
        <v>1</v>
      </c>
      <c r="E47" s="19"/>
      <c r="F47" s="20" t="s">
        <v>9</v>
      </c>
      <c r="G47" s="20" t="s">
        <v>15</v>
      </c>
      <c r="H47" s="23">
        <v>2268</v>
      </c>
      <c r="I47" s="3">
        <v>720</v>
      </c>
      <c r="K47" s="17">
        <f t="shared" si="0"/>
        <v>35856</v>
      </c>
      <c r="L47" s="3" t="s">
        <v>338</v>
      </c>
      <c r="M47" s="18">
        <v>0</v>
      </c>
      <c r="O47" s="5">
        <v>400</v>
      </c>
      <c r="P47" s="5" t="s">
        <v>273</v>
      </c>
      <c r="Q47" s="18">
        <f t="shared" si="1"/>
        <v>4536</v>
      </c>
      <c r="R47" s="7" t="s">
        <v>274</v>
      </c>
      <c r="S47" s="18">
        <f t="shared" si="2"/>
        <v>408.24</v>
      </c>
      <c r="T47" s="7" t="s">
        <v>277</v>
      </c>
      <c r="U47" s="15">
        <v>852</v>
      </c>
      <c r="V47" s="15">
        <f t="shared" si="3"/>
        <v>10224</v>
      </c>
      <c r="W47" s="9" t="s">
        <v>269</v>
      </c>
      <c r="X47" s="10">
        <f t="shared" si="4"/>
        <v>2449.44</v>
      </c>
      <c r="Y47" s="19" t="s">
        <v>284</v>
      </c>
      <c r="AB47" s="10">
        <f t="shared" si="5"/>
        <v>53873.68</v>
      </c>
    </row>
    <row r="48" spans="1:28">
      <c r="A48" s="20" t="s">
        <v>385</v>
      </c>
      <c r="B48" s="13" t="s">
        <v>62</v>
      </c>
      <c r="C48" s="20" t="s">
        <v>45</v>
      </c>
      <c r="D48" s="20">
        <v>1</v>
      </c>
      <c r="E48" s="19"/>
      <c r="F48" s="20" t="s">
        <v>9</v>
      </c>
      <c r="G48" s="20" t="s">
        <v>10</v>
      </c>
      <c r="H48" s="23">
        <v>1928</v>
      </c>
      <c r="I48" s="3">
        <v>720</v>
      </c>
      <c r="K48" s="17">
        <f t="shared" si="0"/>
        <v>31776</v>
      </c>
      <c r="L48" s="3" t="s">
        <v>338</v>
      </c>
      <c r="M48" s="18">
        <v>0</v>
      </c>
      <c r="O48" s="5">
        <v>400</v>
      </c>
      <c r="P48" s="5" t="s">
        <v>273</v>
      </c>
      <c r="Q48" s="18">
        <f t="shared" si="1"/>
        <v>3856</v>
      </c>
      <c r="R48" s="7" t="s">
        <v>274</v>
      </c>
      <c r="S48" s="18">
        <f t="shared" si="2"/>
        <v>347.03999999999996</v>
      </c>
      <c r="T48" s="7" t="s">
        <v>277</v>
      </c>
      <c r="U48" s="15">
        <v>852</v>
      </c>
      <c r="V48" s="15">
        <f t="shared" si="3"/>
        <v>10224</v>
      </c>
      <c r="W48" s="9" t="s">
        <v>269</v>
      </c>
      <c r="X48" s="10">
        <f t="shared" si="4"/>
        <v>2082.2399999999998</v>
      </c>
      <c r="Y48" s="19" t="s">
        <v>284</v>
      </c>
      <c r="AB48" s="10">
        <f t="shared" si="5"/>
        <v>48685.279999999999</v>
      </c>
    </row>
    <row r="49" spans="1:28">
      <c r="A49" s="20" t="s">
        <v>386</v>
      </c>
      <c r="B49" s="13" t="s">
        <v>387</v>
      </c>
      <c r="C49" s="20" t="s">
        <v>7</v>
      </c>
      <c r="D49" s="20">
        <v>1</v>
      </c>
      <c r="E49" s="20" t="s">
        <v>8</v>
      </c>
      <c r="F49" s="20" t="s">
        <v>9</v>
      </c>
      <c r="G49" s="20" t="s">
        <v>15</v>
      </c>
      <c r="H49" s="23">
        <v>2268</v>
      </c>
      <c r="I49" s="3">
        <v>720</v>
      </c>
      <c r="K49" s="17">
        <f t="shared" si="0"/>
        <v>35856</v>
      </c>
      <c r="L49" s="3" t="s">
        <v>338</v>
      </c>
      <c r="M49" s="18">
        <v>0</v>
      </c>
      <c r="O49" s="5">
        <v>400</v>
      </c>
      <c r="P49" s="5" t="s">
        <v>273</v>
      </c>
      <c r="Q49" s="18">
        <f t="shared" si="1"/>
        <v>4536</v>
      </c>
      <c r="R49" s="7" t="s">
        <v>274</v>
      </c>
      <c r="S49" s="18">
        <f t="shared" si="2"/>
        <v>408.24</v>
      </c>
      <c r="T49" s="7" t="s">
        <v>277</v>
      </c>
      <c r="U49" s="15">
        <v>852</v>
      </c>
      <c r="V49" s="15">
        <f t="shared" si="3"/>
        <v>10224</v>
      </c>
      <c r="W49" s="9" t="s">
        <v>269</v>
      </c>
      <c r="X49" s="10">
        <f t="shared" si="4"/>
        <v>2449.44</v>
      </c>
      <c r="Y49" s="19" t="s">
        <v>284</v>
      </c>
      <c r="AB49" s="10">
        <f t="shared" si="5"/>
        <v>53873.68</v>
      </c>
    </row>
    <row r="50" spans="1:28">
      <c r="A50" s="20" t="s">
        <v>388</v>
      </c>
      <c r="B50" s="13" t="s">
        <v>63</v>
      </c>
      <c r="C50" s="20" t="s">
        <v>7</v>
      </c>
      <c r="D50" s="20">
        <v>1</v>
      </c>
      <c r="E50" s="19"/>
      <c r="F50" s="20" t="s">
        <v>9</v>
      </c>
      <c r="G50" s="20" t="s">
        <v>15</v>
      </c>
      <c r="H50" s="23">
        <v>2268</v>
      </c>
      <c r="I50" s="3">
        <v>720</v>
      </c>
      <c r="K50" s="17">
        <f t="shared" si="0"/>
        <v>35856</v>
      </c>
      <c r="L50" s="3" t="s">
        <v>338</v>
      </c>
      <c r="M50" s="18">
        <v>0</v>
      </c>
      <c r="O50" s="5">
        <v>400</v>
      </c>
      <c r="P50" s="5" t="s">
        <v>273</v>
      </c>
      <c r="Q50" s="18">
        <f t="shared" si="1"/>
        <v>4536</v>
      </c>
      <c r="R50" s="7" t="s">
        <v>274</v>
      </c>
      <c r="S50" s="18">
        <f t="shared" si="2"/>
        <v>408.24</v>
      </c>
      <c r="T50" s="7" t="s">
        <v>277</v>
      </c>
      <c r="U50" s="15">
        <v>852</v>
      </c>
      <c r="V50" s="15">
        <f t="shared" si="3"/>
        <v>10224</v>
      </c>
      <c r="W50" s="9" t="s">
        <v>269</v>
      </c>
      <c r="X50" s="10">
        <f t="shared" si="4"/>
        <v>2449.44</v>
      </c>
      <c r="Y50" s="19" t="s">
        <v>284</v>
      </c>
      <c r="AB50" s="10">
        <f t="shared" si="5"/>
        <v>53873.68</v>
      </c>
    </row>
    <row r="51" spans="1:28">
      <c r="A51" s="20" t="s">
        <v>389</v>
      </c>
      <c r="B51" s="13" t="s">
        <v>64</v>
      </c>
      <c r="C51" s="20" t="s">
        <v>12</v>
      </c>
      <c r="D51" s="20">
        <v>1</v>
      </c>
      <c r="E51" s="19"/>
      <c r="F51" s="20" t="s">
        <v>9</v>
      </c>
      <c r="G51" s="20" t="s">
        <v>30</v>
      </c>
      <c r="H51" s="23">
        <v>2378</v>
      </c>
      <c r="I51" s="3">
        <v>720</v>
      </c>
      <c r="J51" s="3">
        <v>93</v>
      </c>
      <c r="K51" s="17">
        <f t="shared" si="0"/>
        <v>38292</v>
      </c>
      <c r="L51" s="3" t="s">
        <v>339</v>
      </c>
      <c r="M51" s="18">
        <v>4676.5</v>
      </c>
      <c r="N51" s="7" t="s">
        <v>279</v>
      </c>
      <c r="O51" s="5">
        <v>400</v>
      </c>
      <c r="P51" s="5" t="s">
        <v>273</v>
      </c>
      <c r="Q51" s="18">
        <f t="shared" si="1"/>
        <v>4942</v>
      </c>
      <c r="R51" s="7" t="s">
        <v>274</v>
      </c>
      <c r="S51" s="18">
        <f t="shared" si="2"/>
        <v>444.78</v>
      </c>
      <c r="T51" s="7" t="s">
        <v>277</v>
      </c>
      <c r="U51" s="15">
        <v>1302</v>
      </c>
      <c r="V51" s="15">
        <f t="shared" si="3"/>
        <v>15624</v>
      </c>
      <c r="W51" s="9" t="s">
        <v>270</v>
      </c>
      <c r="X51" s="10">
        <f t="shared" si="4"/>
        <v>3089.5649999999996</v>
      </c>
      <c r="Y51" s="19" t="s">
        <v>284</v>
      </c>
      <c r="AB51" s="10">
        <f t="shared" si="5"/>
        <v>67468.845000000001</v>
      </c>
    </row>
    <row r="52" spans="1:28">
      <c r="A52" s="20" t="s">
        <v>390</v>
      </c>
      <c r="B52" s="13" t="s">
        <v>65</v>
      </c>
      <c r="C52" s="20" t="s">
        <v>7</v>
      </c>
      <c r="D52" s="20">
        <v>1</v>
      </c>
      <c r="E52" s="19"/>
      <c r="F52" s="20" t="s">
        <v>9</v>
      </c>
      <c r="G52" s="20" t="s">
        <v>15</v>
      </c>
      <c r="H52" s="23">
        <v>2268</v>
      </c>
      <c r="I52" s="3">
        <v>720</v>
      </c>
      <c r="J52" s="3">
        <v>93</v>
      </c>
      <c r="K52" s="17">
        <f t="shared" si="0"/>
        <v>36972</v>
      </c>
      <c r="L52" s="3" t="s">
        <v>338</v>
      </c>
      <c r="M52" s="18">
        <v>0</v>
      </c>
      <c r="O52" s="5">
        <v>400</v>
      </c>
      <c r="P52" s="5" t="s">
        <v>273</v>
      </c>
      <c r="Q52" s="18">
        <f t="shared" si="1"/>
        <v>4722</v>
      </c>
      <c r="R52" s="7" t="s">
        <v>274</v>
      </c>
      <c r="S52" s="18">
        <f t="shared" si="2"/>
        <v>424.97999999999996</v>
      </c>
      <c r="T52" s="7" t="s">
        <v>277</v>
      </c>
      <c r="U52" s="15">
        <v>852</v>
      </c>
      <c r="V52" s="15">
        <f t="shared" si="3"/>
        <v>10224</v>
      </c>
      <c r="W52" s="9" t="s">
        <v>269</v>
      </c>
      <c r="X52" s="10">
        <f t="shared" si="4"/>
        <v>2549.8799999999997</v>
      </c>
      <c r="Y52" s="19" t="s">
        <v>284</v>
      </c>
      <c r="AB52" s="10">
        <f t="shared" si="5"/>
        <v>55292.86</v>
      </c>
    </row>
    <row r="53" spans="1:28">
      <c r="A53" s="20" t="s">
        <v>391</v>
      </c>
      <c r="B53" s="13" t="s">
        <v>66</v>
      </c>
      <c r="C53" s="20" t="s">
        <v>7</v>
      </c>
      <c r="D53" s="20">
        <v>1</v>
      </c>
      <c r="E53" s="19"/>
      <c r="F53" s="20" t="s">
        <v>9</v>
      </c>
      <c r="G53" s="20" t="s">
        <v>10</v>
      </c>
      <c r="H53" s="23">
        <v>1928</v>
      </c>
      <c r="I53" s="3">
        <v>720</v>
      </c>
      <c r="K53" s="17">
        <f t="shared" si="0"/>
        <v>31776</v>
      </c>
      <c r="L53" s="3" t="s">
        <v>338</v>
      </c>
      <c r="M53" s="18">
        <v>0</v>
      </c>
      <c r="O53" s="5">
        <v>400</v>
      </c>
      <c r="P53" s="5" t="s">
        <v>273</v>
      </c>
      <c r="Q53" s="18">
        <f t="shared" si="1"/>
        <v>3856</v>
      </c>
      <c r="R53" s="7" t="s">
        <v>274</v>
      </c>
      <c r="S53" s="18">
        <f t="shared" si="2"/>
        <v>347.03999999999996</v>
      </c>
      <c r="T53" s="7" t="s">
        <v>277</v>
      </c>
      <c r="U53" s="15">
        <v>852</v>
      </c>
      <c r="V53" s="15">
        <f t="shared" si="3"/>
        <v>10224</v>
      </c>
      <c r="W53" s="9" t="s">
        <v>269</v>
      </c>
      <c r="X53" s="10">
        <f t="shared" si="4"/>
        <v>2082.2399999999998</v>
      </c>
      <c r="Y53" s="19" t="s">
        <v>284</v>
      </c>
      <c r="AB53" s="10">
        <f t="shared" si="5"/>
        <v>48685.279999999999</v>
      </c>
    </row>
    <row r="54" spans="1:28">
      <c r="A54" s="20" t="s">
        <v>392</v>
      </c>
      <c r="B54" s="13" t="s">
        <v>67</v>
      </c>
      <c r="C54" s="20" t="s">
        <v>36</v>
      </c>
      <c r="D54" s="20">
        <v>1</v>
      </c>
      <c r="E54" s="19"/>
      <c r="F54" s="20" t="s">
        <v>9</v>
      </c>
      <c r="G54" s="20" t="s">
        <v>37</v>
      </c>
      <c r="H54" s="23">
        <v>2378</v>
      </c>
      <c r="I54" s="3">
        <v>720</v>
      </c>
      <c r="K54" s="17">
        <f t="shared" si="0"/>
        <v>37176</v>
      </c>
      <c r="L54" s="3" t="s">
        <v>339</v>
      </c>
      <c r="M54" s="18">
        <v>0</v>
      </c>
      <c r="O54" s="5">
        <v>400</v>
      </c>
      <c r="P54" s="5" t="s">
        <v>273</v>
      </c>
      <c r="Q54" s="18">
        <f t="shared" si="1"/>
        <v>4756</v>
      </c>
      <c r="R54" s="7" t="s">
        <v>274</v>
      </c>
      <c r="S54" s="18">
        <f t="shared" si="2"/>
        <v>428.03999999999996</v>
      </c>
      <c r="T54" s="7" t="s">
        <v>277</v>
      </c>
      <c r="U54" s="15">
        <v>1302</v>
      </c>
      <c r="V54" s="15">
        <f t="shared" si="3"/>
        <v>15624</v>
      </c>
      <c r="W54" s="9" t="s">
        <v>270</v>
      </c>
      <c r="X54" s="10">
        <f t="shared" si="4"/>
        <v>2568.2399999999998</v>
      </c>
      <c r="Y54" s="19" t="s">
        <v>284</v>
      </c>
      <c r="AB54" s="10">
        <f t="shared" si="5"/>
        <v>60952.28</v>
      </c>
    </row>
    <row r="55" spans="1:28">
      <c r="A55" s="20" t="s">
        <v>393</v>
      </c>
      <c r="B55" s="13" t="s">
        <v>68</v>
      </c>
      <c r="C55" s="20" t="s">
        <v>7</v>
      </c>
      <c r="D55" s="20">
        <v>1</v>
      </c>
      <c r="E55" s="19"/>
      <c r="F55" s="20" t="s">
        <v>9</v>
      </c>
      <c r="G55" s="20" t="s">
        <v>10</v>
      </c>
      <c r="H55" s="23">
        <v>1928</v>
      </c>
      <c r="I55" s="3">
        <v>720</v>
      </c>
      <c r="J55" s="3">
        <v>93</v>
      </c>
      <c r="K55" s="17">
        <f t="shared" si="0"/>
        <v>32892</v>
      </c>
      <c r="L55" s="3" t="s">
        <v>338</v>
      </c>
      <c r="M55" s="18">
        <v>0</v>
      </c>
      <c r="O55" s="5">
        <v>400</v>
      </c>
      <c r="P55" s="5" t="s">
        <v>273</v>
      </c>
      <c r="Q55" s="18">
        <f t="shared" si="1"/>
        <v>4042</v>
      </c>
      <c r="R55" s="7" t="s">
        <v>274</v>
      </c>
      <c r="S55" s="18">
        <f t="shared" si="2"/>
        <v>363.78</v>
      </c>
      <c r="T55" s="7" t="s">
        <v>277</v>
      </c>
      <c r="U55" s="15">
        <v>852</v>
      </c>
      <c r="V55" s="15">
        <f t="shared" si="3"/>
        <v>10224</v>
      </c>
      <c r="W55" s="9" t="s">
        <v>269</v>
      </c>
      <c r="X55" s="10">
        <f t="shared" si="4"/>
        <v>2182.6799999999998</v>
      </c>
      <c r="Y55" s="19" t="s">
        <v>284</v>
      </c>
      <c r="AB55" s="10">
        <f t="shared" si="5"/>
        <v>50104.46</v>
      </c>
    </row>
    <row r="56" spans="1:28">
      <c r="A56" s="20" t="s">
        <v>394</v>
      </c>
      <c r="B56" s="13" t="s">
        <v>292</v>
      </c>
      <c r="C56" s="20" t="s">
        <v>14</v>
      </c>
      <c r="D56" s="20">
        <v>1</v>
      </c>
      <c r="E56" s="19"/>
      <c r="F56" s="20" t="s">
        <v>9</v>
      </c>
      <c r="G56" s="20" t="s">
        <v>15</v>
      </c>
      <c r="H56" s="23">
        <v>2268</v>
      </c>
      <c r="I56" s="3">
        <v>720</v>
      </c>
      <c r="K56" s="17">
        <f t="shared" si="0"/>
        <v>35856</v>
      </c>
      <c r="L56" s="3" t="s">
        <v>338</v>
      </c>
      <c r="M56" s="18">
        <v>0</v>
      </c>
      <c r="O56" s="5">
        <v>400</v>
      </c>
      <c r="P56" s="5" t="s">
        <v>273</v>
      </c>
      <c r="Q56" s="18">
        <f t="shared" si="1"/>
        <v>4536</v>
      </c>
      <c r="R56" s="7" t="s">
        <v>274</v>
      </c>
      <c r="S56" s="18">
        <f t="shared" si="2"/>
        <v>408.24</v>
      </c>
      <c r="T56" s="7" t="s">
        <v>277</v>
      </c>
      <c r="U56" s="15">
        <v>852</v>
      </c>
      <c r="V56" s="15">
        <f t="shared" si="3"/>
        <v>10224</v>
      </c>
      <c r="W56" s="9" t="s">
        <v>269</v>
      </c>
      <c r="X56" s="10">
        <f t="shared" si="4"/>
        <v>2449.44</v>
      </c>
      <c r="Y56" s="19" t="s">
        <v>284</v>
      </c>
      <c r="AB56" s="10">
        <f t="shared" si="5"/>
        <v>53873.68</v>
      </c>
    </row>
    <row r="57" spans="1:28">
      <c r="A57" s="20" t="s">
        <v>395</v>
      </c>
      <c r="B57" s="13" t="s">
        <v>69</v>
      </c>
      <c r="C57" s="20" t="s">
        <v>7</v>
      </c>
      <c r="D57" s="20">
        <v>1</v>
      </c>
      <c r="E57" s="19"/>
      <c r="F57" s="20" t="s">
        <v>9</v>
      </c>
      <c r="G57" s="20" t="s">
        <v>10</v>
      </c>
      <c r="H57" s="23">
        <v>1928</v>
      </c>
      <c r="I57" s="3">
        <v>720</v>
      </c>
      <c r="J57" s="3">
        <v>93</v>
      </c>
      <c r="K57" s="17">
        <f t="shared" si="0"/>
        <v>32892</v>
      </c>
      <c r="L57" s="3" t="s">
        <v>338</v>
      </c>
      <c r="M57" s="18">
        <v>0</v>
      </c>
      <c r="O57" s="5">
        <v>400</v>
      </c>
      <c r="P57" s="5" t="s">
        <v>273</v>
      </c>
      <c r="Q57" s="18">
        <f t="shared" si="1"/>
        <v>4042</v>
      </c>
      <c r="R57" s="7" t="s">
        <v>274</v>
      </c>
      <c r="S57" s="18">
        <f t="shared" si="2"/>
        <v>363.78</v>
      </c>
      <c r="T57" s="7" t="s">
        <v>277</v>
      </c>
      <c r="U57" s="15">
        <v>852</v>
      </c>
      <c r="V57" s="15">
        <f t="shared" si="3"/>
        <v>10224</v>
      </c>
      <c r="W57" s="9" t="s">
        <v>269</v>
      </c>
      <c r="X57" s="10">
        <f t="shared" si="4"/>
        <v>2182.6799999999998</v>
      </c>
      <c r="Y57" s="19" t="s">
        <v>284</v>
      </c>
      <c r="AB57" s="10">
        <f t="shared" si="5"/>
        <v>50104.46</v>
      </c>
    </row>
    <row r="58" spans="1:28">
      <c r="A58" s="20" t="s">
        <v>396</v>
      </c>
      <c r="B58" s="13" t="s">
        <v>70</v>
      </c>
      <c r="C58" s="20" t="s">
        <v>7</v>
      </c>
      <c r="D58" s="20">
        <v>1</v>
      </c>
      <c r="E58" s="19"/>
      <c r="F58" s="20" t="s">
        <v>9</v>
      </c>
      <c r="G58" s="20" t="s">
        <v>10</v>
      </c>
      <c r="H58" s="23">
        <v>1928</v>
      </c>
      <c r="I58" s="3">
        <v>720</v>
      </c>
      <c r="J58" s="3">
        <v>93</v>
      </c>
      <c r="K58" s="17">
        <f t="shared" si="0"/>
        <v>32892</v>
      </c>
      <c r="L58" s="3" t="s">
        <v>338</v>
      </c>
      <c r="M58" s="18">
        <v>0</v>
      </c>
      <c r="O58" s="5">
        <v>400</v>
      </c>
      <c r="P58" s="5" t="s">
        <v>273</v>
      </c>
      <c r="Q58" s="18">
        <f t="shared" si="1"/>
        <v>4042</v>
      </c>
      <c r="R58" s="7" t="s">
        <v>274</v>
      </c>
      <c r="S58" s="18">
        <f t="shared" si="2"/>
        <v>363.78</v>
      </c>
      <c r="T58" s="7" t="s">
        <v>277</v>
      </c>
      <c r="U58" s="15">
        <v>852</v>
      </c>
      <c r="V58" s="15">
        <f t="shared" si="3"/>
        <v>10224</v>
      </c>
      <c r="W58" s="9" t="s">
        <v>269</v>
      </c>
      <c r="X58" s="10">
        <f t="shared" si="4"/>
        <v>2182.6799999999998</v>
      </c>
      <c r="Y58" s="19" t="s">
        <v>284</v>
      </c>
      <c r="AB58" s="10">
        <f t="shared" si="5"/>
        <v>50104.46</v>
      </c>
    </row>
    <row r="59" spans="1:28">
      <c r="A59" s="20" t="s">
        <v>397</v>
      </c>
      <c r="B59" s="13" t="s">
        <v>71</v>
      </c>
      <c r="C59" s="20" t="s">
        <v>36</v>
      </c>
      <c r="D59" s="20">
        <v>1</v>
      </c>
      <c r="E59" s="19"/>
      <c r="F59" s="20" t="s">
        <v>9</v>
      </c>
      <c r="G59" s="20" t="s">
        <v>37</v>
      </c>
      <c r="H59" s="23">
        <v>2378</v>
      </c>
      <c r="I59" s="3">
        <v>720</v>
      </c>
      <c r="K59" s="17">
        <f t="shared" si="0"/>
        <v>37176</v>
      </c>
      <c r="L59" s="3" t="s">
        <v>339</v>
      </c>
      <c r="M59" s="18">
        <v>0</v>
      </c>
      <c r="O59" s="5">
        <v>400</v>
      </c>
      <c r="P59" s="5" t="s">
        <v>273</v>
      </c>
      <c r="Q59" s="18">
        <f t="shared" si="1"/>
        <v>4756</v>
      </c>
      <c r="R59" s="7" t="s">
        <v>274</v>
      </c>
      <c r="S59" s="18">
        <f t="shared" si="2"/>
        <v>428.03999999999996</v>
      </c>
      <c r="T59" s="7" t="s">
        <v>277</v>
      </c>
      <c r="U59" s="15">
        <v>1302</v>
      </c>
      <c r="V59" s="15">
        <f t="shared" si="3"/>
        <v>15624</v>
      </c>
      <c r="W59" s="9" t="s">
        <v>270</v>
      </c>
      <c r="X59" s="10">
        <f t="shared" si="4"/>
        <v>2568.2399999999998</v>
      </c>
      <c r="Y59" s="19" t="s">
        <v>284</v>
      </c>
      <c r="AB59" s="10">
        <f t="shared" si="5"/>
        <v>60952.28</v>
      </c>
    </row>
    <row r="60" spans="1:28">
      <c r="A60" s="20" t="s">
        <v>398</v>
      </c>
      <c r="B60" s="13" t="s">
        <v>314</v>
      </c>
      <c r="C60" s="20" t="s">
        <v>7</v>
      </c>
      <c r="D60" s="20">
        <v>1</v>
      </c>
      <c r="E60" s="19"/>
      <c r="F60" s="20" t="s">
        <v>9</v>
      </c>
      <c r="G60" s="20" t="s">
        <v>10</v>
      </c>
      <c r="H60" s="23">
        <v>1928</v>
      </c>
      <c r="I60" s="3">
        <v>720</v>
      </c>
      <c r="K60" s="17">
        <f t="shared" si="0"/>
        <v>31776</v>
      </c>
      <c r="L60" s="3" t="s">
        <v>338</v>
      </c>
      <c r="M60" s="18">
        <v>0</v>
      </c>
      <c r="O60" s="5">
        <v>400</v>
      </c>
      <c r="P60" s="5" t="s">
        <v>273</v>
      </c>
      <c r="Q60" s="18">
        <f t="shared" si="1"/>
        <v>3856</v>
      </c>
      <c r="R60" s="7" t="s">
        <v>274</v>
      </c>
      <c r="S60" s="18">
        <f t="shared" si="2"/>
        <v>347.03999999999996</v>
      </c>
      <c r="T60" s="7" t="s">
        <v>277</v>
      </c>
      <c r="U60" s="15">
        <v>852</v>
      </c>
      <c r="V60" s="15">
        <f t="shared" si="3"/>
        <v>10224</v>
      </c>
      <c r="W60" s="9" t="s">
        <v>269</v>
      </c>
      <c r="X60" s="10">
        <f t="shared" si="4"/>
        <v>2082.2399999999998</v>
      </c>
      <c r="Y60" s="19" t="s">
        <v>284</v>
      </c>
      <c r="AB60" s="10">
        <f t="shared" si="5"/>
        <v>48685.279999999999</v>
      </c>
    </row>
    <row r="61" spans="1:28">
      <c r="A61" s="20" t="s">
        <v>399</v>
      </c>
      <c r="B61" s="13" t="s">
        <v>315</v>
      </c>
      <c r="C61" s="20" t="s">
        <v>7</v>
      </c>
      <c r="D61" s="20">
        <v>1</v>
      </c>
      <c r="E61" s="19"/>
      <c r="F61" s="20" t="s">
        <v>26</v>
      </c>
      <c r="G61" s="20" t="s">
        <v>15</v>
      </c>
      <c r="H61" s="23">
        <v>2268</v>
      </c>
      <c r="I61" s="3">
        <v>720</v>
      </c>
      <c r="K61" s="17">
        <f t="shared" si="0"/>
        <v>35856</v>
      </c>
      <c r="L61" s="3" t="s">
        <v>337</v>
      </c>
      <c r="M61" s="18">
        <v>0</v>
      </c>
      <c r="O61" s="5">
        <v>400</v>
      </c>
      <c r="P61" s="5" t="s">
        <v>273</v>
      </c>
      <c r="Q61" s="18">
        <f t="shared" si="1"/>
        <v>4536</v>
      </c>
      <c r="R61" s="7" t="s">
        <v>274</v>
      </c>
      <c r="S61" s="18">
        <f t="shared" si="2"/>
        <v>408.24</v>
      </c>
      <c r="T61" s="7" t="s">
        <v>277</v>
      </c>
      <c r="U61" s="15">
        <v>852</v>
      </c>
      <c r="V61" s="15">
        <f t="shared" si="3"/>
        <v>10224</v>
      </c>
      <c r="W61" s="9" t="s">
        <v>269</v>
      </c>
      <c r="X61" s="10">
        <f t="shared" si="4"/>
        <v>2449.44</v>
      </c>
      <c r="Y61" s="19" t="s">
        <v>284</v>
      </c>
      <c r="Z61" s="10"/>
      <c r="AB61" s="10">
        <f t="shared" si="5"/>
        <v>53873.68</v>
      </c>
    </row>
    <row r="62" spans="1:28">
      <c r="A62" s="20" t="s">
        <v>400</v>
      </c>
      <c r="B62" s="13" t="s">
        <v>72</v>
      </c>
      <c r="C62" s="20" t="s">
        <v>14</v>
      </c>
      <c r="D62" s="20">
        <v>1</v>
      </c>
      <c r="E62" s="19"/>
      <c r="F62" s="20" t="s">
        <v>9</v>
      </c>
      <c r="G62" s="20" t="s">
        <v>15</v>
      </c>
      <c r="H62" s="23">
        <v>2268</v>
      </c>
      <c r="I62" s="3">
        <v>720</v>
      </c>
      <c r="K62" s="17">
        <f t="shared" si="0"/>
        <v>35856</v>
      </c>
      <c r="L62" s="3" t="s">
        <v>338</v>
      </c>
      <c r="M62" s="18">
        <v>0</v>
      </c>
      <c r="O62" s="5">
        <v>400</v>
      </c>
      <c r="P62" s="5" t="s">
        <v>273</v>
      </c>
      <c r="Q62" s="18">
        <f t="shared" si="1"/>
        <v>4536</v>
      </c>
      <c r="R62" s="7" t="s">
        <v>274</v>
      </c>
      <c r="S62" s="18">
        <f t="shared" si="2"/>
        <v>408.24</v>
      </c>
      <c r="T62" s="7" t="s">
        <v>277</v>
      </c>
      <c r="U62" s="15">
        <v>852</v>
      </c>
      <c r="V62" s="15">
        <f t="shared" si="3"/>
        <v>10224</v>
      </c>
      <c r="W62" s="9" t="s">
        <v>269</v>
      </c>
      <c r="X62" s="10">
        <f t="shared" si="4"/>
        <v>2449.44</v>
      </c>
      <c r="Y62" s="19" t="s">
        <v>284</v>
      </c>
      <c r="Z62" s="10"/>
      <c r="AA62" s="19" t="s">
        <v>285</v>
      </c>
      <c r="AB62" s="10">
        <f t="shared" si="5"/>
        <v>53873.68</v>
      </c>
    </row>
    <row r="63" spans="1:28">
      <c r="A63" s="20" t="s">
        <v>401</v>
      </c>
      <c r="B63" s="13" t="s">
        <v>73</v>
      </c>
      <c r="C63" s="20" t="s">
        <v>7</v>
      </c>
      <c r="D63" s="20">
        <v>1</v>
      </c>
      <c r="E63" s="19"/>
      <c r="F63" s="20" t="s">
        <v>9</v>
      </c>
      <c r="G63" s="20" t="s">
        <v>15</v>
      </c>
      <c r="H63" s="23">
        <v>2268</v>
      </c>
      <c r="I63" s="3">
        <v>720</v>
      </c>
      <c r="K63" s="17">
        <f t="shared" si="0"/>
        <v>35856</v>
      </c>
      <c r="L63" s="3" t="s">
        <v>338</v>
      </c>
      <c r="M63" s="18">
        <v>0</v>
      </c>
      <c r="O63" s="5">
        <v>400</v>
      </c>
      <c r="P63" s="5" t="s">
        <v>273</v>
      </c>
      <c r="Q63" s="18">
        <f t="shared" si="1"/>
        <v>4536</v>
      </c>
      <c r="R63" s="7" t="s">
        <v>274</v>
      </c>
      <c r="S63" s="18">
        <f t="shared" si="2"/>
        <v>408.24</v>
      </c>
      <c r="T63" s="7" t="s">
        <v>277</v>
      </c>
      <c r="U63" s="15">
        <v>852</v>
      </c>
      <c r="V63" s="15">
        <f t="shared" si="3"/>
        <v>10224</v>
      </c>
      <c r="W63" s="9" t="s">
        <v>269</v>
      </c>
      <c r="X63" s="10">
        <f t="shared" si="4"/>
        <v>2449.44</v>
      </c>
      <c r="Y63" s="19" t="s">
        <v>284</v>
      </c>
      <c r="AB63" s="10">
        <f t="shared" si="5"/>
        <v>53873.68</v>
      </c>
    </row>
    <row r="64" spans="1:28">
      <c r="A64" s="20" t="s">
        <v>402</v>
      </c>
      <c r="B64" s="13" t="s">
        <v>74</v>
      </c>
      <c r="C64" s="20" t="s">
        <v>7</v>
      </c>
      <c r="D64" s="20">
        <v>1</v>
      </c>
      <c r="E64" s="19"/>
      <c r="F64" s="20" t="s">
        <v>9</v>
      </c>
      <c r="G64" s="20" t="s">
        <v>10</v>
      </c>
      <c r="H64" s="23">
        <v>1928</v>
      </c>
      <c r="I64" s="3">
        <v>720</v>
      </c>
      <c r="K64" s="17">
        <f t="shared" si="0"/>
        <v>31776</v>
      </c>
      <c r="L64" s="3" t="s">
        <v>338</v>
      </c>
      <c r="M64" s="18">
        <v>0</v>
      </c>
      <c r="O64" s="5">
        <v>400</v>
      </c>
      <c r="P64" s="5" t="s">
        <v>273</v>
      </c>
      <c r="Q64" s="18">
        <f t="shared" si="1"/>
        <v>3856</v>
      </c>
      <c r="R64" s="7" t="s">
        <v>274</v>
      </c>
      <c r="S64" s="18">
        <f t="shared" si="2"/>
        <v>347.03999999999996</v>
      </c>
      <c r="T64" s="7" t="s">
        <v>277</v>
      </c>
      <c r="U64" s="15">
        <v>852</v>
      </c>
      <c r="V64" s="15">
        <f t="shared" si="3"/>
        <v>10224</v>
      </c>
      <c r="W64" s="9" t="s">
        <v>269</v>
      </c>
      <c r="X64" s="10">
        <f t="shared" si="4"/>
        <v>2082.2399999999998</v>
      </c>
      <c r="Y64" s="19" t="s">
        <v>284</v>
      </c>
      <c r="Z64" s="10"/>
      <c r="AB64" s="10">
        <f t="shared" si="5"/>
        <v>48685.279999999999</v>
      </c>
    </row>
    <row r="65" spans="1:28">
      <c r="A65" s="20" t="s">
        <v>403</v>
      </c>
      <c r="B65" s="13" t="s">
        <v>75</v>
      </c>
      <c r="C65" s="20" t="s">
        <v>36</v>
      </c>
      <c r="D65" s="20">
        <v>1</v>
      </c>
      <c r="E65" s="19"/>
      <c r="F65" s="20" t="s">
        <v>9</v>
      </c>
      <c r="G65" s="20" t="s">
        <v>37</v>
      </c>
      <c r="H65" s="23">
        <v>2378</v>
      </c>
      <c r="I65" s="3">
        <v>720</v>
      </c>
      <c r="J65" s="3">
        <v>93</v>
      </c>
      <c r="K65" s="17">
        <f t="shared" si="0"/>
        <v>38292</v>
      </c>
      <c r="L65" s="3" t="s">
        <v>339</v>
      </c>
      <c r="M65" s="18">
        <v>0</v>
      </c>
      <c r="O65" s="5">
        <v>400</v>
      </c>
      <c r="P65" s="5" t="s">
        <v>273</v>
      </c>
      <c r="Q65" s="18">
        <f t="shared" si="1"/>
        <v>4942</v>
      </c>
      <c r="R65" s="7" t="s">
        <v>274</v>
      </c>
      <c r="S65" s="18">
        <f t="shared" si="2"/>
        <v>444.78</v>
      </c>
      <c r="T65" s="7" t="s">
        <v>277</v>
      </c>
      <c r="U65" s="15">
        <v>1302</v>
      </c>
      <c r="V65" s="15">
        <f t="shared" si="3"/>
        <v>15624</v>
      </c>
      <c r="W65" s="9" t="s">
        <v>270</v>
      </c>
      <c r="X65" s="10">
        <f t="shared" si="4"/>
        <v>2668.68</v>
      </c>
      <c r="Y65" s="19" t="s">
        <v>284</v>
      </c>
      <c r="AB65" s="10">
        <f t="shared" si="5"/>
        <v>62371.46</v>
      </c>
    </row>
    <row r="66" spans="1:28">
      <c r="A66" s="20" t="s">
        <v>404</v>
      </c>
      <c r="B66" s="13" t="s">
        <v>76</v>
      </c>
      <c r="C66" s="20" t="s">
        <v>7</v>
      </c>
      <c r="D66" s="20">
        <v>1</v>
      </c>
      <c r="E66" s="19" t="s">
        <v>8</v>
      </c>
      <c r="F66" s="20" t="s">
        <v>9</v>
      </c>
      <c r="G66" s="20" t="s">
        <v>15</v>
      </c>
      <c r="H66" s="23">
        <v>2268</v>
      </c>
      <c r="I66" s="3">
        <v>720</v>
      </c>
      <c r="K66" s="17">
        <f t="shared" si="0"/>
        <v>35856</v>
      </c>
      <c r="L66" s="3" t="s">
        <v>338</v>
      </c>
      <c r="M66" s="18">
        <v>0</v>
      </c>
      <c r="O66" s="5">
        <v>400</v>
      </c>
      <c r="P66" s="5" t="s">
        <v>273</v>
      </c>
      <c r="Q66" s="18">
        <f t="shared" si="1"/>
        <v>4536</v>
      </c>
      <c r="R66" s="7" t="s">
        <v>274</v>
      </c>
      <c r="S66" s="18">
        <f t="shared" si="2"/>
        <v>408.24</v>
      </c>
      <c r="T66" s="7" t="s">
        <v>277</v>
      </c>
      <c r="U66" s="15">
        <v>852</v>
      </c>
      <c r="V66" s="15">
        <f t="shared" si="3"/>
        <v>10224</v>
      </c>
      <c r="W66" s="9" t="s">
        <v>269</v>
      </c>
      <c r="X66" s="10">
        <f t="shared" si="4"/>
        <v>2449.44</v>
      </c>
      <c r="Y66" s="19" t="s">
        <v>284</v>
      </c>
      <c r="AB66" s="10">
        <f t="shared" si="5"/>
        <v>53873.68</v>
      </c>
    </row>
    <row r="67" spans="1:28">
      <c r="A67" s="20" t="s">
        <v>405</v>
      </c>
      <c r="B67" s="13" t="s">
        <v>77</v>
      </c>
      <c r="C67" s="20" t="s">
        <v>25</v>
      </c>
      <c r="D67" s="20">
        <v>1</v>
      </c>
      <c r="E67" s="19"/>
      <c r="F67" s="20" t="s">
        <v>9</v>
      </c>
      <c r="G67" s="20" t="s">
        <v>15</v>
      </c>
      <c r="H67" s="23">
        <v>2268</v>
      </c>
      <c r="I67" s="3">
        <v>720</v>
      </c>
      <c r="K67" s="17">
        <f t="shared" ref="K67:K130" si="6">SUM(H67:J67)*$C$1</f>
        <v>35856</v>
      </c>
      <c r="L67" s="3" t="s">
        <v>338</v>
      </c>
      <c r="M67" s="18">
        <v>0</v>
      </c>
      <c r="O67" s="5">
        <v>400</v>
      </c>
      <c r="P67" s="5" t="s">
        <v>273</v>
      </c>
      <c r="Q67" s="18">
        <f t="shared" ref="Q67:Q130" si="7">(H67+J67)*$G$1</f>
        <v>4536</v>
      </c>
      <c r="R67" s="7" t="s">
        <v>274</v>
      </c>
      <c r="S67" s="18">
        <f t="shared" ref="S67:S130" si="8">+Q67*0.09</f>
        <v>408.24</v>
      </c>
      <c r="T67" s="7" t="s">
        <v>277</v>
      </c>
      <c r="U67" s="15">
        <v>852</v>
      </c>
      <c r="V67" s="15">
        <f t="shared" ref="V67:V130" si="9">+U67*$C$1</f>
        <v>10224</v>
      </c>
      <c r="W67" s="9" t="s">
        <v>269</v>
      </c>
      <c r="X67" s="10">
        <f t="shared" ref="X67:X130" si="10">+(H67+J67)*0.09*$C$1+M67*0.09</f>
        <v>2449.44</v>
      </c>
      <c r="Y67" s="19" t="s">
        <v>284</v>
      </c>
      <c r="AB67" s="10">
        <f t="shared" ref="AB67:AB130" si="11">+K67+M67+O67+Q67+S67+V67+X67+Z67</f>
        <v>53873.68</v>
      </c>
    </row>
    <row r="68" spans="1:28">
      <c r="A68" s="20" t="s">
        <v>406</v>
      </c>
      <c r="B68" s="13" t="s">
        <v>78</v>
      </c>
      <c r="C68" s="20" t="s">
        <v>14</v>
      </c>
      <c r="D68" s="20">
        <v>1</v>
      </c>
      <c r="E68" s="19"/>
      <c r="F68" s="20" t="s">
        <v>9</v>
      </c>
      <c r="G68" s="20" t="s">
        <v>15</v>
      </c>
      <c r="H68" s="23">
        <v>2268</v>
      </c>
      <c r="I68" s="3">
        <v>720</v>
      </c>
      <c r="K68" s="17">
        <f t="shared" si="6"/>
        <v>35856</v>
      </c>
      <c r="L68" s="3" t="s">
        <v>338</v>
      </c>
      <c r="M68" s="18">
        <v>0</v>
      </c>
      <c r="O68" s="5">
        <v>400</v>
      </c>
      <c r="P68" s="5" t="s">
        <v>273</v>
      </c>
      <c r="Q68" s="18">
        <f t="shared" si="7"/>
        <v>4536</v>
      </c>
      <c r="R68" s="7" t="s">
        <v>274</v>
      </c>
      <c r="S68" s="18">
        <f t="shared" si="8"/>
        <v>408.24</v>
      </c>
      <c r="T68" s="7" t="s">
        <v>277</v>
      </c>
      <c r="U68" s="15">
        <v>852</v>
      </c>
      <c r="V68" s="15">
        <f t="shared" si="9"/>
        <v>10224</v>
      </c>
      <c r="W68" s="9" t="s">
        <v>269</v>
      </c>
      <c r="X68" s="10">
        <f t="shared" si="10"/>
        <v>2449.44</v>
      </c>
      <c r="Y68" s="19" t="s">
        <v>284</v>
      </c>
      <c r="AB68" s="10">
        <f t="shared" si="11"/>
        <v>53873.68</v>
      </c>
    </row>
    <row r="69" spans="1:28">
      <c r="A69" s="20" t="s">
        <v>407</v>
      </c>
      <c r="B69" s="13" t="s">
        <v>79</v>
      </c>
      <c r="C69" s="20" t="s">
        <v>45</v>
      </c>
      <c r="D69" s="20">
        <v>1</v>
      </c>
      <c r="E69" s="19"/>
      <c r="F69" s="20" t="s">
        <v>9</v>
      </c>
      <c r="G69" s="20" t="s">
        <v>80</v>
      </c>
      <c r="H69" s="23">
        <v>2828</v>
      </c>
      <c r="I69" s="3">
        <v>720</v>
      </c>
      <c r="K69" s="17">
        <f t="shared" si="6"/>
        <v>42576</v>
      </c>
      <c r="L69" s="3" t="s">
        <v>338</v>
      </c>
      <c r="M69" s="18">
        <v>0</v>
      </c>
      <c r="O69" s="5">
        <v>400</v>
      </c>
      <c r="P69" s="5" t="s">
        <v>273</v>
      </c>
      <c r="Q69" s="18">
        <f t="shared" si="7"/>
        <v>5656</v>
      </c>
      <c r="R69" s="7" t="s">
        <v>274</v>
      </c>
      <c r="S69" s="18">
        <f t="shared" si="8"/>
        <v>509.03999999999996</v>
      </c>
      <c r="T69" s="7" t="s">
        <v>277</v>
      </c>
      <c r="U69" s="15">
        <v>852</v>
      </c>
      <c r="V69" s="15">
        <f t="shared" si="9"/>
        <v>10224</v>
      </c>
      <c r="W69" s="9" t="s">
        <v>269</v>
      </c>
      <c r="X69" s="10">
        <f t="shared" si="10"/>
        <v>3054.24</v>
      </c>
      <c r="Y69" s="19" t="s">
        <v>284</v>
      </c>
      <c r="AB69" s="10">
        <f t="shared" si="11"/>
        <v>62419.28</v>
      </c>
    </row>
    <row r="70" spans="1:28">
      <c r="A70" s="20" t="s">
        <v>408</v>
      </c>
      <c r="B70" s="13" t="s">
        <v>81</v>
      </c>
      <c r="C70" s="20" t="s">
        <v>7</v>
      </c>
      <c r="D70" s="20">
        <v>1</v>
      </c>
      <c r="E70" s="19"/>
      <c r="F70" s="20" t="s">
        <v>9</v>
      </c>
      <c r="G70" s="20" t="s">
        <v>10</v>
      </c>
      <c r="H70" s="23">
        <v>1928</v>
      </c>
      <c r="I70" s="3">
        <v>720</v>
      </c>
      <c r="K70" s="17">
        <f t="shared" si="6"/>
        <v>31776</v>
      </c>
      <c r="L70" s="3" t="s">
        <v>338</v>
      </c>
      <c r="M70" s="18">
        <v>0</v>
      </c>
      <c r="O70" s="5">
        <v>400</v>
      </c>
      <c r="P70" s="5" t="s">
        <v>273</v>
      </c>
      <c r="Q70" s="18">
        <f t="shared" si="7"/>
        <v>3856</v>
      </c>
      <c r="R70" s="7" t="s">
        <v>274</v>
      </c>
      <c r="S70" s="18">
        <f t="shared" si="8"/>
        <v>347.03999999999996</v>
      </c>
      <c r="T70" s="7" t="s">
        <v>277</v>
      </c>
      <c r="U70" s="15">
        <v>852</v>
      </c>
      <c r="V70" s="15">
        <f t="shared" si="9"/>
        <v>10224</v>
      </c>
      <c r="W70" s="9" t="s">
        <v>269</v>
      </c>
      <c r="X70" s="10">
        <f t="shared" si="10"/>
        <v>2082.2399999999998</v>
      </c>
      <c r="Y70" s="19" t="s">
        <v>284</v>
      </c>
      <c r="AB70" s="10">
        <f t="shared" si="11"/>
        <v>48685.279999999999</v>
      </c>
    </row>
    <row r="71" spans="1:28">
      <c r="A71" s="20" t="s">
        <v>409</v>
      </c>
      <c r="B71" s="13" t="s">
        <v>82</v>
      </c>
      <c r="C71" s="20" t="s">
        <v>7</v>
      </c>
      <c r="D71" s="20">
        <v>1</v>
      </c>
      <c r="E71" s="19"/>
      <c r="F71" s="20" t="s">
        <v>9</v>
      </c>
      <c r="G71" s="20" t="s">
        <v>15</v>
      </c>
      <c r="H71" s="23">
        <v>2268</v>
      </c>
      <c r="I71" s="3">
        <v>720</v>
      </c>
      <c r="J71" s="3">
        <v>93</v>
      </c>
      <c r="K71" s="17">
        <f t="shared" si="6"/>
        <v>36972</v>
      </c>
      <c r="L71" s="3" t="s">
        <v>338</v>
      </c>
      <c r="M71" s="18">
        <v>0</v>
      </c>
      <c r="O71" s="5">
        <v>400</v>
      </c>
      <c r="P71" s="5" t="s">
        <v>273</v>
      </c>
      <c r="Q71" s="18">
        <f t="shared" si="7"/>
        <v>4722</v>
      </c>
      <c r="R71" s="7" t="s">
        <v>274</v>
      </c>
      <c r="S71" s="18">
        <f t="shared" si="8"/>
        <v>424.97999999999996</v>
      </c>
      <c r="T71" s="7" t="s">
        <v>277</v>
      </c>
      <c r="U71" s="15">
        <v>852</v>
      </c>
      <c r="V71" s="15">
        <f t="shared" si="9"/>
        <v>10224</v>
      </c>
      <c r="W71" s="9" t="s">
        <v>269</v>
      </c>
      <c r="X71" s="10">
        <f t="shared" si="10"/>
        <v>2549.8799999999997</v>
      </c>
      <c r="Y71" s="19" t="s">
        <v>284</v>
      </c>
      <c r="Z71" s="10"/>
      <c r="AB71" s="10">
        <f t="shared" si="11"/>
        <v>55292.86</v>
      </c>
    </row>
    <row r="72" spans="1:28">
      <c r="A72" s="20" t="s">
        <v>410</v>
      </c>
      <c r="B72" s="13" t="s">
        <v>316</v>
      </c>
      <c r="C72" s="20" t="s">
        <v>25</v>
      </c>
      <c r="D72" s="20">
        <v>1</v>
      </c>
      <c r="E72" s="19"/>
      <c r="F72" s="20" t="s">
        <v>9</v>
      </c>
      <c r="G72" s="20" t="s">
        <v>15</v>
      </c>
      <c r="H72" s="23">
        <v>2268</v>
      </c>
      <c r="I72" s="3">
        <v>720</v>
      </c>
      <c r="K72" s="17">
        <f t="shared" si="6"/>
        <v>35856</v>
      </c>
      <c r="L72" s="3" t="s">
        <v>338</v>
      </c>
      <c r="M72" s="18">
        <v>0</v>
      </c>
      <c r="O72" s="5">
        <v>400</v>
      </c>
      <c r="P72" s="5" t="s">
        <v>273</v>
      </c>
      <c r="Q72" s="18">
        <f t="shared" si="7"/>
        <v>4536</v>
      </c>
      <c r="R72" s="7" t="s">
        <v>274</v>
      </c>
      <c r="S72" s="18">
        <f t="shared" si="8"/>
        <v>408.24</v>
      </c>
      <c r="T72" s="7" t="s">
        <v>277</v>
      </c>
      <c r="U72" s="15">
        <v>852</v>
      </c>
      <c r="V72" s="15">
        <f t="shared" si="9"/>
        <v>10224</v>
      </c>
      <c r="W72" s="9" t="s">
        <v>269</v>
      </c>
      <c r="X72" s="10">
        <f t="shared" si="10"/>
        <v>2449.44</v>
      </c>
      <c r="Y72" s="19" t="s">
        <v>284</v>
      </c>
      <c r="Z72" s="10"/>
      <c r="AA72" s="19" t="s">
        <v>285</v>
      </c>
      <c r="AB72" s="10">
        <f t="shared" si="11"/>
        <v>53873.68</v>
      </c>
    </row>
    <row r="73" spans="1:28">
      <c r="A73" s="20" t="s">
        <v>411</v>
      </c>
      <c r="B73" s="13" t="s">
        <v>83</v>
      </c>
      <c r="C73" s="20" t="s">
        <v>7</v>
      </c>
      <c r="D73" s="20">
        <v>1</v>
      </c>
      <c r="E73" s="19"/>
      <c r="F73" s="20" t="s">
        <v>9</v>
      </c>
      <c r="G73" s="20" t="s">
        <v>15</v>
      </c>
      <c r="H73" s="23">
        <v>2268</v>
      </c>
      <c r="I73" s="3">
        <v>720</v>
      </c>
      <c r="K73" s="17">
        <f t="shared" si="6"/>
        <v>35856</v>
      </c>
      <c r="L73" s="3" t="s">
        <v>338</v>
      </c>
      <c r="M73" s="18">
        <v>0</v>
      </c>
      <c r="O73" s="5">
        <v>400</v>
      </c>
      <c r="P73" s="5" t="s">
        <v>273</v>
      </c>
      <c r="Q73" s="18">
        <f t="shared" si="7"/>
        <v>4536</v>
      </c>
      <c r="R73" s="7" t="s">
        <v>274</v>
      </c>
      <c r="S73" s="18">
        <f t="shared" si="8"/>
        <v>408.24</v>
      </c>
      <c r="T73" s="7" t="s">
        <v>277</v>
      </c>
      <c r="U73" s="15">
        <v>852</v>
      </c>
      <c r="V73" s="15">
        <f t="shared" si="9"/>
        <v>10224</v>
      </c>
      <c r="W73" s="9" t="s">
        <v>269</v>
      </c>
      <c r="X73" s="10">
        <f t="shared" si="10"/>
        <v>2449.44</v>
      </c>
      <c r="Y73" s="19" t="s">
        <v>284</v>
      </c>
      <c r="AB73" s="10">
        <f t="shared" si="11"/>
        <v>53873.68</v>
      </c>
    </row>
    <row r="74" spans="1:28">
      <c r="A74" s="20">
        <v>48466678</v>
      </c>
      <c r="B74" s="13" t="s">
        <v>654</v>
      </c>
      <c r="C74" s="20" t="s">
        <v>14</v>
      </c>
      <c r="D74" s="20">
        <v>1</v>
      </c>
      <c r="E74" s="19" t="s">
        <v>8</v>
      </c>
      <c r="F74" s="20" t="s">
        <v>26</v>
      </c>
      <c r="G74" s="20" t="s">
        <v>15</v>
      </c>
      <c r="H74" s="23">
        <v>2268</v>
      </c>
      <c r="I74" s="3">
        <v>720</v>
      </c>
      <c r="K74" s="17">
        <f t="shared" si="6"/>
        <v>35856</v>
      </c>
      <c r="L74" s="3" t="s">
        <v>337</v>
      </c>
      <c r="M74" s="18">
        <v>0</v>
      </c>
      <c r="O74" s="5">
        <v>400</v>
      </c>
      <c r="P74" s="5" t="s">
        <v>273</v>
      </c>
      <c r="Q74" s="18">
        <f t="shared" si="7"/>
        <v>4536</v>
      </c>
      <c r="R74" s="7" t="s">
        <v>274</v>
      </c>
      <c r="S74" s="18">
        <f t="shared" si="8"/>
        <v>408.24</v>
      </c>
      <c r="T74" s="7" t="s">
        <v>277</v>
      </c>
      <c r="U74" s="15">
        <v>852</v>
      </c>
      <c r="V74" s="15">
        <f t="shared" si="9"/>
        <v>10224</v>
      </c>
      <c r="W74" s="9" t="s">
        <v>269</v>
      </c>
      <c r="X74" s="10">
        <f t="shared" si="10"/>
        <v>2449.44</v>
      </c>
      <c r="Y74" s="19" t="s">
        <v>284</v>
      </c>
      <c r="AB74" s="10">
        <f t="shared" si="11"/>
        <v>53873.68</v>
      </c>
    </row>
    <row r="75" spans="1:28">
      <c r="A75" s="20" t="s">
        <v>412</v>
      </c>
      <c r="B75" s="13" t="s">
        <v>84</v>
      </c>
      <c r="C75" s="20" t="s">
        <v>12</v>
      </c>
      <c r="D75" s="20">
        <v>1</v>
      </c>
      <c r="E75" s="19"/>
      <c r="F75" s="20" t="s">
        <v>9</v>
      </c>
      <c r="G75" s="20" t="s">
        <v>23</v>
      </c>
      <c r="H75" s="23">
        <v>1928</v>
      </c>
      <c r="I75" s="3">
        <v>720</v>
      </c>
      <c r="K75" s="17">
        <f t="shared" si="6"/>
        <v>31776</v>
      </c>
      <c r="L75" s="3" t="s">
        <v>340</v>
      </c>
      <c r="M75" s="18">
        <v>0</v>
      </c>
      <c r="O75" s="5">
        <v>400</v>
      </c>
      <c r="P75" s="5" t="s">
        <v>273</v>
      </c>
      <c r="Q75" s="18">
        <f t="shared" si="7"/>
        <v>3856</v>
      </c>
      <c r="R75" s="7" t="s">
        <v>274</v>
      </c>
      <c r="S75" s="18">
        <f t="shared" si="8"/>
        <v>347.03999999999996</v>
      </c>
      <c r="T75" s="7" t="s">
        <v>277</v>
      </c>
      <c r="U75" s="15">
        <v>852</v>
      </c>
      <c r="V75" s="15">
        <f t="shared" si="9"/>
        <v>10224</v>
      </c>
      <c r="W75" s="9" t="s">
        <v>270</v>
      </c>
      <c r="X75" s="10">
        <f t="shared" si="10"/>
        <v>2082.2399999999998</v>
      </c>
      <c r="Y75" s="19" t="s">
        <v>284</v>
      </c>
      <c r="Z75" s="10"/>
      <c r="AB75" s="10">
        <f t="shared" si="11"/>
        <v>48685.279999999999</v>
      </c>
    </row>
    <row r="76" spans="1:28">
      <c r="A76" s="20" t="s">
        <v>413</v>
      </c>
      <c r="B76" s="13" t="s">
        <v>85</v>
      </c>
      <c r="C76" s="20" t="s">
        <v>45</v>
      </c>
      <c r="D76" s="20">
        <v>1</v>
      </c>
      <c r="E76" s="19"/>
      <c r="F76" s="20" t="s">
        <v>9</v>
      </c>
      <c r="G76" s="20" t="s">
        <v>46</v>
      </c>
      <c r="H76" s="23">
        <v>5478</v>
      </c>
      <c r="I76" s="3">
        <v>720</v>
      </c>
      <c r="J76" s="3">
        <v>93</v>
      </c>
      <c r="K76" s="17">
        <f t="shared" si="6"/>
        <v>75492</v>
      </c>
      <c r="L76" s="3" t="s">
        <v>338</v>
      </c>
      <c r="M76" s="18">
        <v>0</v>
      </c>
      <c r="O76" s="5">
        <v>400</v>
      </c>
      <c r="P76" s="5" t="s">
        <v>273</v>
      </c>
      <c r="Q76" s="18">
        <f t="shared" si="7"/>
        <v>11142</v>
      </c>
      <c r="R76" s="7" t="s">
        <v>274</v>
      </c>
      <c r="S76" s="18">
        <f t="shared" si="8"/>
        <v>1002.78</v>
      </c>
      <c r="T76" s="7" t="s">
        <v>277</v>
      </c>
      <c r="U76" s="15">
        <v>1302</v>
      </c>
      <c r="V76" s="15">
        <f t="shared" si="9"/>
        <v>15624</v>
      </c>
      <c r="W76" s="9" t="s">
        <v>269</v>
      </c>
      <c r="X76" s="10">
        <f t="shared" si="10"/>
        <v>6016.68</v>
      </c>
      <c r="Y76" s="19" t="s">
        <v>284</v>
      </c>
      <c r="AB76" s="10">
        <f t="shared" si="11"/>
        <v>109677.45999999999</v>
      </c>
    </row>
    <row r="77" spans="1:28">
      <c r="A77" s="20" t="s">
        <v>414</v>
      </c>
      <c r="B77" s="13" t="s">
        <v>86</v>
      </c>
      <c r="C77" s="20" t="s">
        <v>36</v>
      </c>
      <c r="D77" s="20">
        <v>1</v>
      </c>
      <c r="E77" s="19"/>
      <c r="F77" s="20" t="s">
        <v>9</v>
      </c>
      <c r="G77" s="20" t="s">
        <v>10</v>
      </c>
      <c r="H77" s="23">
        <v>1928</v>
      </c>
      <c r="I77" s="3">
        <v>720</v>
      </c>
      <c r="K77" s="17">
        <f t="shared" si="6"/>
        <v>31776</v>
      </c>
      <c r="L77" s="3" t="s">
        <v>338</v>
      </c>
      <c r="M77" s="18">
        <v>0</v>
      </c>
      <c r="O77" s="5">
        <v>400</v>
      </c>
      <c r="P77" s="5" t="s">
        <v>273</v>
      </c>
      <c r="Q77" s="18">
        <f t="shared" si="7"/>
        <v>3856</v>
      </c>
      <c r="R77" s="7" t="s">
        <v>274</v>
      </c>
      <c r="S77" s="18">
        <f t="shared" si="8"/>
        <v>347.03999999999996</v>
      </c>
      <c r="T77" s="7" t="s">
        <v>277</v>
      </c>
      <c r="U77" s="15">
        <v>852</v>
      </c>
      <c r="V77" s="15">
        <f t="shared" si="9"/>
        <v>10224</v>
      </c>
      <c r="W77" s="9" t="s">
        <v>269</v>
      </c>
      <c r="X77" s="10">
        <f t="shared" si="10"/>
        <v>2082.2399999999998</v>
      </c>
      <c r="Y77" s="19" t="s">
        <v>284</v>
      </c>
      <c r="AB77" s="10">
        <f t="shared" si="11"/>
        <v>48685.279999999999</v>
      </c>
    </row>
    <row r="78" spans="1:28">
      <c r="A78" s="20" t="s">
        <v>415</v>
      </c>
      <c r="B78" s="13" t="s">
        <v>87</v>
      </c>
      <c r="C78" s="20" t="s">
        <v>25</v>
      </c>
      <c r="D78" s="20">
        <v>1</v>
      </c>
      <c r="E78" s="19"/>
      <c r="F78" s="20" t="s">
        <v>9</v>
      </c>
      <c r="G78" s="20" t="s">
        <v>28</v>
      </c>
      <c r="H78" s="23">
        <v>1600</v>
      </c>
      <c r="I78" s="3">
        <v>720</v>
      </c>
      <c r="K78" s="17">
        <f t="shared" si="6"/>
        <v>27840</v>
      </c>
      <c r="L78" s="3" t="s">
        <v>338</v>
      </c>
      <c r="M78" s="18">
        <v>0</v>
      </c>
      <c r="O78" s="5">
        <v>400</v>
      </c>
      <c r="P78" s="5" t="s">
        <v>273</v>
      </c>
      <c r="Q78" s="18">
        <f t="shared" si="7"/>
        <v>3200</v>
      </c>
      <c r="R78" s="7" t="s">
        <v>274</v>
      </c>
      <c r="S78" s="18">
        <f t="shared" si="8"/>
        <v>288</v>
      </c>
      <c r="T78" s="7" t="s">
        <v>277</v>
      </c>
      <c r="U78" s="15">
        <v>802</v>
      </c>
      <c r="V78" s="15">
        <f t="shared" si="9"/>
        <v>9624</v>
      </c>
      <c r="W78" s="9" t="s">
        <v>269</v>
      </c>
      <c r="X78" s="10">
        <f t="shared" si="10"/>
        <v>1728</v>
      </c>
      <c r="Y78" s="19" t="s">
        <v>284</v>
      </c>
      <c r="AB78" s="10">
        <f t="shared" si="11"/>
        <v>43080</v>
      </c>
    </row>
    <row r="79" spans="1:28">
      <c r="A79" s="20" t="s">
        <v>416</v>
      </c>
      <c r="B79" s="13" t="s">
        <v>88</v>
      </c>
      <c r="C79" s="20" t="s">
        <v>25</v>
      </c>
      <c r="D79" s="20">
        <v>1</v>
      </c>
      <c r="E79" s="19"/>
      <c r="F79" s="20" t="s">
        <v>9</v>
      </c>
      <c r="G79" s="20" t="s">
        <v>15</v>
      </c>
      <c r="H79" s="23">
        <v>2268</v>
      </c>
      <c r="I79" s="3">
        <v>720</v>
      </c>
      <c r="J79" s="3">
        <v>93</v>
      </c>
      <c r="K79" s="17">
        <f t="shared" si="6"/>
        <v>36972</v>
      </c>
      <c r="L79" s="3" t="s">
        <v>338</v>
      </c>
      <c r="M79" s="18">
        <v>0</v>
      </c>
      <c r="O79" s="5">
        <v>400</v>
      </c>
      <c r="P79" s="5" t="s">
        <v>273</v>
      </c>
      <c r="Q79" s="18">
        <f t="shared" si="7"/>
        <v>4722</v>
      </c>
      <c r="R79" s="7" t="s">
        <v>274</v>
      </c>
      <c r="S79" s="18">
        <f t="shared" si="8"/>
        <v>424.97999999999996</v>
      </c>
      <c r="T79" s="7" t="s">
        <v>277</v>
      </c>
      <c r="U79" s="15">
        <v>852</v>
      </c>
      <c r="V79" s="15">
        <f t="shared" si="9"/>
        <v>10224</v>
      </c>
      <c r="W79" s="9" t="s">
        <v>269</v>
      </c>
      <c r="X79" s="10">
        <f t="shared" si="10"/>
        <v>2549.8799999999997</v>
      </c>
      <c r="Y79" s="19" t="s">
        <v>284</v>
      </c>
      <c r="Z79" s="10"/>
      <c r="AB79" s="10">
        <f t="shared" si="11"/>
        <v>55292.86</v>
      </c>
    </row>
    <row r="80" spans="1:28">
      <c r="A80" s="20" t="s">
        <v>417</v>
      </c>
      <c r="B80" s="13" t="s">
        <v>89</v>
      </c>
      <c r="C80" s="20" t="s">
        <v>45</v>
      </c>
      <c r="D80" s="20">
        <v>1</v>
      </c>
      <c r="E80" s="19"/>
      <c r="F80" s="20" t="s">
        <v>9</v>
      </c>
      <c r="G80" s="20" t="s">
        <v>10</v>
      </c>
      <c r="H80" s="23">
        <v>1928</v>
      </c>
      <c r="I80" s="3">
        <v>720</v>
      </c>
      <c r="K80" s="17">
        <f t="shared" si="6"/>
        <v>31776</v>
      </c>
      <c r="L80" s="3" t="s">
        <v>338</v>
      </c>
      <c r="M80" s="18">
        <v>0</v>
      </c>
      <c r="O80" s="5">
        <v>400</v>
      </c>
      <c r="P80" s="5" t="s">
        <v>273</v>
      </c>
      <c r="Q80" s="18">
        <f t="shared" si="7"/>
        <v>3856</v>
      </c>
      <c r="R80" s="7" t="s">
        <v>274</v>
      </c>
      <c r="S80" s="18">
        <f t="shared" si="8"/>
        <v>347.03999999999996</v>
      </c>
      <c r="T80" s="7" t="s">
        <v>277</v>
      </c>
      <c r="U80" s="15">
        <v>852</v>
      </c>
      <c r="V80" s="15">
        <f t="shared" si="9"/>
        <v>10224</v>
      </c>
      <c r="W80" s="9" t="s">
        <v>269</v>
      </c>
      <c r="X80" s="10">
        <f t="shared" si="10"/>
        <v>2082.2399999999998</v>
      </c>
      <c r="Y80" s="19" t="s">
        <v>284</v>
      </c>
      <c r="AB80" s="10">
        <f t="shared" si="11"/>
        <v>48685.279999999999</v>
      </c>
    </row>
    <row r="81" spans="1:28">
      <c r="A81" s="20" t="s">
        <v>418</v>
      </c>
      <c r="B81" s="13" t="s">
        <v>90</v>
      </c>
      <c r="C81" s="20" t="s">
        <v>25</v>
      </c>
      <c r="D81" s="20">
        <v>1</v>
      </c>
      <c r="E81" s="19"/>
      <c r="F81" s="20" t="s">
        <v>9</v>
      </c>
      <c r="G81" s="20" t="s">
        <v>10</v>
      </c>
      <c r="H81" s="23">
        <v>1928</v>
      </c>
      <c r="I81" s="3">
        <v>720</v>
      </c>
      <c r="J81" s="3">
        <v>93</v>
      </c>
      <c r="K81" s="17">
        <f t="shared" si="6"/>
        <v>32892</v>
      </c>
      <c r="L81" s="3" t="s">
        <v>338</v>
      </c>
      <c r="M81" s="18">
        <v>0</v>
      </c>
      <c r="O81" s="5">
        <v>400</v>
      </c>
      <c r="P81" s="5" t="s">
        <v>273</v>
      </c>
      <c r="Q81" s="18">
        <f t="shared" si="7"/>
        <v>4042</v>
      </c>
      <c r="R81" s="7" t="s">
        <v>274</v>
      </c>
      <c r="S81" s="18">
        <f t="shared" si="8"/>
        <v>363.78</v>
      </c>
      <c r="T81" s="7" t="s">
        <v>277</v>
      </c>
      <c r="U81" s="15">
        <v>852</v>
      </c>
      <c r="V81" s="15">
        <f t="shared" si="9"/>
        <v>10224</v>
      </c>
      <c r="W81" s="9" t="s">
        <v>269</v>
      </c>
      <c r="X81" s="10">
        <f t="shared" si="10"/>
        <v>2182.6799999999998</v>
      </c>
      <c r="Y81" s="19" t="s">
        <v>284</v>
      </c>
      <c r="AB81" s="10">
        <f t="shared" si="11"/>
        <v>50104.46</v>
      </c>
    </row>
    <row r="82" spans="1:28">
      <c r="A82" s="20" t="s">
        <v>419</v>
      </c>
      <c r="B82" s="13" t="s">
        <v>91</v>
      </c>
      <c r="C82" s="20" t="s">
        <v>7</v>
      </c>
      <c r="D82" s="20">
        <v>1</v>
      </c>
      <c r="E82" s="19"/>
      <c r="F82" s="20" t="s">
        <v>9</v>
      </c>
      <c r="G82" s="20" t="s">
        <v>15</v>
      </c>
      <c r="H82" s="23">
        <v>2268</v>
      </c>
      <c r="I82" s="3">
        <v>720</v>
      </c>
      <c r="J82" s="3">
        <v>93</v>
      </c>
      <c r="K82" s="17">
        <f t="shared" si="6"/>
        <v>36972</v>
      </c>
      <c r="L82" s="3" t="s">
        <v>338</v>
      </c>
      <c r="M82" s="18">
        <v>0</v>
      </c>
      <c r="O82" s="5">
        <v>400</v>
      </c>
      <c r="P82" s="5" t="s">
        <v>273</v>
      </c>
      <c r="Q82" s="18">
        <f t="shared" si="7"/>
        <v>4722</v>
      </c>
      <c r="R82" s="7" t="s">
        <v>274</v>
      </c>
      <c r="S82" s="18">
        <f t="shared" si="8"/>
        <v>424.97999999999996</v>
      </c>
      <c r="T82" s="7" t="s">
        <v>277</v>
      </c>
      <c r="U82" s="15">
        <v>852</v>
      </c>
      <c r="V82" s="15">
        <f t="shared" si="9"/>
        <v>10224</v>
      </c>
      <c r="W82" s="9" t="s">
        <v>269</v>
      </c>
      <c r="X82" s="10">
        <f t="shared" si="10"/>
        <v>2549.8799999999997</v>
      </c>
      <c r="Y82" s="19" t="s">
        <v>284</v>
      </c>
      <c r="AB82" s="10">
        <f t="shared" si="11"/>
        <v>55292.86</v>
      </c>
    </row>
    <row r="83" spans="1:28">
      <c r="A83" s="20" t="s">
        <v>420</v>
      </c>
      <c r="B83" s="13" t="s">
        <v>92</v>
      </c>
      <c r="C83" s="20" t="s">
        <v>12</v>
      </c>
      <c r="D83" s="20">
        <v>1</v>
      </c>
      <c r="E83" s="19"/>
      <c r="F83" s="20" t="s">
        <v>9</v>
      </c>
      <c r="G83" s="20" t="s">
        <v>23</v>
      </c>
      <c r="H83" s="23">
        <v>1928</v>
      </c>
      <c r="I83" s="3">
        <v>720</v>
      </c>
      <c r="K83" s="17">
        <f t="shared" si="6"/>
        <v>31776</v>
      </c>
      <c r="L83" s="3" t="s">
        <v>340</v>
      </c>
      <c r="M83" s="18">
        <v>3911.81</v>
      </c>
      <c r="N83" s="7" t="s">
        <v>279</v>
      </c>
      <c r="O83" s="5">
        <v>400</v>
      </c>
      <c r="P83" s="5" t="s">
        <v>273</v>
      </c>
      <c r="Q83" s="18">
        <f t="shared" si="7"/>
        <v>3856</v>
      </c>
      <c r="R83" s="7" t="s">
        <v>274</v>
      </c>
      <c r="S83" s="18">
        <f t="shared" si="8"/>
        <v>347.03999999999996</v>
      </c>
      <c r="T83" s="7" t="s">
        <v>277</v>
      </c>
      <c r="U83" s="15">
        <v>852</v>
      </c>
      <c r="V83" s="15">
        <f t="shared" si="9"/>
        <v>10224</v>
      </c>
      <c r="W83" s="9" t="s">
        <v>270</v>
      </c>
      <c r="X83" s="10">
        <f t="shared" si="10"/>
        <v>2434.3028999999997</v>
      </c>
      <c r="Y83" s="19" t="s">
        <v>284</v>
      </c>
      <c r="Z83" s="10"/>
      <c r="AA83" s="19" t="s">
        <v>285</v>
      </c>
      <c r="AB83" s="10">
        <f t="shared" si="11"/>
        <v>52949.152900000001</v>
      </c>
    </row>
    <row r="84" spans="1:28">
      <c r="A84" s="20" t="s">
        <v>421</v>
      </c>
      <c r="B84" s="13" t="s">
        <v>93</v>
      </c>
      <c r="C84" s="20" t="s">
        <v>7</v>
      </c>
      <c r="D84" s="20">
        <v>1</v>
      </c>
      <c r="E84" s="20" t="s">
        <v>8</v>
      </c>
      <c r="F84" s="20" t="s">
        <v>9</v>
      </c>
      <c r="G84" s="20" t="s">
        <v>15</v>
      </c>
      <c r="H84" s="23">
        <v>2268</v>
      </c>
      <c r="I84" s="3">
        <v>720</v>
      </c>
      <c r="K84" s="17">
        <f t="shared" si="6"/>
        <v>35856</v>
      </c>
      <c r="L84" s="3" t="s">
        <v>338</v>
      </c>
      <c r="M84" s="18">
        <v>0</v>
      </c>
      <c r="O84" s="5">
        <v>400</v>
      </c>
      <c r="P84" s="5" t="s">
        <v>273</v>
      </c>
      <c r="Q84" s="18">
        <f t="shared" si="7"/>
        <v>4536</v>
      </c>
      <c r="R84" s="7" t="s">
        <v>274</v>
      </c>
      <c r="S84" s="18">
        <f t="shared" si="8"/>
        <v>408.24</v>
      </c>
      <c r="T84" s="7" t="s">
        <v>277</v>
      </c>
      <c r="U84" s="15">
        <v>852</v>
      </c>
      <c r="V84" s="15">
        <f t="shared" si="9"/>
        <v>10224</v>
      </c>
      <c r="W84" s="9" t="s">
        <v>269</v>
      </c>
      <c r="X84" s="10">
        <f t="shared" si="10"/>
        <v>2449.44</v>
      </c>
      <c r="Y84" s="19" t="s">
        <v>284</v>
      </c>
      <c r="Z84" s="10"/>
      <c r="AB84" s="10">
        <f t="shared" si="11"/>
        <v>53873.68</v>
      </c>
    </row>
    <row r="85" spans="1:28">
      <c r="A85" s="20" t="s">
        <v>422</v>
      </c>
      <c r="B85" s="13" t="s">
        <v>94</v>
      </c>
      <c r="C85" s="20" t="s">
        <v>14</v>
      </c>
      <c r="D85" s="20">
        <v>1</v>
      </c>
      <c r="E85" s="19"/>
      <c r="F85" s="20" t="s">
        <v>9</v>
      </c>
      <c r="G85" s="20" t="s">
        <v>15</v>
      </c>
      <c r="H85" s="23">
        <v>2268</v>
      </c>
      <c r="I85" s="3">
        <v>720</v>
      </c>
      <c r="K85" s="17">
        <f t="shared" si="6"/>
        <v>35856</v>
      </c>
      <c r="L85" s="3" t="s">
        <v>338</v>
      </c>
      <c r="M85" s="18">
        <v>0</v>
      </c>
      <c r="O85" s="5">
        <v>400</v>
      </c>
      <c r="P85" s="5" t="s">
        <v>273</v>
      </c>
      <c r="Q85" s="18">
        <f t="shared" si="7"/>
        <v>4536</v>
      </c>
      <c r="R85" s="7" t="s">
        <v>274</v>
      </c>
      <c r="S85" s="18">
        <f t="shared" si="8"/>
        <v>408.24</v>
      </c>
      <c r="T85" s="7" t="s">
        <v>277</v>
      </c>
      <c r="U85" s="15">
        <v>852</v>
      </c>
      <c r="V85" s="15">
        <f t="shared" si="9"/>
        <v>10224</v>
      </c>
      <c r="W85" s="9" t="s">
        <v>269</v>
      </c>
      <c r="X85" s="10">
        <f t="shared" si="10"/>
        <v>2449.44</v>
      </c>
      <c r="Y85" s="19" t="s">
        <v>284</v>
      </c>
      <c r="AB85" s="10">
        <f t="shared" si="11"/>
        <v>53873.68</v>
      </c>
    </row>
    <row r="86" spans="1:28">
      <c r="A86" s="20" t="s">
        <v>423</v>
      </c>
      <c r="B86" s="13" t="s">
        <v>95</v>
      </c>
      <c r="C86" s="20" t="s">
        <v>14</v>
      </c>
      <c r="D86" s="20">
        <v>1</v>
      </c>
      <c r="E86" s="19"/>
      <c r="F86" s="20" t="s">
        <v>9</v>
      </c>
      <c r="G86" s="20" t="s">
        <v>15</v>
      </c>
      <c r="H86" s="23">
        <v>2268</v>
      </c>
      <c r="I86" s="3">
        <v>720</v>
      </c>
      <c r="K86" s="17">
        <f t="shared" si="6"/>
        <v>35856</v>
      </c>
      <c r="L86" s="3" t="s">
        <v>338</v>
      </c>
      <c r="M86" s="18">
        <v>0</v>
      </c>
      <c r="O86" s="5">
        <v>400</v>
      </c>
      <c r="P86" s="5" t="s">
        <v>273</v>
      </c>
      <c r="Q86" s="18">
        <f t="shared" si="7"/>
        <v>4536</v>
      </c>
      <c r="R86" s="7" t="s">
        <v>274</v>
      </c>
      <c r="S86" s="18">
        <f t="shared" si="8"/>
        <v>408.24</v>
      </c>
      <c r="T86" s="7" t="s">
        <v>277</v>
      </c>
      <c r="U86" s="15">
        <v>852</v>
      </c>
      <c r="V86" s="15">
        <f t="shared" si="9"/>
        <v>10224</v>
      </c>
      <c r="W86" s="9" t="s">
        <v>269</v>
      </c>
      <c r="X86" s="10">
        <f t="shared" si="10"/>
        <v>2449.44</v>
      </c>
      <c r="Y86" s="19" t="s">
        <v>284</v>
      </c>
      <c r="AB86" s="10">
        <f t="shared" si="11"/>
        <v>53873.68</v>
      </c>
    </row>
    <row r="87" spans="1:28">
      <c r="A87" s="20" t="s">
        <v>424</v>
      </c>
      <c r="B87" s="13" t="s">
        <v>96</v>
      </c>
      <c r="C87" s="20" t="s">
        <v>25</v>
      </c>
      <c r="D87" s="20">
        <v>1</v>
      </c>
      <c r="E87" s="19"/>
      <c r="F87" s="20" t="s">
        <v>9</v>
      </c>
      <c r="G87" s="20" t="s">
        <v>10</v>
      </c>
      <c r="H87" s="23">
        <v>1928</v>
      </c>
      <c r="I87" s="3">
        <v>720</v>
      </c>
      <c r="K87" s="17">
        <f t="shared" si="6"/>
        <v>31776</v>
      </c>
      <c r="L87" s="3" t="s">
        <v>338</v>
      </c>
      <c r="M87" s="18">
        <v>0</v>
      </c>
      <c r="O87" s="5">
        <v>400</v>
      </c>
      <c r="P87" s="5" t="s">
        <v>273</v>
      </c>
      <c r="Q87" s="18">
        <f t="shared" si="7"/>
        <v>3856</v>
      </c>
      <c r="R87" s="7" t="s">
        <v>274</v>
      </c>
      <c r="S87" s="18">
        <f t="shared" si="8"/>
        <v>347.03999999999996</v>
      </c>
      <c r="T87" s="7" t="s">
        <v>277</v>
      </c>
      <c r="U87" s="15">
        <v>852</v>
      </c>
      <c r="V87" s="15">
        <f t="shared" si="9"/>
        <v>10224</v>
      </c>
      <c r="W87" s="9" t="s">
        <v>269</v>
      </c>
      <c r="X87" s="10">
        <f t="shared" si="10"/>
        <v>2082.2399999999998</v>
      </c>
      <c r="Y87" s="19" t="s">
        <v>284</v>
      </c>
      <c r="Z87" s="10"/>
      <c r="AB87" s="10">
        <f t="shared" si="11"/>
        <v>48685.279999999999</v>
      </c>
    </row>
    <row r="88" spans="1:28">
      <c r="A88" s="20" t="s">
        <v>425</v>
      </c>
      <c r="B88" s="13" t="s">
        <v>97</v>
      </c>
      <c r="C88" s="20" t="s">
        <v>7</v>
      </c>
      <c r="D88" s="20">
        <v>1</v>
      </c>
      <c r="E88" s="19"/>
      <c r="F88" s="20" t="s">
        <v>9</v>
      </c>
      <c r="G88" s="20" t="s">
        <v>15</v>
      </c>
      <c r="H88" s="23">
        <v>2268</v>
      </c>
      <c r="I88" s="3">
        <v>720</v>
      </c>
      <c r="K88" s="17">
        <f t="shared" si="6"/>
        <v>35856</v>
      </c>
      <c r="L88" s="3" t="s">
        <v>338</v>
      </c>
      <c r="M88" s="18">
        <v>0</v>
      </c>
      <c r="O88" s="5">
        <v>400</v>
      </c>
      <c r="P88" s="5" t="s">
        <v>273</v>
      </c>
      <c r="Q88" s="18">
        <f t="shared" si="7"/>
        <v>4536</v>
      </c>
      <c r="R88" s="7" t="s">
        <v>274</v>
      </c>
      <c r="S88" s="18">
        <f t="shared" si="8"/>
        <v>408.24</v>
      </c>
      <c r="T88" s="7" t="s">
        <v>277</v>
      </c>
      <c r="U88" s="15">
        <v>852</v>
      </c>
      <c r="V88" s="15">
        <f t="shared" si="9"/>
        <v>10224</v>
      </c>
      <c r="W88" s="9" t="s">
        <v>269</v>
      </c>
      <c r="X88" s="10">
        <f t="shared" si="10"/>
        <v>2449.44</v>
      </c>
      <c r="Y88" s="19" t="s">
        <v>284</v>
      </c>
      <c r="AB88" s="10">
        <f t="shared" si="11"/>
        <v>53873.68</v>
      </c>
    </row>
    <row r="89" spans="1:28">
      <c r="A89" s="20" t="s">
        <v>426</v>
      </c>
      <c r="B89" s="13" t="s">
        <v>98</v>
      </c>
      <c r="C89" s="20" t="s">
        <v>7</v>
      </c>
      <c r="D89" s="20">
        <v>1</v>
      </c>
      <c r="E89" s="19"/>
      <c r="F89" s="20" t="s">
        <v>9</v>
      </c>
      <c r="G89" s="20" t="s">
        <v>10</v>
      </c>
      <c r="H89" s="23">
        <v>1928</v>
      </c>
      <c r="I89" s="3">
        <v>720</v>
      </c>
      <c r="K89" s="17">
        <f t="shared" si="6"/>
        <v>31776</v>
      </c>
      <c r="L89" s="3" t="s">
        <v>338</v>
      </c>
      <c r="M89" s="18">
        <v>0</v>
      </c>
      <c r="O89" s="5">
        <v>400</v>
      </c>
      <c r="P89" s="5" t="s">
        <v>273</v>
      </c>
      <c r="Q89" s="18">
        <f t="shared" si="7"/>
        <v>3856</v>
      </c>
      <c r="R89" s="7" t="s">
        <v>274</v>
      </c>
      <c r="S89" s="18">
        <f t="shared" si="8"/>
        <v>347.03999999999996</v>
      </c>
      <c r="T89" s="7" t="s">
        <v>277</v>
      </c>
      <c r="U89" s="15">
        <v>852</v>
      </c>
      <c r="V89" s="15">
        <f t="shared" si="9"/>
        <v>10224</v>
      </c>
      <c r="W89" s="9" t="s">
        <v>269</v>
      </c>
      <c r="X89" s="10">
        <f t="shared" si="10"/>
        <v>2082.2399999999998</v>
      </c>
      <c r="Y89" s="19" t="s">
        <v>284</v>
      </c>
      <c r="Z89" s="10"/>
      <c r="AB89" s="10">
        <f t="shared" si="11"/>
        <v>48685.279999999999</v>
      </c>
    </row>
    <row r="90" spans="1:28">
      <c r="A90" s="20" t="s">
        <v>427</v>
      </c>
      <c r="B90" s="13" t="s">
        <v>99</v>
      </c>
      <c r="C90" s="20" t="s">
        <v>14</v>
      </c>
      <c r="D90" s="20">
        <v>1</v>
      </c>
      <c r="E90" s="19" t="s">
        <v>8</v>
      </c>
      <c r="F90" s="20" t="s">
        <v>9</v>
      </c>
      <c r="G90" s="20" t="s">
        <v>10</v>
      </c>
      <c r="H90" s="23">
        <v>1928</v>
      </c>
      <c r="I90" s="3">
        <v>720</v>
      </c>
      <c r="K90" s="17">
        <f t="shared" si="6"/>
        <v>31776</v>
      </c>
      <c r="L90" s="3" t="s">
        <v>338</v>
      </c>
      <c r="M90" s="18">
        <v>0</v>
      </c>
      <c r="O90" s="5">
        <v>400</v>
      </c>
      <c r="P90" s="5" t="s">
        <v>273</v>
      </c>
      <c r="Q90" s="18">
        <f t="shared" si="7"/>
        <v>3856</v>
      </c>
      <c r="R90" s="7" t="s">
        <v>274</v>
      </c>
      <c r="S90" s="18">
        <f t="shared" si="8"/>
        <v>347.03999999999996</v>
      </c>
      <c r="T90" s="7" t="s">
        <v>277</v>
      </c>
      <c r="U90" s="15">
        <v>852</v>
      </c>
      <c r="V90" s="15">
        <f t="shared" si="9"/>
        <v>10224</v>
      </c>
      <c r="W90" s="9" t="s">
        <v>269</v>
      </c>
      <c r="X90" s="10">
        <f t="shared" si="10"/>
        <v>2082.2399999999998</v>
      </c>
      <c r="Y90" s="19" t="s">
        <v>284</v>
      </c>
      <c r="AB90" s="10">
        <f t="shared" si="11"/>
        <v>48685.279999999999</v>
      </c>
    </row>
    <row r="91" spans="1:28">
      <c r="A91" s="20" t="s">
        <v>428</v>
      </c>
      <c r="B91" s="13" t="s">
        <v>100</v>
      </c>
      <c r="C91" s="20" t="s">
        <v>7</v>
      </c>
      <c r="D91" s="20">
        <v>1</v>
      </c>
      <c r="F91" s="20" t="s">
        <v>9</v>
      </c>
      <c r="G91" s="20" t="s">
        <v>15</v>
      </c>
      <c r="H91" s="23">
        <v>2268</v>
      </c>
      <c r="I91" s="3">
        <v>720</v>
      </c>
      <c r="J91" s="3">
        <v>93</v>
      </c>
      <c r="K91" s="17">
        <f t="shared" si="6"/>
        <v>36972</v>
      </c>
      <c r="L91" s="3" t="s">
        <v>338</v>
      </c>
      <c r="M91" s="18">
        <v>0</v>
      </c>
      <c r="O91" s="5">
        <v>400</v>
      </c>
      <c r="P91" s="5" t="s">
        <v>273</v>
      </c>
      <c r="Q91" s="18">
        <f t="shared" si="7"/>
        <v>4722</v>
      </c>
      <c r="R91" s="7" t="s">
        <v>274</v>
      </c>
      <c r="S91" s="18">
        <f t="shared" si="8"/>
        <v>424.97999999999996</v>
      </c>
      <c r="T91" s="7" t="s">
        <v>277</v>
      </c>
      <c r="U91" s="15">
        <v>852</v>
      </c>
      <c r="V91" s="15">
        <f t="shared" si="9"/>
        <v>10224</v>
      </c>
      <c r="W91" s="9" t="s">
        <v>269</v>
      </c>
      <c r="X91" s="10">
        <f t="shared" si="10"/>
        <v>2549.8799999999997</v>
      </c>
      <c r="Y91" s="19" t="s">
        <v>284</v>
      </c>
      <c r="Z91" s="10"/>
      <c r="AA91" s="19" t="s">
        <v>285</v>
      </c>
      <c r="AB91" s="10">
        <f t="shared" si="11"/>
        <v>55292.86</v>
      </c>
    </row>
    <row r="92" spans="1:28">
      <c r="A92" s="20" t="s">
        <v>429</v>
      </c>
      <c r="B92" s="13" t="s">
        <v>101</v>
      </c>
      <c r="C92" s="20" t="s">
        <v>45</v>
      </c>
      <c r="D92" s="20">
        <v>1</v>
      </c>
      <c r="E92" s="19" t="s">
        <v>8</v>
      </c>
      <c r="F92" s="20" t="s">
        <v>9</v>
      </c>
      <c r="G92" s="20" t="s">
        <v>19</v>
      </c>
      <c r="H92" s="23">
        <v>3978</v>
      </c>
      <c r="I92" s="3">
        <v>720</v>
      </c>
      <c r="J92" s="3">
        <v>93</v>
      </c>
      <c r="K92" s="17">
        <f t="shared" si="6"/>
        <v>57492</v>
      </c>
      <c r="L92" s="3" t="s">
        <v>338</v>
      </c>
      <c r="M92" s="18">
        <v>0</v>
      </c>
      <c r="O92" s="5">
        <v>400</v>
      </c>
      <c r="P92" s="5" t="s">
        <v>273</v>
      </c>
      <c r="Q92" s="18">
        <f t="shared" si="7"/>
        <v>8142</v>
      </c>
      <c r="R92" s="7" t="s">
        <v>274</v>
      </c>
      <c r="S92" s="18">
        <f t="shared" si="8"/>
        <v>732.78</v>
      </c>
      <c r="T92" s="7" t="s">
        <v>277</v>
      </c>
      <c r="U92" s="15">
        <v>802</v>
      </c>
      <c r="V92" s="15">
        <f t="shared" si="9"/>
        <v>9624</v>
      </c>
      <c r="W92" s="9" t="s">
        <v>269</v>
      </c>
      <c r="X92" s="10">
        <f t="shared" si="10"/>
        <v>4396.68</v>
      </c>
      <c r="Y92" s="19" t="s">
        <v>284</v>
      </c>
      <c r="Z92" s="10"/>
      <c r="AB92" s="10">
        <f t="shared" si="11"/>
        <v>80787.459999999992</v>
      </c>
    </row>
    <row r="93" spans="1:28">
      <c r="A93" s="20" t="s">
        <v>430</v>
      </c>
      <c r="B93" s="13" t="s">
        <v>102</v>
      </c>
      <c r="C93" s="20" t="s">
        <v>7</v>
      </c>
      <c r="D93" s="20">
        <v>1</v>
      </c>
      <c r="F93" s="20" t="s">
        <v>9</v>
      </c>
      <c r="G93" s="20" t="s">
        <v>10</v>
      </c>
      <c r="H93" s="23">
        <v>1928</v>
      </c>
      <c r="I93" s="3">
        <v>720</v>
      </c>
      <c r="J93" s="3">
        <v>93</v>
      </c>
      <c r="K93" s="17">
        <f t="shared" si="6"/>
        <v>32892</v>
      </c>
      <c r="L93" s="3" t="s">
        <v>338</v>
      </c>
      <c r="M93" s="18">
        <v>0</v>
      </c>
      <c r="O93" s="5">
        <v>400</v>
      </c>
      <c r="P93" s="5" t="s">
        <v>273</v>
      </c>
      <c r="Q93" s="18">
        <f t="shared" si="7"/>
        <v>4042</v>
      </c>
      <c r="R93" s="7" t="s">
        <v>274</v>
      </c>
      <c r="S93" s="18">
        <f t="shared" si="8"/>
        <v>363.78</v>
      </c>
      <c r="T93" s="7" t="s">
        <v>277</v>
      </c>
      <c r="U93" s="15">
        <v>852</v>
      </c>
      <c r="V93" s="15">
        <f t="shared" si="9"/>
        <v>10224</v>
      </c>
      <c r="W93" s="9" t="s">
        <v>269</v>
      </c>
      <c r="X93" s="10">
        <f t="shared" si="10"/>
        <v>2182.6799999999998</v>
      </c>
      <c r="Y93" s="19" t="s">
        <v>284</v>
      </c>
      <c r="Z93" s="10"/>
      <c r="AA93" s="19" t="s">
        <v>285</v>
      </c>
      <c r="AB93" s="10">
        <f t="shared" si="11"/>
        <v>50104.46</v>
      </c>
    </row>
    <row r="94" spans="1:28">
      <c r="A94" s="20" t="s">
        <v>431</v>
      </c>
      <c r="B94" s="13" t="s">
        <v>103</v>
      </c>
      <c r="C94" s="20" t="s">
        <v>7</v>
      </c>
      <c r="D94" s="20">
        <v>1</v>
      </c>
      <c r="E94" s="19"/>
      <c r="F94" s="20" t="s">
        <v>9</v>
      </c>
      <c r="G94" s="20" t="s">
        <v>15</v>
      </c>
      <c r="H94" s="23">
        <v>2268</v>
      </c>
      <c r="I94" s="3">
        <v>720</v>
      </c>
      <c r="K94" s="17">
        <f t="shared" si="6"/>
        <v>35856</v>
      </c>
      <c r="L94" s="3" t="s">
        <v>338</v>
      </c>
      <c r="M94" s="18">
        <v>0</v>
      </c>
      <c r="O94" s="5">
        <v>400</v>
      </c>
      <c r="P94" s="5" t="s">
        <v>273</v>
      </c>
      <c r="Q94" s="18">
        <f t="shared" si="7"/>
        <v>4536</v>
      </c>
      <c r="R94" s="7" t="s">
        <v>274</v>
      </c>
      <c r="S94" s="18">
        <f t="shared" si="8"/>
        <v>408.24</v>
      </c>
      <c r="T94" s="7" t="s">
        <v>277</v>
      </c>
      <c r="U94" s="15">
        <v>852</v>
      </c>
      <c r="V94" s="15">
        <f t="shared" si="9"/>
        <v>10224</v>
      </c>
      <c r="W94" s="9" t="s">
        <v>269</v>
      </c>
      <c r="X94" s="10">
        <f t="shared" si="10"/>
        <v>2449.44</v>
      </c>
      <c r="Y94" s="19" t="s">
        <v>284</v>
      </c>
      <c r="Z94" s="10"/>
      <c r="AB94" s="10">
        <f t="shared" si="11"/>
        <v>53873.68</v>
      </c>
    </row>
    <row r="95" spans="1:28">
      <c r="A95" s="20" t="s">
        <v>432</v>
      </c>
      <c r="B95" s="13" t="s">
        <v>104</v>
      </c>
      <c r="C95" s="20" t="s">
        <v>7</v>
      </c>
      <c r="D95" s="20">
        <v>1</v>
      </c>
      <c r="E95" s="19"/>
      <c r="F95" s="20" t="s">
        <v>9</v>
      </c>
      <c r="G95" s="20" t="s">
        <v>15</v>
      </c>
      <c r="H95" s="23">
        <v>2268</v>
      </c>
      <c r="I95" s="3">
        <v>720</v>
      </c>
      <c r="J95" s="3">
        <v>93</v>
      </c>
      <c r="K95" s="17">
        <f t="shared" si="6"/>
        <v>36972</v>
      </c>
      <c r="L95" s="3" t="s">
        <v>338</v>
      </c>
      <c r="M95" s="18">
        <v>0</v>
      </c>
      <c r="O95" s="5">
        <v>400</v>
      </c>
      <c r="P95" s="5" t="s">
        <v>273</v>
      </c>
      <c r="Q95" s="18">
        <f t="shared" si="7"/>
        <v>4722</v>
      </c>
      <c r="R95" s="7" t="s">
        <v>274</v>
      </c>
      <c r="S95" s="18">
        <f t="shared" si="8"/>
        <v>424.97999999999996</v>
      </c>
      <c r="T95" s="7" t="s">
        <v>277</v>
      </c>
      <c r="U95" s="15">
        <v>852</v>
      </c>
      <c r="V95" s="15">
        <f t="shared" si="9"/>
        <v>10224</v>
      </c>
      <c r="W95" s="9" t="s">
        <v>269</v>
      </c>
      <c r="X95" s="10">
        <f t="shared" si="10"/>
        <v>2549.8799999999997</v>
      </c>
      <c r="Y95" s="19" t="s">
        <v>284</v>
      </c>
      <c r="AB95" s="10">
        <f t="shared" si="11"/>
        <v>55292.86</v>
      </c>
    </row>
    <row r="96" spans="1:28">
      <c r="A96" s="20" t="s">
        <v>433</v>
      </c>
      <c r="B96" s="13" t="s">
        <v>105</v>
      </c>
      <c r="C96" s="20" t="s">
        <v>12</v>
      </c>
      <c r="D96" s="20">
        <v>1</v>
      </c>
      <c r="E96" s="19"/>
      <c r="F96" s="20" t="s">
        <v>9</v>
      </c>
      <c r="G96" s="20" t="s">
        <v>23</v>
      </c>
      <c r="H96" s="23">
        <v>1928</v>
      </c>
      <c r="I96" s="3">
        <v>720</v>
      </c>
      <c r="K96" s="17">
        <f t="shared" si="6"/>
        <v>31776</v>
      </c>
      <c r="L96" s="3" t="s">
        <v>340</v>
      </c>
      <c r="M96" s="18">
        <v>0</v>
      </c>
      <c r="O96" s="5">
        <v>400</v>
      </c>
      <c r="P96" s="5" t="s">
        <v>273</v>
      </c>
      <c r="Q96" s="18">
        <f t="shared" si="7"/>
        <v>3856</v>
      </c>
      <c r="R96" s="7" t="s">
        <v>274</v>
      </c>
      <c r="S96" s="18">
        <f t="shared" si="8"/>
        <v>347.03999999999996</v>
      </c>
      <c r="T96" s="7" t="s">
        <v>277</v>
      </c>
      <c r="U96" s="15">
        <v>852</v>
      </c>
      <c r="V96" s="15">
        <f t="shared" si="9"/>
        <v>10224</v>
      </c>
      <c r="W96" s="9" t="s">
        <v>270</v>
      </c>
      <c r="X96" s="10">
        <f t="shared" si="10"/>
        <v>2082.2399999999998</v>
      </c>
      <c r="Y96" s="19" t="s">
        <v>284</v>
      </c>
      <c r="AB96" s="10">
        <f t="shared" si="11"/>
        <v>48685.279999999999</v>
      </c>
    </row>
    <row r="97" spans="1:28">
      <c r="A97" s="20" t="s">
        <v>434</v>
      </c>
      <c r="B97" s="13" t="s">
        <v>317</v>
      </c>
      <c r="C97" s="20" t="s">
        <v>7</v>
      </c>
      <c r="D97" s="20">
        <v>1</v>
      </c>
      <c r="E97" s="19"/>
      <c r="F97" s="20" t="s">
        <v>9</v>
      </c>
      <c r="G97" s="20" t="s">
        <v>15</v>
      </c>
      <c r="H97" s="23">
        <v>2268</v>
      </c>
      <c r="I97" s="3">
        <v>720</v>
      </c>
      <c r="K97" s="17">
        <f t="shared" si="6"/>
        <v>35856</v>
      </c>
      <c r="L97" s="3" t="s">
        <v>338</v>
      </c>
      <c r="M97" s="18">
        <v>0</v>
      </c>
      <c r="O97" s="5">
        <v>400</v>
      </c>
      <c r="P97" s="5" t="s">
        <v>273</v>
      </c>
      <c r="Q97" s="18">
        <f t="shared" si="7"/>
        <v>4536</v>
      </c>
      <c r="R97" s="7" t="s">
        <v>274</v>
      </c>
      <c r="S97" s="18">
        <f t="shared" si="8"/>
        <v>408.24</v>
      </c>
      <c r="T97" s="7" t="s">
        <v>277</v>
      </c>
      <c r="U97" s="15">
        <v>852</v>
      </c>
      <c r="V97" s="15">
        <f t="shared" si="9"/>
        <v>10224</v>
      </c>
      <c r="W97" s="9" t="s">
        <v>269</v>
      </c>
      <c r="X97" s="10">
        <f t="shared" si="10"/>
        <v>2449.44</v>
      </c>
      <c r="Y97" s="19" t="s">
        <v>284</v>
      </c>
      <c r="AB97" s="10">
        <f t="shared" si="11"/>
        <v>53873.68</v>
      </c>
    </row>
    <row r="98" spans="1:28">
      <c r="A98" s="20" t="s">
        <v>435</v>
      </c>
      <c r="B98" s="13" t="s">
        <v>106</v>
      </c>
      <c r="C98" s="20" t="s">
        <v>7</v>
      </c>
      <c r="D98" s="20">
        <v>1</v>
      </c>
      <c r="E98" s="19"/>
      <c r="F98" s="20" t="s">
        <v>9</v>
      </c>
      <c r="G98" s="20" t="s">
        <v>10</v>
      </c>
      <c r="H98" s="23">
        <v>1928</v>
      </c>
      <c r="I98" s="3">
        <v>720</v>
      </c>
      <c r="J98" s="3">
        <v>93</v>
      </c>
      <c r="K98" s="17">
        <f t="shared" si="6"/>
        <v>32892</v>
      </c>
      <c r="L98" s="3" t="s">
        <v>338</v>
      </c>
      <c r="M98" s="18">
        <v>0</v>
      </c>
      <c r="O98" s="5">
        <v>400</v>
      </c>
      <c r="P98" s="5" t="s">
        <v>273</v>
      </c>
      <c r="Q98" s="18">
        <f t="shared" si="7"/>
        <v>4042</v>
      </c>
      <c r="R98" s="7" t="s">
        <v>274</v>
      </c>
      <c r="S98" s="18">
        <f t="shared" si="8"/>
        <v>363.78</v>
      </c>
      <c r="T98" s="7" t="s">
        <v>277</v>
      </c>
      <c r="U98" s="15">
        <v>852</v>
      </c>
      <c r="V98" s="15">
        <f t="shared" si="9"/>
        <v>10224</v>
      </c>
      <c r="W98" s="9" t="s">
        <v>269</v>
      </c>
      <c r="X98" s="10">
        <f t="shared" si="10"/>
        <v>2182.6799999999998</v>
      </c>
      <c r="Y98" s="19" t="s">
        <v>284</v>
      </c>
      <c r="AB98" s="10">
        <f t="shared" si="11"/>
        <v>50104.46</v>
      </c>
    </row>
    <row r="99" spans="1:28">
      <c r="A99" s="20" t="s">
        <v>436</v>
      </c>
      <c r="B99" s="13" t="s">
        <v>318</v>
      </c>
      <c r="C99" s="20" t="s">
        <v>7</v>
      </c>
      <c r="D99" s="20">
        <v>1</v>
      </c>
      <c r="E99" s="19"/>
      <c r="F99" s="20" t="s">
        <v>26</v>
      </c>
      <c r="G99" s="20" t="s">
        <v>15</v>
      </c>
      <c r="H99" s="23">
        <v>2268</v>
      </c>
      <c r="I99" s="3">
        <v>720</v>
      </c>
      <c r="K99" s="17">
        <f t="shared" si="6"/>
        <v>35856</v>
      </c>
      <c r="L99" s="3" t="s">
        <v>337</v>
      </c>
      <c r="M99" s="18">
        <v>0</v>
      </c>
      <c r="O99" s="5">
        <v>400</v>
      </c>
      <c r="P99" s="5" t="s">
        <v>273</v>
      </c>
      <c r="Q99" s="18">
        <f t="shared" si="7"/>
        <v>4536</v>
      </c>
      <c r="R99" s="7" t="s">
        <v>274</v>
      </c>
      <c r="S99" s="18">
        <f t="shared" si="8"/>
        <v>408.24</v>
      </c>
      <c r="T99" s="7" t="s">
        <v>277</v>
      </c>
      <c r="U99" s="15">
        <v>852</v>
      </c>
      <c r="V99" s="15">
        <f t="shared" si="9"/>
        <v>10224</v>
      </c>
      <c r="W99" s="9" t="s">
        <v>269</v>
      </c>
      <c r="X99" s="10">
        <f t="shared" si="10"/>
        <v>2449.44</v>
      </c>
      <c r="Y99" s="19" t="s">
        <v>284</v>
      </c>
      <c r="AB99" s="10">
        <f t="shared" si="11"/>
        <v>53873.68</v>
      </c>
    </row>
    <row r="100" spans="1:28">
      <c r="A100" s="20" t="s">
        <v>437</v>
      </c>
      <c r="B100" s="13" t="s">
        <v>319</v>
      </c>
      <c r="C100" s="20" t="s">
        <v>7</v>
      </c>
      <c r="D100" s="20">
        <v>1</v>
      </c>
      <c r="E100" s="19"/>
      <c r="F100" s="20" t="s">
        <v>26</v>
      </c>
      <c r="G100" s="20" t="s">
        <v>15</v>
      </c>
      <c r="H100" s="23">
        <v>2268</v>
      </c>
      <c r="I100" s="3">
        <v>720</v>
      </c>
      <c r="K100" s="17">
        <f t="shared" si="6"/>
        <v>35856</v>
      </c>
      <c r="L100" s="3" t="s">
        <v>337</v>
      </c>
      <c r="M100" s="18">
        <v>0</v>
      </c>
      <c r="O100" s="5">
        <v>400</v>
      </c>
      <c r="P100" s="5" t="s">
        <v>273</v>
      </c>
      <c r="Q100" s="18">
        <f t="shared" si="7"/>
        <v>4536</v>
      </c>
      <c r="R100" s="7" t="s">
        <v>274</v>
      </c>
      <c r="S100" s="18">
        <f t="shared" si="8"/>
        <v>408.24</v>
      </c>
      <c r="T100" s="7" t="s">
        <v>277</v>
      </c>
      <c r="U100" s="15">
        <v>852</v>
      </c>
      <c r="V100" s="15">
        <f t="shared" si="9"/>
        <v>10224</v>
      </c>
      <c r="W100" s="9" t="s">
        <v>269</v>
      </c>
      <c r="X100" s="10">
        <f t="shared" si="10"/>
        <v>2449.44</v>
      </c>
      <c r="Y100" s="19" t="s">
        <v>284</v>
      </c>
      <c r="Z100" s="10"/>
      <c r="AB100" s="10">
        <f t="shared" si="11"/>
        <v>53873.68</v>
      </c>
    </row>
    <row r="101" spans="1:28">
      <c r="A101" s="20" t="s">
        <v>438</v>
      </c>
      <c r="B101" s="13" t="s">
        <v>320</v>
      </c>
      <c r="C101" s="20" t="s">
        <v>7</v>
      </c>
      <c r="D101" s="20">
        <v>1</v>
      </c>
      <c r="E101" s="19"/>
      <c r="F101" s="20" t="s">
        <v>26</v>
      </c>
      <c r="G101" s="20" t="s">
        <v>10</v>
      </c>
      <c r="H101" s="23">
        <v>1928</v>
      </c>
      <c r="I101" s="3">
        <v>720</v>
      </c>
      <c r="K101" s="17">
        <f t="shared" si="6"/>
        <v>31776</v>
      </c>
      <c r="L101" s="3" t="s">
        <v>337</v>
      </c>
      <c r="M101" s="18">
        <v>0</v>
      </c>
      <c r="O101" s="5">
        <v>400</v>
      </c>
      <c r="P101" s="5" t="s">
        <v>273</v>
      </c>
      <c r="Q101" s="18">
        <f t="shared" si="7"/>
        <v>3856</v>
      </c>
      <c r="R101" s="7" t="s">
        <v>274</v>
      </c>
      <c r="S101" s="18">
        <f t="shared" si="8"/>
        <v>347.03999999999996</v>
      </c>
      <c r="T101" s="7" t="s">
        <v>277</v>
      </c>
      <c r="U101" s="15">
        <v>852</v>
      </c>
      <c r="V101" s="15">
        <f t="shared" si="9"/>
        <v>10224</v>
      </c>
      <c r="W101" s="9" t="s">
        <v>269</v>
      </c>
      <c r="X101" s="10">
        <f t="shared" si="10"/>
        <v>2082.2399999999998</v>
      </c>
      <c r="Y101" s="19" t="s">
        <v>284</v>
      </c>
      <c r="AB101" s="10">
        <f t="shared" si="11"/>
        <v>48685.279999999999</v>
      </c>
    </row>
    <row r="102" spans="1:28">
      <c r="A102" s="20" t="s">
        <v>439</v>
      </c>
      <c r="B102" s="13" t="s">
        <v>107</v>
      </c>
      <c r="C102" s="20" t="s">
        <v>7</v>
      </c>
      <c r="D102" s="20">
        <v>1</v>
      </c>
      <c r="E102" s="19"/>
      <c r="F102" s="20" t="s">
        <v>9</v>
      </c>
      <c r="G102" s="20" t="s">
        <v>10</v>
      </c>
      <c r="H102" s="23">
        <v>1928</v>
      </c>
      <c r="I102" s="3">
        <v>720</v>
      </c>
      <c r="J102" s="3">
        <v>93</v>
      </c>
      <c r="K102" s="17">
        <f t="shared" si="6"/>
        <v>32892</v>
      </c>
      <c r="L102" s="3" t="s">
        <v>338</v>
      </c>
      <c r="M102" s="18">
        <v>0</v>
      </c>
      <c r="O102" s="5">
        <v>400</v>
      </c>
      <c r="P102" s="5" t="s">
        <v>273</v>
      </c>
      <c r="Q102" s="18">
        <f t="shared" si="7"/>
        <v>4042</v>
      </c>
      <c r="R102" s="7" t="s">
        <v>274</v>
      </c>
      <c r="S102" s="18">
        <f t="shared" si="8"/>
        <v>363.78</v>
      </c>
      <c r="T102" s="7" t="s">
        <v>277</v>
      </c>
      <c r="U102" s="15">
        <v>852</v>
      </c>
      <c r="V102" s="15">
        <f t="shared" si="9"/>
        <v>10224</v>
      </c>
      <c r="W102" s="9" t="s">
        <v>269</v>
      </c>
      <c r="X102" s="10">
        <f t="shared" si="10"/>
        <v>2182.6799999999998</v>
      </c>
      <c r="Y102" s="19" t="s">
        <v>284</v>
      </c>
      <c r="AB102" s="10">
        <f t="shared" si="11"/>
        <v>50104.46</v>
      </c>
    </row>
    <row r="103" spans="1:28">
      <c r="A103" s="20" t="s">
        <v>440</v>
      </c>
      <c r="B103" s="13" t="s">
        <v>293</v>
      </c>
      <c r="C103" s="20" t="s">
        <v>7</v>
      </c>
      <c r="D103" s="20">
        <v>1</v>
      </c>
      <c r="E103" s="19"/>
      <c r="F103" s="20" t="s">
        <v>26</v>
      </c>
      <c r="G103" s="20" t="s">
        <v>15</v>
      </c>
      <c r="H103" s="23">
        <v>2268</v>
      </c>
      <c r="I103" s="3">
        <v>720</v>
      </c>
      <c r="K103" s="17">
        <f t="shared" si="6"/>
        <v>35856</v>
      </c>
      <c r="L103" s="3" t="s">
        <v>337</v>
      </c>
      <c r="M103" s="18">
        <v>0</v>
      </c>
      <c r="O103" s="5">
        <v>400</v>
      </c>
      <c r="P103" s="5" t="s">
        <v>273</v>
      </c>
      <c r="Q103" s="18">
        <f t="shared" si="7"/>
        <v>4536</v>
      </c>
      <c r="R103" s="7" t="s">
        <v>274</v>
      </c>
      <c r="S103" s="18">
        <f t="shared" si="8"/>
        <v>408.24</v>
      </c>
      <c r="T103" s="7" t="s">
        <v>277</v>
      </c>
      <c r="U103" s="15">
        <v>852</v>
      </c>
      <c r="V103" s="15">
        <f t="shared" si="9"/>
        <v>10224</v>
      </c>
      <c r="W103" s="9" t="s">
        <v>269</v>
      </c>
      <c r="X103" s="10">
        <f t="shared" si="10"/>
        <v>2449.44</v>
      </c>
      <c r="Y103" s="19" t="s">
        <v>284</v>
      </c>
      <c r="AB103" s="10">
        <f t="shared" si="11"/>
        <v>53873.68</v>
      </c>
    </row>
    <row r="104" spans="1:28">
      <c r="A104" s="20" t="s">
        <v>441</v>
      </c>
      <c r="B104" s="13" t="s">
        <v>108</v>
      </c>
      <c r="C104" s="20" t="s">
        <v>7</v>
      </c>
      <c r="D104" s="20">
        <v>1</v>
      </c>
      <c r="E104" s="19"/>
      <c r="F104" s="20" t="s">
        <v>9</v>
      </c>
      <c r="G104" s="20" t="s">
        <v>15</v>
      </c>
      <c r="H104" s="23">
        <v>2268</v>
      </c>
      <c r="I104" s="3">
        <v>720</v>
      </c>
      <c r="K104" s="17">
        <f t="shared" si="6"/>
        <v>35856</v>
      </c>
      <c r="L104" s="3" t="s">
        <v>338</v>
      </c>
      <c r="M104" s="18">
        <v>0</v>
      </c>
      <c r="O104" s="5">
        <v>400</v>
      </c>
      <c r="P104" s="5" t="s">
        <v>273</v>
      </c>
      <c r="Q104" s="18">
        <f t="shared" si="7"/>
        <v>4536</v>
      </c>
      <c r="R104" s="7" t="s">
        <v>274</v>
      </c>
      <c r="S104" s="18">
        <f t="shared" si="8"/>
        <v>408.24</v>
      </c>
      <c r="T104" s="7" t="s">
        <v>277</v>
      </c>
      <c r="U104" s="15">
        <v>852</v>
      </c>
      <c r="V104" s="15">
        <f t="shared" si="9"/>
        <v>10224</v>
      </c>
      <c r="W104" s="9" t="s">
        <v>269</v>
      </c>
      <c r="X104" s="10">
        <f t="shared" si="10"/>
        <v>2449.44</v>
      </c>
      <c r="Y104" s="19" t="s">
        <v>284</v>
      </c>
      <c r="Z104" s="10"/>
      <c r="AA104" s="19" t="s">
        <v>285</v>
      </c>
      <c r="AB104" s="10">
        <f t="shared" si="11"/>
        <v>53873.68</v>
      </c>
    </row>
    <row r="105" spans="1:28">
      <c r="A105" s="20" t="s">
        <v>442</v>
      </c>
      <c r="B105" s="13" t="s">
        <v>109</v>
      </c>
      <c r="C105" s="20" t="s">
        <v>7</v>
      </c>
      <c r="D105" s="20">
        <v>1</v>
      </c>
      <c r="E105" s="19" t="s">
        <v>8</v>
      </c>
      <c r="F105" s="20" t="s">
        <v>9</v>
      </c>
      <c r="G105" s="20" t="s">
        <v>15</v>
      </c>
      <c r="H105" s="23">
        <v>2268</v>
      </c>
      <c r="I105" s="3">
        <v>720</v>
      </c>
      <c r="K105" s="17">
        <f t="shared" si="6"/>
        <v>35856</v>
      </c>
      <c r="L105" s="3" t="s">
        <v>338</v>
      </c>
      <c r="M105" s="18">
        <v>0</v>
      </c>
      <c r="O105" s="5">
        <v>400</v>
      </c>
      <c r="P105" s="5" t="s">
        <v>273</v>
      </c>
      <c r="Q105" s="18">
        <f t="shared" si="7"/>
        <v>4536</v>
      </c>
      <c r="R105" s="7" t="s">
        <v>274</v>
      </c>
      <c r="S105" s="18">
        <f t="shared" si="8"/>
        <v>408.24</v>
      </c>
      <c r="T105" s="7" t="s">
        <v>277</v>
      </c>
      <c r="U105" s="15">
        <v>852</v>
      </c>
      <c r="V105" s="15">
        <f t="shared" si="9"/>
        <v>10224</v>
      </c>
      <c r="W105" s="9" t="s">
        <v>269</v>
      </c>
      <c r="X105" s="10">
        <f t="shared" si="10"/>
        <v>2449.44</v>
      </c>
      <c r="Y105" s="19" t="s">
        <v>284</v>
      </c>
      <c r="Z105" s="10"/>
      <c r="AB105" s="10">
        <f t="shared" si="11"/>
        <v>53873.68</v>
      </c>
    </row>
    <row r="106" spans="1:28">
      <c r="A106" s="20" t="s">
        <v>443</v>
      </c>
      <c r="B106" s="13" t="s">
        <v>110</v>
      </c>
      <c r="C106" s="20" t="s">
        <v>12</v>
      </c>
      <c r="D106" s="20">
        <v>1</v>
      </c>
      <c r="F106" s="20" t="s">
        <v>9</v>
      </c>
      <c r="G106" s="20" t="s">
        <v>28</v>
      </c>
      <c r="H106" s="23">
        <v>1600</v>
      </c>
      <c r="I106" s="3">
        <v>720</v>
      </c>
      <c r="J106" s="3">
        <v>93</v>
      </c>
      <c r="K106" s="17">
        <f t="shared" si="6"/>
        <v>28956</v>
      </c>
      <c r="L106" s="3" t="s">
        <v>338</v>
      </c>
      <c r="M106" s="18">
        <v>0</v>
      </c>
      <c r="O106" s="5">
        <v>400</v>
      </c>
      <c r="P106" s="5" t="s">
        <v>273</v>
      </c>
      <c r="Q106" s="18">
        <f t="shared" si="7"/>
        <v>3386</v>
      </c>
      <c r="R106" s="7" t="s">
        <v>274</v>
      </c>
      <c r="S106" s="18">
        <f t="shared" si="8"/>
        <v>304.74</v>
      </c>
      <c r="T106" s="7" t="s">
        <v>277</v>
      </c>
      <c r="U106" s="15">
        <v>802</v>
      </c>
      <c r="V106" s="15">
        <f t="shared" si="9"/>
        <v>9624</v>
      </c>
      <c r="W106" s="9" t="s">
        <v>269</v>
      </c>
      <c r="X106" s="10">
        <f t="shared" si="10"/>
        <v>1828.44</v>
      </c>
      <c r="Y106" s="19" t="s">
        <v>284</v>
      </c>
      <c r="AB106" s="10">
        <f t="shared" si="11"/>
        <v>44499.18</v>
      </c>
    </row>
    <row r="107" spans="1:28">
      <c r="A107" s="20" t="s">
        <v>444</v>
      </c>
      <c r="B107" s="13" t="s">
        <v>111</v>
      </c>
      <c r="C107" s="20" t="s">
        <v>7</v>
      </c>
      <c r="D107" s="20">
        <v>1</v>
      </c>
      <c r="E107" s="19"/>
      <c r="F107" s="20" t="s">
        <v>9</v>
      </c>
      <c r="G107" s="20" t="s">
        <v>15</v>
      </c>
      <c r="H107" s="23">
        <v>2268</v>
      </c>
      <c r="I107" s="3">
        <v>720</v>
      </c>
      <c r="J107" s="3">
        <v>93</v>
      </c>
      <c r="K107" s="17">
        <f t="shared" si="6"/>
        <v>36972</v>
      </c>
      <c r="L107" s="3" t="s">
        <v>338</v>
      </c>
      <c r="M107" s="18">
        <v>0</v>
      </c>
      <c r="O107" s="5">
        <v>400</v>
      </c>
      <c r="P107" s="5" t="s">
        <v>273</v>
      </c>
      <c r="Q107" s="18">
        <f t="shared" si="7"/>
        <v>4722</v>
      </c>
      <c r="R107" s="7" t="s">
        <v>274</v>
      </c>
      <c r="S107" s="18">
        <f t="shared" si="8"/>
        <v>424.97999999999996</v>
      </c>
      <c r="T107" s="7" t="s">
        <v>277</v>
      </c>
      <c r="U107" s="15">
        <v>852</v>
      </c>
      <c r="V107" s="15">
        <f t="shared" si="9"/>
        <v>10224</v>
      </c>
      <c r="W107" s="9" t="s">
        <v>269</v>
      </c>
      <c r="X107" s="10">
        <f t="shared" si="10"/>
        <v>2549.8799999999997</v>
      </c>
      <c r="Y107" s="19" t="s">
        <v>284</v>
      </c>
      <c r="Z107" s="10"/>
      <c r="AB107" s="10">
        <f t="shared" si="11"/>
        <v>55292.86</v>
      </c>
    </row>
    <row r="108" spans="1:28">
      <c r="A108" s="20" t="s">
        <v>445</v>
      </c>
      <c r="B108" s="13" t="s">
        <v>446</v>
      </c>
      <c r="C108" s="20" t="s">
        <v>7</v>
      </c>
      <c r="D108" s="20">
        <v>1</v>
      </c>
      <c r="E108" s="19"/>
      <c r="F108" s="20" t="s">
        <v>26</v>
      </c>
      <c r="G108" s="20" t="s">
        <v>15</v>
      </c>
      <c r="H108" s="23">
        <v>2268</v>
      </c>
      <c r="I108" s="3">
        <v>720</v>
      </c>
      <c r="K108" s="17">
        <f t="shared" si="6"/>
        <v>35856</v>
      </c>
      <c r="L108" s="3" t="s">
        <v>337</v>
      </c>
      <c r="M108" s="18">
        <v>0</v>
      </c>
      <c r="O108" s="5">
        <v>400</v>
      </c>
      <c r="P108" s="5" t="s">
        <v>273</v>
      </c>
      <c r="Q108" s="18">
        <f t="shared" si="7"/>
        <v>4536</v>
      </c>
      <c r="R108" s="7" t="s">
        <v>274</v>
      </c>
      <c r="S108" s="18">
        <f t="shared" si="8"/>
        <v>408.24</v>
      </c>
      <c r="T108" s="7" t="s">
        <v>277</v>
      </c>
      <c r="U108" s="15">
        <v>852</v>
      </c>
      <c r="V108" s="15">
        <f t="shared" si="9"/>
        <v>10224</v>
      </c>
      <c r="W108" s="9" t="s">
        <v>269</v>
      </c>
      <c r="X108" s="10">
        <f t="shared" si="10"/>
        <v>2449.44</v>
      </c>
      <c r="Y108" s="19" t="s">
        <v>284</v>
      </c>
      <c r="AB108" s="10">
        <f t="shared" si="11"/>
        <v>53873.68</v>
      </c>
    </row>
    <row r="109" spans="1:28">
      <c r="A109" s="20" t="s">
        <v>447</v>
      </c>
      <c r="B109" s="13" t="s">
        <v>112</v>
      </c>
      <c r="C109" s="20" t="s">
        <v>7</v>
      </c>
      <c r="D109" s="20">
        <v>1</v>
      </c>
      <c r="E109" s="19"/>
      <c r="F109" s="20" t="s">
        <v>9</v>
      </c>
      <c r="G109" s="20" t="s">
        <v>10</v>
      </c>
      <c r="H109" s="23">
        <v>1928</v>
      </c>
      <c r="I109" s="3">
        <v>720</v>
      </c>
      <c r="J109" s="3">
        <v>93</v>
      </c>
      <c r="K109" s="17">
        <f t="shared" si="6"/>
        <v>32892</v>
      </c>
      <c r="L109" s="3" t="s">
        <v>338</v>
      </c>
      <c r="M109" s="18">
        <v>0</v>
      </c>
      <c r="O109" s="5">
        <v>400</v>
      </c>
      <c r="P109" s="5" t="s">
        <v>273</v>
      </c>
      <c r="Q109" s="18">
        <f t="shared" si="7"/>
        <v>4042</v>
      </c>
      <c r="R109" s="7" t="s">
        <v>274</v>
      </c>
      <c r="S109" s="18">
        <f t="shared" si="8"/>
        <v>363.78</v>
      </c>
      <c r="T109" s="7" t="s">
        <v>277</v>
      </c>
      <c r="U109" s="15">
        <v>852</v>
      </c>
      <c r="V109" s="15">
        <f t="shared" si="9"/>
        <v>10224</v>
      </c>
      <c r="W109" s="9" t="s">
        <v>269</v>
      </c>
      <c r="X109" s="10">
        <f t="shared" si="10"/>
        <v>2182.6799999999998</v>
      </c>
      <c r="Y109" s="19" t="s">
        <v>284</v>
      </c>
      <c r="AB109" s="10">
        <f t="shared" si="11"/>
        <v>50104.46</v>
      </c>
    </row>
    <row r="110" spans="1:28">
      <c r="A110" s="20" t="s">
        <v>448</v>
      </c>
      <c r="B110" s="13" t="s">
        <v>449</v>
      </c>
      <c r="C110" s="20" t="s">
        <v>25</v>
      </c>
      <c r="D110" s="20">
        <v>1</v>
      </c>
      <c r="E110" s="19"/>
      <c r="F110" s="20" t="s">
        <v>26</v>
      </c>
      <c r="G110" s="20" t="s">
        <v>15</v>
      </c>
      <c r="H110" s="23">
        <v>2268</v>
      </c>
      <c r="I110" s="3">
        <v>720</v>
      </c>
      <c r="K110" s="17">
        <f t="shared" si="6"/>
        <v>35856</v>
      </c>
      <c r="L110" s="3" t="s">
        <v>337</v>
      </c>
      <c r="M110" s="18">
        <v>0</v>
      </c>
      <c r="O110" s="5">
        <v>400</v>
      </c>
      <c r="P110" s="5" t="s">
        <v>273</v>
      </c>
      <c r="Q110" s="18">
        <f t="shared" si="7"/>
        <v>4536</v>
      </c>
      <c r="R110" s="7" t="s">
        <v>274</v>
      </c>
      <c r="S110" s="18">
        <f t="shared" si="8"/>
        <v>408.24</v>
      </c>
      <c r="T110" s="7" t="s">
        <v>277</v>
      </c>
      <c r="U110" s="15">
        <v>852</v>
      </c>
      <c r="V110" s="15">
        <f t="shared" si="9"/>
        <v>10224</v>
      </c>
      <c r="W110" s="9" t="s">
        <v>269</v>
      </c>
      <c r="X110" s="10">
        <f t="shared" si="10"/>
        <v>2449.44</v>
      </c>
      <c r="Y110" s="19" t="s">
        <v>284</v>
      </c>
      <c r="AB110" s="10">
        <f t="shared" si="11"/>
        <v>53873.68</v>
      </c>
    </row>
    <row r="111" spans="1:28">
      <c r="A111" s="20" t="s">
        <v>450</v>
      </c>
      <c r="B111" s="13" t="s">
        <v>113</v>
      </c>
      <c r="C111" s="20" t="s">
        <v>12</v>
      </c>
      <c r="D111" s="20">
        <v>1</v>
      </c>
      <c r="E111" s="19"/>
      <c r="F111" s="20" t="s">
        <v>9</v>
      </c>
      <c r="G111" s="20" t="s">
        <v>37</v>
      </c>
      <c r="H111" s="23">
        <v>2378</v>
      </c>
      <c r="I111" s="3">
        <v>720</v>
      </c>
      <c r="J111" s="3">
        <v>93</v>
      </c>
      <c r="K111" s="17">
        <f t="shared" si="6"/>
        <v>38292</v>
      </c>
      <c r="L111" s="3" t="s">
        <v>339</v>
      </c>
      <c r="M111" s="18">
        <v>0</v>
      </c>
      <c r="O111" s="5">
        <v>400</v>
      </c>
      <c r="P111" s="5" t="s">
        <v>273</v>
      </c>
      <c r="Q111" s="18">
        <f t="shared" si="7"/>
        <v>4942</v>
      </c>
      <c r="R111" s="7" t="s">
        <v>274</v>
      </c>
      <c r="S111" s="18">
        <f t="shared" si="8"/>
        <v>444.78</v>
      </c>
      <c r="T111" s="7" t="s">
        <v>277</v>
      </c>
      <c r="U111" s="15">
        <v>1302</v>
      </c>
      <c r="V111" s="15">
        <f t="shared" si="9"/>
        <v>15624</v>
      </c>
      <c r="W111" s="9" t="s">
        <v>270</v>
      </c>
      <c r="X111" s="10">
        <f t="shared" si="10"/>
        <v>2668.68</v>
      </c>
      <c r="Y111" s="19" t="s">
        <v>284</v>
      </c>
      <c r="AB111" s="10">
        <f t="shared" si="11"/>
        <v>62371.46</v>
      </c>
    </row>
    <row r="112" spans="1:28">
      <c r="A112" s="20" t="s">
        <v>451</v>
      </c>
      <c r="B112" s="13" t="s">
        <v>321</v>
      </c>
      <c r="C112" s="20" t="s">
        <v>25</v>
      </c>
      <c r="D112" s="20">
        <v>1</v>
      </c>
      <c r="E112" s="19"/>
      <c r="F112" s="20" t="s">
        <v>26</v>
      </c>
      <c r="G112" s="20" t="s">
        <v>15</v>
      </c>
      <c r="H112" s="23">
        <v>2268</v>
      </c>
      <c r="I112" s="3">
        <v>720</v>
      </c>
      <c r="K112" s="17">
        <f t="shared" si="6"/>
        <v>35856</v>
      </c>
      <c r="L112" s="3" t="s">
        <v>337</v>
      </c>
      <c r="M112" s="18">
        <v>0</v>
      </c>
      <c r="O112" s="5">
        <v>400</v>
      </c>
      <c r="P112" s="5" t="s">
        <v>273</v>
      </c>
      <c r="Q112" s="18">
        <f t="shared" si="7"/>
        <v>4536</v>
      </c>
      <c r="R112" s="7" t="s">
        <v>274</v>
      </c>
      <c r="S112" s="18">
        <f t="shared" si="8"/>
        <v>408.24</v>
      </c>
      <c r="T112" s="7" t="s">
        <v>277</v>
      </c>
      <c r="U112" s="15">
        <v>852</v>
      </c>
      <c r="V112" s="15">
        <f t="shared" si="9"/>
        <v>10224</v>
      </c>
      <c r="W112" s="9" t="s">
        <v>269</v>
      </c>
      <c r="X112" s="10">
        <f t="shared" si="10"/>
        <v>2449.44</v>
      </c>
      <c r="Y112" s="19" t="s">
        <v>284</v>
      </c>
      <c r="AB112" s="10">
        <f t="shared" si="11"/>
        <v>53873.68</v>
      </c>
    </row>
    <row r="113" spans="1:28">
      <c r="A113" s="20" t="s">
        <v>664</v>
      </c>
      <c r="B113" s="13" t="s">
        <v>665</v>
      </c>
      <c r="C113" s="20" t="s">
        <v>7</v>
      </c>
      <c r="D113" s="20">
        <v>1</v>
      </c>
      <c r="E113" s="19"/>
      <c r="F113" s="20" t="s">
        <v>9</v>
      </c>
      <c r="G113" s="20" t="s">
        <v>10</v>
      </c>
      <c r="H113" s="23">
        <v>1928</v>
      </c>
      <c r="I113" s="3">
        <v>720</v>
      </c>
      <c r="K113" s="17">
        <f t="shared" si="6"/>
        <v>31776</v>
      </c>
      <c r="L113" s="3" t="s">
        <v>338</v>
      </c>
      <c r="M113" s="18">
        <v>0</v>
      </c>
      <c r="O113" s="5">
        <v>400</v>
      </c>
      <c r="P113" s="5" t="s">
        <v>273</v>
      </c>
      <c r="Q113" s="18">
        <f t="shared" si="7"/>
        <v>3856</v>
      </c>
      <c r="R113" s="7" t="s">
        <v>274</v>
      </c>
      <c r="S113" s="18">
        <f t="shared" si="8"/>
        <v>347.03999999999996</v>
      </c>
      <c r="T113" s="7" t="s">
        <v>277</v>
      </c>
      <c r="U113" s="15">
        <v>852</v>
      </c>
      <c r="V113" s="15">
        <f t="shared" si="9"/>
        <v>10224</v>
      </c>
      <c r="W113" s="9" t="s">
        <v>269</v>
      </c>
      <c r="X113" s="10">
        <f t="shared" si="10"/>
        <v>2082.2399999999998</v>
      </c>
      <c r="Y113" s="19" t="s">
        <v>284</v>
      </c>
      <c r="Z113" s="10"/>
      <c r="AA113" s="19" t="s">
        <v>285</v>
      </c>
      <c r="AB113" s="10">
        <f t="shared" si="11"/>
        <v>48685.279999999999</v>
      </c>
    </row>
    <row r="114" spans="1:28">
      <c r="A114" s="20" t="s">
        <v>452</v>
      </c>
      <c r="B114" s="13" t="s">
        <v>114</v>
      </c>
      <c r="C114" s="20" t="s">
        <v>36</v>
      </c>
      <c r="D114" s="20">
        <v>1</v>
      </c>
      <c r="E114" s="19"/>
      <c r="F114" s="20" t="s">
        <v>9</v>
      </c>
      <c r="G114" s="20" t="s">
        <v>115</v>
      </c>
      <c r="H114" s="23">
        <v>2268</v>
      </c>
      <c r="I114" s="3">
        <v>720</v>
      </c>
      <c r="K114" s="17">
        <f t="shared" si="6"/>
        <v>35856</v>
      </c>
      <c r="L114" s="3" t="s">
        <v>338</v>
      </c>
      <c r="M114" s="18">
        <v>0</v>
      </c>
      <c r="O114" s="5">
        <v>400</v>
      </c>
      <c r="P114" s="5" t="s">
        <v>273</v>
      </c>
      <c r="Q114" s="18">
        <f t="shared" si="7"/>
        <v>4536</v>
      </c>
      <c r="R114" s="7" t="s">
        <v>274</v>
      </c>
      <c r="S114" s="18">
        <f t="shared" si="8"/>
        <v>408.24</v>
      </c>
      <c r="T114" s="7" t="s">
        <v>277</v>
      </c>
      <c r="U114" s="15">
        <v>852</v>
      </c>
      <c r="V114" s="15">
        <f t="shared" si="9"/>
        <v>10224</v>
      </c>
      <c r="W114" s="9" t="s">
        <v>269</v>
      </c>
      <c r="X114" s="10">
        <f t="shared" si="10"/>
        <v>2449.44</v>
      </c>
      <c r="Y114" s="19" t="s">
        <v>284</v>
      </c>
      <c r="AB114" s="10">
        <f t="shared" si="11"/>
        <v>53873.68</v>
      </c>
    </row>
    <row r="115" spans="1:28">
      <c r="A115" s="20" t="s">
        <v>453</v>
      </c>
      <c r="B115" s="13" t="s">
        <v>300</v>
      </c>
      <c r="C115" s="20" t="s">
        <v>12</v>
      </c>
      <c r="D115" s="20">
        <v>1</v>
      </c>
      <c r="E115" s="19"/>
      <c r="F115" s="20" t="s">
        <v>9</v>
      </c>
      <c r="G115" s="20" t="s">
        <v>10</v>
      </c>
      <c r="H115" s="23">
        <v>1928</v>
      </c>
      <c r="I115" s="3">
        <v>720</v>
      </c>
      <c r="K115" s="17">
        <f t="shared" si="6"/>
        <v>31776</v>
      </c>
      <c r="L115" s="3" t="s">
        <v>338</v>
      </c>
      <c r="M115" s="18">
        <v>0</v>
      </c>
      <c r="O115" s="5">
        <v>400</v>
      </c>
      <c r="P115" s="5" t="s">
        <v>273</v>
      </c>
      <c r="Q115" s="18">
        <f t="shared" si="7"/>
        <v>3856</v>
      </c>
      <c r="R115" s="7" t="s">
        <v>274</v>
      </c>
      <c r="S115" s="18">
        <f t="shared" si="8"/>
        <v>347.03999999999996</v>
      </c>
      <c r="T115" s="7" t="s">
        <v>277</v>
      </c>
      <c r="U115" s="15">
        <v>852</v>
      </c>
      <c r="V115" s="15">
        <f t="shared" si="9"/>
        <v>10224</v>
      </c>
      <c r="W115" s="9" t="s">
        <v>269</v>
      </c>
      <c r="X115" s="10">
        <f t="shared" si="10"/>
        <v>2082.2399999999998</v>
      </c>
      <c r="Y115" s="19" t="s">
        <v>284</v>
      </c>
      <c r="AB115" s="10">
        <f t="shared" si="11"/>
        <v>48685.279999999999</v>
      </c>
    </row>
    <row r="116" spans="1:28">
      <c r="A116" s="20" t="s">
        <v>454</v>
      </c>
      <c r="B116" s="13" t="s">
        <v>116</v>
      </c>
      <c r="C116" s="20" t="s">
        <v>12</v>
      </c>
      <c r="D116" s="20">
        <v>1</v>
      </c>
      <c r="E116" s="19"/>
      <c r="F116" s="20" t="s">
        <v>9</v>
      </c>
      <c r="G116" s="20" t="s">
        <v>37</v>
      </c>
      <c r="H116" s="23">
        <v>2378</v>
      </c>
      <c r="I116" s="3">
        <v>720</v>
      </c>
      <c r="J116" s="3">
        <v>93</v>
      </c>
      <c r="K116" s="17">
        <f t="shared" si="6"/>
        <v>38292</v>
      </c>
      <c r="L116" s="3" t="s">
        <v>339</v>
      </c>
      <c r="M116" s="18">
        <v>0</v>
      </c>
      <c r="O116" s="5">
        <v>400</v>
      </c>
      <c r="P116" s="5" t="s">
        <v>273</v>
      </c>
      <c r="Q116" s="18">
        <f t="shared" si="7"/>
        <v>4942</v>
      </c>
      <c r="R116" s="7" t="s">
        <v>274</v>
      </c>
      <c r="S116" s="18">
        <f t="shared" si="8"/>
        <v>444.78</v>
      </c>
      <c r="T116" s="7" t="s">
        <v>277</v>
      </c>
      <c r="U116" s="15">
        <v>1302</v>
      </c>
      <c r="V116" s="15">
        <f t="shared" si="9"/>
        <v>15624</v>
      </c>
      <c r="W116" s="9" t="s">
        <v>270</v>
      </c>
      <c r="X116" s="10">
        <f t="shared" si="10"/>
        <v>2668.68</v>
      </c>
      <c r="Y116" s="19" t="s">
        <v>284</v>
      </c>
      <c r="AB116" s="10">
        <f t="shared" si="11"/>
        <v>62371.46</v>
      </c>
    </row>
    <row r="117" spans="1:28">
      <c r="A117" s="20" t="s">
        <v>455</v>
      </c>
      <c r="B117" s="13" t="s">
        <v>117</v>
      </c>
      <c r="C117" s="20" t="s">
        <v>12</v>
      </c>
      <c r="D117" s="20">
        <v>1</v>
      </c>
      <c r="E117" s="19"/>
      <c r="F117" s="20" t="s">
        <v>9</v>
      </c>
      <c r="G117" s="20" t="s">
        <v>10</v>
      </c>
      <c r="H117" s="23">
        <v>1928</v>
      </c>
      <c r="I117" s="3">
        <v>720</v>
      </c>
      <c r="J117" s="3">
        <v>93</v>
      </c>
      <c r="K117" s="17">
        <f t="shared" si="6"/>
        <v>32892</v>
      </c>
      <c r="L117" s="3" t="s">
        <v>338</v>
      </c>
      <c r="M117" s="18">
        <v>0</v>
      </c>
      <c r="O117" s="5">
        <v>400</v>
      </c>
      <c r="P117" s="5" t="s">
        <v>273</v>
      </c>
      <c r="Q117" s="18">
        <f t="shared" si="7"/>
        <v>4042</v>
      </c>
      <c r="R117" s="7" t="s">
        <v>274</v>
      </c>
      <c r="S117" s="18">
        <f t="shared" si="8"/>
        <v>363.78</v>
      </c>
      <c r="T117" s="7" t="s">
        <v>277</v>
      </c>
      <c r="U117" s="15">
        <v>852</v>
      </c>
      <c r="V117" s="15">
        <f t="shared" si="9"/>
        <v>10224</v>
      </c>
      <c r="W117" s="9" t="s">
        <v>269</v>
      </c>
      <c r="X117" s="10">
        <f t="shared" si="10"/>
        <v>2182.6799999999998</v>
      </c>
      <c r="Y117" s="19" t="s">
        <v>284</v>
      </c>
      <c r="Z117" s="10"/>
      <c r="AB117" s="10">
        <f t="shared" si="11"/>
        <v>50104.46</v>
      </c>
    </row>
    <row r="118" spans="1:28">
      <c r="A118" s="20" t="s">
        <v>456</v>
      </c>
      <c r="B118" s="13" t="s">
        <v>322</v>
      </c>
      <c r="C118" s="20" t="s">
        <v>36</v>
      </c>
      <c r="D118" s="20">
        <v>1</v>
      </c>
      <c r="E118" s="19"/>
      <c r="F118" s="20" t="s">
        <v>26</v>
      </c>
      <c r="G118" s="20" t="s">
        <v>16</v>
      </c>
      <c r="H118" s="23">
        <v>3478</v>
      </c>
      <c r="I118" s="3">
        <v>720</v>
      </c>
      <c r="K118" s="17">
        <f t="shared" si="6"/>
        <v>50376</v>
      </c>
      <c r="L118" s="3" t="s">
        <v>337</v>
      </c>
      <c r="M118" s="18">
        <v>0</v>
      </c>
      <c r="O118" s="5">
        <v>400</v>
      </c>
      <c r="P118" s="5" t="s">
        <v>273</v>
      </c>
      <c r="Q118" s="18">
        <f t="shared" si="7"/>
        <v>6956</v>
      </c>
      <c r="R118" s="7" t="s">
        <v>274</v>
      </c>
      <c r="S118" s="18">
        <f t="shared" si="8"/>
        <v>626.04</v>
      </c>
      <c r="T118" s="7" t="s">
        <v>277</v>
      </c>
      <c r="U118" s="15">
        <v>1302</v>
      </c>
      <c r="V118" s="15">
        <f t="shared" si="9"/>
        <v>15624</v>
      </c>
      <c r="W118" s="9" t="s">
        <v>269</v>
      </c>
      <c r="X118" s="10">
        <f t="shared" si="10"/>
        <v>3756.24</v>
      </c>
      <c r="Y118" s="19" t="s">
        <v>284</v>
      </c>
      <c r="AB118" s="10">
        <f t="shared" si="11"/>
        <v>77738.280000000013</v>
      </c>
    </row>
    <row r="119" spans="1:28">
      <c r="A119" s="20" t="s">
        <v>457</v>
      </c>
      <c r="B119" s="13" t="s">
        <v>118</v>
      </c>
      <c r="C119" s="20" t="s">
        <v>7</v>
      </c>
      <c r="D119" s="20">
        <v>1</v>
      </c>
      <c r="E119" s="19"/>
      <c r="F119" s="20" t="s">
        <v>9</v>
      </c>
      <c r="G119" s="20" t="s">
        <v>15</v>
      </c>
      <c r="H119" s="23">
        <v>2268</v>
      </c>
      <c r="I119" s="3">
        <v>720</v>
      </c>
      <c r="K119" s="17">
        <f t="shared" si="6"/>
        <v>35856</v>
      </c>
      <c r="L119" s="3" t="s">
        <v>338</v>
      </c>
      <c r="M119" s="18">
        <v>0</v>
      </c>
      <c r="O119" s="5">
        <v>400</v>
      </c>
      <c r="P119" s="5" t="s">
        <v>273</v>
      </c>
      <c r="Q119" s="18">
        <f t="shared" si="7"/>
        <v>4536</v>
      </c>
      <c r="R119" s="7" t="s">
        <v>274</v>
      </c>
      <c r="S119" s="18">
        <f t="shared" si="8"/>
        <v>408.24</v>
      </c>
      <c r="T119" s="7" t="s">
        <v>277</v>
      </c>
      <c r="U119" s="15">
        <v>852</v>
      </c>
      <c r="V119" s="15">
        <f t="shared" si="9"/>
        <v>10224</v>
      </c>
      <c r="W119" s="9" t="s">
        <v>269</v>
      </c>
      <c r="X119" s="10">
        <f t="shared" si="10"/>
        <v>2449.44</v>
      </c>
      <c r="Y119" s="19" t="s">
        <v>284</v>
      </c>
      <c r="AB119" s="10">
        <f t="shared" si="11"/>
        <v>53873.68</v>
      </c>
    </row>
    <row r="120" spans="1:28">
      <c r="A120" s="20" t="s">
        <v>458</v>
      </c>
      <c r="B120" s="13" t="s">
        <v>119</v>
      </c>
      <c r="C120" s="20" t="s">
        <v>12</v>
      </c>
      <c r="D120" s="20">
        <v>1</v>
      </c>
      <c r="E120" s="19"/>
      <c r="F120" s="20" t="s">
        <v>9</v>
      </c>
      <c r="G120" s="20" t="s">
        <v>37</v>
      </c>
      <c r="H120" s="23">
        <v>2378</v>
      </c>
      <c r="I120" s="3">
        <v>720</v>
      </c>
      <c r="K120" s="17">
        <f t="shared" si="6"/>
        <v>37176</v>
      </c>
      <c r="L120" s="3" t="s">
        <v>339</v>
      </c>
      <c r="M120" s="18">
        <v>0</v>
      </c>
      <c r="O120" s="5">
        <v>400</v>
      </c>
      <c r="P120" s="5" t="s">
        <v>273</v>
      </c>
      <c r="Q120" s="18">
        <f t="shared" si="7"/>
        <v>4756</v>
      </c>
      <c r="R120" s="7" t="s">
        <v>274</v>
      </c>
      <c r="S120" s="18">
        <f t="shared" si="8"/>
        <v>428.03999999999996</v>
      </c>
      <c r="T120" s="7" t="s">
        <v>277</v>
      </c>
      <c r="U120" s="15">
        <v>1302</v>
      </c>
      <c r="V120" s="15">
        <f t="shared" si="9"/>
        <v>15624</v>
      </c>
      <c r="W120" s="9" t="s">
        <v>270</v>
      </c>
      <c r="X120" s="10">
        <f t="shared" si="10"/>
        <v>2568.2399999999998</v>
      </c>
      <c r="Y120" s="19" t="s">
        <v>284</v>
      </c>
      <c r="AB120" s="10">
        <f t="shared" si="11"/>
        <v>60952.28</v>
      </c>
    </row>
    <row r="121" spans="1:28">
      <c r="A121" s="20" t="s">
        <v>459</v>
      </c>
      <c r="B121" s="13" t="s">
        <v>120</v>
      </c>
      <c r="C121" s="20" t="s">
        <v>7</v>
      </c>
      <c r="D121" s="20">
        <v>1</v>
      </c>
      <c r="E121" s="19"/>
      <c r="F121" s="20" t="s">
        <v>9</v>
      </c>
      <c r="G121" s="20" t="s">
        <v>10</v>
      </c>
      <c r="H121" s="23">
        <v>1928</v>
      </c>
      <c r="I121" s="3">
        <v>720</v>
      </c>
      <c r="K121" s="17">
        <f t="shared" si="6"/>
        <v>31776</v>
      </c>
      <c r="L121" s="3" t="s">
        <v>338</v>
      </c>
      <c r="M121" s="18">
        <v>0</v>
      </c>
      <c r="O121" s="5">
        <v>400</v>
      </c>
      <c r="P121" s="5" t="s">
        <v>273</v>
      </c>
      <c r="Q121" s="18">
        <f t="shared" si="7"/>
        <v>3856</v>
      </c>
      <c r="R121" s="7" t="s">
        <v>274</v>
      </c>
      <c r="S121" s="18">
        <f t="shared" si="8"/>
        <v>347.03999999999996</v>
      </c>
      <c r="T121" s="7" t="s">
        <v>277</v>
      </c>
      <c r="U121" s="15">
        <v>852</v>
      </c>
      <c r="V121" s="15">
        <f t="shared" si="9"/>
        <v>10224</v>
      </c>
      <c r="W121" s="9" t="s">
        <v>269</v>
      </c>
      <c r="X121" s="10">
        <f t="shared" si="10"/>
        <v>2082.2399999999998</v>
      </c>
      <c r="Y121" s="19" t="s">
        <v>284</v>
      </c>
      <c r="Z121" s="10"/>
      <c r="AB121" s="10">
        <f t="shared" si="11"/>
        <v>48685.279999999999</v>
      </c>
    </row>
    <row r="122" spans="1:28">
      <c r="A122" s="20" t="s">
        <v>460</v>
      </c>
      <c r="B122" s="13" t="s">
        <v>121</v>
      </c>
      <c r="C122" s="20" t="s">
        <v>14</v>
      </c>
      <c r="D122" s="20">
        <v>1</v>
      </c>
      <c r="E122" s="19"/>
      <c r="F122" s="20" t="s">
        <v>9</v>
      </c>
      <c r="G122" s="20" t="s">
        <v>15</v>
      </c>
      <c r="H122" s="23">
        <v>2268</v>
      </c>
      <c r="I122" s="3">
        <v>720</v>
      </c>
      <c r="K122" s="17">
        <f t="shared" si="6"/>
        <v>35856</v>
      </c>
      <c r="L122" s="3" t="s">
        <v>338</v>
      </c>
      <c r="M122" s="18">
        <v>0</v>
      </c>
      <c r="O122" s="5">
        <v>400</v>
      </c>
      <c r="P122" s="5" t="s">
        <v>273</v>
      </c>
      <c r="Q122" s="18">
        <f t="shared" si="7"/>
        <v>4536</v>
      </c>
      <c r="R122" s="7" t="s">
        <v>274</v>
      </c>
      <c r="S122" s="18">
        <f t="shared" si="8"/>
        <v>408.24</v>
      </c>
      <c r="T122" s="7" t="s">
        <v>277</v>
      </c>
      <c r="U122" s="15">
        <v>852</v>
      </c>
      <c r="V122" s="15">
        <f t="shared" si="9"/>
        <v>10224</v>
      </c>
      <c r="W122" s="9" t="s">
        <v>269</v>
      </c>
      <c r="X122" s="10">
        <f t="shared" si="10"/>
        <v>2449.44</v>
      </c>
      <c r="Y122" s="19" t="s">
        <v>284</v>
      </c>
      <c r="AB122" s="10">
        <f t="shared" si="11"/>
        <v>53873.68</v>
      </c>
    </row>
    <row r="123" spans="1:28">
      <c r="A123" s="20" t="s">
        <v>461</v>
      </c>
      <c r="B123" s="13" t="s">
        <v>122</v>
      </c>
      <c r="C123" s="20" t="s">
        <v>7</v>
      </c>
      <c r="D123" s="20">
        <v>1</v>
      </c>
      <c r="E123" s="19"/>
      <c r="F123" s="20" t="s">
        <v>9</v>
      </c>
      <c r="G123" s="20" t="s">
        <v>10</v>
      </c>
      <c r="H123" s="23">
        <v>1928</v>
      </c>
      <c r="I123" s="3">
        <v>720</v>
      </c>
      <c r="J123" s="3">
        <v>93</v>
      </c>
      <c r="K123" s="17">
        <f t="shared" si="6"/>
        <v>32892</v>
      </c>
      <c r="L123" s="3" t="s">
        <v>338</v>
      </c>
      <c r="M123" s="18">
        <v>0</v>
      </c>
      <c r="O123" s="5">
        <v>400</v>
      </c>
      <c r="P123" s="5" t="s">
        <v>273</v>
      </c>
      <c r="Q123" s="18">
        <f t="shared" si="7"/>
        <v>4042</v>
      </c>
      <c r="R123" s="7" t="s">
        <v>274</v>
      </c>
      <c r="S123" s="18">
        <f t="shared" si="8"/>
        <v>363.78</v>
      </c>
      <c r="T123" s="7" t="s">
        <v>277</v>
      </c>
      <c r="U123" s="15">
        <v>852</v>
      </c>
      <c r="V123" s="15">
        <f t="shared" si="9"/>
        <v>10224</v>
      </c>
      <c r="W123" s="9" t="s">
        <v>269</v>
      </c>
      <c r="X123" s="10">
        <f t="shared" si="10"/>
        <v>2182.6799999999998</v>
      </c>
      <c r="Y123" s="19" t="s">
        <v>284</v>
      </c>
      <c r="AB123" s="10">
        <f t="shared" si="11"/>
        <v>50104.46</v>
      </c>
    </row>
    <row r="124" spans="1:28">
      <c r="A124" s="20" t="s">
        <v>462</v>
      </c>
      <c r="B124" s="13" t="s">
        <v>123</v>
      </c>
      <c r="C124" s="20" t="s">
        <v>14</v>
      </c>
      <c r="D124" s="20">
        <v>1</v>
      </c>
      <c r="E124" s="19"/>
      <c r="F124" s="20" t="s">
        <v>9</v>
      </c>
      <c r="G124" s="20" t="s">
        <v>15</v>
      </c>
      <c r="H124" s="23">
        <v>2268</v>
      </c>
      <c r="I124" s="3">
        <v>720</v>
      </c>
      <c r="K124" s="17">
        <f t="shared" si="6"/>
        <v>35856</v>
      </c>
      <c r="L124" s="3" t="s">
        <v>338</v>
      </c>
      <c r="M124" s="18">
        <v>0</v>
      </c>
      <c r="O124" s="5">
        <v>400</v>
      </c>
      <c r="P124" s="5" t="s">
        <v>273</v>
      </c>
      <c r="Q124" s="18">
        <f t="shared" si="7"/>
        <v>4536</v>
      </c>
      <c r="R124" s="7" t="s">
        <v>274</v>
      </c>
      <c r="S124" s="18">
        <f t="shared" si="8"/>
        <v>408.24</v>
      </c>
      <c r="T124" s="7" t="s">
        <v>277</v>
      </c>
      <c r="U124" s="15">
        <v>852</v>
      </c>
      <c r="V124" s="15">
        <f t="shared" si="9"/>
        <v>10224</v>
      </c>
      <c r="W124" s="9" t="s">
        <v>269</v>
      </c>
      <c r="X124" s="10">
        <f t="shared" si="10"/>
        <v>2449.44</v>
      </c>
      <c r="Y124" s="19" t="s">
        <v>284</v>
      </c>
      <c r="AB124" s="10">
        <f t="shared" si="11"/>
        <v>53873.68</v>
      </c>
    </row>
    <row r="125" spans="1:28">
      <c r="A125" s="20" t="s">
        <v>463</v>
      </c>
      <c r="B125" s="13" t="s">
        <v>124</v>
      </c>
      <c r="C125" s="20" t="s">
        <v>12</v>
      </c>
      <c r="D125" s="20">
        <v>1</v>
      </c>
      <c r="E125" s="19"/>
      <c r="F125" s="20" t="s">
        <v>9</v>
      </c>
      <c r="G125" s="20" t="s">
        <v>37</v>
      </c>
      <c r="H125" s="23">
        <v>2378</v>
      </c>
      <c r="I125" s="3">
        <v>720</v>
      </c>
      <c r="J125" s="3">
        <v>93</v>
      </c>
      <c r="K125" s="17">
        <f t="shared" si="6"/>
        <v>38292</v>
      </c>
      <c r="L125" s="3" t="s">
        <v>339</v>
      </c>
      <c r="M125" s="18">
        <v>0</v>
      </c>
      <c r="O125" s="5">
        <v>400</v>
      </c>
      <c r="P125" s="5" t="s">
        <v>273</v>
      </c>
      <c r="Q125" s="18">
        <f t="shared" si="7"/>
        <v>4942</v>
      </c>
      <c r="R125" s="7" t="s">
        <v>274</v>
      </c>
      <c r="S125" s="18">
        <f t="shared" si="8"/>
        <v>444.78</v>
      </c>
      <c r="T125" s="7" t="s">
        <v>277</v>
      </c>
      <c r="U125" s="15">
        <v>1302</v>
      </c>
      <c r="V125" s="15">
        <f t="shared" si="9"/>
        <v>15624</v>
      </c>
      <c r="W125" s="9" t="s">
        <v>270</v>
      </c>
      <c r="X125" s="10">
        <f t="shared" si="10"/>
        <v>2668.68</v>
      </c>
      <c r="Y125" s="19" t="s">
        <v>284</v>
      </c>
      <c r="Z125" s="10"/>
      <c r="AB125" s="10">
        <f t="shared" si="11"/>
        <v>62371.46</v>
      </c>
    </row>
    <row r="126" spans="1:28">
      <c r="A126" s="20" t="s">
        <v>464</v>
      </c>
      <c r="B126" s="13" t="s">
        <v>125</v>
      </c>
      <c r="C126" s="20" t="s">
        <v>25</v>
      </c>
      <c r="D126" s="20">
        <v>1</v>
      </c>
      <c r="E126" s="19"/>
      <c r="F126" s="20" t="s">
        <v>9</v>
      </c>
      <c r="G126" s="20" t="s">
        <v>15</v>
      </c>
      <c r="H126" s="23">
        <v>2268</v>
      </c>
      <c r="I126" s="3">
        <v>720</v>
      </c>
      <c r="J126" s="3">
        <v>93</v>
      </c>
      <c r="K126" s="17">
        <f t="shared" si="6"/>
        <v>36972</v>
      </c>
      <c r="L126" s="3" t="s">
        <v>338</v>
      </c>
      <c r="M126" s="18">
        <v>0</v>
      </c>
      <c r="O126" s="5">
        <v>400</v>
      </c>
      <c r="P126" s="5" t="s">
        <v>273</v>
      </c>
      <c r="Q126" s="18">
        <f t="shared" si="7"/>
        <v>4722</v>
      </c>
      <c r="R126" s="7" t="s">
        <v>274</v>
      </c>
      <c r="S126" s="18">
        <f t="shared" si="8"/>
        <v>424.97999999999996</v>
      </c>
      <c r="T126" s="7" t="s">
        <v>277</v>
      </c>
      <c r="U126" s="15">
        <v>852</v>
      </c>
      <c r="V126" s="15">
        <f t="shared" si="9"/>
        <v>10224</v>
      </c>
      <c r="W126" s="9" t="s">
        <v>269</v>
      </c>
      <c r="X126" s="10">
        <f t="shared" si="10"/>
        <v>2549.8799999999997</v>
      </c>
      <c r="Y126" s="19" t="s">
        <v>284</v>
      </c>
      <c r="AB126" s="10">
        <f t="shared" si="11"/>
        <v>55292.86</v>
      </c>
    </row>
    <row r="127" spans="1:28">
      <c r="A127" s="20" t="s">
        <v>465</v>
      </c>
      <c r="B127" s="13" t="s">
        <v>126</v>
      </c>
      <c r="C127" s="20" t="s">
        <v>7</v>
      </c>
      <c r="D127" s="20">
        <v>1</v>
      </c>
      <c r="E127" s="20" t="s">
        <v>8</v>
      </c>
      <c r="F127" s="20" t="s">
        <v>9</v>
      </c>
      <c r="G127" s="20" t="s">
        <v>15</v>
      </c>
      <c r="H127" s="23">
        <v>2268</v>
      </c>
      <c r="I127" s="3">
        <v>720</v>
      </c>
      <c r="J127" s="3">
        <v>93</v>
      </c>
      <c r="K127" s="17">
        <f t="shared" si="6"/>
        <v>36972</v>
      </c>
      <c r="L127" s="3" t="s">
        <v>338</v>
      </c>
      <c r="M127" s="18">
        <v>0</v>
      </c>
      <c r="O127" s="5">
        <v>400</v>
      </c>
      <c r="P127" s="5" t="s">
        <v>273</v>
      </c>
      <c r="Q127" s="18">
        <f t="shared" si="7"/>
        <v>4722</v>
      </c>
      <c r="R127" s="7" t="s">
        <v>274</v>
      </c>
      <c r="S127" s="18">
        <f t="shared" si="8"/>
        <v>424.97999999999996</v>
      </c>
      <c r="T127" s="7" t="s">
        <v>277</v>
      </c>
      <c r="U127" s="15">
        <v>852</v>
      </c>
      <c r="V127" s="15">
        <f t="shared" si="9"/>
        <v>10224</v>
      </c>
      <c r="W127" s="9" t="s">
        <v>269</v>
      </c>
      <c r="X127" s="10">
        <f t="shared" si="10"/>
        <v>2549.8799999999997</v>
      </c>
      <c r="Y127" s="19" t="s">
        <v>284</v>
      </c>
      <c r="Z127" s="10"/>
      <c r="AA127" s="19" t="s">
        <v>285</v>
      </c>
      <c r="AB127" s="10">
        <f t="shared" si="11"/>
        <v>55292.86</v>
      </c>
    </row>
    <row r="128" spans="1:28">
      <c r="A128" s="20" t="s">
        <v>466</v>
      </c>
      <c r="B128" s="13" t="s">
        <v>127</v>
      </c>
      <c r="C128" s="20" t="s">
        <v>25</v>
      </c>
      <c r="D128" s="20">
        <v>1</v>
      </c>
      <c r="E128" s="19"/>
      <c r="F128" s="20" t="s">
        <v>9</v>
      </c>
      <c r="G128" s="20" t="s">
        <v>15</v>
      </c>
      <c r="H128" s="23">
        <v>2268</v>
      </c>
      <c r="I128" s="3">
        <v>720</v>
      </c>
      <c r="J128" s="3">
        <v>93</v>
      </c>
      <c r="K128" s="17">
        <f t="shared" si="6"/>
        <v>36972</v>
      </c>
      <c r="L128" s="3" t="s">
        <v>338</v>
      </c>
      <c r="M128" s="18">
        <v>0</v>
      </c>
      <c r="O128" s="5">
        <v>400</v>
      </c>
      <c r="P128" s="5" t="s">
        <v>273</v>
      </c>
      <c r="Q128" s="18">
        <f t="shared" si="7"/>
        <v>4722</v>
      </c>
      <c r="R128" s="7" t="s">
        <v>274</v>
      </c>
      <c r="S128" s="18">
        <f t="shared" si="8"/>
        <v>424.97999999999996</v>
      </c>
      <c r="T128" s="7" t="s">
        <v>277</v>
      </c>
      <c r="U128" s="15">
        <v>852</v>
      </c>
      <c r="V128" s="15">
        <f t="shared" si="9"/>
        <v>10224</v>
      </c>
      <c r="W128" s="9" t="s">
        <v>269</v>
      </c>
      <c r="X128" s="10">
        <f t="shared" si="10"/>
        <v>2549.8799999999997</v>
      </c>
      <c r="Y128" s="19" t="s">
        <v>284</v>
      </c>
      <c r="AB128" s="10">
        <f t="shared" si="11"/>
        <v>55292.86</v>
      </c>
    </row>
    <row r="129" spans="1:28">
      <c r="A129" s="20" t="s">
        <v>467</v>
      </c>
      <c r="B129" s="13" t="s">
        <v>128</v>
      </c>
      <c r="C129" s="20" t="s">
        <v>7</v>
      </c>
      <c r="D129" s="20">
        <v>1</v>
      </c>
      <c r="E129" s="19"/>
      <c r="F129" s="20" t="s">
        <v>9</v>
      </c>
      <c r="G129" s="20" t="s">
        <v>15</v>
      </c>
      <c r="H129" s="23">
        <v>2268</v>
      </c>
      <c r="I129" s="3">
        <v>720</v>
      </c>
      <c r="K129" s="17">
        <f t="shared" si="6"/>
        <v>35856</v>
      </c>
      <c r="L129" s="3" t="s">
        <v>338</v>
      </c>
      <c r="M129" s="18">
        <v>0</v>
      </c>
      <c r="O129" s="5">
        <v>400</v>
      </c>
      <c r="P129" s="5" t="s">
        <v>273</v>
      </c>
      <c r="Q129" s="18">
        <f t="shared" si="7"/>
        <v>4536</v>
      </c>
      <c r="R129" s="7" t="s">
        <v>274</v>
      </c>
      <c r="S129" s="18">
        <f t="shared" si="8"/>
        <v>408.24</v>
      </c>
      <c r="T129" s="7" t="s">
        <v>277</v>
      </c>
      <c r="U129" s="15">
        <v>852</v>
      </c>
      <c r="V129" s="15">
        <f t="shared" si="9"/>
        <v>10224</v>
      </c>
      <c r="W129" s="9" t="s">
        <v>269</v>
      </c>
      <c r="X129" s="10">
        <f t="shared" si="10"/>
        <v>2449.44</v>
      </c>
      <c r="Y129" s="19" t="s">
        <v>284</v>
      </c>
      <c r="AB129" s="10">
        <f t="shared" si="11"/>
        <v>53873.68</v>
      </c>
    </row>
    <row r="130" spans="1:28">
      <c r="A130" s="20" t="s">
        <v>468</v>
      </c>
      <c r="B130" s="13" t="s">
        <v>294</v>
      </c>
      <c r="C130" s="20" t="s">
        <v>14</v>
      </c>
      <c r="D130" s="20">
        <v>1</v>
      </c>
      <c r="E130" s="19"/>
      <c r="F130" s="20" t="s">
        <v>26</v>
      </c>
      <c r="G130" s="20" t="s">
        <v>15</v>
      </c>
      <c r="H130" s="23">
        <v>2268</v>
      </c>
      <c r="I130" s="3">
        <v>720</v>
      </c>
      <c r="K130" s="17">
        <f t="shared" si="6"/>
        <v>35856</v>
      </c>
      <c r="L130" s="3" t="s">
        <v>337</v>
      </c>
      <c r="M130" s="18">
        <v>0</v>
      </c>
      <c r="O130" s="5">
        <v>400</v>
      </c>
      <c r="P130" s="5" t="s">
        <v>273</v>
      </c>
      <c r="Q130" s="18">
        <f t="shared" si="7"/>
        <v>4536</v>
      </c>
      <c r="R130" s="7" t="s">
        <v>274</v>
      </c>
      <c r="S130" s="18">
        <f t="shared" si="8"/>
        <v>408.24</v>
      </c>
      <c r="T130" s="7" t="s">
        <v>277</v>
      </c>
      <c r="U130" s="15">
        <v>852</v>
      </c>
      <c r="V130" s="15">
        <f t="shared" si="9"/>
        <v>10224</v>
      </c>
      <c r="W130" s="9" t="s">
        <v>269</v>
      </c>
      <c r="X130" s="10">
        <f t="shared" si="10"/>
        <v>2449.44</v>
      </c>
      <c r="Y130" s="19" t="s">
        <v>284</v>
      </c>
      <c r="AB130" s="10">
        <f t="shared" si="11"/>
        <v>53873.68</v>
      </c>
    </row>
    <row r="131" spans="1:28">
      <c r="A131" s="20" t="s">
        <v>469</v>
      </c>
      <c r="B131" s="13" t="s">
        <v>129</v>
      </c>
      <c r="C131" s="20" t="s">
        <v>12</v>
      </c>
      <c r="D131" s="20">
        <v>1</v>
      </c>
      <c r="E131" s="19"/>
      <c r="F131" s="20" t="s">
        <v>9</v>
      </c>
      <c r="G131" s="20" t="s">
        <v>37</v>
      </c>
      <c r="H131" s="23">
        <v>2378</v>
      </c>
      <c r="I131" s="3">
        <v>720</v>
      </c>
      <c r="J131" s="3">
        <v>93</v>
      </c>
      <c r="K131" s="17">
        <f t="shared" ref="K131:K194" si="12">SUM(H131:J131)*$C$1</f>
        <v>38292</v>
      </c>
      <c r="L131" s="3" t="s">
        <v>339</v>
      </c>
      <c r="M131" s="18">
        <v>0</v>
      </c>
      <c r="O131" s="5">
        <v>400</v>
      </c>
      <c r="P131" s="5" t="s">
        <v>273</v>
      </c>
      <c r="Q131" s="18">
        <f t="shared" ref="Q131:Q194" si="13">(H131+J131)*$G$1</f>
        <v>4942</v>
      </c>
      <c r="R131" s="7" t="s">
        <v>274</v>
      </c>
      <c r="S131" s="18">
        <f t="shared" ref="S131:S194" si="14">+Q131*0.09</f>
        <v>444.78</v>
      </c>
      <c r="T131" s="7" t="s">
        <v>277</v>
      </c>
      <c r="U131" s="15">
        <v>1302</v>
      </c>
      <c r="V131" s="15">
        <f t="shared" ref="V131:V194" si="15">+U131*$C$1</f>
        <v>15624</v>
      </c>
      <c r="W131" s="9" t="s">
        <v>270</v>
      </c>
      <c r="X131" s="10">
        <f t="shared" ref="X131:X194" si="16">+(H131+J131)*0.09*$C$1+M131*0.09</f>
        <v>2668.68</v>
      </c>
      <c r="Y131" s="19" t="s">
        <v>284</v>
      </c>
      <c r="AB131" s="10">
        <f t="shared" ref="AB131:AB194" si="17">+K131+M131+O131+Q131+S131+V131+X131+Z131</f>
        <v>62371.46</v>
      </c>
    </row>
    <row r="132" spans="1:28">
      <c r="A132" s="20" t="s">
        <v>470</v>
      </c>
      <c r="B132" s="13" t="s">
        <v>130</v>
      </c>
      <c r="C132" s="20" t="s">
        <v>7</v>
      </c>
      <c r="D132" s="20">
        <v>1</v>
      </c>
      <c r="E132" s="19"/>
      <c r="F132" s="20" t="s">
        <v>9</v>
      </c>
      <c r="G132" s="20" t="s">
        <v>10</v>
      </c>
      <c r="H132" s="23">
        <v>1928</v>
      </c>
      <c r="I132" s="3">
        <v>720</v>
      </c>
      <c r="J132" s="3">
        <v>93</v>
      </c>
      <c r="K132" s="17">
        <f t="shared" si="12"/>
        <v>32892</v>
      </c>
      <c r="L132" s="3" t="s">
        <v>338</v>
      </c>
      <c r="M132" s="18">
        <v>0</v>
      </c>
      <c r="O132" s="5">
        <v>400</v>
      </c>
      <c r="P132" s="5" t="s">
        <v>273</v>
      </c>
      <c r="Q132" s="18">
        <f t="shared" si="13"/>
        <v>4042</v>
      </c>
      <c r="R132" s="7" t="s">
        <v>274</v>
      </c>
      <c r="S132" s="18">
        <f t="shared" si="14"/>
        <v>363.78</v>
      </c>
      <c r="T132" s="7" t="s">
        <v>277</v>
      </c>
      <c r="U132" s="15">
        <v>852</v>
      </c>
      <c r="V132" s="15">
        <f t="shared" si="15"/>
        <v>10224</v>
      </c>
      <c r="W132" s="9" t="s">
        <v>269</v>
      </c>
      <c r="X132" s="10">
        <f t="shared" si="16"/>
        <v>2182.6799999999998</v>
      </c>
      <c r="Y132" s="19" t="s">
        <v>284</v>
      </c>
      <c r="AB132" s="10">
        <f t="shared" si="17"/>
        <v>50104.46</v>
      </c>
    </row>
    <row r="133" spans="1:28">
      <c r="A133" s="20" t="s">
        <v>471</v>
      </c>
      <c r="B133" s="13" t="s">
        <v>131</v>
      </c>
      <c r="C133" s="20" t="s">
        <v>25</v>
      </c>
      <c r="D133" s="20">
        <v>1</v>
      </c>
      <c r="E133" s="19"/>
      <c r="F133" s="20" t="s">
        <v>9</v>
      </c>
      <c r="G133" s="20" t="s">
        <v>10</v>
      </c>
      <c r="H133" s="23">
        <v>1928</v>
      </c>
      <c r="I133" s="3">
        <v>720</v>
      </c>
      <c r="J133" s="3">
        <v>93</v>
      </c>
      <c r="K133" s="17">
        <f t="shared" si="12"/>
        <v>32892</v>
      </c>
      <c r="L133" s="3" t="s">
        <v>338</v>
      </c>
      <c r="M133" s="18">
        <v>0</v>
      </c>
      <c r="O133" s="5">
        <v>400</v>
      </c>
      <c r="P133" s="5" t="s">
        <v>273</v>
      </c>
      <c r="Q133" s="18">
        <f t="shared" si="13"/>
        <v>4042</v>
      </c>
      <c r="R133" s="7" t="s">
        <v>274</v>
      </c>
      <c r="S133" s="18">
        <f t="shared" si="14"/>
        <v>363.78</v>
      </c>
      <c r="T133" s="7" t="s">
        <v>277</v>
      </c>
      <c r="U133" s="15">
        <v>852</v>
      </c>
      <c r="V133" s="15">
        <f t="shared" si="15"/>
        <v>10224</v>
      </c>
      <c r="W133" s="9" t="s">
        <v>269</v>
      </c>
      <c r="X133" s="10">
        <f t="shared" si="16"/>
        <v>2182.6799999999998</v>
      </c>
      <c r="Y133" s="19" t="s">
        <v>284</v>
      </c>
      <c r="AB133" s="10">
        <f t="shared" si="17"/>
        <v>50104.46</v>
      </c>
    </row>
    <row r="134" spans="1:28">
      <c r="A134" s="20" t="s">
        <v>472</v>
      </c>
      <c r="B134" s="13" t="s">
        <v>301</v>
      </c>
      <c r="C134" s="20" t="s">
        <v>7</v>
      </c>
      <c r="D134" s="20">
        <v>1</v>
      </c>
      <c r="E134" s="19"/>
      <c r="F134" s="20" t="s">
        <v>9</v>
      </c>
      <c r="G134" s="20" t="s">
        <v>15</v>
      </c>
      <c r="H134" s="23">
        <v>2268</v>
      </c>
      <c r="I134" s="3">
        <v>720</v>
      </c>
      <c r="J134" s="3">
        <v>93</v>
      </c>
      <c r="K134" s="17">
        <f t="shared" si="12"/>
        <v>36972</v>
      </c>
      <c r="L134" s="3" t="s">
        <v>338</v>
      </c>
      <c r="M134" s="18">
        <v>0</v>
      </c>
      <c r="O134" s="5">
        <v>400</v>
      </c>
      <c r="P134" s="5" t="s">
        <v>273</v>
      </c>
      <c r="Q134" s="18">
        <f t="shared" si="13"/>
        <v>4722</v>
      </c>
      <c r="R134" s="7" t="s">
        <v>274</v>
      </c>
      <c r="S134" s="18">
        <f t="shared" si="14"/>
        <v>424.97999999999996</v>
      </c>
      <c r="T134" s="7" t="s">
        <v>277</v>
      </c>
      <c r="U134" s="15">
        <v>852</v>
      </c>
      <c r="V134" s="15">
        <f t="shared" si="15"/>
        <v>10224</v>
      </c>
      <c r="W134" s="9" t="s">
        <v>269</v>
      </c>
      <c r="X134" s="10">
        <f t="shared" si="16"/>
        <v>2549.8799999999997</v>
      </c>
      <c r="Y134" s="19" t="s">
        <v>284</v>
      </c>
      <c r="AB134" s="10">
        <f t="shared" si="17"/>
        <v>55292.86</v>
      </c>
    </row>
    <row r="135" spans="1:28">
      <c r="A135" s="20" t="s">
        <v>473</v>
      </c>
      <c r="B135" s="13" t="s">
        <v>132</v>
      </c>
      <c r="C135" s="20" t="s">
        <v>7</v>
      </c>
      <c r="D135" s="20">
        <v>1</v>
      </c>
      <c r="E135" s="19"/>
      <c r="F135" s="20" t="s">
        <v>26</v>
      </c>
      <c r="G135" s="20" t="s">
        <v>10</v>
      </c>
      <c r="H135" s="23">
        <v>1928</v>
      </c>
      <c r="I135" s="3">
        <v>720</v>
      </c>
      <c r="K135" s="17">
        <f t="shared" si="12"/>
        <v>31776</v>
      </c>
      <c r="L135" s="3" t="s">
        <v>337</v>
      </c>
      <c r="M135" s="18">
        <v>0</v>
      </c>
      <c r="O135" s="5">
        <v>400</v>
      </c>
      <c r="P135" s="5" t="s">
        <v>273</v>
      </c>
      <c r="Q135" s="18">
        <f t="shared" si="13"/>
        <v>3856</v>
      </c>
      <c r="R135" s="7" t="s">
        <v>274</v>
      </c>
      <c r="S135" s="18">
        <f t="shared" si="14"/>
        <v>347.03999999999996</v>
      </c>
      <c r="T135" s="7" t="s">
        <v>277</v>
      </c>
      <c r="U135" s="15">
        <v>852</v>
      </c>
      <c r="V135" s="15">
        <f t="shared" si="15"/>
        <v>10224</v>
      </c>
      <c r="W135" s="9" t="s">
        <v>269</v>
      </c>
      <c r="X135" s="10">
        <f t="shared" si="16"/>
        <v>2082.2399999999998</v>
      </c>
      <c r="Y135" s="19" t="s">
        <v>284</v>
      </c>
      <c r="AB135" s="10">
        <f t="shared" si="17"/>
        <v>48685.279999999999</v>
      </c>
    </row>
    <row r="136" spans="1:28">
      <c r="A136" s="20" t="s">
        <v>474</v>
      </c>
      <c r="B136" s="13" t="s">
        <v>323</v>
      </c>
      <c r="C136" s="20" t="s">
        <v>25</v>
      </c>
      <c r="D136" s="20">
        <v>1</v>
      </c>
      <c r="E136" s="19"/>
      <c r="F136" s="20" t="s">
        <v>9</v>
      </c>
      <c r="G136" s="20" t="s">
        <v>10</v>
      </c>
      <c r="H136" s="23">
        <v>1928</v>
      </c>
      <c r="I136" s="3">
        <v>720</v>
      </c>
      <c r="J136" s="3">
        <v>93</v>
      </c>
      <c r="K136" s="17">
        <f t="shared" si="12"/>
        <v>32892</v>
      </c>
      <c r="L136" s="3" t="s">
        <v>338</v>
      </c>
      <c r="M136" s="18">
        <v>0</v>
      </c>
      <c r="O136" s="5">
        <v>400</v>
      </c>
      <c r="P136" s="5" t="s">
        <v>273</v>
      </c>
      <c r="Q136" s="18">
        <f t="shared" si="13"/>
        <v>4042</v>
      </c>
      <c r="R136" s="7" t="s">
        <v>274</v>
      </c>
      <c r="S136" s="18">
        <f t="shared" si="14"/>
        <v>363.78</v>
      </c>
      <c r="T136" s="7" t="s">
        <v>277</v>
      </c>
      <c r="U136" s="15">
        <v>852</v>
      </c>
      <c r="V136" s="15">
        <f t="shared" si="15"/>
        <v>10224</v>
      </c>
      <c r="W136" s="9" t="s">
        <v>269</v>
      </c>
      <c r="X136" s="10">
        <f t="shared" si="16"/>
        <v>2182.6799999999998</v>
      </c>
      <c r="Y136" s="19" t="s">
        <v>284</v>
      </c>
      <c r="AB136" s="10">
        <f t="shared" si="17"/>
        <v>50104.46</v>
      </c>
    </row>
    <row r="137" spans="1:28">
      <c r="A137" s="20" t="s">
        <v>475</v>
      </c>
      <c r="B137" s="13" t="s">
        <v>324</v>
      </c>
      <c r="C137" s="20" t="s">
        <v>7</v>
      </c>
      <c r="D137" s="20">
        <v>1</v>
      </c>
      <c r="E137" s="19"/>
      <c r="F137" s="20" t="s">
        <v>26</v>
      </c>
      <c r="G137" s="20" t="s">
        <v>15</v>
      </c>
      <c r="H137" s="23">
        <v>2268</v>
      </c>
      <c r="I137" s="3">
        <v>720</v>
      </c>
      <c r="K137" s="17">
        <f t="shared" si="12"/>
        <v>35856</v>
      </c>
      <c r="L137" s="3" t="s">
        <v>337</v>
      </c>
      <c r="M137" s="18">
        <v>0</v>
      </c>
      <c r="O137" s="5">
        <v>400</v>
      </c>
      <c r="P137" s="5" t="s">
        <v>273</v>
      </c>
      <c r="Q137" s="18">
        <f t="shared" si="13"/>
        <v>4536</v>
      </c>
      <c r="R137" s="7" t="s">
        <v>274</v>
      </c>
      <c r="S137" s="18">
        <f t="shared" si="14"/>
        <v>408.24</v>
      </c>
      <c r="T137" s="7" t="s">
        <v>277</v>
      </c>
      <c r="U137" s="15">
        <v>852</v>
      </c>
      <c r="V137" s="15">
        <f t="shared" si="15"/>
        <v>10224</v>
      </c>
      <c r="W137" s="9" t="s">
        <v>269</v>
      </c>
      <c r="X137" s="10">
        <f t="shared" si="16"/>
        <v>2449.44</v>
      </c>
      <c r="Y137" s="19" t="s">
        <v>284</v>
      </c>
      <c r="AB137" s="10">
        <f t="shared" si="17"/>
        <v>53873.68</v>
      </c>
    </row>
    <row r="138" spans="1:28">
      <c r="A138" s="20" t="s">
        <v>476</v>
      </c>
      <c r="B138" s="13" t="s">
        <v>133</v>
      </c>
      <c r="C138" s="20" t="s">
        <v>7</v>
      </c>
      <c r="D138" s="20">
        <v>1</v>
      </c>
      <c r="E138" s="19"/>
      <c r="F138" s="20" t="s">
        <v>9</v>
      </c>
      <c r="G138" s="20" t="s">
        <v>15</v>
      </c>
      <c r="H138" s="23">
        <v>2268</v>
      </c>
      <c r="I138" s="3">
        <v>720</v>
      </c>
      <c r="K138" s="17">
        <f t="shared" si="12"/>
        <v>35856</v>
      </c>
      <c r="L138" s="3" t="s">
        <v>338</v>
      </c>
      <c r="M138" s="18">
        <v>0</v>
      </c>
      <c r="O138" s="5">
        <v>400</v>
      </c>
      <c r="P138" s="5" t="s">
        <v>273</v>
      </c>
      <c r="Q138" s="18">
        <f t="shared" si="13"/>
        <v>4536</v>
      </c>
      <c r="R138" s="7" t="s">
        <v>274</v>
      </c>
      <c r="S138" s="18">
        <f t="shared" si="14"/>
        <v>408.24</v>
      </c>
      <c r="T138" s="7" t="s">
        <v>277</v>
      </c>
      <c r="U138" s="15">
        <v>852</v>
      </c>
      <c r="V138" s="15">
        <f t="shared" si="15"/>
        <v>10224</v>
      </c>
      <c r="W138" s="9" t="s">
        <v>269</v>
      </c>
      <c r="X138" s="10">
        <f t="shared" si="16"/>
        <v>2449.44</v>
      </c>
      <c r="Y138" s="19" t="s">
        <v>284</v>
      </c>
      <c r="AB138" s="10">
        <f t="shared" si="17"/>
        <v>53873.68</v>
      </c>
    </row>
    <row r="139" spans="1:28">
      <c r="A139" s="20" t="s">
        <v>477</v>
      </c>
      <c r="B139" s="13" t="s">
        <v>134</v>
      </c>
      <c r="C139" s="20" t="s">
        <v>14</v>
      </c>
      <c r="D139" s="20">
        <v>1</v>
      </c>
      <c r="E139" s="19"/>
      <c r="F139" s="20" t="s">
        <v>9</v>
      </c>
      <c r="G139" s="20" t="s">
        <v>15</v>
      </c>
      <c r="H139" s="23">
        <v>2268</v>
      </c>
      <c r="I139" s="3">
        <v>720</v>
      </c>
      <c r="K139" s="17">
        <f t="shared" si="12"/>
        <v>35856</v>
      </c>
      <c r="L139" s="3" t="s">
        <v>338</v>
      </c>
      <c r="M139" s="18">
        <v>0</v>
      </c>
      <c r="O139" s="5">
        <v>400</v>
      </c>
      <c r="P139" s="5" t="s">
        <v>273</v>
      </c>
      <c r="Q139" s="18">
        <f t="shared" si="13"/>
        <v>4536</v>
      </c>
      <c r="R139" s="7" t="s">
        <v>274</v>
      </c>
      <c r="S139" s="18">
        <f t="shared" si="14"/>
        <v>408.24</v>
      </c>
      <c r="T139" s="7" t="s">
        <v>277</v>
      </c>
      <c r="U139" s="15">
        <v>852</v>
      </c>
      <c r="V139" s="15">
        <f t="shared" si="15"/>
        <v>10224</v>
      </c>
      <c r="W139" s="9" t="s">
        <v>269</v>
      </c>
      <c r="X139" s="10">
        <f t="shared" si="16"/>
        <v>2449.44</v>
      </c>
      <c r="Y139" s="19" t="s">
        <v>284</v>
      </c>
      <c r="AB139" s="10">
        <f t="shared" si="17"/>
        <v>53873.68</v>
      </c>
    </row>
    <row r="140" spans="1:28">
      <c r="A140" s="20" t="s">
        <v>478</v>
      </c>
      <c r="B140" s="13" t="s">
        <v>135</v>
      </c>
      <c r="C140" s="20" t="s">
        <v>7</v>
      </c>
      <c r="D140" s="20">
        <v>1</v>
      </c>
      <c r="E140" s="19"/>
      <c r="F140" s="20" t="s">
        <v>9</v>
      </c>
      <c r="G140" s="20" t="s">
        <v>10</v>
      </c>
      <c r="H140" s="23">
        <v>1928</v>
      </c>
      <c r="I140" s="3">
        <v>720</v>
      </c>
      <c r="K140" s="17">
        <f t="shared" si="12"/>
        <v>31776</v>
      </c>
      <c r="L140" s="3" t="s">
        <v>338</v>
      </c>
      <c r="M140" s="18">
        <v>0</v>
      </c>
      <c r="O140" s="5">
        <v>400</v>
      </c>
      <c r="P140" s="5" t="s">
        <v>273</v>
      </c>
      <c r="Q140" s="18">
        <f t="shared" si="13"/>
        <v>3856</v>
      </c>
      <c r="R140" s="7" t="s">
        <v>274</v>
      </c>
      <c r="S140" s="18">
        <f t="shared" si="14"/>
        <v>347.03999999999996</v>
      </c>
      <c r="T140" s="7" t="s">
        <v>277</v>
      </c>
      <c r="U140" s="15">
        <v>852</v>
      </c>
      <c r="V140" s="15">
        <f t="shared" si="15"/>
        <v>10224</v>
      </c>
      <c r="W140" s="9" t="s">
        <v>269</v>
      </c>
      <c r="X140" s="10">
        <f t="shared" si="16"/>
        <v>2082.2399999999998</v>
      </c>
      <c r="Y140" s="19" t="s">
        <v>284</v>
      </c>
      <c r="AB140" s="10">
        <f t="shared" si="17"/>
        <v>48685.279999999999</v>
      </c>
    </row>
    <row r="141" spans="1:28">
      <c r="A141" s="20" t="s">
        <v>479</v>
      </c>
      <c r="B141" s="13" t="s">
        <v>136</v>
      </c>
      <c r="C141" s="20" t="s">
        <v>25</v>
      </c>
      <c r="D141" s="20">
        <v>1</v>
      </c>
      <c r="E141" s="19"/>
      <c r="F141" s="20" t="s">
        <v>9</v>
      </c>
      <c r="G141" s="20" t="s">
        <v>15</v>
      </c>
      <c r="H141" s="23">
        <v>2268</v>
      </c>
      <c r="I141" s="3">
        <v>720</v>
      </c>
      <c r="J141" s="3">
        <v>93</v>
      </c>
      <c r="K141" s="17">
        <f t="shared" si="12"/>
        <v>36972</v>
      </c>
      <c r="L141" s="3" t="s">
        <v>338</v>
      </c>
      <c r="M141" s="18">
        <v>0</v>
      </c>
      <c r="O141" s="5">
        <v>400</v>
      </c>
      <c r="P141" s="5" t="s">
        <v>273</v>
      </c>
      <c r="Q141" s="18">
        <f t="shared" si="13"/>
        <v>4722</v>
      </c>
      <c r="R141" s="7" t="s">
        <v>274</v>
      </c>
      <c r="S141" s="18">
        <f t="shared" si="14"/>
        <v>424.97999999999996</v>
      </c>
      <c r="T141" s="7" t="s">
        <v>277</v>
      </c>
      <c r="U141" s="15">
        <v>852</v>
      </c>
      <c r="V141" s="15">
        <f t="shared" si="15"/>
        <v>10224</v>
      </c>
      <c r="W141" s="9" t="s">
        <v>269</v>
      </c>
      <c r="X141" s="10">
        <f t="shared" si="16"/>
        <v>2549.8799999999997</v>
      </c>
      <c r="Y141" s="19" t="s">
        <v>284</v>
      </c>
      <c r="AB141" s="10">
        <f t="shared" si="17"/>
        <v>55292.86</v>
      </c>
    </row>
    <row r="142" spans="1:28">
      <c r="A142" s="20" t="s">
        <v>480</v>
      </c>
      <c r="B142" s="13" t="s">
        <v>137</v>
      </c>
      <c r="C142" s="20" t="s">
        <v>12</v>
      </c>
      <c r="D142" s="20">
        <v>1</v>
      </c>
      <c r="E142" s="19"/>
      <c r="F142" s="20" t="s">
        <v>26</v>
      </c>
      <c r="G142" s="20" t="s">
        <v>138</v>
      </c>
      <c r="H142" s="23">
        <v>3578</v>
      </c>
      <c r="I142" s="3">
        <v>720</v>
      </c>
      <c r="K142" s="17">
        <f t="shared" si="12"/>
        <v>51576</v>
      </c>
      <c r="L142" s="3" t="s">
        <v>339</v>
      </c>
      <c r="M142" s="18">
        <v>6319.28</v>
      </c>
      <c r="N142" s="7" t="s">
        <v>279</v>
      </c>
      <c r="O142" s="5">
        <v>400</v>
      </c>
      <c r="P142" s="5" t="s">
        <v>273</v>
      </c>
      <c r="Q142" s="18">
        <f t="shared" si="13"/>
        <v>7156</v>
      </c>
      <c r="R142" s="7" t="s">
        <v>274</v>
      </c>
      <c r="S142" s="18">
        <f t="shared" si="14"/>
        <v>644.04</v>
      </c>
      <c r="T142" s="7" t="s">
        <v>277</v>
      </c>
      <c r="U142" s="15">
        <v>1202</v>
      </c>
      <c r="V142" s="15">
        <f t="shared" si="15"/>
        <v>14424</v>
      </c>
      <c r="W142" s="9" t="s">
        <v>270</v>
      </c>
      <c r="X142" s="10">
        <f t="shared" si="16"/>
        <v>4432.9751999999999</v>
      </c>
      <c r="Y142" s="19" t="s">
        <v>284</v>
      </c>
      <c r="AB142" s="10">
        <f t="shared" si="17"/>
        <v>84952.295199999993</v>
      </c>
    </row>
    <row r="143" spans="1:28">
      <c r="A143" s="20" t="s">
        <v>481</v>
      </c>
      <c r="B143" s="13" t="s">
        <v>139</v>
      </c>
      <c r="C143" s="20" t="s">
        <v>12</v>
      </c>
      <c r="D143" s="20">
        <v>1</v>
      </c>
      <c r="E143" s="19"/>
      <c r="F143" s="20" t="s">
        <v>9</v>
      </c>
      <c r="G143" s="20" t="s">
        <v>37</v>
      </c>
      <c r="H143" s="23">
        <v>2378</v>
      </c>
      <c r="I143" s="3">
        <v>720</v>
      </c>
      <c r="J143" s="3">
        <v>93</v>
      </c>
      <c r="K143" s="17">
        <f t="shared" si="12"/>
        <v>38292</v>
      </c>
      <c r="L143" s="3" t="s">
        <v>339</v>
      </c>
      <c r="M143" s="18">
        <v>0</v>
      </c>
      <c r="O143" s="5">
        <v>400</v>
      </c>
      <c r="P143" s="5" t="s">
        <v>273</v>
      </c>
      <c r="Q143" s="18">
        <f t="shared" si="13"/>
        <v>4942</v>
      </c>
      <c r="R143" s="7" t="s">
        <v>274</v>
      </c>
      <c r="S143" s="18">
        <f t="shared" si="14"/>
        <v>444.78</v>
      </c>
      <c r="T143" s="7" t="s">
        <v>277</v>
      </c>
      <c r="U143" s="15">
        <v>1302</v>
      </c>
      <c r="V143" s="15">
        <f t="shared" si="15"/>
        <v>15624</v>
      </c>
      <c r="W143" s="9" t="s">
        <v>270</v>
      </c>
      <c r="X143" s="10">
        <f t="shared" si="16"/>
        <v>2668.68</v>
      </c>
      <c r="Y143" s="19" t="s">
        <v>284</v>
      </c>
      <c r="AB143" s="10">
        <f t="shared" si="17"/>
        <v>62371.46</v>
      </c>
    </row>
    <row r="144" spans="1:28">
      <c r="A144" s="20" t="s">
        <v>482</v>
      </c>
      <c r="B144" s="13" t="s">
        <v>140</v>
      </c>
      <c r="C144" s="20" t="s">
        <v>7</v>
      </c>
      <c r="D144" s="20">
        <v>1</v>
      </c>
      <c r="E144" s="19"/>
      <c r="F144" s="20" t="s">
        <v>9</v>
      </c>
      <c r="G144" s="20" t="s">
        <v>15</v>
      </c>
      <c r="H144" s="23">
        <v>2268</v>
      </c>
      <c r="I144" s="3">
        <v>720</v>
      </c>
      <c r="K144" s="17">
        <f t="shared" si="12"/>
        <v>35856</v>
      </c>
      <c r="L144" s="3" t="s">
        <v>338</v>
      </c>
      <c r="M144" s="18">
        <v>0</v>
      </c>
      <c r="O144" s="5">
        <v>400</v>
      </c>
      <c r="P144" s="5" t="s">
        <v>273</v>
      </c>
      <c r="Q144" s="18">
        <f t="shared" si="13"/>
        <v>4536</v>
      </c>
      <c r="R144" s="7" t="s">
        <v>274</v>
      </c>
      <c r="S144" s="18">
        <f t="shared" si="14"/>
        <v>408.24</v>
      </c>
      <c r="T144" s="7" t="s">
        <v>277</v>
      </c>
      <c r="U144" s="15">
        <v>852</v>
      </c>
      <c r="V144" s="15">
        <f t="shared" si="15"/>
        <v>10224</v>
      </c>
      <c r="W144" s="9" t="s">
        <v>269</v>
      </c>
      <c r="X144" s="10">
        <f t="shared" si="16"/>
        <v>2449.44</v>
      </c>
      <c r="Y144" s="19" t="s">
        <v>284</v>
      </c>
      <c r="AB144" s="10">
        <f t="shared" si="17"/>
        <v>53873.68</v>
      </c>
    </row>
    <row r="145" spans="1:28">
      <c r="A145" s="20" t="s">
        <v>483</v>
      </c>
      <c r="B145" s="13" t="s">
        <v>295</v>
      </c>
      <c r="C145" s="20" t="s">
        <v>7</v>
      </c>
      <c r="D145" s="20">
        <v>1</v>
      </c>
      <c r="F145" s="20" t="s">
        <v>9</v>
      </c>
      <c r="G145" s="20" t="s">
        <v>15</v>
      </c>
      <c r="H145" s="23">
        <v>2268</v>
      </c>
      <c r="I145" s="3">
        <v>720</v>
      </c>
      <c r="J145" s="3">
        <v>93</v>
      </c>
      <c r="K145" s="17">
        <f t="shared" si="12"/>
        <v>36972</v>
      </c>
      <c r="L145" s="3" t="s">
        <v>338</v>
      </c>
      <c r="M145" s="18">
        <v>0</v>
      </c>
      <c r="O145" s="5">
        <v>400</v>
      </c>
      <c r="P145" s="5" t="s">
        <v>273</v>
      </c>
      <c r="Q145" s="18">
        <f t="shared" si="13"/>
        <v>4722</v>
      </c>
      <c r="R145" s="7" t="s">
        <v>274</v>
      </c>
      <c r="S145" s="18">
        <f t="shared" si="14"/>
        <v>424.97999999999996</v>
      </c>
      <c r="T145" s="7" t="s">
        <v>277</v>
      </c>
      <c r="U145" s="15">
        <v>852</v>
      </c>
      <c r="V145" s="15">
        <f t="shared" si="15"/>
        <v>10224</v>
      </c>
      <c r="W145" s="9" t="s">
        <v>269</v>
      </c>
      <c r="X145" s="10">
        <f t="shared" si="16"/>
        <v>2549.8799999999997</v>
      </c>
      <c r="Y145" s="19" t="s">
        <v>284</v>
      </c>
      <c r="AB145" s="10">
        <f t="shared" si="17"/>
        <v>55292.86</v>
      </c>
    </row>
    <row r="146" spans="1:28">
      <c r="A146" s="20" t="s">
        <v>484</v>
      </c>
      <c r="B146" s="13" t="s">
        <v>141</v>
      </c>
      <c r="C146" s="20" t="s">
        <v>7</v>
      </c>
      <c r="D146" s="20">
        <v>1</v>
      </c>
      <c r="E146" s="19" t="s">
        <v>8</v>
      </c>
      <c r="F146" s="20" t="s">
        <v>9</v>
      </c>
      <c r="G146" s="20" t="s">
        <v>15</v>
      </c>
      <c r="H146" s="23">
        <v>2268</v>
      </c>
      <c r="I146" s="3">
        <v>720</v>
      </c>
      <c r="K146" s="17">
        <f t="shared" si="12"/>
        <v>35856</v>
      </c>
      <c r="L146" s="3" t="s">
        <v>338</v>
      </c>
      <c r="M146" s="18">
        <v>0</v>
      </c>
      <c r="O146" s="5">
        <v>400</v>
      </c>
      <c r="P146" s="5" t="s">
        <v>273</v>
      </c>
      <c r="Q146" s="18">
        <f t="shared" si="13"/>
        <v>4536</v>
      </c>
      <c r="R146" s="7" t="s">
        <v>274</v>
      </c>
      <c r="S146" s="18">
        <f t="shared" si="14"/>
        <v>408.24</v>
      </c>
      <c r="T146" s="7" t="s">
        <v>277</v>
      </c>
      <c r="U146" s="15">
        <v>852</v>
      </c>
      <c r="V146" s="15">
        <f t="shared" si="15"/>
        <v>10224</v>
      </c>
      <c r="W146" s="9" t="s">
        <v>269</v>
      </c>
      <c r="X146" s="10">
        <f t="shared" si="16"/>
        <v>2449.44</v>
      </c>
      <c r="Y146" s="19" t="s">
        <v>284</v>
      </c>
      <c r="AB146" s="10">
        <f t="shared" si="17"/>
        <v>53873.68</v>
      </c>
    </row>
    <row r="147" spans="1:28">
      <c r="A147" s="20" t="s">
        <v>485</v>
      </c>
      <c r="B147" s="13" t="s">
        <v>142</v>
      </c>
      <c r="C147" s="20" t="s">
        <v>7</v>
      </c>
      <c r="D147" s="20">
        <v>1</v>
      </c>
      <c r="E147" s="19"/>
      <c r="F147" s="20" t="s">
        <v>9</v>
      </c>
      <c r="G147" s="20" t="s">
        <v>15</v>
      </c>
      <c r="H147" s="23">
        <v>2268</v>
      </c>
      <c r="I147" s="3">
        <v>720</v>
      </c>
      <c r="K147" s="17">
        <f t="shared" si="12"/>
        <v>35856</v>
      </c>
      <c r="L147" s="3" t="s">
        <v>338</v>
      </c>
      <c r="M147" s="18">
        <v>0</v>
      </c>
      <c r="O147" s="5">
        <v>400</v>
      </c>
      <c r="P147" s="5" t="s">
        <v>273</v>
      </c>
      <c r="Q147" s="18">
        <f t="shared" si="13"/>
        <v>4536</v>
      </c>
      <c r="R147" s="7" t="s">
        <v>274</v>
      </c>
      <c r="S147" s="18">
        <f t="shared" si="14"/>
        <v>408.24</v>
      </c>
      <c r="T147" s="7" t="s">
        <v>277</v>
      </c>
      <c r="U147" s="15">
        <v>852</v>
      </c>
      <c r="V147" s="15">
        <f t="shared" si="15"/>
        <v>10224</v>
      </c>
      <c r="W147" s="9" t="s">
        <v>269</v>
      </c>
      <c r="X147" s="10">
        <f t="shared" si="16"/>
        <v>2449.44</v>
      </c>
      <c r="Y147" s="19" t="s">
        <v>284</v>
      </c>
      <c r="AB147" s="10">
        <f t="shared" si="17"/>
        <v>53873.68</v>
      </c>
    </row>
    <row r="148" spans="1:28">
      <c r="A148" s="20" t="s">
        <v>486</v>
      </c>
      <c r="B148" s="13" t="s">
        <v>143</v>
      </c>
      <c r="C148" s="20" t="s">
        <v>25</v>
      </c>
      <c r="D148" s="20">
        <v>1</v>
      </c>
      <c r="E148" s="19"/>
      <c r="F148" s="20" t="s">
        <v>9</v>
      </c>
      <c r="G148" s="20" t="s">
        <v>10</v>
      </c>
      <c r="H148" s="23">
        <v>1928</v>
      </c>
      <c r="I148" s="3">
        <v>720</v>
      </c>
      <c r="K148" s="17">
        <f t="shared" si="12"/>
        <v>31776</v>
      </c>
      <c r="L148" s="3" t="s">
        <v>338</v>
      </c>
      <c r="M148" s="18">
        <v>0</v>
      </c>
      <c r="O148" s="5">
        <v>400</v>
      </c>
      <c r="P148" s="5" t="s">
        <v>273</v>
      </c>
      <c r="Q148" s="18">
        <f t="shared" si="13"/>
        <v>3856</v>
      </c>
      <c r="R148" s="7" t="s">
        <v>274</v>
      </c>
      <c r="S148" s="18">
        <f t="shared" si="14"/>
        <v>347.03999999999996</v>
      </c>
      <c r="T148" s="7" t="s">
        <v>277</v>
      </c>
      <c r="U148" s="15">
        <v>852</v>
      </c>
      <c r="V148" s="15">
        <f t="shared" si="15"/>
        <v>10224</v>
      </c>
      <c r="W148" s="9" t="s">
        <v>269</v>
      </c>
      <c r="X148" s="10">
        <f t="shared" si="16"/>
        <v>2082.2399999999998</v>
      </c>
      <c r="Y148" s="19" t="s">
        <v>284</v>
      </c>
      <c r="AB148" s="10">
        <f t="shared" si="17"/>
        <v>48685.279999999999</v>
      </c>
    </row>
    <row r="149" spans="1:28">
      <c r="A149" s="20" t="s">
        <v>487</v>
      </c>
      <c r="B149" s="13" t="s">
        <v>144</v>
      </c>
      <c r="C149" s="20" t="s">
        <v>7</v>
      </c>
      <c r="D149" s="20">
        <v>1</v>
      </c>
      <c r="E149" s="19"/>
      <c r="F149" s="20" t="s">
        <v>9</v>
      </c>
      <c r="G149" s="20" t="s">
        <v>15</v>
      </c>
      <c r="H149" s="23">
        <v>2268</v>
      </c>
      <c r="I149" s="3">
        <v>720</v>
      </c>
      <c r="K149" s="17">
        <f t="shared" si="12"/>
        <v>35856</v>
      </c>
      <c r="L149" s="3" t="s">
        <v>338</v>
      </c>
      <c r="M149" s="18">
        <v>0</v>
      </c>
      <c r="O149" s="5">
        <v>400</v>
      </c>
      <c r="P149" s="5" t="s">
        <v>273</v>
      </c>
      <c r="Q149" s="18">
        <f t="shared" si="13"/>
        <v>4536</v>
      </c>
      <c r="R149" s="7" t="s">
        <v>274</v>
      </c>
      <c r="S149" s="18">
        <f t="shared" si="14"/>
        <v>408.24</v>
      </c>
      <c r="T149" s="7" t="s">
        <v>277</v>
      </c>
      <c r="U149" s="15">
        <v>852</v>
      </c>
      <c r="V149" s="15">
        <f t="shared" si="15"/>
        <v>10224</v>
      </c>
      <c r="W149" s="9" t="s">
        <v>269</v>
      </c>
      <c r="X149" s="10">
        <f t="shared" si="16"/>
        <v>2449.44</v>
      </c>
      <c r="Y149" s="19" t="s">
        <v>284</v>
      </c>
      <c r="AB149" s="10">
        <f t="shared" si="17"/>
        <v>53873.68</v>
      </c>
    </row>
    <row r="150" spans="1:28">
      <c r="A150" s="20" t="s">
        <v>488</v>
      </c>
      <c r="B150" s="13" t="s">
        <v>145</v>
      </c>
      <c r="C150" s="20" t="s">
        <v>12</v>
      </c>
      <c r="D150" s="20">
        <v>1</v>
      </c>
      <c r="E150" s="19"/>
      <c r="F150" s="20" t="s">
        <v>9</v>
      </c>
      <c r="G150" s="20" t="s">
        <v>37</v>
      </c>
      <c r="H150" s="23">
        <v>2378</v>
      </c>
      <c r="I150" s="3">
        <v>720</v>
      </c>
      <c r="K150" s="17">
        <f t="shared" si="12"/>
        <v>37176</v>
      </c>
      <c r="L150" s="3" t="s">
        <v>339</v>
      </c>
      <c r="M150" s="18">
        <v>0</v>
      </c>
      <c r="O150" s="5">
        <v>400</v>
      </c>
      <c r="P150" s="5" t="s">
        <v>273</v>
      </c>
      <c r="Q150" s="18">
        <f t="shared" si="13"/>
        <v>4756</v>
      </c>
      <c r="R150" s="7" t="s">
        <v>274</v>
      </c>
      <c r="S150" s="18">
        <f t="shared" si="14"/>
        <v>428.03999999999996</v>
      </c>
      <c r="T150" s="7" t="s">
        <v>277</v>
      </c>
      <c r="U150" s="15">
        <v>1302</v>
      </c>
      <c r="V150" s="15">
        <f t="shared" si="15"/>
        <v>15624</v>
      </c>
      <c r="W150" s="9" t="s">
        <v>270</v>
      </c>
      <c r="X150" s="10">
        <f t="shared" si="16"/>
        <v>2568.2399999999998</v>
      </c>
      <c r="Y150" s="19" t="s">
        <v>284</v>
      </c>
      <c r="AB150" s="10">
        <f t="shared" si="17"/>
        <v>60952.28</v>
      </c>
    </row>
    <row r="151" spans="1:28">
      <c r="A151" s="20" t="s">
        <v>489</v>
      </c>
      <c r="B151" s="13" t="s">
        <v>146</v>
      </c>
      <c r="C151" s="20" t="s">
        <v>7</v>
      </c>
      <c r="D151" s="20">
        <v>1</v>
      </c>
      <c r="F151" s="20" t="s">
        <v>9</v>
      </c>
      <c r="G151" s="20" t="s">
        <v>10</v>
      </c>
      <c r="H151" s="23">
        <v>1928</v>
      </c>
      <c r="I151" s="3">
        <v>720</v>
      </c>
      <c r="J151" s="3">
        <v>93</v>
      </c>
      <c r="K151" s="17">
        <f t="shared" si="12"/>
        <v>32892</v>
      </c>
      <c r="L151" s="3" t="s">
        <v>338</v>
      </c>
      <c r="M151" s="18">
        <v>0</v>
      </c>
      <c r="O151" s="5">
        <v>400</v>
      </c>
      <c r="P151" s="5" t="s">
        <v>273</v>
      </c>
      <c r="Q151" s="18">
        <f t="shared" si="13"/>
        <v>4042</v>
      </c>
      <c r="R151" s="7" t="s">
        <v>274</v>
      </c>
      <c r="S151" s="18">
        <f t="shared" si="14"/>
        <v>363.78</v>
      </c>
      <c r="T151" s="7" t="s">
        <v>277</v>
      </c>
      <c r="U151" s="15">
        <v>852</v>
      </c>
      <c r="V151" s="15">
        <f t="shared" si="15"/>
        <v>10224</v>
      </c>
      <c r="W151" s="9" t="s">
        <v>269</v>
      </c>
      <c r="X151" s="10">
        <f t="shared" si="16"/>
        <v>2182.6799999999998</v>
      </c>
      <c r="Y151" s="19" t="s">
        <v>284</v>
      </c>
      <c r="AB151" s="10">
        <f t="shared" si="17"/>
        <v>50104.46</v>
      </c>
    </row>
    <row r="152" spans="1:28">
      <c r="A152" s="20" t="s">
        <v>490</v>
      </c>
      <c r="B152" s="13" t="s">
        <v>325</v>
      </c>
      <c r="C152" s="20" t="s">
        <v>45</v>
      </c>
      <c r="D152" s="20">
        <v>1</v>
      </c>
      <c r="E152" s="19" t="s">
        <v>8</v>
      </c>
      <c r="F152" s="20" t="s">
        <v>9</v>
      </c>
      <c r="G152" s="20" t="s">
        <v>46</v>
      </c>
      <c r="H152" s="23">
        <v>5478</v>
      </c>
      <c r="I152" s="3">
        <v>720</v>
      </c>
      <c r="J152" s="3">
        <v>93</v>
      </c>
      <c r="K152" s="17">
        <f t="shared" si="12"/>
        <v>75492</v>
      </c>
      <c r="L152" s="3" t="s">
        <v>338</v>
      </c>
      <c r="M152" s="18">
        <v>0</v>
      </c>
      <c r="O152" s="5">
        <v>400</v>
      </c>
      <c r="P152" s="5" t="s">
        <v>273</v>
      </c>
      <c r="Q152" s="18">
        <f t="shared" si="13"/>
        <v>11142</v>
      </c>
      <c r="R152" s="7" t="s">
        <v>274</v>
      </c>
      <c r="S152" s="18">
        <f t="shared" si="14"/>
        <v>1002.78</v>
      </c>
      <c r="T152" s="7" t="s">
        <v>277</v>
      </c>
      <c r="U152" s="15">
        <v>1302</v>
      </c>
      <c r="V152" s="15">
        <f t="shared" si="15"/>
        <v>15624</v>
      </c>
      <c r="W152" s="9" t="s">
        <v>269</v>
      </c>
      <c r="X152" s="10">
        <f t="shared" si="16"/>
        <v>6016.68</v>
      </c>
      <c r="Y152" s="19" t="s">
        <v>284</v>
      </c>
      <c r="AB152" s="10">
        <f t="shared" si="17"/>
        <v>109677.45999999999</v>
      </c>
    </row>
    <row r="153" spans="1:28">
      <c r="A153" s="20" t="s">
        <v>491</v>
      </c>
      <c r="B153" s="13" t="s">
        <v>147</v>
      </c>
      <c r="C153" s="20" t="s">
        <v>36</v>
      </c>
      <c r="D153" s="20">
        <v>1</v>
      </c>
      <c r="E153" s="19"/>
      <c r="F153" s="20" t="s">
        <v>9</v>
      </c>
      <c r="G153" s="20" t="s">
        <v>16</v>
      </c>
      <c r="H153" s="23">
        <v>3478</v>
      </c>
      <c r="I153" s="3">
        <v>720</v>
      </c>
      <c r="K153" s="17">
        <f t="shared" si="12"/>
        <v>50376</v>
      </c>
      <c r="L153" s="3" t="s">
        <v>338</v>
      </c>
      <c r="M153" s="18">
        <v>0</v>
      </c>
      <c r="O153" s="5">
        <v>400</v>
      </c>
      <c r="P153" s="5" t="s">
        <v>273</v>
      </c>
      <c r="Q153" s="18">
        <f t="shared" si="13"/>
        <v>6956</v>
      </c>
      <c r="R153" s="7" t="s">
        <v>274</v>
      </c>
      <c r="S153" s="18">
        <f t="shared" si="14"/>
        <v>626.04</v>
      </c>
      <c r="T153" s="7" t="s">
        <v>277</v>
      </c>
      <c r="U153" s="15">
        <v>1302</v>
      </c>
      <c r="V153" s="15">
        <f t="shared" si="15"/>
        <v>15624</v>
      </c>
      <c r="W153" s="9" t="s">
        <v>269</v>
      </c>
      <c r="X153" s="10">
        <f t="shared" si="16"/>
        <v>3756.24</v>
      </c>
      <c r="Y153" s="19" t="s">
        <v>284</v>
      </c>
      <c r="AB153" s="10">
        <f t="shared" si="17"/>
        <v>77738.280000000013</v>
      </c>
    </row>
    <row r="154" spans="1:28">
      <c r="A154" s="20">
        <v>43316537</v>
      </c>
      <c r="B154" s="13" t="s">
        <v>652</v>
      </c>
      <c r="C154" s="20" t="s">
        <v>36</v>
      </c>
      <c r="D154" s="20">
        <v>1</v>
      </c>
      <c r="E154" s="19"/>
      <c r="F154" s="20" t="s">
        <v>9</v>
      </c>
      <c r="G154" s="20" t="s">
        <v>37</v>
      </c>
      <c r="H154" s="23">
        <v>2378</v>
      </c>
      <c r="I154" s="3">
        <v>720</v>
      </c>
      <c r="K154" s="17">
        <f t="shared" si="12"/>
        <v>37176</v>
      </c>
      <c r="L154" s="3" t="s">
        <v>339</v>
      </c>
      <c r="M154" s="18">
        <v>0</v>
      </c>
      <c r="O154" s="5">
        <v>400</v>
      </c>
      <c r="P154" s="5" t="s">
        <v>273</v>
      </c>
      <c r="Q154" s="18">
        <f t="shared" si="13"/>
        <v>4756</v>
      </c>
      <c r="R154" s="7" t="s">
        <v>274</v>
      </c>
      <c r="S154" s="18">
        <f t="shared" si="14"/>
        <v>428.03999999999996</v>
      </c>
      <c r="T154" s="7" t="s">
        <v>277</v>
      </c>
      <c r="U154" s="15">
        <v>1302</v>
      </c>
      <c r="V154" s="15">
        <f t="shared" si="15"/>
        <v>15624</v>
      </c>
      <c r="W154" s="9" t="s">
        <v>270</v>
      </c>
      <c r="X154" s="10">
        <f t="shared" si="16"/>
        <v>2568.2399999999998</v>
      </c>
      <c r="Y154" s="19" t="s">
        <v>284</v>
      </c>
      <c r="AB154" s="10">
        <f t="shared" si="17"/>
        <v>60952.28</v>
      </c>
    </row>
    <row r="155" spans="1:28">
      <c r="A155" s="20" t="s">
        <v>660</v>
      </c>
      <c r="B155" s="13" t="s">
        <v>661</v>
      </c>
      <c r="C155" s="20" t="s">
        <v>12</v>
      </c>
      <c r="D155" s="20">
        <v>1</v>
      </c>
      <c r="E155" s="19"/>
      <c r="F155" s="20" t="s">
        <v>26</v>
      </c>
      <c r="G155" s="20" t="s">
        <v>166</v>
      </c>
      <c r="H155" s="23">
        <v>2378</v>
      </c>
      <c r="I155" s="3">
        <v>720</v>
      </c>
      <c r="K155" s="17">
        <f t="shared" si="12"/>
        <v>37176</v>
      </c>
      <c r="L155" s="3" t="s">
        <v>339</v>
      </c>
      <c r="M155" s="18">
        <v>0</v>
      </c>
      <c r="O155" s="5">
        <v>400</v>
      </c>
      <c r="P155" s="5" t="s">
        <v>273</v>
      </c>
      <c r="Q155" s="18">
        <f t="shared" si="13"/>
        <v>4756</v>
      </c>
      <c r="R155" s="7" t="s">
        <v>274</v>
      </c>
      <c r="S155" s="18">
        <f t="shared" si="14"/>
        <v>428.03999999999996</v>
      </c>
      <c r="T155" s="7" t="s">
        <v>277</v>
      </c>
      <c r="U155" s="15">
        <v>1302</v>
      </c>
      <c r="V155" s="15">
        <f t="shared" si="15"/>
        <v>15624</v>
      </c>
      <c r="W155" s="9" t="s">
        <v>270</v>
      </c>
      <c r="X155" s="10">
        <f t="shared" si="16"/>
        <v>2568.2399999999998</v>
      </c>
      <c r="Y155" s="19" t="s">
        <v>284</v>
      </c>
      <c r="AB155" s="10">
        <f t="shared" si="17"/>
        <v>60952.28</v>
      </c>
    </row>
    <row r="156" spans="1:28">
      <c r="A156" s="20" t="s">
        <v>492</v>
      </c>
      <c r="B156" s="13" t="s">
        <v>148</v>
      </c>
      <c r="C156" s="20" t="s">
        <v>12</v>
      </c>
      <c r="D156" s="20">
        <v>1</v>
      </c>
      <c r="E156" s="19"/>
      <c r="F156" s="20" t="s">
        <v>9</v>
      </c>
      <c r="G156" s="20" t="s">
        <v>37</v>
      </c>
      <c r="H156" s="23">
        <v>2378</v>
      </c>
      <c r="I156" s="3">
        <v>720</v>
      </c>
      <c r="K156" s="17">
        <f t="shared" si="12"/>
        <v>37176</v>
      </c>
      <c r="L156" s="3" t="s">
        <v>339</v>
      </c>
      <c r="M156" s="18">
        <v>0</v>
      </c>
      <c r="O156" s="5">
        <v>400</v>
      </c>
      <c r="P156" s="5" t="s">
        <v>273</v>
      </c>
      <c r="Q156" s="18">
        <f t="shared" si="13"/>
        <v>4756</v>
      </c>
      <c r="R156" s="7" t="s">
        <v>274</v>
      </c>
      <c r="S156" s="18">
        <f t="shared" si="14"/>
        <v>428.03999999999996</v>
      </c>
      <c r="T156" s="7" t="s">
        <v>277</v>
      </c>
      <c r="U156" s="15">
        <v>1302</v>
      </c>
      <c r="V156" s="15">
        <f t="shared" si="15"/>
        <v>15624</v>
      </c>
      <c r="W156" s="9" t="s">
        <v>270</v>
      </c>
      <c r="X156" s="10">
        <f t="shared" si="16"/>
        <v>2568.2399999999998</v>
      </c>
      <c r="Y156" s="19" t="s">
        <v>284</v>
      </c>
      <c r="AB156" s="10">
        <f t="shared" si="17"/>
        <v>60952.28</v>
      </c>
    </row>
    <row r="157" spans="1:28">
      <c r="A157" s="20" t="s">
        <v>493</v>
      </c>
      <c r="B157" s="13" t="s">
        <v>149</v>
      </c>
      <c r="C157" s="20" t="s">
        <v>7</v>
      </c>
      <c r="D157" s="20">
        <v>1</v>
      </c>
      <c r="E157" s="19"/>
      <c r="F157" s="20" t="s">
        <v>9</v>
      </c>
      <c r="G157" s="20" t="s">
        <v>10</v>
      </c>
      <c r="H157" s="23">
        <v>1928</v>
      </c>
      <c r="I157" s="3">
        <v>720</v>
      </c>
      <c r="K157" s="17">
        <f t="shared" si="12"/>
        <v>31776</v>
      </c>
      <c r="L157" s="3" t="s">
        <v>338</v>
      </c>
      <c r="M157" s="18">
        <v>0</v>
      </c>
      <c r="O157" s="5">
        <v>400</v>
      </c>
      <c r="P157" s="5" t="s">
        <v>273</v>
      </c>
      <c r="Q157" s="18">
        <f t="shared" si="13"/>
        <v>3856</v>
      </c>
      <c r="R157" s="7" t="s">
        <v>274</v>
      </c>
      <c r="S157" s="18">
        <f t="shared" si="14"/>
        <v>347.03999999999996</v>
      </c>
      <c r="T157" s="7" t="s">
        <v>277</v>
      </c>
      <c r="U157" s="15">
        <v>852</v>
      </c>
      <c r="V157" s="15">
        <f t="shared" si="15"/>
        <v>10224</v>
      </c>
      <c r="W157" s="9" t="s">
        <v>269</v>
      </c>
      <c r="X157" s="10">
        <f t="shared" si="16"/>
        <v>2082.2399999999998</v>
      </c>
      <c r="Y157" s="19" t="s">
        <v>284</v>
      </c>
      <c r="Z157" s="10"/>
      <c r="AB157" s="10">
        <f t="shared" si="17"/>
        <v>48685.279999999999</v>
      </c>
    </row>
    <row r="158" spans="1:28">
      <c r="A158" s="20" t="s">
        <v>494</v>
      </c>
      <c r="B158" s="13" t="s">
        <v>150</v>
      </c>
      <c r="C158" s="20" t="s">
        <v>7</v>
      </c>
      <c r="D158" s="20">
        <v>1</v>
      </c>
      <c r="E158" s="19"/>
      <c r="F158" s="20" t="s">
        <v>9</v>
      </c>
      <c r="G158" s="20" t="s">
        <v>10</v>
      </c>
      <c r="H158" s="23">
        <v>1928</v>
      </c>
      <c r="I158" s="3">
        <v>720</v>
      </c>
      <c r="J158" s="3">
        <v>93</v>
      </c>
      <c r="K158" s="17">
        <f t="shared" si="12"/>
        <v>32892</v>
      </c>
      <c r="L158" s="3" t="s">
        <v>338</v>
      </c>
      <c r="M158" s="18">
        <v>0</v>
      </c>
      <c r="O158" s="5">
        <v>400</v>
      </c>
      <c r="P158" s="5" t="s">
        <v>273</v>
      </c>
      <c r="Q158" s="18">
        <f t="shared" si="13"/>
        <v>4042</v>
      </c>
      <c r="R158" s="7" t="s">
        <v>274</v>
      </c>
      <c r="S158" s="18">
        <f t="shared" si="14"/>
        <v>363.78</v>
      </c>
      <c r="T158" s="7" t="s">
        <v>277</v>
      </c>
      <c r="U158" s="15">
        <v>852</v>
      </c>
      <c r="V158" s="15">
        <f t="shared" si="15"/>
        <v>10224</v>
      </c>
      <c r="W158" s="9" t="s">
        <v>269</v>
      </c>
      <c r="X158" s="10">
        <f t="shared" si="16"/>
        <v>2182.6799999999998</v>
      </c>
      <c r="Y158" s="19" t="s">
        <v>284</v>
      </c>
      <c r="AB158" s="10">
        <f t="shared" si="17"/>
        <v>50104.46</v>
      </c>
    </row>
    <row r="159" spans="1:28">
      <c r="A159" s="20" t="s">
        <v>495</v>
      </c>
      <c r="B159" s="13" t="s">
        <v>151</v>
      </c>
      <c r="C159" s="20" t="s">
        <v>12</v>
      </c>
      <c r="D159" s="20">
        <v>1</v>
      </c>
      <c r="E159" s="19"/>
      <c r="F159" s="20" t="s">
        <v>9</v>
      </c>
      <c r="G159" s="20" t="s">
        <v>152</v>
      </c>
      <c r="H159" s="23">
        <v>1928</v>
      </c>
      <c r="I159" s="3">
        <v>720</v>
      </c>
      <c r="J159" s="3">
        <v>93</v>
      </c>
      <c r="K159" s="17">
        <f t="shared" si="12"/>
        <v>32892</v>
      </c>
      <c r="L159" s="3" t="s">
        <v>340</v>
      </c>
      <c r="M159" s="18">
        <v>0</v>
      </c>
      <c r="O159" s="5">
        <v>400</v>
      </c>
      <c r="P159" s="5" t="s">
        <v>273</v>
      </c>
      <c r="Q159" s="18">
        <f t="shared" si="13"/>
        <v>4042</v>
      </c>
      <c r="R159" s="7" t="s">
        <v>274</v>
      </c>
      <c r="S159" s="18">
        <f t="shared" si="14"/>
        <v>363.78</v>
      </c>
      <c r="T159" s="7" t="s">
        <v>277</v>
      </c>
      <c r="U159" s="15">
        <v>852</v>
      </c>
      <c r="V159" s="15">
        <f t="shared" si="15"/>
        <v>10224</v>
      </c>
      <c r="W159" s="9" t="s">
        <v>270</v>
      </c>
      <c r="X159" s="10">
        <f t="shared" si="16"/>
        <v>2182.6799999999998</v>
      </c>
      <c r="Y159" s="19" t="s">
        <v>284</v>
      </c>
      <c r="Z159" s="10"/>
      <c r="AB159" s="10">
        <f t="shared" si="17"/>
        <v>50104.46</v>
      </c>
    </row>
    <row r="160" spans="1:28">
      <c r="A160" s="20" t="s">
        <v>496</v>
      </c>
      <c r="B160" s="13" t="s">
        <v>153</v>
      </c>
      <c r="C160" s="20" t="s">
        <v>7</v>
      </c>
      <c r="D160" s="20">
        <v>1</v>
      </c>
      <c r="E160" s="19"/>
      <c r="F160" s="20" t="s">
        <v>26</v>
      </c>
      <c r="G160" s="20" t="s">
        <v>15</v>
      </c>
      <c r="H160" s="23">
        <v>2268</v>
      </c>
      <c r="I160" s="3">
        <v>720</v>
      </c>
      <c r="J160" s="3">
        <v>93</v>
      </c>
      <c r="K160" s="17">
        <f t="shared" si="12"/>
        <v>36972</v>
      </c>
      <c r="L160" s="3" t="s">
        <v>337</v>
      </c>
      <c r="M160" s="18">
        <v>0</v>
      </c>
      <c r="O160" s="5">
        <v>400</v>
      </c>
      <c r="P160" s="5" t="s">
        <v>273</v>
      </c>
      <c r="Q160" s="18">
        <f t="shared" si="13"/>
        <v>4722</v>
      </c>
      <c r="R160" s="7" t="s">
        <v>274</v>
      </c>
      <c r="S160" s="18">
        <f t="shared" si="14"/>
        <v>424.97999999999996</v>
      </c>
      <c r="T160" s="7" t="s">
        <v>277</v>
      </c>
      <c r="U160" s="15">
        <v>852</v>
      </c>
      <c r="V160" s="15">
        <f t="shared" si="15"/>
        <v>10224</v>
      </c>
      <c r="W160" s="9" t="s">
        <v>269</v>
      </c>
      <c r="X160" s="10">
        <f t="shared" si="16"/>
        <v>2549.8799999999997</v>
      </c>
      <c r="Y160" s="19" t="s">
        <v>284</v>
      </c>
      <c r="AB160" s="10">
        <f t="shared" si="17"/>
        <v>55292.86</v>
      </c>
    </row>
    <row r="161" spans="1:28">
      <c r="A161" s="34" t="s">
        <v>657</v>
      </c>
      <c r="B161" s="36" t="s">
        <v>658</v>
      </c>
      <c r="C161" s="20" t="s">
        <v>7</v>
      </c>
      <c r="D161" s="20">
        <v>1</v>
      </c>
      <c r="E161" s="19"/>
      <c r="F161" s="20" t="s">
        <v>9</v>
      </c>
      <c r="G161" s="20" t="s">
        <v>15</v>
      </c>
      <c r="H161" s="23">
        <v>2268</v>
      </c>
      <c r="I161" s="3">
        <v>720</v>
      </c>
      <c r="K161" s="17">
        <f t="shared" si="12"/>
        <v>35856</v>
      </c>
      <c r="L161" s="3" t="s">
        <v>338</v>
      </c>
      <c r="M161" s="18">
        <v>0</v>
      </c>
      <c r="O161" s="5">
        <v>400</v>
      </c>
      <c r="P161" s="5" t="s">
        <v>273</v>
      </c>
      <c r="Q161" s="18">
        <f t="shared" si="13"/>
        <v>4536</v>
      </c>
      <c r="R161" s="7" t="s">
        <v>274</v>
      </c>
      <c r="S161" s="18">
        <f t="shared" si="14"/>
        <v>408.24</v>
      </c>
      <c r="T161" s="7" t="s">
        <v>277</v>
      </c>
      <c r="U161" s="15">
        <v>852</v>
      </c>
      <c r="V161" s="15">
        <f t="shared" si="15"/>
        <v>10224</v>
      </c>
      <c r="W161" s="9" t="s">
        <v>269</v>
      </c>
      <c r="X161" s="10">
        <f t="shared" si="16"/>
        <v>2449.44</v>
      </c>
      <c r="Y161" s="19" t="s">
        <v>284</v>
      </c>
      <c r="AB161" s="10">
        <f t="shared" si="17"/>
        <v>53873.68</v>
      </c>
    </row>
    <row r="162" spans="1:28">
      <c r="A162" s="20" t="s">
        <v>497</v>
      </c>
      <c r="B162" s="13" t="s">
        <v>154</v>
      </c>
      <c r="C162" s="20" t="s">
        <v>14</v>
      </c>
      <c r="D162" s="20">
        <v>1</v>
      </c>
      <c r="E162" s="19"/>
      <c r="F162" s="20" t="s">
        <v>9</v>
      </c>
      <c r="G162" s="20" t="s">
        <v>15</v>
      </c>
      <c r="H162" s="23">
        <v>2268</v>
      </c>
      <c r="I162" s="3">
        <v>720</v>
      </c>
      <c r="K162" s="17">
        <f t="shared" si="12"/>
        <v>35856</v>
      </c>
      <c r="L162" s="3" t="s">
        <v>338</v>
      </c>
      <c r="M162" s="18">
        <v>0</v>
      </c>
      <c r="O162" s="5">
        <v>400</v>
      </c>
      <c r="P162" s="5" t="s">
        <v>273</v>
      </c>
      <c r="Q162" s="18">
        <f t="shared" si="13"/>
        <v>4536</v>
      </c>
      <c r="R162" s="7" t="s">
        <v>274</v>
      </c>
      <c r="S162" s="18">
        <f t="shared" si="14"/>
        <v>408.24</v>
      </c>
      <c r="T162" s="7" t="s">
        <v>277</v>
      </c>
      <c r="U162" s="15">
        <v>852</v>
      </c>
      <c r="V162" s="15">
        <f t="shared" si="15"/>
        <v>10224</v>
      </c>
      <c r="W162" s="9" t="s">
        <v>269</v>
      </c>
      <c r="X162" s="10">
        <f t="shared" si="16"/>
        <v>2449.44</v>
      </c>
      <c r="Y162" s="19" t="s">
        <v>284</v>
      </c>
      <c r="Z162" s="10"/>
      <c r="AB162" s="10">
        <f t="shared" si="17"/>
        <v>53873.68</v>
      </c>
    </row>
    <row r="163" spans="1:28">
      <c r="A163" s="20" t="s">
        <v>498</v>
      </c>
      <c r="B163" s="13" t="s">
        <v>155</v>
      </c>
      <c r="C163" s="20" t="s">
        <v>7</v>
      </c>
      <c r="D163" s="20">
        <v>1</v>
      </c>
      <c r="E163" s="19"/>
      <c r="F163" s="20" t="s">
        <v>9</v>
      </c>
      <c r="G163" s="20" t="s">
        <v>15</v>
      </c>
      <c r="H163" s="23">
        <v>2268</v>
      </c>
      <c r="I163" s="3">
        <v>720</v>
      </c>
      <c r="K163" s="17">
        <f t="shared" si="12"/>
        <v>35856</v>
      </c>
      <c r="L163" s="3" t="s">
        <v>338</v>
      </c>
      <c r="M163" s="18">
        <v>0</v>
      </c>
      <c r="O163" s="5">
        <v>400</v>
      </c>
      <c r="P163" s="5" t="s">
        <v>273</v>
      </c>
      <c r="Q163" s="18">
        <f t="shared" si="13"/>
        <v>4536</v>
      </c>
      <c r="R163" s="7" t="s">
        <v>274</v>
      </c>
      <c r="S163" s="18">
        <f t="shared" si="14"/>
        <v>408.24</v>
      </c>
      <c r="T163" s="7" t="s">
        <v>277</v>
      </c>
      <c r="U163" s="15">
        <v>852</v>
      </c>
      <c r="V163" s="15">
        <f t="shared" si="15"/>
        <v>10224</v>
      </c>
      <c r="W163" s="9" t="s">
        <v>269</v>
      </c>
      <c r="X163" s="10">
        <f t="shared" si="16"/>
        <v>2449.44</v>
      </c>
      <c r="Y163" s="19" t="s">
        <v>284</v>
      </c>
      <c r="AB163" s="10">
        <f t="shared" si="17"/>
        <v>53873.68</v>
      </c>
    </row>
    <row r="164" spans="1:28">
      <c r="A164" s="20" t="s">
        <v>499</v>
      </c>
      <c r="B164" s="13" t="s">
        <v>156</v>
      </c>
      <c r="C164" s="20" t="s">
        <v>7</v>
      </c>
      <c r="D164" s="20">
        <v>1</v>
      </c>
      <c r="E164" s="19"/>
      <c r="F164" s="20" t="s">
        <v>9</v>
      </c>
      <c r="G164" s="20" t="s">
        <v>10</v>
      </c>
      <c r="H164" s="23">
        <v>1928</v>
      </c>
      <c r="I164" s="3">
        <v>720</v>
      </c>
      <c r="J164" s="3">
        <v>93</v>
      </c>
      <c r="K164" s="17">
        <f t="shared" si="12"/>
        <v>32892</v>
      </c>
      <c r="L164" s="3" t="s">
        <v>338</v>
      </c>
      <c r="M164" s="18">
        <v>0</v>
      </c>
      <c r="O164" s="5">
        <v>400</v>
      </c>
      <c r="P164" s="5" t="s">
        <v>273</v>
      </c>
      <c r="Q164" s="18">
        <f t="shared" si="13"/>
        <v>4042</v>
      </c>
      <c r="R164" s="7" t="s">
        <v>274</v>
      </c>
      <c r="S164" s="18">
        <f t="shared" si="14"/>
        <v>363.78</v>
      </c>
      <c r="T164" s="7" t="s">
        <v>277</v>
      </c>
      <c r="U164" s="15">
        <v>852</v>
      </c>
      <c r="V164" s="15">
        <f t="shared" si="15"/>
        <v>10224</v>
      </c>
      <c r="W164" s="9" t="s">
        <v>269</v>
      </c>
      <c r="X164" s="10">
        <f t="shared" si="16"/>
        <v>2182.6799999999998</v>
      </c>
      <c r="Y164" s="19" t="s">
        <v>284</v>
      </c>
      <c r="Z164" s="10"/>
      <c r="AA164" s="19" t="s">
        <v>285</v>
      </c>
      <c r="AB164" s="10">
        <f t="shared" si="17"/>
        <v>50104.46</v>
      </c>
    </row>
    <row r="165" spans="1:28">
      <c r="A165" s="20" t="s">
        <v>500</v>
      </c>
      <c r="B165" s="13" t="s">
        <v>296</v>
      </c>
      <c r="C165" s="20" t="s">
        <v>14</v>
      </c>
      <c r="D165" s="20">
        <v>1</v>
      </c>
      <c r="E165" s="19"/>
      <c r="F165" s="20" t="s">
        <v>26</v>
      </c>
      <c r="G165" s="20" t="s">
        <v>15</v>
      </c>
      <c r="H165" s="23">
        <v>2268</v>
      </c>
      <c r="I165" s="3">
        <v>720</v>
      </c>
      <c r="K165" s="17">
        <f t="shared" si="12"/>
        <v>35856</v>
      </c>
      <c r="L165" s="3" t="s">
        <v>337</v>
      </c>
      <c r="M165" s="18">
        <v>0</v>
      </c>
      <c r="O165" s="5">
        <v>400</v>
      </c>
      <c r="P165" s="5" t="s">
        <v>273</v>
      </c>
      <c r="Q165" s="18">
        <f t="shared" si="13"/>
        <v>4536</v>
      </c>
      <c r="R165" s="7" t="s">
        <v>274</v>
      </c>
      <c r="S165" s="18">
        <f t="shared" si="14"/>
        <v>408.24</v>
      </c>
      <c r="T165" s="7" t="s">
        <v>277</v>
      </c>
      <c r="U165" s="15">
        <v>852</v>
      </c>
      <c r="V165" s="15">
        <f t="shared" si="15"/>
        <v>10224</v>
      </c>
      <c r="W165" s="9" t="s">
        <v>269</v>
      </c>
      <c r="X165" s="10">
        <f t="shared" si="16"/>
        <v>2449.44</v>
      </c>
      <c r="Y165" s="19" t="s">
        <v>284</v>
      </c>
      <c r="Z165" s="10"/>
      <c r="AB165" s="10">
        <f t="shared" si="17"/>
        <v>53873.68</v>
      </c>
    </row>
    <row r="166" spans="1:28">
      <c r="A166" s="20" t="s">
        <v>501</v>
      </c>
      <c r="B166" s="13" t="s">
        <v>326</v>
      </c>
      <c r="C166" s="20" t="s">
        <v>7</v>
      </c>
      <c r="D166" s="20">
        <v>1</v>
      </c>
      <c r="E166" s="19"/>
      <c r="F166" s="20" t="s">
        <v>26</v>
      </c>
      <c r="G166" s="20" t="s">
        <v>15</v>
      </c>
      <c r="H166" s="23">
        <v>2268</v>
      </c>
      <c r="I166" s="3">
        <v>720</v>
      </c>
      <c r="K166" s="17">
        <f t="shared" si="12"/>
        <v>35856</v>
      </c>
      <c r="L166" s="3" t="s">
        <v>337</v>
      </c>
      <c r="M166" s="18">
        <v>0</v>
      </c>
      <c r="O166" s="5">
        <v>400</v>
      </c>
      <c r="P166" s="5" t="s">
        <v>273</v>
      </c>
      <c r="Q166" s="18">
        <f t="shared" si="13"/>
        <v>4536</v>
      </c>
      <c r="R166" s="7" t="s">
        <v>274</v>
      </c>
      <c r="S166" s="18">
        <f t="shared" si="14"/>
        <v>408.24</v>
      </c>
      <c r="T166" s="7" t="s">
        <v>277</v>
      </c>
      <c r="U166" s="15">
        <v>852</v>
      </c>
      <c r="V166" s="15">
        <f t="shared" si="15"/>
        <v>10224</v>
      </c>
      <c r="W166" s="9" t="s">
        <v>269</v>
      </c>
      <c r="X166" s="10">
        <f t="shared" si="16"/>
        <v>2449.44</v>
      </c>
      <c r="Y166" s="19" t="s">
        <v>284</v>
      </c>
      <c r="Z166" s="10"/>
      <c r="AA166" s="19" t="s">
        <v>285</v>
      </c>
      <c r="AB166" s="10">
        <f t="shared" si="17"/>
        <v>53873.68</v>
      </c>
    </row>
    <row r="167" spans="1:28">
      <c r="A167" s="20" t="s">
        <v>502</v>
      </c>
      <c r="B167" s="13" t="s">
        <v>157</v>
      </c>
      <c r="C167" s="20" t="s">
        <v>7</v>
      </c>
      <c r="D167" s="20">
        <v>1</v>
      </c>
      <c r="F167" s="20" t="s">
        <v>9</v>
      </c>
      <c r="G167" s="20" t="s">
        <v>15</v>
      </c>
      <c r="H167" s="23">
        <v>2268</v>
      </c>
      <c r="I167" s="3">
        <v>720</v>
      </c>
      <c r="J167" s="3">
        <v>93</v>
      </c>
      <c r="K167" s="17">
        <f t="shared" si="12"/>
        <v>36972</v>
      </c>
      <c r="L167" s="3" t="s">
        <v>338</v>
      </c>
      <c r="M167" s="18">
        <v>0</v>
      </c>
      <c r="O167" s="5">
        <v>400</v>
      </c>
      <c r="P167" s="5" t="s">
        <v>273</v>
      </c>
      <c r="Q167" s="18">
        <f t="shared" si="13"/>
        <v>4722</v>
      </c>
      <c r="R167" s="7" t="s">
        <v>274</v>
      </c>
      <c r="S167" s="18">
        <f t="shared" si="14"/>
        <v>424.97999999999996</v>
      </c>
      <c r="T167" s="7" t="s">
        <v>277</v>
      </c>
      <c r="U167" s="15">
        <v>852</v>
      </c>
      <c r="V167" s="15">
        <f t="shared" si="15"/>
        <v>10224</v>
      </c>
      <c r="W167" s="9" t="s">
        <v>269</v>
      </c>
      <c r="X167" s="10">
        <f t="shared" si="16"/>
        <v>2549.8799999999997</v>
      </c>
      <c r="Y167" s="19" t="s">
        <v>284</v>
      </c>
      <c r="AB167" s="10">
        <f t="shared" si="17"/>
        <v>55292.86</v>
      </c>
    </row>
    <row r="168" spans="1:28">
      <c r="A168" s="20" t="s">
        <v>503</v>
      </c>
      <c r="B168" s="13" t="s">
        <v>158</v>
      </c>
      <c r="C168" s="20" t="s">
        <v>12</v>
      </c>
      <c r="D168" s="20">
        <v>1</v>
      </c>
      <c r="E168" s="19" t="s">
        <v>8</v>
      </c>
      <c r="F168" s="20" t="s">
        <v>9</v>
      </c>
      <c r="G168" s="20" t="s">
        <v>49</v>
      </c>
      <c r="H168" s="23">
        <v>2378</v>
      </c>
      <c r="I168" s="3">
        <v>720</v>
      </c>
      <c r="K168" s="17">
        <f t="shared" si="12"/>
        <v>37176</v>
      </c>
      <c r="L168" s="3" t="s">
        <v>339</v>
      </c>
      <c r="M168" s="18">
        <v>7303.3</v>
      </c>
      <c r="N168" s="7" t="s">
        <v>279</v>
      </c>
      <c r="O168" s="5">
        <v>400</v>
      </c>
      <c r="P168" s="5" t="s">
        <v>273</v>
      </c>
      <c r="Q168" s="18">
        <f t="shared" si="13"/>
        <v>4756</v>
      </c>
      <c r="R168" s="7" t="s">
        <v>274</v>
      </c>
      <c r="S168" s="18">
        <f t="shared" si="14"/>
        <v>428.03999999999996</v>
      </c>
      <c r="T168" s="7" t="s">
        <v>277</v>
      </c>
      <c r="U168" s="15">
        <v>1302</v>
      </c>
      <c r="V168" s="15">
        <f t="shared" si="15"/>
        <v>15624</v>
      </c>
      <c r="W168" s="9" t="s">
        <v>270</v>
      </c>
      <c r="X168" s="10">
        <f t="shared" si="16"/>
        <v>3225.5369999999998</v>
      </c>
      <c r="Y168" s="19" t="s">
        <v>284</v>
      </c>
      <c r="Z168" s="10"/>
      <c r="AB168" s="10">
        <f t="shared" si="17"/>
        <v>68912.876999999993</v>
      </c>
    </row>
    <row r="169" spans="1:28">
      <c r="A169" s="20" t="s">
        <v>504</v>
      </c>
      <c r="B169" s="13" t="s">
        <v>159</v>
      </c>
      <c r="C169" s="20" t="s">
        <v>14</v>
      </c>
      <c r="D169" s="20">
        <v>1</v>
      </c>
      <c r="F169" s="20" t="s">
        <v>9</v>
      </c>
      <c r="G169" s="20" t="s">
        <v>15</v>
      </c>
      <c r="H169" s="23">
        <v>2268</v>
      </c>
      <c r="I169" s="3">
        <v>720</v>
      </c>
      <c r="K169" s="17">
        <f t="shared" si="12"/>
        <v>35856</v>
      </c>
      <c r="L169" s="3" t="s">
        <v>338</v>
      </c>
      <c r="M169" s="18">
        <v>0</v>
      </c>
      <c r="O169" s="5">
        <v>400</v>
      </c>
      <c r="P169" s="5" t="s">
        <v>273</v>
      </c>
      <c r="Q169" s="18">
        <f t="shared" si="13"/>
        <v>4536</v>
      </c>
      <c r="R169" s="7" t="s">
        <v>274</v>
      </c>
      <c r="S169" s="18">
        <f t="shared" si="14"/>
        <v>408.24</v>
      </c>
      <c r="T169" s="7" t="s">
        <v>277</v>
      </c>
      <c r="U169" s="15">
        <v>852</v>
      </c>
      <c r="V169" s="15">
        <f t="shared" si="15"/>
        <v>10224</v>
      </c>
      <c r="W169" s="9" t="s">
        <v>269</v>
      </c>
      <c r="X169" s="10">
        <f t="shared" si="16"/>
        <v>2449.44</v>
      </c>
      <c r="Y169" s="19" t="s">
        <v>284</v>
      </c>
      <c r="AB169" s="10">
        <f t="shared" si="17"/>
        <v>53873.68</v>
      </c>
    </row>
    <row r="170" spans="1:28">
      <c r="A170" s="20" t="s">
        <v>505</v>
      </c>
      <c r="B170" s="13" t="s">
        <v>161</v>
      </c>
      <c r="C170" s="20" t="s">
        <v>14</v>
      </c>
      <c r="D170" s="20">
        <v>1</v>
      </c>
      <c r="E170" s="19" t="s">
        <v>8</v>
      </c>
      <c r="F170" s="20" t="s">
        <v>9</v>
      </c>
      <c r="G170" s="20" t="s">
        <v>15</v>
      </c>
      <c r="H170" s="23">
        <v>2268</v>
      </c>
      <c r="I170" s="3">
        <v>720</v>
      </c>
      <c r="J170" s="3">
        <v>93</v>
      </c>
      <c r="K170" s="17">
        <f t="shared" si="12"/>
        <v>36972</v>
      </c>
      <c r="L170" s="3" t="s">
        <v>338</v>
      </c>
      <c r="M170" s="18">
        <v>0</v>
      </c>
      <c r="O170" s="5">
        <v>400</v>
      </c>
      <c r="P170" s="5" t="s">
        <v>273</v>
      </c>
      <c r="Q170" s="18">
        <f t="shared" si="13"/>
        <v>4722</v>
      </c>
      <c r="R170" s="7" t="s">
        <v>274</v>
      </c>
      <c r="S170" s="18">
        <f t="shared" si="14"/>
        <v>424.97999999999996</v>
      </c>
      <c r="T170" s="7" t="s">
        <v>277</v>
      </c>
      <c r="U170" s="15">
        <v>852</v>
      </c>
      <c r="V170" s="15">
        <f t="shared" si="15"/>
        <v>10224</v>
      </c>
      <c r="W170" s="9" t="s">
        <v>269</v>
      </c>
      <c r="X170" s="10">
        <f t="shared" si="16"/>
        <v>2549.8799999999997</v>
      </c>
      <c r="Y170" s="19" t="s">
        <v>284</v>
      </c>
      <c r="AB170" s="10">
        <f t="shared" si="17"/>
        <v>55292.86</v>
      </c>
    </row>
    <row r="171" spans="1:28">
      <c r="A171" s="20" t="s">
        <v>506</v>
      </c>
      <c r="B171" s="13" t="s">
        <v>162</v>
      </c>
      <c r="C171" s="20" t="s">
        <v>12</v>
      </c>
      <c r="D171" s="20">
        <v>1</v>
      </c>
      <c r="E171" s="19"/>
      <c r="F171" s="20" t="s">
        <v>9</v>
      </c>
      <c r="G171" s="20" t="s">
        <v>37</v>
      </c>
      <c r="H171" s="23">
        <v>2378</v>
      </c>
      <c r="I171" s="3">
        <v>720</v>
      </c>
      <c r="J171" s="3">
        <v>93</v>
      </c>
      <c r="K171" s="17">
        <f t="shared" si="12"/>
        <v>38292</v>
      </c>
      <c r="L171" s="3" t="s">
        <v>339</v>
      </c>
      <c r="M171" s="18">
        <v>0</v>
      </c>
      <c r="O171" s="5">
        <v>400</v>
      </c>
      <c r="P171" s="5" t="s">
        <v>273</v>
      </c>
      <c r="Q171" s="18">
        <f t="shared" si="13"/>
        <v>4942</v>
      </c>
      <c r="R171" s="7" t="s">
        <v>274</v>
      </c>
      <c r="S171" s="18">
        <f t="shared" si="14"/>
        <v>444.78</v>
      </c>
      <c r="T171" s="7" t="s">
        <v>277</v>
      </c>
      <c r="U171" s="15">
        <v>1302</v>
      </c>
      <c r="V171" s="15">
        <f t="shared" si="15"/>
        <v>15624</v>
      </c>
      <c r="W171" s="9" t="s">
        <v>270</v>
      </c>
      <c r="X171" s="10">
        <f t="shared" si="16"/>
        <v>2668.68</v>
      </c>
      <c r="Y171" s="19" t="s">
        <v>284</v>
      </c>
      <c r="AB171" s="10">
        <f t="shared" si="17"/>
        <v>62371.46</v>
      </c>
    </row>
    <row r="172" spans="1:28">
      <c r="A172" s="20" t="s">
        <v>507</v>
      </c>
      <c r="B172" s="13" t="s">
        <v>163</v>
      </c>
      <c r="C172" s="20" t="s">
        <v>7</v>
      </c>
      <c r="D172" s="20">
        <v>1</v>
      </c>
      <c r="E172" s="19"/>
      <c r="F172" s="20" t="s">
        <v>9</v>
      </c>
      <c r="G172" s="20" t="s">
        <v>15</v>
      </c>
      <c r="H172" s="23">
        <v>2268</v>
      </c>
      <c r="I172" s="3">
        <v>720</v>
      </c>
      <c r="K172" s="17">
        <f t="shared" si="12"/>
        <v>35856</v>
      </c>
      <c r="L172" s="3" t="s">
        <v>338</v>
      </c>
      <c r="M172" s="18">
        <v>0</v>
      </c>
      <c r="O172" s="5">
        <v>400</v>
      </c>
      <c r="P172" s="5" t="s">
        <v>273</v>
      </c>
      <c r="Q172" s="18">
        <f t="shared" si="13"/>
        <v>4536</v>
      </c>
      <c r="R172" s="7" t="s">
        <v>274</v>
      </c>
      <c r="S172" s="18">
        <f t="shared" si="14"/>
        <v>408.24</v>
      </c>
      <c r="T172" s="7" t="s">
        <v>277</v>
      </c>
      <c r="U172" s="15">
        <v>852</v>
      </c>
      <c r="V172" s="15">
        <f t="shared" si="15"/>
        <v>10224</v>
      </c>
      <c r="W172" s="9" t="s">
        <v>269</v>
      </c>
      <c r="X172" s="10">
        <f t="shared" si="16"/>
        <v>2449.44</v>
      </c>
      <c r="Y172" s="19" t="s">
        <v>284</v>
      </c>
      <c r="Z172" s="10"/>
      <c r="AA172" s="19" t="s">
        <v>285</v>
      </c>
      <c r="AB172" s="10">
        <f t="shared" si="17"/>
        <v>53873.68</v>
      </c>
    </row>
    <row r="173" spans="1:28">
      <c r="A173" s="20" t="s">
        <v>508</v>
      </c>
      <c r="B173" s="13" t="s">
        <v>164</v>
      </c>
      <c r="C173" s="20" t="s">
        <v>7</v>
      </c>
      <c r="D173" s="20">
        <v>1</v>
      </c>
      <c r="E173" s="19"/>
      <c r="F173" s="20" t="s">
        <v>9</v>
      </c>
      <c r="G173" s="20" t="s">
        <v>10</v>
      </c>
      <c r="H173" s="23">
        <v>1928</v>
      </c>
      <c r="I173" s="3">
        <v>720</v>
      </c>
      <c r="J173" s="3">
        <v>93</v>
      </c>
      <c r="K173" s="17">
        <f t="shared" si="12"/>
        <v>32892</v>
      </c>
      <c r="L173" s="3" t="s">
        <v>338</v>
      </c>
      <c r="M173" s="18">
        <v>0</v>
      </c>
      <c r="O173" s="5">
        <v>400</v>
      </c>
      <c r="P173" s="5" t="s">
        <v>273</v>
      </c>
      <c r="Q173" s="18">
        <f t="shared" si="13"/>
        <v>4042</v>
      </c>
      <c r="R173" s="7" t="s">
        <v>274</v>
      </c>
      <c r="S173" s="18">
        <f t="shared" si="14"/>
        <v>363.78</v>
      </c>
      <c r="T173" s="7" t="s">
        <v>277</v>
      </c>
      <c r="U173" s="15">
        <v>852</v>
      </c>
      <c r="V173" s="15">
        <f t="shared" si="15"/>
        <v>10224</v>
      </c>
      <c r="W173" s="9" t="s">
        <v>269</v>
      </c>
      <c r="X173" s="10">
        <f t="shared" si="16"/>
        <v>2182.6799999999998</v>
      </c>
      <c r="Y173" s="19" t="s">
        <v>284</v>
      </c>
      <c r="AB173" s="10">
        <f t="shared" si="17"/>
        <v>50104.46</v>
      </c>
    </row>
    <row r="174" spans="1:28">
      <c r="A174" s="20" t="s">
        <v>509</v>
      </c>
      <c r="B174" s="13" t="s">
        <v>165</v>
      </c>
      <c r="C174" s="20" t="s">
        <v>12</v>
      </c>
      <c r="D174" s="20">
        <v>1</v>
      </c>
      <c r="E174" s="19"/>
      <c r="F174" s="20" t="s">
        <v>9</v>
      </c>
      <c r="G174" s="20" t="s">
        <v>166</v>
      </c>
      <c r="H174" s="23">
        <v>2378</v>
      </c>
      <c r="I174" s="3">
        <v>720</v>
      </c>
      <c r="J174" s="3">
        <v>93</v>
      </c>
      <c r="K174" s="17">
        <f t="shared" si="12"/>
        <v>38292</v>
      </c>
      <c r="L174" s="3" t="s">
        <v>339</v>
      </c>
      <c r="M174" s="18">
        <v>0</v>
      </c>
      <c r="O174" s="5">
        <v>400</v>
      </c>
      <c r="P174" s="5" t="s">
        <v>273</v>
      </c>
      <c r="Q174" s="18">
        <f t="shared" si="13"/>
        <v>4942</v>
      </c>
      <c r="R174" s="7" t="s">
        <v>274</v>
      </c>
      <c r="S174" s="18">
        <f t="shared" si="14"/>
        <v>444.78</v>
      </c>
      <c r="T174" s="7" t="s">
        <v>277</v>
      </c>
      <c r="U174" s="15">
        <v>1302</v>
      </c>
      <c r="V174" s="15">
        <f t="shared" si="15"/>
        <v>15624</v>
      </c>
      <c r="W174" s="9" t="s">
        <v>270</v>
      </c>
      <c r="X174" s="10">
        <f t="shared" si="16"/>
        <v>2668.68</v>
      </c>
      <c r="Y174" s="19" t="s">
        <v>284</v>
      </c>
      <c r="AB174" s="10">
        <f t="shared" si="17"/>
        <v>62371.46</v>
      </c>
    </row>
    <row r="175" spans="1:28">
      <c r="A175" s="20" t="s">
        <v>510</v>
      </c>
      <c r="B175" s="13" t="s">
        <v>167</v>
      </c>
      <c r="C175" s="20" t="s">
        <v>12</v>
      </c>
      <c r="D175" s="20">
        <v>1</v>
      </c>
      <c r="F175" s="20" t="s">
        <v>9</v>
      </c>
      <c r="G175" s="20" t="s">
        <v>23</v>
      </c>
      <c r="H175" s="23">
        <v>1928</v>
      </c>
      <c r="I175" s="3">
        <v>720</v>
      </c>
      <c r="J175" s="3">
        <v>93</v>
      </c>
      <c r="K175" s="17">
        <f t="shared" si="12"/>
        <v>32892</v>
      </c>
      <c r="L175" s="3" t="s">
        <v>340</v>
      </c>
      <c r="M175" s="18">
        <v>0</v>
      </c>
      <c r="O175" s="5">
        <v>400</v>
      </c>
      <c r="P175" s="5" t="s">
        <v>273</v>
      </c>
      <c r="Q175" s="18">
        <f t="shared" si="13"/>
        <v>4042</v>
      </c>
      <c r="R175" s="7" t="s">
        <v>274</v>
      </c>
      <c r="S175" s="18">
        <f t="shared" si="14"/>
        <v>363.78</v>
      </c>
      <c r="T175" s="7" t="s">
        <v>277</v>
      </c>
      <c r="U175" s="15">
        <v>852</v>
      </c>
      <c r="V175" s="15">
        <f t="shared" si="15"/>
        <v>10224</v>
      </c>
      <c r="W175" s="9" t="s">
        <v>270</v>
      </c>
      <c r="X175" s="10">
        <f t="shared" si="16"/>
        <v>2182.6799999999998</v>
      </c>
      <c r="Y175" s="19" t="s">
        <v>284</v>
      </c>
      <c r="AB175" s="10">
        <f t="shared" si="17"/>
        <v>50104.46</v>
      </c>
    </row>
    <row r="176" spans="1:28">
      <c r="A176" s="20" t="s">
        <v>511</v>
      </c>
      <c r="B176" s="13" t="s">
        <v>168</v>
      </c>
      <c r="C176" s="20" t="s">
        <v>25</v>
      </c>
      <c r="D176" s="20">
        <v>1</v>
      </c>
      <c r="E176" s="19" t="s">
        <v>8</v>
      </c>
      <c r="F176" s="20" t="s">
        <v>9</v>
      </c>
      <c r="G176" s="20" t="s">
        <v>15</v>
      </c>
      <c r="H176" s="23">
        <v>2268</v>
      </c>
      <c r="I176" s="3">
        <v>720</v>
      </c>
      <c r="K176" s="17">
        <f t="shared" si="12"/>
        <v>35856</v>
      </c>
      <c r="L176" s="3" t="s">
        <v>338</v>
      </c>
      <c r="M176" s="18">
        <v>0</v>
      </c>
      <c r="O176" s="5">
        <v>400</v>
      </c>
      <c r="P176" s="5" t="s">
        <v>273</v>
      </c>
      <c r="Q176" s="18">
        <f t="shared" si="13"/>
        <v>4536</v>
      </c>
      <c r="R176" s="7" t="s">
        <v>274</v>
      </c>
      <c r="S176" s="18">
        <f t="shared" si="14"/>
        <v>408.24</v>
      </c>
      <c r="T176" s="7" t="s">
        <v>277</v>
      </c>
      <c r="U176" s="15">
        <v>852</v>
      </c>
      <c r="V176" s="15">
        <f t="shared" si="15"/>
        <v>10224</v>
      </c>
      <c r="W176" s="9" t="s">
        <v>269</v>
      </c>
      <c r="X176" s="10">
        <f t="shared" si="16"/>
        <v>2449.44</v>
      </c>
      <c r="Y176" s="19" t="s">
        <v>284</v>
      </c>
      <c r="AB176" s="10">
        <f t="shared" si="17"/>
        <v>53873.68</v>
      </c>
    </row>
    <row r="177" spans="1:28">
      <c r="A177" s="20" t="s">
        <v>512</v>
      </c>
      <c r="B177" s="13" t="s">
        <v>169</v>
      </c>
      <c r="C177" s="20" t="s">
        <v>45</v>
      </c>
      <c r="D177" s="20">
        <v>1</v>
      </c>
      <c r="E177" s="19"/>
      <c r="F177" s="20" t="s">
        <v>9</v>
      </c>
      <c r="G177" s="20" t="s">
        <v>10</v>
      </c>
      <c r="H177" s="23">
        <v>1928</v>
      </c>
      <c r="I177" s="3">
        <v>720</v>
      </c>
      <c r="J177" s="3">
        <v>93</v>
      </c>
      <c r="K177" s="17">
        <f t="shared" si="12"/>
        <v>32892</v>
      </c>
      <c r="L177" s="3" t="s">
        <v>338</v>
      </c>
      <c r="M177" s="18">
        <v>0</v>
      </c>
      <c r="O177" s="5">
        <v>400</v>
      </c>
      <c r="P177" s="5" t="s">
        <v>273</v>
      </c>
      <c r="Q177" s="18">
        <f t="shared" si="13"/>
        <v>4042</v>
      </c>
      <c r="R177" s="7" t="s">
        <v>274</v>
      </c>
      <c r="S177" s="18">
        <f t="shared" si="14"/>
        <v>363.78</v>
      </c>
      <c r="T177" s="7" t="s">
        <v>277</v>
      </c>
      <c r="U177" s="15">
        <v>852</v>
      </c>
      <c r="V177" s="15">
        <f t="shared" si="15"/>
        <v>10224</v>
      </c>
      <c r="W177" s="9" t="s">
        <v>269</v>
      </c>
      <c r="X177" s="10">
        <f t="shared" si="16"/>
        <v>2182.6799999999998</v>
      </c>
      <c r="Y177" s="19" t="s">
        <v>284</v>
      </c>
      <c r="AB177" s="10">
        <f t="shared" si="17"/>
        <v>50104.46</v>
      </c>
    </row>
    <row r="178" spans="1:28">
      <c r="A178" s="20" t="s">
        <v>513</v>
      </c>
      <c r="B178" s="13" t="s">
        <v>170</v>
      </c>
      <c r="C178" s="20" t="s">
        <v>45</v>
      </c>
      <c r="D178" s="20">
        <v>1</v>
      </c>
      <c r="F178" s="20" t="s">
        <v>9</v>
      </c>
      <c r="G178" s="20" t="s">
        <v>80</v>
      </c>
      <c r="H178" s="23">
        <v>2828</v>
      </c>
      <c r="I178" s="3">
        <v>720</v>
      </c>
      <c r="J178" s="3">
        <v>93</v>
      </c>
      <c r="K178" s="17">
        <f t="shared" si="12"/>
        <v>43692</v>
      </c>
      <c r="L178" s="3" t="s">
        <v>338</v>
      </c>
      <c r="M178" s="18">
        <v>0</v>
      </c>
      <c r="O178" s="5">
        <v>400</v>
      </c>
      <c r="P178" s="5" t="s">
        <v>273</v>
      </c>
      <c r="Q178" s="18">
        <f t="shared" si="13"/>
        <v>5842</v>
      </c>
      <c r="R178" s="7" t="s">
        <v>274</v>
      </c>
      <c r="S178" s="18">
        <f t="shared" si="14"/>
        <v>525.78</v>
      </c>
      <c r="T178" s="7" t="s">
        <v>277</v>
      </c>
      <c r="U178" s="15">
        <v>852</v>
      </c>
      <c r="V178" s="15">
        <f t="shared" si="15"/>
        <v>10224</v>
      </c>
      <c r="W178" s="9" t="s">
        <v>269</v>
      </c>
      <c r="X178" s="10">
        <f t="shared" si="16"/>
        <v>3154.68</v>
      </c>
      <c r="Y178" s="19" t="s">
        <v>284</v>
      </c>
      <c r="AB178" s="10">
        <f t="shared" si="17"/>
        <v>63838.46</v>
      </c>
    </row>
    <row r="179" spans="1:28">
      <c r="A179" s="20" t="s">
        <v>514</v>
      </c>
      <c r="B179" s="13" t="s">
        <v>327</v>
      </c>
      <c r="C179" s="20" t="s">
        <v>45</v>
      </c>
      <c r="D179" s="20">
        <v>1</v>
      </c>
      <c r="E179" s="19"/>
      <c r="F179" s="20" t="s">
        <v>9</v>
      </c>
      <c r="G179" s="20" t="s">
        <v>53</v>
      </c>
      <c r="H179" s="23">
        <v>6478</v>
      </c>
      <c r="I179" s="3">
        <v>720</v>
      </c>
      <c r="J179" s="3">
        <v>93</v>
      </c>
      <c r="K179" s="17">
        <f t="shared" si="12"/>
        <v>87492</v>
      </c>
      <c r="L179" s="3" t="s">
        <v>338</v>
      </c>
      <c r="M179" s="18">
        <v>0</v>
      </c>
      <c r="O179" s="5">
        <v>400</v>
      </c>
      <c r="P179" s="5" t="s">
        <v>273</v>
      </c>
      <c r="Q179" s="18">
        <f t="shared" si="13"/>
        <v>13142</v>
      </c>
      <c r="R179" s="7" t="s">
        <v>274</v>
      </c>
      <c r="S179" s="18">
        <f t="shared" si="14"/>
        <v>1182.78</v>
      </c>
      <c r="T179" s="7" t="s">
        <v>277</v>
      </c>
      <c r="U179" s="15">
        <v>1802</v>
      </c>
      <c r="V179" s="15">
        <f t="shared" si="15"/>
        <v>21624</v>
      </c>
      <c r="W179" s="9" t="s">
        <v>269</v>
      </c>
      <c r="X179" s="10">
        <f t="shared" si="16"/>
        <v>7096.68</v>
      </c>
      <c r="Y179" s="19" t="s">
        <v>284</v>
      </c>
      <c r="AB179" s="10">
        <f t="shared" si="17"/>
        <v>130937.45999999999</v>
      </c>
    </row>
    <row r="180" spans="1:28">
      <c r="A180" s="20" t="s">
        <v>515</v>
      </c>
      <c r="B180" s="13" t="s">
        <v>516</v>
      </c>
      <c r="C180" s="20" t="s">
        <v>14</v>
      </c>
      <c r="D180" s="20">
        <v>1</v>
      </c>
      <c r="E180" s="19"/>
      <c r="F180" s="20" t="s">
        <v>26</v>
      </c>
      <c r="G180" s="20" t="s">
        <v>15</v>
      </c>
      <c r="H180" s="23">
        <v>2268</v>
      </c>
      <c r="I180" s="3">
        <v>720</v>
      </c>
      <c r="J180" s="3">
        <v>93</v>
      </c>
      <c r="K180" s="17">
        <f t="shared" si="12"/>
        <v>36972</v>
      </c>
      <c r="L180" s="3" t="s">
        <v>337</v>
      </c>
      <c r="M180" s="18">
        <v>0</v>
      </c>
      <c r="O180" s="5">
        <v>400</v>
      </c>
      <c r="P180" s="5" t="s">
        <v>273</v>
      </c>
      <c r="Q180" s="18">
        <f t="shared" si="13"/>
        <v>4722</v>
      </c>
      <c r="R180" s="7" t="s">
        <v>274</v>
      </c>
      <c r="S180" s="18">
        <f t="shared" si="14"/>
        <v>424.97999999999996</v>
      </c>
      <c r="T180" s="7" t="s">
        <v>277</v>
      </c>
      <c r="U180" s="15">
        <v>852</v>
      </c>
      <c r="V180" s="15">
        <f t="shared" si="15"/>
        <v>10224</v>
      </c>
      <c r="W180" s="9" t="s">
        <v>269</v>
      </c>
      <c r="X180" s="10">
        <f t="shared" si="16"/>
        <v>2549.8799999999997</v>
      </c>
      <c r="Y180" s="19" t="s">
        <v>284</v>
      </c>
      <c r="AB180" s="10">
        <f t="shared" si="17"/>
        <v>55292.86</v>
      </c>
    </row>
    <row r="181" spans="1:28">
      <c r="A181" s="20" t="s">
        <v>517</v>
      </c>
      <c r="B181" s="13" t="s">
        <v>171</v>
      </c>
      <c r="C181" s="20" t="s">
        <v>7</v>
      </c>
      <c r="D181" s="20">
        <v>1</v>
      </c>
      <c r="E181" s="19"/>
      <c r="F181" s="20" t="s">
        <v>26</v>
      </c>
      <c r="G181" s="20" t="s">
        <v>15</v>
      </c>
      <c r="H181" s="23">
        <v>2268</v>
      </c>
      <c r="I181" s="3">
        <v>720</v>
      </c>
      <c r="K181" s="17">
        <f t="shared" si="12"/>
        <v>35856</v>
      </c>
      <c r="L181" s="3" t="s">
        <v>337</v>
      </c>
      <c r="M181" s="18">
        <v>0</v>
      </c>
      <c r="O181" s="5">
        <v>400</v>
      </c>
      <c r="P181" s="5" t="s">
        <v>273</v>
      </c>
      <c r="Q181" s="18">
        <f t="shared" si="13"/>
        <v>4536</v>
      </c>
      <c r="R181" s="7" t="s">
        <v>274</v>
      </c>
      <c r="S181" s="18">
        <f t="shared" si="14"/>
        <v>408.24</v>
      </c>
      <c r="T181" s="7" t="s">
        <v>277</v>
      </c>
      <c r="U181" s="15">
        <v>852</v>
      </c>
      <c r="V181" s="15">
        <f t="shared" si="15"/>
        <v>10224</v>
      </c>
      <c r="W181" s="9" t="s">
        <v>269</v>
      </c>
      <c r="X181" s="10">
        <f t="shared" si="16"/>
        <v>2449.44</v>
      </c>
      <c r="Y181" s="19" t="s">
        <v>284</v>
      </c>
      <c r="AB181" s="10">
        <f t="shared" si="17"/>
        <v>53873.68</v>
      </c>
    </row>
    <row r="182" spans="1:28">
      <c r="A182" s="20" t="s">
        <v>518</v>
      </c>
      <c r="B182" s="13" t="s">
        <v>172</v>
      </c>
      <c r="C182" s="20" t="s">
        <v>7</v>
      </c>
      <c r="D182" s="20">
        <v>1</v>
      </c>
      <c r="E182" s="19"/>
      <c r="F182" s="20" t="s">
        <v>9</v>
      </c>
      <c r="G182" s="20" t="s">
        <v>15</v>
      </c>
      <c r="H182" s="23">
        <v>2268</v>
      </c>
      <c r="I182" s="3">
        <v>720</v>
      </c>
      <c r="J182" s="3">
        <v>93</v>
      </c>
      <c r="K182" s="17">
        <f t="shared" si="12"/>
        <v>36972</v>
      </c>
      <c r="L182" s="3" t="s">
        <v>338</v>
      </c>
      <c r="M182" s="18">
        <v>0</v>
      </c>
      <c r="O182" s="5">
        <v>400</v>
      </c>
      <c r="P182" s="5" t="s">
        <v>273</v>
      </c>
      <c r="Q182" s="18">
        <f t="shared" si="13"/>
        <v>4722</v>
      </c>
      <c r="R182" s="7" t="s">
        <v>274</v>
      </c>
      <c r="S182" s="18">
        <f t="shared" si="14"/>
        <v>424.97999999999996</v>
      </c>
      <c r="T182" s="7" t="s">
        <v>277</v>
      </c>
      <c r="U182" s="15">
        <v>852</v>
      </c>
      <c r="V182" s="15">
        <f t="shared" si="15"/>
        <v>10224</v>
      </c>
      <c r="W182" s="9" t="s">
        <v>269</v>
      </c>
      <c r="X182" s="10">
        <f t="shared" si="16"/>
        <v>2549.8799999999997</v>
      </c>
      <c r="Y182" s="19" t="s">
        <v>284</v>
      </c>
      <c r="AB182" s="10">
        <f t="shared" si="17"/>
        <v>55292.86</v>
      </c>
    </row>
    <row r="183" spans="1:28">
      <c r="A183" s="20" t="s">
        <v>519</v>
      </c>
      <c r="B183" s="13" t="s">
        <v>328</v>
      </c>
      <c r="C183" s="20" t="s">
        <v>7</v>
      </c>
      <c r="D183" s="20">
        <v>1</v>
      </c>
      <c r="E183" s="19"/>
      <c r="F183" s="20" t="s">
        <v>9</v>
      </c>
      <c r="G183" s="20" t="s">
        <v>15</v>
      </c>
      <c r="H183" s="23">
        <v>2268</v>
      </c>
      <c r="I183" s="3">
        <v>720</v>
      </c>
      <c r="J183" s="3">
        <v>93</v>
      </c>
      <c r="K183" s="17">
        <f t="shared" si="12"/>
        <v>36972</v>
      </c>
      <c r="L183" s="3" t="s">
        <v>338</v>
      </c>
      <c r="M183" s="18">
        <v>0</v>
      </c>
      <c r="O183" s="5">
        <v>400</v>
      </c>
      <c r="P183" s="5" t="s">
        <v>273</v>
      </c>
      <c r="Q183" s="18">
        <f t="shared" si="13"/>
        <v>4722</v>
      </c>
      <c r="R183" s="7" t="s">
        <v>274</v>
      </c>
      <c r="S183" s="18">
        <f t="shared" si="14"/>
        <v>424.97999999999996</v>
      </c>
      <c r="T183" s="7" t="s">
        <v>277</v>
      </c>
      <c r="U183" s="15">
        <v>852</v>
      </c>
      <c r="V183" s="15">
        <f t="shared" si="15"/>
        <v>10224</v>
      </c>
      <c r="W183" s="9" t="s">
        <v>269</v>
      </c>
      <c r="X183" s="10">
        <f t="shared" si="16"/>
        <v>2549.8799999999997</v>
      </c>
      <c r="Y183" s="19" t="s">
        <v>284</v>
      </c>
      <c r="AB183" s="10">
        <f t="shared" si="17"/>
        <v>55292.86</v>
      </c>
    </row>
    <row r="184" spans="1:28">
      <c r="A184" s="20" t="s">
        <v>520</v>
      </c>
      <c r="B184" s="13" t="s">
        <v>302</v>
      </c>
      <c r="C184" s="20" t="s">
        <v>25</v>
      </c>
      <c r="D184" s="20">
        <v>1</v>
      </c>
      <c r="E184" s="19"/>
      <c r="F184" s="20" t="s">
        <v>9</v>
      </c>
      <c r="G184" s="20" t="s">
        <v>15</v>
      </c>
      <c r="H184" s="23">
        <v>2268</v>
      </c>
      <c r="I184" s="3">
        <v>720</v>
      </c>
      <c r="K184" s="17">
        <f t="shared" si="12"/>
        <v>35856</v>
      </c>
      <c r="L184" s="3" t="s">
        <v>338</v>
      </c>
      <c r="M184" s="18">
        <v>0</v>
      </c>
      <c r="O184" s="5">
        <v>400</v>
      </c>
      <c r="P184" s="5" t="s">
        <v>273</v>
      </c>
      <c r="Q184" s="18">
        <f t="shared" si="13"/>
        <v>4536</v>
      </c>
      <c r="R184" s="7" t="s">
        <v>274</v>
      </c>
      <c r="S184" s="18">
        <f t="shared" si="14"/>
        <v>408.24</v>
      </c>
      <c r="T184" s="7" t="s">
        <v>277</v>
      </c>
      <c r="U184" s="15">
        <v>852</v>
      </c>
      <c r="V184" s="15">
        <f t="shared" si="15"/>
        <v>10224</v>
      </c>
      <c r="W184" s="9" t="s">
        <v>269</v>
      </c>
      <c r="X184" s="10">
        <f t="shared" si="16"/>
        <v>2449.44</v>
      </c>
      <c r="Y184" s="19" t="s">
        <v>284</v>
      </c>
      <c r="AB184" s="10">
        <f t="shared" si="17"/>
        <v>53873.68</v>
      </c>
    </row>
    <row r="185" spans="1:28">
      <c r="A185" s="20" t="s">
        <v>521</v>
      </c>
      <c r="B185" s="13" t="s">
        <v>173</v>
      </c>
      <c r="C185" s="20" t="s">
        <v>25</v>
      </c>
      <c r="D185" s="20">
        <v>1</v>
      </c>
      <c r="E185" s="19"/>
      <c r="F185" s="20" t="s">
        <v>9</v>
      </c>
      <c r="G185" s="20" t="s">
        <v>10</v>
      </c>
      <c r="H185" s="23">
        <v>1928</v>
      </c>
      <c r="I185" s="3">
        <v>720</v>
      </c>
      <c r="K185" s="17">
        <f t="shared" si="12"/>
        <v>31776</v>
      </c>
      <c r="L185" s="3" t="s">
        <v>338</v>
      </c>
      <c r="M185" s="18">
        <v>0</v>
      </c>
      <c r="O185" s="5">
        <v>400</v>
      </c>
      <c r="P185" s="5" t="s">
        <v>273</v>
      </c>
      <c r="Q185" s="18">
        <f t="shared" si="13"/>
        <v>3856</v>
      </c>
      <c r="R185" s="7" t="s">
        <v>274</v>
      </c>
      <c r="S185" s="18">
        <f t="shared" si="14"/>
        <v>347.03999999999996</v>
      </c>
      <c r="T185" s="7" t="s">
        <v>277</v>
      </c>
      <c r="U185" s="15">
        <v>852</v>
      </c>
      <c r="V185" s="15">
        <f t="shared" si="15"/>
        <v>10224</v>
      </c>
      <c r="W185" s="9" t="s">
        <v>269</v>
      </c>
      <c r="X185" s="10">
        <f t="shared" si="16"/>
        <v>2082.2399999999998</v>
      </c>
      <c r="Y185" s="19" t="s">
        <v>284</v>
      </c>
      <c r="Z185" s="10"/>
      <c r="AB185" s="10">
        <f t="shared" si="17"/>
        <v>48685.279999999999</v>
      </c>
    </row>
    <row r="186" spans="1:28">
      <c r="A186" s="20" t="s">
        <v>522</v>
      </c>
      <c r="B186" s="13" t="s">
        <v>303</v>
      </c>
      <c r="C186" s="20" t="s">
        <v>25</v>
      </c>
      <c r="D186" s="20">
        <v>1</v>
      </c>
      <c r="E186" s="19"/>
      <c r="F186" s="20" t="s">
        <v>9</v>
      </c>
      <c r="G186" s="20" t="s">
        <v>15</v>
      </c>
      <c r="H186" s="23">
        <v>2268</v>
      </c>
      <c r="I186" s="3">
        <v>720</v>
      </c>
      <c r="K186" s="17">
        <f t="shared" si="12"/>
        <v>35856</v>
      </c>
      <c r="L186" s="3" t="s">
        <v>338</v>
      </c>
      <c r="M186" s="18">
        <v>0</v>
      </c>
      <c r="O186" s="5">
        <v>400</v>
      </c>
      <c r="P186" s="5" t="s">
        <v>273</v>
      </c>
      <c r="Q186" s="18">
        <f t="shared" si="13"/>
        <v>4536</v>
      </c>
      <c r="R186" s="7" t="s">
        <v>274</v>
      </c>
      <c r="S186" s="18">
        <f t="shared" si="14"/>
        <v>408.24</v>
      </c>
      <c r="T186" s="7" t="s">
        <v>277</v>
      </c>
      <c r="U186" s="15">
        <v>852</v>
      </c>
      <c r="V186" s="15">
        <f t="shared" si="15"/>
        <v>10224</v>
      </c>
      <c r="W186" s="9" t="s">
        <v>269</v>
      </c>
      <c r="X186" s="10">
        <f t="shared" si="16"/>
        <v>2449.44</v>
      </c>
      <c r="Y186" s="19" t="s">
        <v>284</v>
      </c>
      <c r="AB186" s="10">
        <f t="shared" si="17"/>
        <v>53873.68</v>
      </c>
    </row>
    <row r="187" spans="1:28">
      <c r="A187" s="20" t="s">
        <v>523</v>
      </c>
      <c r="B187" s="13" t="s">
        <v>174</v>
      </c>
      <c r="C187" s="20" t="s">
        <v>36</v>
      </c>
      <c r="D187" s="20">
        <v>1</v>
      </c>
      <c r="F187" s="20" t="s">
        <v>9</v>
      </c>
      <c r="G187" s="20" t="s">
        <v>10</v>
      </c>
      <c r="H187" s="23">
        <v>1928</v>
      </c>
      <c r="I187" s="3">
        <v>720</v>
      </c>
      <c r="J187" s="3">
        <v>93</v>
      </c>
      <c r="K187" s="17">
        <f t="shared" si="12"/>
        <v>32892</v>
      </c>
      <c r="L187" s="3" t="s">
        <v>338</v>
      </c>
      <c r="M187" s="18">
        <v>0</v>
      </c>
      <c r="O187" s="5">
        <v>400</v>
      </c>
      <c r="P187" s="5" t="s">
        <v>273</v>
      </c>
      <c r="Q187" s="18">
        <f t="shared" si="13"/>
        <v>4042</v>
      </c>
      <c r="R187" s="7" t="s">
        <v>274</v>
      </c>
      <c r="S187" s="18">
        <f t="shared" si="14"/>
        <v>363.78</v>
      </c>
      <c r="T187" s="7" t="s">
        <v>277</v>
      </c>
      <c r="U187" s="15">
        <v>852</v>
      </c>
      <c r="V187" s="15">
        <f t="shared" si="15"/>
        <v>10224</v>
      </c>
      <c r="W187" s="9" t="s">
        <v>269</v>
      </c>
      <c r="X187" s="10">
        <f t="shared" si="16"/>
        <v>2182.6799999999998</v>
      </c>
      <c r="Y187" s="19" t="s">
        <v>284</v>
      </c>
      <c r="AB187" s="10">
        <f t="shared" si="17"/>
        <v>50104.46</v>
      </c>
    </row>
    <row r="188" spans="1:28">
      <c r="A188" s="20" t="s">
        <v>524</v>
      </c>
      <c r="B188" s="13" t="s">
        <v>175</v>
      </c>
      <c r="C188" s="20" t="s">
        <v>7</v>
      </c>
      <c r="D188" s="20">
        <v>1</v>
      </c>
      <c r="E188" s="19"/>
      <c r="F188" s="20" t="s">
        <v>9</v>
      </c>
      <c r="G188" s="20" t="s">
        <v>19</v>
      </c>
      <c r="H188" s="23">
        <v>3978</v>
      </c>
      <c r="I188" s="3">
        <v>720</v>
      </c>
      <c r="J188" s="3">
        <v>93</v>
      </c>
      <c r="K188" s="17">
        <f t="shared" si="12"/>
        <v>57492</v>
      </c>
      <c r="L188" s="3" t="s">
        <v>338</v>
      </c>
      <c r="M188" s="18">
        <v>0</v>
      </c>
      <c r="O188" s="5">
        <v>400</v>
      </c>
      <c r="P188" s="5" t="s">
        <v>273</v>
      </c>
      <c r="Q188" s="18">
        <f t="shared" si="13"/>
        <v>8142</v>
      </c>
      <c r="R188" s="7" t="s">
        <v>274</v>
      </c>
      <c r="S188" s="18">
        <f t="shared" si="14"/>
        <v>732.78</v>
      </c>
      <c r="T188" s="7" t="s">
        <v>277</v>
      </c>
      <c r="U188" s="15">
        <v>802</v>
      </c>
      <c r="V188" s="15">
        <f t="shared" si="15"/>
        <v>9624</v>
      </c>
      <c r="W188" s="9" t="s">
        <v>269</v>
      </c>
      <c r="X188" s="10">
        <f t="shared" si="16"/>
        <v>4396.68</v>
      </c>
      <c r="Y188" s="19" t="s">
        <v>284</v>
      </c>
      <c r="Z188" s="10"/>
      <c r="AB188" s="10">
        <f t="shared" si="17"/>
        <v>80787.459999999992</v>
      </c>
    </row>
    <row r="189" spans="1:28">
      <c r="A189" s="20" t="s">
        <v>525</v>
      </c>
      <c r="B189" s="13" t="s">
        <v>176</v>
      </c>
      <c r="C189" s="20" t="s">
        <v>7</v>
      </c>
      <c r="D189" s="20">
        <v>1</v>
      </c>
      <c r="E189" s="19" t="s">
        <v>8</v>
      </c>
      <c r="F189" s="20" t="s">
        <v>9</v>
      </c>
      <c r="G189" s="20" t="s">
        <v>15</v>
      </c>
      <c r="H189" s="23">
        <v>2268</v>
      </c>
      <c r="I189" s="3">
        <v>720</v>
      </c>
      <c r="J189" s="3">
        <v>93</v>
      </c>
      <c r="K189" s="17">
        <f t="shared" si="12"/>
        <v>36972</v>
      </c>
      <c r="L189" s="3" t="s">
        <v>338</v>
      </c>
      <c r="M189" s="18">
        <v>0</v>
      </c>
      <c r="O189" s="5">
        <v>400</v>
      </c>
      <c r="P189" s="5" t="s">
        <v>273</v>
      </c>
      <c r="Q189" s="18">
        <f t="shared" si="13"/>
        <v>4722</v>
      </c>
      <c r="R189" s="7" t="s">
        <v>274</v>
      </c>
      <c r="S189" s="18">
        <f t="shared" si="14"/>
        <v>424.97999999999996</v>
      </c>
      <c r="T189" s="7" t="s">
        <v>277</v>
      </c>
      <c r="U189" s="15">
        <v>852</v>
      </c>
      <c r="V189" s="15">
        <f t="shared" si="15"/>
        <v>10224</v>
      </c>
      <c r="W189" s="9" t="s">
        <v>269</v>
      </c>
      <c r="X189" s="10">
        <f t="shared" si="16"/>
        <v>2549.8799999999997</v>
      </c>
      <c r="Y189" s="19" t="s">
        <v>284</v>
      </c>
      <c r="AB189" s="10">
        <f t="shared" si="17"/>
        <v>55292.86</v>
      </c>
    </row>
    <row r="190" spans="1:28">
      <c r="A190" s="20" t="s">
        <v>526</v>
      </c>
      <c r="B190" s="13" t="s">
        <v>177</v>
      </c>
      <c r="C190" s="20" t="s">
        <v>7</v>
      </c>
      <c r="D190" s="20">
        <v>1</v>
      </c>
      <c r="E190" s="19"/>
      <c r="F190" s="20" t="s">
        <v>9</v>
      </c>
      <c r="G190" s="20" t="s">
        <v>15</v>
      </c>
      <c r="H190" s="23">
        <v>2268</v>
      </c>
      <c r="I190" s="3">
        <v>720</v>
      </c>
      <c r="K190" s="17">
        <f t="shared" si="12"/>
        <v>35856</v>
      </c>
      <c r="L190" s="3" t="s">
        <v>338</v>
      </c>
      <c r="M190" s="18">
        <v>0</v>
      </c>
      <c r="O190" s="5">
        <v>400</v>
      </c>
      <c r="P190" s="5" t="s">
        <v>273</v>
      </c>
      <c r="Q190" s="18">
        <f t="shared" si="13"/>
        <v>4536</v>
      </c>
      <c r="R190" s="7" t="s">
        <v>274</v>
      </c>
      <c r="S190" s="18">
        <f t="shared" si="14"/>
        <v>408.24</v>
      </c>
      <c r="T190" s="7" t="s">
        <v>277</v>
      </c>
      <c r="U190" s="15">
        <v>852</v>
      </c>
      <c r="V190" s="15">
        <f t="shared" si="15"/>
        <v>10224</v>
      </c>
      <c r="W190" s="9" t="s">
        <v>269</v>
      </c>
      <c r="X190" s="10">
        <f t="shared" si="16"/>
        <v>2449.44</v>
      </c>
      <c r="Y190" s="19" t="s">
        <v>284</v>
      </c>
      <c r="AB190" s="10">
        <f t="shared" si="17"/>
        <v>53873.68</v>
      </c>
    </row>
    <row r="191" spans="1:28">
      <c r="A191" s="20" t="s">
        <v>527</v>
      </c>
      <c r="B191" s="13" t="s">
        <v>528</v>
      </c>
      <c r="C191" s="20" t="s">
        <v>7</v>
      </c>
      <c r="D191" s="20">
        <v>1</v>
      </c>
      <c r="E191" s="19"/>
      <c r="F191" s="20" t="s">
        <v>9</v>
      </c>
      <c r="G191" s="20" t="s">
        <v>15</v>
      </c>
      <c r="H191" s="23">
        <v>2268</v>
      </c>
      <c r="I191" s="3">
        <v>720</v>
      </c>
      <c r="K191" s="17">
        <f t="shared" si="12"/>
        <v>35856</v>
      </c>
      <c r="L191" s="3" t="s">
        <v>338</v>
      </c>
      <c r="M191" s="18">
        <v>0</v>
      </c>
      <c r="O191" s="5">
        <v>400</v>
      </c>
      <c r="P191" s="5" t="s">
        <v>273</v>
      </c>
      <c r="Q191" s="18">
        <f t="shared" si="13"/>
        <v>4536</v>
      </c>
      <c r="R191" s="7" t="s">
        <v>274</v>
      </c>
      <c r="S191" s="18">
        <f t="shared" si="14"/>
        <v>408.24</v>
      </c>
      <c r="T191" s="7" t="s">
        <v>277</v>
      </c>
      <c r="U191" s="15">
        <v>852</v>
      </c>
      <c r="V191" s="15">
        <f t="shared" si="15"/>
        <v>10224</v>
      </c>
      <c r="W191" s="9" t="s">
        <v>269</v>
      </c>
      <c r="X191" s="10">
        <f t="shared" si="16"/>
        <v>2449.44</v>
      </c>
      <c r="Y191" s="19" t="s">
        <v>284</v>
      </c>
      <c r="AB191" s="10">
        <f t="shared" si="17"/>
        <v>53873.68</v>
      </c>
    </row>
    <row r="192" spans="1:28">
      <c r="A192" s="20" t="s">
        <v>529</v>
      </c>
      <c r="B192" s="13" t="s">
        <v>178</v>
      </c>
      <c r="C192" s="20" t="s">
        <v>7</v>
      </c>
      <c r="D192" s="20">
        <v>1</v>
      </c>
      <c r="E192" s="19"/>
      <c r="F192" s="20" t="s">
        <v>9</v>
      </c>
      <c r="G192" s="20" t="s">
        <v>15</v>
      </c>
      <c r="H192" s="23">
        <v>2268</v>
      </c>
      <c r="I192" s="3">
        <v>720</v>
      </c>
      <c r="J192" s="3">
        <v>93</v>
      </c>
      <c r="K192" s="17">
        <f t="shared" si="12"/>
        <v>36972</v>
      </c>
      <c r="L192" s="3" t="s">
        <v>338</v>
      </c>
      <c r="M192" s="18">
        <v>0</v>
      </c>
      <c r="O192" s="5">
        <v>400</v>
      </c>
      <c r="P192" s="5" t="s">
        <v>273</v>
      </c>
      <c r="Q192" s="18">
        <f t="shared" si="13"/>
        <v>4722</v>
      </c>
      <c r="R192" s="7" t="s">
        <v>274</v>
      </c>
      <c r="S192" s="18">
        <f t="shared" si="14"/>
        <v>424.97999999999996</v>
      </c>
      <c r="T192" s="7" t="s">
        <v>277</v>
      </c>
      <c r="U192" s="15">
        <v>852</v>
      </c>
      <c r="V192" s="15">
        <f t="shared" si="15"/>
        <v>10224</v>
      </c>
      <c r="W192" s="9" t="s">
        <v>269</v>
      </c>
      <c r="X192" s="10">
        <f t="shared" si="16"/>
        <v>2549.8799999999997</v>
      </c>
      <c r="Y192" s="19" t="s">
        <v>284</v>
      </c>
      <c r="Z192" s="10"/>
      <c r="AA192" s="19" t="s">
        <v>285</v>
      </c>
      <c r="AB192" s="10">
        <f t="shared" si="17"/>
        <v>55292.86</v>
      </c>
    </row>
    <row r="193" spans="1:28">
      <c r="A193" s="20" t="s">
        <v>530</v>
      </c>
      <c r="B193" s="13" t="s">
        <v>179</v>
      </c>
      <c r="C193" s="20" t="s">
        <v>12</v>
      </c>
      <c r="D193" s="20">
        <v>1</v>
      </c>
      <c r="E193" s="19"/>
      <c r="F193" s="20" t="s">
        <v>9</v>
      </c>
      <c r="G193" s="20" t="s">
        <v>19</v>
      </c>
      <c r="H193" s="23">
        <v>3978</v>
      </c>
      <c r="I193" s="3">
        <v>720</v>
      </c>
      <c r="J193" s="3">
        <v>93</v>
      </c>
      <c r="K193" s="17">
        <f t="shared" si="12"/>
        <v>57492</v>
      </c>
      <c r="L193" s="3" t="s">
        <v>338</v>
      </c>
      <c r="M193" s="18">
        <v>0</v>
      </c>
      <c r="O193" s="5">
        <v>400</v>
      </c>
      <c r="P193" s="5" t="s">
        <v>273</v>
      </c>
      <c r="Q193" s="18">
        <f t="shared" si="13"/>
        <v>8142</v>
      </c>
      <c r="R193" s="7" t="s">
        <v>274</v>
      </c>
      <c r="S193" s="18">
        <f t="shared" si="14"/>
        <v>732.78</v>
      </c>
      <c r="T193" s="7" t="s">
        <v>277</v>
      </c>
      <c r="U193" s="15">
        <v>802</v>
      </c>
      <c r="V193" s="15">
        <f t="shared" si="15"/>
        <v>9624</v>
      </c>
      <c r="W193" s="9" t="s">
        <v>269</v>
      </c>
      <c r="X193" s="10">
        <f t="shared" si="16"/>
        <v>4396.68</v>
      </c>
      <c r="Y193" s="19" t="s">
        <v>284</v>
      </c>
      <c r="Z193" s="10"/>
      <c r="AB193" s="10">
        <f t="shared" si="17"/>
        <v>80787.459999999992</v>
      </c>
    </row>
    <row r="194" spans="1:28">
      <c r="A194" s="20" t="s">
        <v>531</v>
      </c>
      <c r="B194" s="13" t="s">
        <v>180</v>
      </c>
      <c r="C194" s="20" t="s">
        <v>12</v>
      </c>
      <c r="D194" s="20">
        <v>1</v>
      </c>
      <c r="E194" s="19"/>
      <c r="F194" s="20" t="s">
        <v>9</v>
      </c>
      <c r="G194" s="20" t="s">
        <v>10</v>
      </c>
      <c r="H194" s="23">
        <v>1928</v>
      </c>
      <c r="I194" s="3">
        <v>720</v>
      </c>
      <c r="J194" s="3">
        <v>93</v>
      </c>
      <c r="K194" s="17">
        <f t="shared" si="12"/>
        <v>32892</v>
      </c>
      <c r="L194" s="3" t="s">
        <v>338</v>
      </c>
      <c r="M194" s="18">
        <v>0</v>
      </c>
      <c r="O194" s="5">
        <v>400</v>
      </c>
      <c r="P194" s="5" t="s">
        <v>273</v>
      </c>
      <c r="Q194" s="18">
        <f t="shared" si="13"/>
        <v>4042</v>
      </c>
      <c r="R194" s="7" t="s">
        <v>274</v>
      </c>
      <c r="S194" s="18">
        <f t="shared" si="14"/>
        <v>363.78</v>
      </c>
      <c r="T194" s="7" t="s">
        <v>277</v>
      </c>
      <c r="U194" s="15">
        <v>852</v>
      </c>
      <c r="V194" s="15">
        <f t="shared" si="15"/>
        <v>10224</v>
      </c>
      <c r="W194" s="9" t="s">
        <v>269</v>
      </c>
      <c r="X194" s="10">
        <f t="shared" si="16"/>
        <v>2182.6799999999998</v>
      </c>
      <c r="Y194" s="19" t="s">
        <v>284</v>
      </c>
      <c r="AB194" s="10">
        <f t="shared" si="17"/>
        <v>50104.46</v>
      </c>
    </row>
    <row r="195" spans="1:28">
      <c r="A195" s="20" t="s">
        <v>532</v>
      </c>
      <c r="B195" s="13" t="s">
        <v>181</v>
      </c>
      <c r="C195" s="20" t="s">
        <v>12</v>
      </c>
      <c r="D195" s="20">
        <v>1</v>
      </c>
      <c r="E195" s="19"/>
      <c r="F195" s="20" t="s">
        <v>9</v>
      </c>
      <c r="G195" s="20" t="s">
        <v>166</v>
      </c>
      <c r="H195" s="23">
        <v>2378</v>
      </c>
      <c r="I195" s="3">
        <v>720</v>
      </c>
      <c r="K195" s="17">
        <f t="shared" ref="K195:K258" si="18">SUM(H195:J195)*$C$1</f>
        <v>37176</v>
      </c>
      <c r="L195" s="3" t="s">
        <v>339</v>
      </c>
      <c r="M195" s="18">
        <v>0</v>
      </c>
      <c r="O195" s="5">
        <v>400</v>
      </c>
      <c r="P195" s="5" t="s">
        <v>273</v>
      </c>
      <c r="Q195" s="18">
        <f t="shared" ref="Q195:Q258" si="19">(H195+J195)*$G$1</f>
        <v>4756</v>
      </c>
      <c r="R195" s="7" t="s">
        <v>274</v>
      </c>
      <c r="S195" s="18">
        <f t="shared" ref="S195:S258" si="20">+Q195*0.09</f>
        <v>428.03999999999996</v>
      </c>
      <c r="T195" s="7" t="s">
        <v>277</v>
      </c>
      <c r="U195" s="15">
        <v>1302</v>
      </c>
      <c r="V195" s="15">
        <f t="shared" ref="V195:V258" si="21">+U195*$C$1</f>
        <v>15624</v>
      </c>
      <c r="W195" s="9" t="s">
        <v>270</v>
      </c>
      <c r="X195" s="10">
        <f t="shared" ref="X195:X258" si="22">+(H195+J195)*0.09*$C$1+M195*0.09</f>
        <v>2568.2399999999998</v>
      </c>
      <c r="Y195" s="19" t="s">
        <v>284</v>
      </c>
      <c r="AB195" s="10">
        <f t="shared" ref="AB195:AB258" si="23">+K195+M195+O195+Q195+S195+V195+X195+Z195</f>
        <v>60952.28</v>
      </c>
    </row>
    <row r="196" spans="1:28">
      <c r="A196" s="20" t="s">
        <v>533</v>
      </c>
      <c r="B196" s="13" t="s">
        <v>182</v>
      </c>
      <c r="C196" s="20" t="s">
        <v>7</v>
      </c>
      <c r="D196" s="20">
        <v>1</v>
      </c>
      <c r="F196" s="20" t="s">
        <v>9</v>
      </c>
      <c r="G196" s="20" t="s">
        <v>10</v>
      </c>
      <c r="H196" s="23">
        <v>1928</v>
      </c>
      <c r="I196" s="3">
        <v>720</v>
      </c>
      <c r="K196" s="17">
        <f t="shared" si="18"/>
        <v>31776</v>
      </c>
      <c r="L196" s="3" t="s">
        <v>338</v>
      </c>
      <c r="M196" s="18">
        <v>0</v>
      </c>
      <c r="O196" s="5">
        <v>400</v>
      </c>
      <c r="P196" s="5" t="s">
        <v>273</v>
      </c>
      <c r="Q196" s="18">
        <f t="shared" si="19"/>
        <v>3856</v>
      </c>
      <c r="R196" s="7" t="s">
        <v>274</v>
      </c>
      <c r="S196" s="18">
        <f t="shared" si="20"/>
        <v>347.03999999999996</v>
      </c>
      <c r="T196" s="7" t="s">
        <v>277</v>
      </c>
      <c r="U196" s="15">
        <v>852</v>
      </c>
      <c r="V196" s="15">
        <f t="shared" si="21"/>
        <v>10224</v>
      </c>
      <c r="W196" s="9" t="s">
        <v>269</v>
      </c>
      <c r="X196" s="10">
        <f t="shared" si="22"/>
        <v>2082.2399999999998</v>
      </c>
      <c r="Y196" s="19" t="s">
        <v>284</v>
      </c>
      <c r="Z196" s="10"/>
      <c r="AA196" s="19" t="s">
        <v>285</v>
      </c>
      <c r="AB196" s="10">
        <f t="shared" si="23"/>
        <v>48685.279999999999</v>
      </c>
    </row>
    <row r="197" spans="1:28">
      <c r="A197" s="20" t="s">
        <v>534</v>
      </c>
      <c r="B197" s="13" t="s">
        <v>183</v>
      </c>
      <c r="C197" s="20" t="s">
        <v>36</v>
      </c>
      <c r="D197" s="20">
        <v>1</v>
      </c>
      <c r="E197" s="19"/>
      <c r="F197" s="20" t="s">
        <v>9</v>
      </c>
      <c r="G197" s="20" t="s">
        <v>37</v>
      </c>
      <c r="H197" s="23">
        <v>2378</v>
      </c>
      <c r="I197" s="3">
        <v>720</v>
      </c>
      <c r="K197" s="17">
        <f t="shared" si="18"/>
        <v>37176</v>
      </c>
      <c r="L197" s="3" t="s">
        <v>339</v>
      </c>
      <c r="M197" s="18">
        <v>0</v>
      </c>
      <c r="O197" s="5">
        <v>400</v>
      </c>
      <c r="P197" s="5" t="s">
        <v>273</v>
      </c>
      <c r="Q197" s="18">
        <f t="shared" si="19"/>
        <v>4756</v>
      </c>
      <c r="R197" s="7" t="s">
        <v>274</v>
      </c>
      <c r="S197" s="18">
        <f t="shared" si="20"/>
        <v>428.03999999999996</v>
      </c>
      <c r="T197" s="7" t="s">
        <v>277</v>
      </c>
      <c r="U197" s="15">
        <v>1302</v>
      </c>
      <c r="V197" s="15">
        <f t="shared" si="21"/>
        <v>15624</v>
      </c>
      <c r="W197" s="9" t="s">
        <v>270</v>
      </c>
      <c r="X197" s="10">
        <f t="shared" si="22"/>
        <v>2568.2399999999998</v>
      </c>
      <c r="Y197" s="19" t="s">
        <v>284</v>
      </c>
      <c r="Z197" s="10"/>
      <c r="AB197" s="10">
        <f t="shared" si="23"/>
        <v>60952.28</v>
      </c>
    </row>
    <row r="198" spans="1:28">
      <c r="A198" s="20" t="s">
        <v>535</v>
      </c>
      <c r="B198" s="13" t="s">
        <v>184</v>
      </c>
      <c r="C198" s="20" t="s">
        <v>36</v>
      </c>
      <c r="D198" s="20">
        <v>1</v>
      </c>
      <c r="E198" s="19" t="s">
        <v>8</v>
      </c>
      <c r="F198" s="20" t="s">
        <v>9</v>
      </c>
      <c r="G198" s="20" t="s">
        <v>37</v>
      </c>
      <c r="H198" s="23">
        <v>2378</v>
      </c>
      <c r="I198" s="3">
        <v>720</v>
      </c>
      <c r="J198" s="3">
        <v>93</v>
      </c>
      <c r="K198" s="17">
        <f t="shared" si="18"/>
        <v>38292</v>
      </c>
      <c r="L198" s="3" t="s">
        <v>339</v>
      </c>
      <c r="M198" s="18">
        <v>0</v>
      </c>
      <c r="O198" s="5">
        <v>400</v>
      </c>
      <c r="P198" s="5" t="s">
        <v>273</v>
      </c>
      <c r="Q198" s="18">
        <f t="shared" si="19"/>
        <v>4942</v>
      </c>
      <c r="R198" s="7" t="s">
        <v>274</v>
      </c>
      <c r="S198" s="18">
        <f t="shared" si="20"/>
        <v>444.78</v>
      </c>
      <c r="T198" s="7" t="s">
        <v>277</v>
      </c>
      <c r="U198" s="15">
        <v>1302</v>
      </c>
      <c r="V198" s="15">
        <f t="shared" si="21"/>
        <v>15624</v>
      </c>
      <c r="W198" s="9" t="s">
        <v>270</v>
      </c>
      <c r="X198" s="10">
        <f t="shared" si="22"/>
        <v>2668.68</v>
      </c>
      <c r="Y198" s="19" t="s">
        <v>284</v>
      </c>
      <c r="AB198" s="10">
        <f t="shared" si="23"/>
        <v>62371.46</v>
      </c>
    </row>
    <row r="199" spans="1:28">
      <c r="A199" s="20" t="s">
        <v>536</v>
      </c>
      <c r="B199" s="13" t="s">
        <v>185</v>
      </c>
      <c r="C199" s="20" t="s">
        <v>7</v>
      </c>
      <c r="D199" s="20">
        <v>1</v>
      </c>
      <c r="E199" s="19"/>
      <c r="F199" s="20" t="s">
        <v>9</v>
      </c>
      <c r="G199" s="20" t="s">
        <v>15</v>
      </c>
      <c r="H199" s="23">
        <v>2268</v>
      </c>
      <c r="I199" s="3">
        <v>720</v>
      </c>
      <c r="K199" s="17">
        <f t="shared" si="18"/>
        <v>35856</v>
      </c>
      <c r="L199" s="3" t="s">
        <v>338</v>
      </c>
      <c r="M199" s="18">
        <v>0</v>
      </c>
      <c r="O199" s="5">
        <v>400</v>
      </c>
      <c r="P199" s="5" t="s">
        <v>273</v>
      </c>
      <c r="Q199" s="18">
        <f t="shared" si="19"/>
        <v>4536</v>
      </c>
      <c r="R199" s="7" t="s">
        <v>274</v>
      </c>
      <c r="S199" s="18">
        <f t="shared" si="20"/>
        <v>408.24</v>
      </c>
      <c r="T199" s="7" t="s">
        <v>277</v>
      </c>
      <c r="U199" s="15">
        <v>852</v>
      </c>
      <c r="V199" s="15">
        <f t="shared" si="21"/>
        <v>10224</v>
      </c>
      <c r="W199" s="9" t="s">
        <v>269</v>
      </c>
      <c r="X199" s="10">
        <f t="shared" si="22"/>
        <v>2449.44</v>
      </c>
      <c r="Y199" s="19" t="s">
        <v>284</v>
      </c>
      <c r="Z199" s="10"/>
      <c r="AB199" s="10">
        <f t="shared" si="23"/>
        <v>53873.68</v>
      </c>
    </row>
    <row r="200" spans="1:28">
      <c r="A200" s="20" t="s">
        <v>537</v>
      </c>
      <c r="B200" s="13" t="s">
        <v>329</v>
      </c>
      <c r="C200" s="20" t="s">
        <v>7</v>
      </c>
      <c r="D200" s="20">
        <v>1</v>
      </c>
      <c r="F200" s="20" t="s">
        <v>9</v>
      </c>
      <c r="G200" s="20" t="s">
        <v>15</v>
      </c>
      <c r="H200" s="23">
        <v>2268</v>
      </c>
      <c r="I200" s="3">
        <v>720</v>
      </c>
      <c r="K200" s="17">
        <f t="shared" si="18"/>
        <v>35856</v>
      </c>
      <c r="L200" s="3" t="s">
        <v>338</v>
      </c>
      <c r="M200" s="18">
        <v>0</v>
      </c>
      <c r="O200" s="5">
        <v>400</v>
      </c>
      <c r="P200" s="5" t="s">
        <v>273</v>
      </c>
      <c r="Q200" s="18">
        <f t="shared" si="19"/>
        <v>4536</v>
      </c>
      <c r="R200" s="7" t="s">
        <v>274</v>
      </c>
      <c r="S200" s="18">
        <f t="shared" si="20"/>
        <v>408.24</v>
      </c>
      <c r="T200" s="7" t="s">
        <v>277</v>
      </c>
      <c r="U200" s="15">
        <v>852</v>
      </c>
      <c r="V200" s="15">
        <f t="shared" si="21"/>
        <v>10224</v>
      </c>
      <c r="W200" s="9" t="s">
        <v>269</v>
      </c>
      <c r="X200" s="10">
        <f t="shared" si="22"/>
        <v>2449.44</v>
      </c>
      <c r="Y200" s="19" t="s">
        <v>284</v>
      </c>
      <c r="Z200" s="10"/>
      <c r="AA200" s="19" t="s">
        <v>285</v>
      </c>
      <c r="AB200" s="10">
        <f t="shared" si="23"/>
        <v>53873.68</v>
      </c>
    </row>
    <row r="201" spans="1:28">
      <c r="A201" s="20" t="s">
        <v>538</v>
      </c>
      <c r="B201" s="13" t="s">
        <v>186</v>
      </c>
      <c r="C201" s="20" t="s">
        <v>25</v>
      </c>
      <c r="D201" s="20">
        <v>1</v>
      </c>
      <c r="E201" s="19"/>
      <c r="F201" s="20" t="s">
        <v>9</v>
      </c>
      <c r="G201" s="20" t="s">
        <v>15</v>
      </c>
      <c r="H201" s="23">
        <v>2268</v>
      </c>
      <c r="I201" s="3">
        <v>720</v>
      </c>
      <c r="J201" s="3">
        <v>93</v>
      </c>
      <c r="K201" s="17">
        <f t="shared" si="18"/>
        <v>36972</v>
      </c>
      <c r="L201" s="3" t="s">
        <v>338</v>
      </c>
      <c r="M201" s="18">
        <v>0</v>
      </c>
      <c r="O201" s="5">
        <v>400</v>
      </c>
      <c r="P201" s="5" t="s">
        <v>273</v>
      </c>
      <c r="Q201" s="18">
        <f t="shared" si="19"/>
        <v>4722</v>
      </c>
      <c r="R201" s="7" t="s">
        <v>274</v>
      </c>
      <c r="S201" s="18">
        <f t="shared" si="20"/>
        <v>424.97999999999996</v>
      </c>
      <c r="T201" s="7" t="s">
        <v>277</v>
      </c>
      <c r="U201" s="15">
        <v>852</v>
      </c>
      <c r="V201" s="15">
        <f t="shared" si="21"/>
        <v>10224</v>
      </c>
      <c r="W201" s="9" t="s">
        <v>269</v>
      </c>
      <c r="X201" s="10">
        <f t="shared" si="22"/>
        <v>2549.8799999999997</v>
      </c>
      <c r="Y201" s="19" t="s">
        <v>284</v>
      </c>
      <c r="AB201" s="10">
        <f t="shared" si="23"/>
        <v>55292.86</v>
      </c>
    </row>
    <row r="202" spans="1:28">
      <c r="A202" s="20" t="s">
        <v>539</v>
      </c>
      <c r="B202" s="13" t="s">
        <v>187</v>
      </c>
      <c r="C202" s="20" t="s">
        <v>14</v>
      </c>
      <c r="D202" s="20">
        <v>1</v>
      </c>
      <c r="E202" s="19" t="s">
        <v>8</v>
      </c>
      <c r="F202" s="20" t="s">
        <v>9</v>
      </c>
      <c r="G202" s="20" t="s">
        <v>16</v>
      </c>
      <c r="H202" s="23">
        <v>3478</v>
      </c>
      <c r="I202" s="3">
        <v>720</v>
      </c>
      <c r="K202" s="17">
        <f t="shared" si="18"/>
        <v>50376</v>
      </c>
      <c r="L202" s="3" t="s">
        <v>338</v>
      </c>
      <c r="M202" s="18">
        <v>0</v>
      </c>
      <c r="O202" s="5">
        <v>400</v>
      </c>
      <c r="P202" s="5" t="s">
        <v>273</v>
      </c>
      <c r="Q202" s="18">
        <f t="shared" si="19"/>
        <v>6956</v>
      </c>
      <c r="R202" s="7" t="s">
        <v>274</v>
      </c>
      <c r="S202" s="18">
        <f t="shared" si="20"/>
        <v>626.04</v>
      </c>
      <c r="T202" s="7" t="s">
        <v>277</v>
      </c>
      <c r="U202" s="15">
        <v>1302</v>
      </c>
      <c r="V202" s="15">
        <f t="shared" si="21"/>
        <v>15624</v>
      </c>
      <c r="W202" s="9" t="s">
        <v>269</v>
      </c>
      <c r="X202" s="10">
        <f t="shared" si="22"/>
        <v>3756.24</v>
      </c>
      <c r="Y202" s="19" t="s">
        <v>284</v>
      </c>
      <c r="AB202" s="10">
        <f t="shared" si="23"/>
        <v>77738.280000000013</v>
      </c>
    </row>
    <row r="203" spans="1:28">
      <c r="A203" s="20" t="s">
        <v>540</v>
      </c>
      <c r="B203" s="13" t="s">
        <v>188</v>
      </c>
      <c r="C203" s="20" t="s">
        <v>7</v>
      </c>
      <c r="D203" s="20">
        <v>1</v>
      </c>
      <c r="E203" s="19"/>
      <c r="F203" s="20" t="s">
        <v>9</v>
      </c>
      <c r="G203" s="20" t="s">
        <v>15</v>
      </c>
      <c r="H203" s="23">
        <v>2268</v>
      </c>
      <c r="I203" s="3">
        <v>720</v>
      </c>
      <c r="J203" s="3">
        <v>93</v>
      </c>
      <c r="K203" s="17">
        <f t="shared" si="18"/>
        <v>36972</v>
      </c>
      <c r="L203" s="3" t="s">
        <v>338</v>
      </c>
      <c r="M203" s="18">
        <v>0</v>
      </c>
      <c r="O203" s="5">
        <v>400</v>
      </c>
      <c r="P203" s="5" t="s">
        <v>273</v>
      </c>
      <c r="Q203" s="18">
        <f t="shared" si="19"/>
        <v>4722</v>
      </c>
      <c r="R203" s="7" t="s">
        <v>274</v>
      </c>
      <c r="S203" s="18">
        <f t="shared" si="20"/>
        <v>424.97999999999996</v>
      </c>
      <c r="T203" s="7" t="s">
        <v>277</v>
      </c>
      <c r="U203" s="15">
        <v>852</v>
      </c>
      <c r="V203" s="15">
        <f t="shared" si="21"/>
        <v>10224</v>
      </c>
      <c r="W203" s="9" t="s">
        <v>269</v>
      </c>
      <c r="X203" s="10">
        <f t="shared" si="22"/>
        <v>2549.8799999999997</v>
      </c>
      <c r="Y203" s="19" t="s">
        <v>284</v>
      </c>
      <c r="Z203" s="10"/>
      <c r="AB203" s="10">
        <f t="shared" si="23"/>
        <v>55292.86</v>
      </c>
    </row>
    <row r="204" spans="1:28">
      <c r="A204" s="20" t="s">
        <v>541</v>
      </c>
      <c r="B204" s="13" t="s">
        <v>330</v>
      </c>
      <c r="C204" s="20" t="s">
        <v>7</v>
      </c>
      <c r="D204" s="20">
        <v>1</v>
      </c>
      <c r="E204" s="19"/>
      <c r="F204" s="20" t="s">
        <v>26</v>
      </c>
      <c r="G204" s="20" t="s">
        <v>15</v>
      </c>
      <c r="H204" s="23">
        <v>2268</v>
      </c>
      <c r="I204" s="3">
        <v>720</v>
      </c>
      <c r="K204" s="17">
        <f t="shared" si="18"/>
        <v>35856</v>
      </c>
      <c r="L204" s="3" t="s">
        <v>337</v>
      </c>
      <c r="M204" s="18">
        <v>0</v>
      </c>
      <c r="O204" s="5">
        <v>400</v>
      </c>
      <c r="P204" s="5" t="s">
        <v>273</v>
      </c>
      <c r="Q204" s="18">
        <f t="shared" si="19"/>
        <v>4536</v>
      </c>
      <c r="R204" s="7" t="s">
        <v>274</v>
      </c>
      <c r="S204" s="18">
        <f t="shared" si="20"/>
        <v>408.24</v>
      </c>
      <c r="T204" s="7" t="s">
        <v>277</v>
      </c>
      <c r="U204" s="15">
        <v>852</v>
      </c>
      <c r="V204" s="15">
        <f t="shared" si="21"/>
        <v>10224</v>
      </c>
      <c r="W204" s="9" t="s">
        <v>269</v>
      </c>
      <c r="X204" s="10">
        <f t="shared" si="22"/>
        <v>2449.44</v>
      </c>
      <c r="Y204" s="19" t="s">
        <v>284</v>
      </c>
      <c r="AB204" s="10">
        <f t="shared" si="23"/>
        <v>53873.68</v>
      </c>
    </row>
    <row r="205" spans="1:28">
      <c r="A205" s="20" t="s">
        <v>542</v>
      </c>
      <c r="B205" s="13" t="s">
        <v>189</v>
      </c>
      <c r="C205" s="20" t="s">
        <v>7</v>
      </c>
      <c r="D205" s="20">
        <v>1</v>
      </c>
      <c r="E205" s="19"/>
      <c r="F205" s="20" t="s">
        <v>9</v>
      </c>
      <c r="G205" s="20" t="s">
        <v>10</v>
      </c>
      <c r="H205" s="23">
        <v>1928</v>
      </c>
      <c r="I205" s="3">
        <v>720</v>
      </c>
      <c r="K205" s="17">
        <f t="shared" si="18"/>
        <v>31776</v>
      </c>
      <c r="L205" s="3" t="s">
        <v>338</v>
      </c>
      <c r="M205" s="18">
        <v>0</v>
      </c>
      <c r="O205" s="5">
        <v>400</v>
      </c>
      <c r="P205" s="5" t="s">
        <v>273</v>
      </c>
      <c r="Q205" s="18">
        <f t="shared" si="19"/>
        <v>3856</v>
      </c>
      <c r="R205" s="7" t="s">
        <v>274</v>
      </c>
      <c r="S205" s="18">
        <f t="shared" si="20"/>
        <v>347.03999999999996</v>
      </c>
      <c r="T205" s="7" t="s">
        <v>277</v>
      </c>
      <c r="U205" s="15">
        <v>852</v>
      </c>
      <c r="V205" s="15">
        <f t="shared" si="21"/>
        <v>10224</v>
      </c>
      <c r="W205" s="9" t="s">
        <v>269</v>
      </c>
      <c r="X205" s="10">
        <f t="shared" si="22"/>
        <v>2082.2399999999998</v>
      </c>
      <c r="Y205" s="19" t="s">
        <v>284</v>
      </c>
      <c r="AB205" s="10">
        <f t="shared" si="23"/>
        <v>48685.279999999999</v>
      </c>
    </row>
    <row r="206" spans="1:28">
      <c r="A206" s="20" t="s">
        <v>543</v>
      </c>
      <c r="B206" s="13" t="s">
        <v>190</v>
      </c>
      <c r="C206" s="20" t="s">
        <v>12</v>
      </c>
      <c r="D206" s="20">
        <v>1</v>
      </c>
      <c r="E206" s="19"/>
      <c r="F206" s="20" t="s">
        <v>9</v>
      </c>
      <c r="G206" s="20" t="s">
        <v>10</v>
      </c>
      <c r="H206" s="23">
        <v>1928</v>
      </c>
      <c r="I206" s="3">
        <v>720</v>
      </c>
      <c r="J206" s="3">
        <v>93</v>
      </c>
      <c r="K206" s="17">
        <f t="shared" si="18"/>
        <v>32892</v>
      </c>
      <c r="L206" s="3" t="s">
        <v>338</v>
      </c>
      <c r="M206" s="18">
        <v>0</v>
      </c>
      <c r="O206" s="5">
        <v>400</v>
      </c>
      <c r="P206" s="5" t="s">
        <v>273</v>
      </c>
      <c r="Q206" s="18">
        <f t="shared" si="19"/>
        <v>4042</v>
      </c>
      <c r="R206" s="7" t="s">
        <v>274</v>
      </c>
      <c r="S206" s="18">
        <f t="shared" si="20"/>
        <v>363.78</v>
      </c>
      <c r="T206" s="7" t="s">
        <v>277</v>
      </c>
      <c r="U206" s="15">
        <v>852</v>
      </c>
      <c r="V206" s="15">
        <f t="shared" si="21"/>
        <v>10224</v>
      </c>
      <c r="W206" s="9" t="s">
        <v>269</v>
      </c>
      <c r="X206" s="10">
        <f t="shared" si="22"/>
        <v>2182.6799999999998</v>
      </c>
      <c r="Y206" s="19" t="s">
        <v>284</v>
      </c>
      <c r="Z206" s="10"/>
      <c r="AA206" s="19" t="s">
        <v>285</v>
      </c>
      <c r="AB206" s="10">
        <f t="shared" si="23"/>
        <v>50104.46</v>
      </c>
    </row>
    <row r="207" spans="1:28">
      <c r="A207" s="20" t="s">
        <v>544</v>
      </c>
      <c r="B207" s="13" t="s">
        <v>191</v>
      </c>
      <c r="C207" s="20" t="s">
        <v>12</v>
      </c>
      <c r="D207" s="20">
        <v>1</v>
      </c>
      <c r="F207" s="20" t="s">
        <v>9</v>
      </c>
      <c r="G207" s="20" t="s">
        <v>166</v>
      </c>
      <c r="H207" s="23">
        <v>2378</v>
      </c>
      <c r="I207" s="3">
        <v>720</v>
      </c>
      <c r="J207" s="3">
        <v>93</v>
      </c>
      <c r="K207" s="17">
        <f t="shared" si="18"/>
        <v>38292</v>
      </c>
      <c r="L207" s="3" t="s">
        <v>339</v>
      </c>
      <c r="M207" s="18">
        <v>0</v>
      </c>
      <c r="O207" s="5">
        <v>400</v>
      </c>
      <c r="P207" s="5" t="s">
        <v>273</v>
      </c>
      <c r="Q207" s="18">
        <f t="shared" si="19"/>
        <v>4942</v>
      </c>
      <c r="R207" s="7" t="s">
        <v>274</v>
      </c>
      <c r="S207" s="18">
        <f t="shared" si="20"/>
        <v>444.78</v>
      </c>
      <c r="T207" s="7" t="s">
        <v>277</v>
      </c>
      <c r="U207" s="15">
        <v>1302</v>
      </c>
      <c r="V207" s="15">
        <f t="shared" si="21"/>
        <v>15624</v>
      </c>
      <c r="W207" s="9" t="s">
        <v>270</v>
      </c>
      <c r="X207" s="10">
        <f t="shared" si="22"/>
        <v>2668.68</v>
      </c>
      <c r="Y207" s="19" t="s">
        <v>284</v>
      </c>
      <c r="AB207" s="10">
        <f t="shared" si="23"/>
        <v>62371.46</v>
      </c>
    </row>
    <row r="208" spans="1:28">
      <c r="A208" s="20" t="s">
        <v>545</v>
      </c>
      <c r="B208" s="13" t="s">
        <v>192</v>
      </c>
      <c r="C208" s="20" t="s">
        <v>12</v>
      </c>
      <c r="D208" s="20">
        <v>1</v>
      </c>
      <c r="E208" s="19"/>
      <c r="F208" s="20" t="s">
        <v>9</v>
      </c>
      <c r="G208" s="20" t="s">
        <v>28</v>
      </c>
      <c r="H208" s="23">
        <v>1600</v>
      </c>
      <c r="I208" s="3">
        <v>720</v>
      </c>
      <c r="J208" s="3">
        <v>93</v>
      </c>
      <c r="K208" s="17">
        <f t="shared" si="18"/>
        <v>28956</v>
      </c>
      <c r="L208" s="3" t="s">
        <v>338</v>
      </c>
      <c r="M208" s="18">
        <v>0</v>
      </c>
      <c r="O208" s="5">
        <v>400</v>
      </c>
      <c r="P208" s="5" t="s">
        <v>273</v>
      </c>
      <c r="Q208" s="18">
        <f t="shared" si="19"/>
        <v>3386</v>
      </c>
      <c r="R208" s="7" t="s">
        <v>274</v>
      </c>
      <c r="S208" s="18">
        <f t="shared" si="20"/>
        <v>304.74</v>
      </c>
      <c r="T208" s="7" t="s">
        <v>277</v>
      </c>
      <c r="U208" s="15">
        <v>802</v>
      </c>
      <c r="V208" s="15">
        <f t="shared" si="21"/>
        <v>9624</v>
      </c>
      <c r="W208" s="9" t="s">
        <v>269</v>
      </c>
      <c r="X208" s="10">
        <f t="shared" si="22"/>
        <v>1828.44</v>
      </c>
      <c r="Y208" s="19" t="s">
        <v>284</v>
      </c>
      <c r="AB208" s="10">
        <f t="shared" si="23"/>
        <v>44499.18</v>
      </c>
    </row>
    <row r="209" spans="1:28">
      <c r="A209" s="20" t="s">
        <v>546</v>
      </c>
      <c r="B209" s="13" t="s">
        <v>193</v>
      </c>
      <c r="C209" s="20" t="s">
        <v>12</v>
      </c>
      <c r="D209" s="20">
        <v>1</v>
      </c>
      <c r="E209" s="19" t="s">
        <v>8</v>
      </c>
      <c r="F209" s="20" t="s">
        <v>9</v>
      </c>
      <c r="G209" s="20" t="s">
        <v>49</v>
      </c>
      <c r="H209" s="23">
        <v>2378</v>
      </c>
      <c r="I209" s="3">
        <v>720</v>
      </c>
      <c r="J209" s="3">
        <v>93</v>
      </c>
      <c r="K209" s="17">
        <f t="shared" si="18"/>
        <v>38292</v>
      </c>
      <c r="L209" s="3" t="s">
        <v>339</v>
      </c>
      <c r="M209" s="18">
        <v>6387.9</v>
      </c>
      <c r="N209" s="7" t="s">
        <v>279</v>
      </c>
      <c r="O209" s="5">
        <v>400</v>
      </c>
      <c r="P209" s="5" t="s">
        <v>273</v>
      </c>
      <c r="Q209" s="18">
        <f t="shared" si="19"/>
        <v>4942</v>
      </c>
      <c r="R209" s="7" t="s">
        <v>274</v>
      </c>
      <c r="S209" s="18">
        <f t="shared" si="20"/>
        <v>444.78</v>
      </c>
      <c r="T209" s="7" t="s">
        <v>277</v>
      </c>
      <c r="U209" s="15">
        <v>1302</v>
      </c>
      <c r="V209" s="15">
        <f t="shared" si="21"/>
        <v>15624</v>
      </c>
      <c r="W209" s="9" t="s">
        <v>270</v>
      </c>
      <c r="X209" s="10">
        <f t="shared" si="22"/>
        <v>3243.5909999999999</v>
      </c>
      <c r="Y209" s="19" t="s">
        <v>284</v>
      </c>
      <c r="AB209" s="10">
        <f t="shared" si="23"/>
        <v>69334.270999999993</v>
      </c>
    </row>
    <row r="210" spans="1:28">
      <c r="A210" s="20" t="s">
        <v>547</v>
      </c>
      <c r="B210" s="13" t="s">
        <v>194</v>
      </c>
      <c r="C210" s="20" t="s">
        <v>45</v>
      </c>
      <c r="D210" s="20">
        <v>1</v>
      </c>
      <c r="E210" s="19"/>
      <c r="F210" s="20" t="s">
        <v>9</v>
      </c>
      <c r="G210" s="20" t="s">
        <v>28</v>
      </c>
      <c r="H210" s="23">
        <v>1600</v>
      </c>
      <c r="I210" s="3">
        <v>720</v>
      </c>
      <c r="J210" s="3">
        <v>93</v>
      </c>
      <c r="K210" s="17">
        <f t="shared" si="18"/>
        <v>28956</v>
      </c>
      <c r="L210" s="3" t="s">
        <v>338</v>
      </c>
      <c r="M210" s="18">
        <v>0</v>
      </c>
      <c r="O210" s="5">
        <v>400</v>
      </c>
      <c r="P210" s="5" t="s">
        <v>273</v>
      </c>
      <c r="Q210" s="18">
        <f t="shared" si="19"/>
        <v>3386</v>
      </c>
      <c r="R210" s="7" t="s">
        <v>274</v>
      </c>
      <c r="S210" s="18">
        <f t="shared" si="20"/>
        <v>304.74</v>
      </c>
      <c r="T210" s="7" t="s">
        <v>277</v>
      </c>
      <c r="U210" s="15">
        <v>802</v>
      </c>
      <c r="V210" s="15">
        <f t="shared" si="21"/>
        <v>9624</v>
      </c>
      <c r="W210" s="9" t="s">
        <v>269</v>
      </c>
      <c r="X210" s="10">
        <f t="shared" si="22"/>
        <v>1828.44</v>
      </c>
      <c r="Y210" s="19" t="s">
        <v>284</v>
      </c>
      <c r="Z210" s="10"/>
      <c r="AB210" s="10">
        <f t="shared" si="23"/>
        <v>44499.18</v>
      </c>
    </row>
    <row r="211" spans="1:28">
      <c r="A211" s="20" t="s">
        <v>548</v>
      </c>
      <c r="B211" s="13" t="s">
        <v>195</v>
      </c>
      <c r="C211" s="20" t="s">
        <v>25</v>
      </c>
      <c r="D211" s="20">
        <v>1</v>
      </c>
      <c r="E211" s="19"/>
      <c r="F211" s="20" t="s">
        <v>9</v>
      </c>
      <c r="G211" s="20" t="s">
        <v>15</v>
      </c>
      <c r="H211" s="23">
        <v>2268</v>
      </c>
      <c r="I211" s="3">
        <v>720</v>
      </c>
      <c r="K211" s="17">
        <f t="shared" si="18"/>
        <v>35856</v>
      </c>
      <c r="L211" s="3" t="s">
        <v>338</v>
      </c>
      <c r="M211" s="18">
        <v>0</v>
      </c>
      <c r="O211" s="5">
        <v>400</v>
      </c>
      <c r="P211" s="5" t="s">
        <v>273</v>
      </c>
      <c r="Q211" s="18">
        <f t="shared" si="19"/>
        <v>4536</v>
      </c>
      <c r="R211" s="7" t="s">
        <v>274</v>
      </c>
      <c r="S211" s="18">
        <f t="shared" si="20"/>
        <v>408.24</v>
      </c>
      <c r="T211" s="7" t="s">
        <v>277</v>
      </c>
      <c r="U211" s="15">
        <v>852</v>
      </c>
      <c r="V211" s="15">
        <f t="shared" si="21"/>
        <v>10224</v>
      </c>
      <c r="W211" s="9" t="s">
        <v>269</v>
      </c>
      <c r="X211" s="10">
        <f t="shared" si="22"/>
        <v>2449.44</v>
      </c>
      <c r="Y211" s="19" t="s">
        <v>284</v>
      </c>
      <c r="AB211" s="10">
        <f t="shared" si="23"/>
        <v>53873.68</v>
      </c>
    </row>
    <row r="212" spans="1:28">
      <c r="A212" s="20" t="s">
        <v>549</v>
      </c>
      <c r="B212" s="13" t="s">
        <v>331</v>
      </c>
      <c r="C212" s="20" t="s">
        <v>45</v>
      </c>
      <c r="D212" s="20">
        <v>1</v>
      </c>
      <c r="E212" s="19"/>
      <c r="F212" s="20" t="s">
        <v>9</v>
      </c>
      <c r="G212" s="20" t="s">
        <v>46</v>
      </c>
      <c r="H212" s="23">
        <v>5478</v>
      </c>
      <c r="I212" s="3">
        <v>720</v>
      </c>
      <c r="J212" s="3">
        <v>93</v>
      </c>
      <c r="K212" s="17">
        <f t="shared" si="18"/>
        <v>75492</v>
      </c>
      <c r="L212" s="3" t="s">
        <v>338</v>
      </c>
      <c r="M212" s="18">
        <v>0</v>
      </c>
      <c r="O212" s="5">
        <v>400</v>
      </c>
      <c r="P212" s="5" t="s">
        <v>273</v>
      </c>
      <c r="Q212" s="18">
        <f t="shared" si="19"/>
        <v>11142</v>
      </c>
      <c r="R212" s="7" t="s">
        <v>274</v>
      </c>
      <c r="S212" s="18">
        <f t="shared" si="20"/>
        <v>1002.78</v>
      </c>
      <c r="T212" s="7" t="s">
        <v>277</v>
      </c>
      <c r="U212" s="15">
        <v>1302</v>
      </c>
      <c r="V212" s="15">
        <f t="shared" si="21"/>
        <v>15624</v>
      </c>
      <c r="W212" s="9" t="s">
        <v>269</v>
      </c>
      <c r="X212" s="10">
        <f t="shared" si="22"/>
        <v>6016.68</v>
      </c>
      <c r="Y212" s="19" t="s">
        <v>284</v>
      </c>
      <c r="AB212" s="10">
        <f t="shared" si="23"/>
        <v>109677.45999999999</v>
      </c>
    </row>
    <row r="213" spans="1:28">
      <c r="A213" s="20" t="s">
        <v>550</v>
      </c>
      <c r="B213" s="13" t="s">
        <v>196</v>
      </c>
      <c r="C213" s="20" t="s">
        <v>14</v>
      </c>
      <c r="D213" s="20">
        <v>1</v>
      </c>
      <c r="E213" s="19"/>
      <c r="F213" s="20" t="s">
        <v>9</v>
      </c>
      <c r="G213" s="20" t="s">
        <v>15</v>
      </c>
      <c r="H213" s="23">
        <v>2268</v>
      </c>
      <c r="I213" s="3">
        <v>720</v>
      </c>
      <c r="K213" s="17">
        <f t="shared" si="18"/>
        <v>35856</v>
      </c>
      <c r="L213" s="3" t="s">
        <v>338</v>
      </c>
      <c r="M213" s="18">
        <v>0</v>
      </c>
      <c r="O213" s="5">
        <v>400</v>
      </c>
      <c r="P213" s="5" t="s">
        <v>273</v>
      </c>
      <c r="Q213" s="18">
        <f t="shared" si="19"/>
        <v>4536</v>
      </c>
      <c r="R213" s="7" t="s">
        <v>274</v>
      </c>
      <c r="S213" s="18">
        <f t="shared" si="20"/>
        <v>408.24</v>
      </c>
      <c r="T213" s="7" t="s">
        <v>277</v>
      </c>
      <c r="U213" s="15">
        <v>852</v>
      </c>
      <c r="V213" s="15">
        <f t="shared" si="21"/>
        <v>10224</v>
      </c>
      <c r="W213" s="9" t="s">
        <v>269</v>
      </c>
      <c r="X213" s="10">
        <f t="shared" si="22"/>
        <v>2449.44</v>
      </c>
      <c r="Y213" s="19" t="s">
        <v>284</v>
      </c>
      <c r="Z213" s="10"/>
      <c r="AA213" s="19" t="s">
        <v>285</v>
      </c>
      <c r="AB213" s="10">
        <f t="shared" si="23"/>
        <v>53873.68</v>
      </c>
    </row>
    <row r="214" spans="1:28">
      <c r="A214" s="20" t="s">
        <v>551</v>
      </c>
      <c r="B214" s="13" t="s">
        <v>197</v>
      </c>
      <c r="C214" s="20" t="s">
        <v>7</v>
      </c>
      <c r="D214" s="20">
        <v>1</v>
      </c>
      <c r="E214" s="19"/>
      <c r="F214" s="20" t="s">
        <v>9</v>
      </c>
      <c r="G214" s="20" t="s">
        <v>15</v>
      </c>
      <c r="H214" s="23">
        <v>2268</v>
      </c>
      <c r="I214" s="3">
        <v>720</v>
      </c>
      <c r="K214" s="17">
        <f t="shared" si="18"/>
        <v>35856</v>
      </c>
      <c r="L214" s="3" t="s">
        <v>338</v>
      </c>
      <c r="M214" s="18">
        <v>0</v>
      </c>
      <c r="O214" s="5">
        <v>400</v>
      </c>
      <c r="P214" s="5" t="s">
        <v>273</v>
      </c>
      <c r="Q214" s="18">
        <f t="shared" si="19"/>
        <v>4536</v>
      </c>
      <c r="R214" s="7" t="s">
        <v>274</v>
      </c>
      <c r="S214" s="18">
        <f t="shared" si="20"/>
        <v>408.24</v>
      </c>
      <c r="T214" s="7" t="s">
        <v>277</v>
      </c>
      <c r="U214" s="15">
        <v>852</v>
      </c>
      <c r="V214" s="15">
        <f t="shared" si="21"/>
        <v>10224</v>
      </c>
      <c r="W214" s="9" t="s">
        <v>269</v>
      </c>
      <c r="X214" s="10">
        <f t="shared" si="22"/>
        <v>2449.44</v>
      </c>
      <c r="Y214" s="19" t="s">
        <v>284</v>
      </c>
      <c r="Z214" s="10"/>
      <c r="AA214" s="19" t="s">
        <v>285</v>
      </c>
      <c r="AB214" s="10">
        <f t="shared" si="23"/>
        <v>53873.68</v>
      </c>
    </row>
    <row r="215" spans="1:28">
      <c r="A215" s="20" t="s">
        <v>552</v>
      </c>
      <c r="B215" s="13" t="s">
        <v>198</v>
      </c>
      <c r="C215" s="20" t="s">
        <v>12</v>
      </c>
      <c r="D215" s="20">
        <v>1</v>
      </c>
      <c r="E215" s="19"/>
      <c r="F215" s="20" t="s">
        <v>9</v>
      </c>
      <c r="G215" s="20" t="s">
        <v>37</v>
      </c>
      <c r="H215" s="23">
        <v>2378</v>
      </c>
      <c r="I215" s="3">
        <v>720</v>
      </c>
      <c r="J215" s="3">
        <v>93</v>
      </c>
      <c r="K215" s="17">
        <f t="shared" si="18"/>
        <v>38292</v>
      </c>
      <c r="L215" s="3" t="s">
        <v>339</v>
      </c>
      <c r="M215" s="18">
        <v>0</v>
      </c>
      <c r="O215" s="5">
        <v>400</v>
      </c>
      <c r="P215" s="5" t="s">
        <v>273</v>
      </c>
      <c r="Q215" s="18">
        <f t="shared" si="19"/>
        <v>4942</v>
      </c>
      <c r="R215" s="7" t="s">
        <v>274</v>
      </c>
      <c r="S215" s="18">
        <f t="shared" si="20"/>
        <v>444.78</v>
      </c>
      <c r="T215" s="7" t="s">
        <v>277</v>
      </c>
      <c r="U215" s="15">
        <v>1302</v>
      </c>
      <c r="V215" s="15">
        <f t="shared" si="21"/>
        <v>15624</v>
      </c>
      <c r="W215" s="9" t="s">
        <v>270</v>
      </c>
      <c r="X215" s="10">
        <f t="shared" si="22"/>
        <v>2668.68</v>
      </c>
      <c r="Y215" s="19" t="s">
        <v>284</v>
      </c>
      <c r="AB215" s="10">
        <f t="shared" si="23"/>
        <v>62371.46</v>
      </c>
    </row>
    <row r="216" spans="1:28">
      <c r="A216" s="20" t="s">
        <v>553</v>
      </c>
      <c r="B216" s="13" t="s">
        <v>199</v>
      </c>
      <c r="C216" s="20" t="s">
        <v>7</v>
      </c>
      <c r="D216" s="20">
        <v>1</v>
      </c>
      <c r="E216" s="19"/>
      <c r="F216" s="20" t="s">
        <v>9</v>
      </c>
      <c r="G216" s="20" t="s">
        <v>80</v>
      </c>
      <c r="H216" s="23">
        <v>2828</v>
      </c>
      <c r="I216" s="3">
        <v>720</v>
      </c>
      <c r="K216" s="17">
        <f t="shared" si="18"/>
        <v>42576</v>
      </c>
      <c r="L216" s="3" t="s">
        <v>338</v>
      </c>
      <c r="M216" s="18">
        <v>0</v>
      </c>
      <c r="O216" s="5">
        <v>400</v>
      </c>
      <c r="P216" s="5" t="s">
        <v>273</v>
      </c>
      <c r="Q216" s="18">
        <f t="shared" si="19"/>
        <v>5656</v>
      </c>
      <c r="R216" s="7" t="s">
        <v>274</v>
      </c>
      <c r="S216" s="18">
        <f t="shared" si="20"/>
        <v>509.03999999999996</v>
      </c>
      <c r="T216" s="7" t="s">
        <v>277</v>
      </c>
      <c r="U216" s="15">
        <v>852</v>
      </c>
      <c r="V216" s="15">
        <f t="shared" si="21"/>
        <v>10224</v>
      </c>
      <c r="W216" s="9" t="s">
        <v>269</v>
      </c>
      <c r="X216" s="10">
        <f t="shared" si="22"/>
        <v>3054.24</v>
      </c>
      <c r="Y216" s="19" t="s">
        <v>284</v>
      </c>
      <c r="AB216" s="10">
        <f t="shared" si="23"/>
        <v>62419.28</v>
      </c>
    </row>
    <row r="217" spans="1:28">
      <c r="A217" s="20" t="s">
        <v>554</v>
      </c>
      <c r="B217" s="13" t="s">
        <v>200</v>
      </c>
      <c r="C217" s="20" t="s">
        <v>36</v>
      </c>
      <c r="D217" s="20">
        <v>1</v>
      </c>
      <c r="E217" s="19"/>
      <c r="F217" s="20" t="s">
        <v>9</v>
      </c>
      <c r="G217" s="20" t="s">
        <v>19</v>
      </c>
      <c r="H217" s="23">
        <v>3978</v>
      </c>
      <c r="I217" s="3">
        <v>720</v>
      </c>
      <c r="K217" s="17">
        <f t="shared" si="18"/>
        <v>56376</v>
      </c>
      <c r="L217" s="3" t="s">
        <v>338</v>
      </c>
      <c r="M217" s="18">
        <v>0</v>
      </c>
      <c r="O217" s="5">
        <v>400</v>
      </c>
      <c r="P217" s="5" t="s">
        <v>273</v>
      </c>
      <c r="Q217" s="18">
        <f t="shared" si="19"/>
        <v>7956</v>
      </c>
      <c r="R217" s="7" t="s">
        <v>274</v>
      </c>
      <c r="S217" s="18">
        <f t="shared" si="20"/>
        <v>716.04</v>
      </c>
      <c r="T217" s="7" t="s">
        <v>277</v>
      </c>
      <c r="U217" s="15">
        <v>802</v>
      </c>
      <c r="V217" s="15">
        <f t="shared" si="21"/>
        <v>9624</v>
      </c>
      <c r="W217" s="9" t="s">
        <v>269</v>
      </c>
      <c r="X217" s="10">
        <f t="shared" si="22"/>
        <v>4296.24</v>
      </c>
      <c r="Y217" s="19" t="s">
        <v>284</v>
      </c>
      <c r="AB217" s="10">
        <f t="shared" si="23"/>
        <v>79368.280000000013</v>
      </c>
    </row>
    <row r="218" spans="1:28" s="14" customFormat="1">
      <c r="A218" s="20" t="s">
        <v>555</v>
      </c>
      <c r="B218" s="13" t="s">
        <v>556</v>
      </c>
      <c r="C218" s="20" t="s">
        <v>7</v>
      </c>
      <c r="D218" s="20">
        <v>1</v>
      </c>
      <c r="E218" s="20"/>
      <c r="F218" s="20" t="s">
        <v>26</v>
      </c>
      <c r="G218" s="20" t="s">
        <v>15</v>
      </c>
      <c r="H218" s="23">
        <v>2268</v>
      </c>
      <c r="I218" s="3">
        <v>720</v>
      </c>
      <c r="J218" s="3"/>
      <c r="K218" s="17">
        <f t="shared" si="18"/>
        <v>35856</v>
      </c>
      <c r="L218" s="3" t="s">
        <v>337</v>
      </c>
      <c r="M218" s="18">
        <v>0</v>
      </c>
      <c r="N218" s="7"/>
      <c r="O218" s="5">
        <v>400</v>
      </c>
      <c r="P218" s="5" t="s">
        <v>273</v>
      </c>
      <c r="Q218" s="18">
        <f t="shared" si="19"/>
        <v>4536</v>
      </c>
      <c r="R218" s="7" t="s">
        <v>274</v>
      </c>
      <c r="S218" s="18">
        <f t="shared" si="20"/>
        <v>408.24</v>
      </c>
      <c r="T218" s="7" t="s">
        <v>277</v>
      </c>
      <c r="U218" s="15">
        <v>852</v>
      </c>
      <c r="V218" s="15">
        <f t="shared" si="21"/>
        <v>10224</v>
      </c>
      <c r="W218" s="9" t="s">
        <v>269</v>
      </c>
      <c r="X218" s="10">
        <f t="shared" si="22"/>
        <v>2449.44</v>
      </c>
      <c r="Y218" s="19" t="s">
        <v>284</v>
      </c>
      <c r="Z218" s="19"/>
      <c r="AA218" s="19"/>
      <c r="AB218" s="10">
        <f t="shared" si="23"/>
        <v>53873.68</v>
      </c>
    </row>
    <row r="219" spans="1:28">
      <c r="A219" s="13" t="s">
        <v>557</v>
      </c>
      <c r="B219" s="12" t="s">
        <v>201</v>
      </c>
      <c r="C219" s="20" t="s">
        <v>45</v>
      </c>
      <c r="D219" s="20">
        <v>1</v>
      </c>
      <c r="E219" s="19"/>
      <c r="F219" s="20" t="s">
        <v>9</v>
      </c>
      <c r="G219" s="20" t="s">
        <v>19</v>
      </c>
      <c r="H219" s="23">
        <v>3978</v>
      </c>
      <c r="I219" s="14">
        <v>720</v>
      </c>
      <c r="J219" s="14">
        <v>93</v>
      </c>
      <c r="K219" s="17">
        <f t="shared" si="18"/>
        <v>57492</v>
      </c>
      <c r="L219" s="14" t="s">
        <v>338</v>
      </c>
      <c r="M219" s="18">
        <v>0</v>
      </c>
      <c r="O219" s="5">
        <v>400</v>
      </c>
      <c r="P219" s="14" t="s">
        <v>273</v>
      </c>
      <c r="Q219" s="18">
        <f t="shared" si="19"/>
        <v>8142</v>
      </c>
      <c r="R219" s="14" t="s">
        <v>274</v>
      </c>
      <c r="S219" s="18">
        <f t="shared" si="20"/>
        <v>732.78</v>
      </c>
      <c r="T219" s="14" t="s">
        <v>277</v>
      </c>
      <c r="U219" s="16">
        <v>802</v>
      </c>
      <c r="V219" s="15">
        <f t="shared" si="21"/>
        <v>9624</v>
      </c>
      <c r="W219" s="9" t="s">
        <v>269</v>
      </c>
      <c r="X219" s="10">
        <f t="shared" si="22"/>
        <v>4396.68</v>
      </c>
      <c r="Y219" s="14" t="s">
        <v>284</v>
      </c>
      <c r="Z219" s="14"/>
      <c r="AA219" s="14"/>
      <c r="AB219" s="10">
        <f t="shared" si="23"/>
        <v>80787.459999999992</v>
      </c>
    </row>
    <row r="220" spans="1:28">
      <c r="A220" s="20" t="s">
        <v>558</v>
      </c>
      <c r="B220" s="13" t="s">
        <v>202</v>
      </c>
      <c r="C220" s="20" t="s">
        <v>25</v>
      </c>
      <c r="D220" s="20">
        <v>1</v>
      </c>
      <c r="E220" s="19"/>
      <c r="F220" s="20" t="s">
        <v>9</v>
      </c>
      <c r="G220" s="20" t="s">
        <v>15</v>
      </c>
      <c r="H220" s="23">
        <v>2268</v>
      </c>
      <c r="I220" s="3">
        <v>720</v>
      </c>
      <c r="J220" s="3">
        <v>93</v>
      </c>
      <c r="K220" s="17">
        <f t="shared" si="18"/>
        <v>36972</v>
      </c>
      <c r="L220" s="3" t="s">
        <v>338</v>
      </c>
      <c r="M220" s="18">
        <v>0</v>
      </c>
      <c r="O220" s="5">
        <v>400</v>
      </c>
      <c r="P220" s="5" t="s">
        <v>273</v>
      </c>
      <c r="Q220" s="18">
        <f t="shared" si="19"/>
        <v>4722</v>
      </c>
      <c r="R220" s="7" t="s">
        <v>274</v>
      </c>
      <c r="S220" s="18">
        <f t="shared" si="20"/>
        <v>424.97999999999996</v>
      </c>
      <c r="T220" s="7" t="s">
        <v>277</v>
      </c>
      <c r="U220" s="15">
        <v>852</v>
      </c>
      <c r="V220" s="15">
        <f t="shared" si="21"/>
        <v>10224</v>
      </c>
      <c r="W220" s="9" t="s">
        <v>269</v>
      </c>
      <c r="X220" s="10">
        <f t="shared" si="22"/>
        <v>2549.8799999999997</v>
      </c>
      <c r="Y220" s="19" t="s">
        <v>284</v>
      </c>
      <c r="AB220" s="10">
        <f t="shared" si="23"/>
        <v>55292.86</v>
      </c>
    </row>
    <row r="221" spans="1:28">
      <c r="A221" s="20" t="s">
        <v>559</v>
      </c>
      <c r="B221" s="13" t="s">
        <v>304</v>
      </c>
      <c r="C221" s="20" t="s">
        <v>7</v>
      </c>
      <c r="D221" s="20">
        <v>1</v>
      </c>
      <c r="E221" s="19" t="s">
        <v>8</v>
      </c>
      <c r="F221" s="20" t="s">
        <v>9</v>
      </c>
      <c r="G221" s="20" t="s">
        <v>19</v>
      </c>
      <c r="H221" s="23">
        <v>3978</v>
      </c>
      <c r="I221" s="3">
        <v>720</v>
      </c>
      <c r="K221" s="17">
        <f t="shared" si="18"/>
        <v>56376</v>
      </c>
      <c r="L221" s="3" t="s">
        <v>338</v>
      </c>
      <c r="M221" s="18">
        <v>0</v>
      </c>
      <c r="O221" s="5">
        <v>400</v>
      </c>
      <c r="P221" s="5" t="s">
        <v>273</v>
      </c>
      <c r="Q221" s="18">
        <f t="shared" si="19"/>
        <v>7956</v>
      </c>
      <c r="R221" s="7" t="s">
        <v>274</v>
      </c>
      <c r="S221" s="18">
        <f t="shared" si="20"/>
        <v>716.04</v>
      </c>
      <c r="T221" s="7" t="s">
        <v>277</v>
      </c>
      <c r="U221" s="15">
        <v>802</v>
      </c>
      <c r="V221" s="15">
        <f t="shared" si="21"/>
        <v>9624</v>
      </c>
      <c r="W221" s="9" t="s">
        <v>269</v>
      </c>
      <c r="X221" s="10">
        <f t="shared" si="22"/>
        <v>4296.24</v>
      </c>
      <c r="Y221" s="19" t="s">
        <v>284</v>
      </c>
      <c r="AB221" s="10">
        <f t="shared" si="23"/>
        <v>79368.280000000013</v>
      </c>
    </row>
    <row r="222" spans="1:28">
      <c r="A222" s="20" t="s">
        <v>560</v>
      </c>
      <c r="B222" s="13" t="s">
        <v>203</v>
      </c>
      <c r="C222" s="20" t="s">
        <v>12</v>
      </c>
      <c r="D222" s="20">
        <v>1</v>
      </c>
      <c r="E222" s="19"/>
      <c r="F222" s="20" t="s">
        <v>9</v>
      </c>
      <c r="G222" s="20" t="s">
        <v>23</v>
      </c>
      <c r="H222" s="23">
        <v>1928</v>
      </c>
      <c r="I222" s="3">
        <v>720</v>
      </c>
      <c r="K222" s="17">
        <f t="shared" si="18"/>
        <v>31776</v>
      </c>
      <c r="L222" s="3" t="s">
        <v>340</v>
      </c>
      <c r="M222" s="18">
        <v>0</v>
      </c>
      <c r="O222" s="5">
        <v>400</v>
      </c>
      <c r="P222" s="5" t="s">
        <v>273</v>
      </c>
      <c r="Q222" s="18">
        <f t="shared" si="19"/>
        <v>3856</v>
      </c>
      <c r="R222" s="7" t="s">
        <v>274</v>
      </c>
      <c r="S222" s="18">
        <f t="shared" si="20"/>
        <v>347.03999999999996</v>
      </c>
      <c r="T222" s="7" t="s">
        <v>277</v>
      </c>
      <c r="U222" s="15">
        <v>852</v>
      </c>
      <c r="V222" s="15">
        <f t="shared" si="21"/>
        <v>10224</v>
      </c>
      <c r="W222" s="9" t="s">
        <v>270</v>
      </c>
      <c r="X222" s="10">
        <f t="shared" si="22"/>
        <v>2082.2399999999998</v>
      </c>
      <c r="Y222" s="19" t="s">
        <v>284</v>
      </c>
      <c r="AB222" s="10">
        <f t="shared" si="23"/>
        <v>48685.279999999999</v>
      </c>
    </row>
    <row r="223" spans="1:28">
      <c r="A223" s="20" t="s">
        <v>561</v>
      </c>
      <c r="B223" s="13" t="s">
        <v>204</v>
      </c>
      <c r="C223" s="20" t="s">
        <v>14</v>
      </c>
      <c r="D223" s="20">
        <v>1</v>
      </c>
      <c r="E223" s="19"/>
      <c r="F223" s="20" t="s">
        <v>9</v>
      </c>
      <c r="G223" s="20" t="s">
        <v>15</v>
      </c>
      <c r="H223" s="23">
        <v>2268</v>
      </c>
      <c r="I223" s="3">
        <v>720</v>
      </c>
      <c r="K223" s="17">
        <f t="shared" si="18"/>
        <v>35856</v>
      </c>
      <c r="L223" s="3" t="s">
        <v>338</v>
      </c>
      <c r="M223" s="18">
        <v>0</v>
      </c>
      <c r="O223" s="5">
        <v>400</v>
      </c>
      <c r="P223" s="5" t="s">
        <v>273</v>
      </c>
      <c r="Q223" s="18">
        <f t="shared" si="19"/>
        <v>4536</v>
      </c>
      <c r="R223" s="7" t="s">
        <v>274</v>
      </c>
      <c r="S223" s="18">
        <f t="shared" si="20"/>
        <v>408.24</v>
      </c>
      <c r="T223" s="7" t="s">
        <v>277</v>
      </c>
      <c r="U223" s="15">
        <v>852</v>
      </c>
      <c r="V223" s="15">
        <f t="shared" si="21"/>
        <v>10224</v>
      </c>
      <c r="W223" s="9" t="s">
        <v>269</v>
      </c>
      <c r="X223" s="10">
        <f t="shared" si="22"/>
        <v>2449.44</v>
      </c>
      <c r="Y223" s="19" t="s">
        <v>284</v>
      </c>
      <c r="AB223" s="10">
        <f t="shared" si="23"/>
        <v>53873.68</v>
      </c>
    </row>
    <row r="224" spans="1:28">
      <c r="A224" s="20" t="s">
        <v>562</v>
      </c>
      <c r="B224" s="13" t="s">
        <v>205</v>
      </c>
      <c r="C224" s="20" t="s">
        <v>7</v>
      </c>
      <c r="D224" s="20">
        <v>1</v>
      </c>
      <c r="E224" s="19"/>
      <c r="F224" s="20" t="s">
        <v>9</v>
      </c>
      <c r="G224" s="20" t="s">
        <v>80</v>
      </c>
      <c r="H224" s="23">
        <v>2828</v>
      </c>
      <c r="I224" s="3">
        <v>720</v>
      </c>
      <c r="J224" s="3">
        <v>93</v>
      </c>
      <c r="K224" s="17">
        <f t="shared" si="18"/>
        <v>43692</v>
      </c>
      <c r="L224" s="3" t="s">
        <v>338</v>
      </c>
      <c r="M224" s="18">
        <v>0</v>
      </c>
      <c r="O224" s="5">
        <v>400</v>
      </c>
      <c r="P224" s="5" t="s">
        <v>273</v>
      </c>
      <c r="Q224" s="18">
        <f t="shared" si="19"/>
        <v>5842</v>
      </c>
      <c r="R224" s="7" t="s">
        <v>274</v>
      </c>
      <c r="S224" s="18">
        <f t="shared" si="20"/>
        <v>525.78</v>
      </c>
      <c r="T224" s="7" t="s">
        <v>277</v>
      </c>
      <c r="U224" s="15">
        <v>852</v>
      </c>
      <c r="V224" s="15">
        <f t="shared" si="21"/>
        <v>10224</v>
      </c>
      <c r="W224" s="9" t="s">
        <v>269</v>
      </c>
      <c r="X224" s="10">
        <f t="shared" si="22"/>
        <v>3154.68</v>
      </c>
      <c r="Y224" s="19" t="s">
        <v>284</v>
      </c>
      <c r="AB224" s="10">
        <f t="shared" si="23"/>
        <v>63838.46</v>
      </c>
    </row>
    <row r="225" spans="1:28">
      <c r="A225" s="20" t="s">
        <v>563</v>
      </c>
      <c r="B225" s="13" t="s">
        <v>206</v>
      </c>
      <c r="C225" s="20" t="s">
        <v>36</v>
      </c>
      <c r="D225" s="20">
        <v>1</v>
      </c>
      <c r="E225" s="19"/>
      <c r="F225" s="20" t="s">
        <v>9</v>
      </c>
      <c r="G225" s="20" t="s">
        <v>37</v>
      </c>
      <c r="H225" s="23">
        <v>2378</v>
      </c>
      <c r="I225" s="3">
        <v>720</v>
      </c>
      <c r="K225" s="17">
        <f t="shared" si="18"/>
        <v>37176</v>
      </c>
      <c r="L225" s="3" t="s">
        <v>339</v>
      </c>
      <c r="M225" s="18">
        <v>0</v>
      </c>
      <c r="O225" s="5">
        <v>400</v>
      </c>
      <c r="P225" s="5" t="s">
        <v>273</v>
      </c>
      <c r="Q225" s="18">
        <f t="shared" si="19"/>
        <v>4756</v>
      </c>
      <c r="R225" s="7" t="s">
        <v>274</v>
      </c>
      <c r="S225" s="18">
        <f t="shared" si="20"/>
        <v>428.03999999999996</v>
      </c>
      <c r="T225" s="7" t="s">
        <v>277</v>
      </c>
      <c r="U225" s="15">
        <v>1302</v>
      </c>
      <c r="V225" s="15">
        <f t="shared" si="21"/>
        <v>15624</v>
      </c>
      <c r="W225" s="9" t="s">
        <v>270</v>
      </c>
      <c r="X225" s="10">
        <f t="shared" si="22"/>
        <v>2568.2399999999998</v>
      </c>
      <c r="Y225" s="19" t="s">
        <v>284</v>
      </c>
      <c r="AB225" s="10">
        <f t="shared" si="23"/>
        <v>60952.28</v>
      </c>
    </row>
    <row r="226" spans="1:28">
      <c r="A226" s="20" t="s">
        <v>564</v>
      </c>
      <c r="B226" s="13" t="s">
        <v>297</v>
      </c>
      <c r="C226" s="20" t="s">
        <v>7</v>
      </c>
      <c r="D226" s="20">
        <v>1</v>
      </c>
      <c r="E226" s="19"/>
      <c r="F226" s="20" t="s">
        <v>9</v>
      </c>
      <c r="G226" s="20" t="s">
        <v>15</v>
      </c>
      <c r="H226" s="23">
        <v>2268</v>
      </c>
      <c r="I226" s="3">
        <v>720</v>
      </c>
      <c r="J226" s="3">
        <v>93</v>
      </c>
      <c r="K226" s="17">
        <f t="shared" si="18"/>
        <v>36972</v>
      </c>
      <c r="L226" s="3" t="s">
        <v>338</v>
      </c>
      <c r="M226" s="18">
        <v>0</v>
      </c>
      <c r="O226" s="5">
        <v>400</v>
      </c>
      <c r="P226" s="5" t="s">
        <v>273</v>
      </c>
      <c r="Q226" s="18">
        <f t="shared" si="19"/>
        <v>4722</v>
      </c>
      <c r="R226" s="7" t="s">
        <v>274</v>
      </c>
      <c r="S226" s="18">
        <f t="shared" si="20"/>
        <v>424.97999999999996</v>
      </c>
      <c r="T226" s="7" t="s">
        <v>277</v>
      </c>
      <c r="U226" s="15">
        <v>852</v>
      </c>
      <c r="V226" s="15">
        <f t="shared" si="21"/>
        <v>10224</v>
      </c>
      <c r="W226" s="9" t="s">
        <v>269</v>
      </c>
      <c r="X226" s="10">
        <f t="shared" si="22"/>
        <v>2549.8799999999997</v>
      </c>
      <c r="Y226" s="19" t="s">
        <v>284</v>
      </c>
      <c r="AB226" s="10">
        <f t="shared" si="23"/>
        <v>55292.86</v>
      </c>
    </row>
    <row r="227" spans="1:28">
      <c r="A227" s="20" t="s">
        <v>565</v>
      </c>
      <c r="B227" s="13" t="s">
        <v>207</v>
      </c>
      <c r="C227" s="20" t="s">
        <v>7</v>
      </c>
      <c r="D227" s="20">
        <v>1</v>
      </c>
      <c r="E227" s="19"/>
      <c r="F227" s="20" t="s">
        <v>9</v>
      </c>
      <c r="G227" s="20" t="s">
        <v>15</v>
      </c>
      <c r="H227" s="23">
        <v>2268</v>
      </c>
      <c r="I227" s="3">
        <v>720</v>
      </c>
      <c r="J227" s="3">
        <v>93</v>
      </c>
      <c r="K227" s="17">
        <f t="shared" si="18"/>
        <v>36972</v>
      </c>
      <c r="L227" s="3" t="s">
        <v>338</v>
      </c>
      <c r="M227" s="18">
        <v>0</v>
      </c>
      <c r="O227" s="5">
        <v>400</v>
      </c>
      <c r="P227" s="5" t="s">
        <v>273</v>
      </c>
      <c r="Q227" s="18">
        <f t="shared" si="19"/>
        <v>4722</v>
      </c>
      <c r="R227" s="7" t="s">
        <v>274</v>
      </c>
      <c r="S227" s="18">
        <f t="shared" si="20"/>
        <v>424.97999999999996</v>
      </c>
      <c r="T227" s="7" t="s">
        <v>277</v>
      </c>
      <c r="U227" s="15">
        <v>852</v>
      </c>
      <c r="V227" s="15">
        <f t="shared" si="21"/>
        <v>10224</v>
      </c>
      <c r="W227" s="9" t="s">
        <v>269</v>
      </c>
      <c r="X227" s="10">
        <f t="shared" si="22"/>
        <v>2549.8799999999997</v>
      </c>
      <c r="Y227" s="19" t="s">
        <v>284</v>
      </c>
      <c r="AB227" s="10">
        <f t="shared" si="23"/>
        <v>55292.86</v>
      </c>
    </row>
    <row r="228" spans="1:28">
      <c r="A228" s="20" t="s">
        <v>566</v>
      </c>
      <c r="B228" s="13" t="s">
        <v>208</v>
      </c>
      <c r="C228" s="20" t="s">
        <v>7</v>
      </c>
      <c r="D228" s="20">
        <v>1</v>
      </c>
      <c r="E228" s="19"/>
      <c r="F228" s="20" t="s">
        <v>9</v>
      </c>
      <c r="G228" s="20" t="s">
        <v>10</v>
      </c>
      <c r="H228" s="23">
        <v>1928</v>
      </c>
      <c r="I228" s="3">
        <v>720</v>
      </c>
      <c r="J228" s="3">
        <v>93</v>
      </c>
      <c r="K228" s="17">
        <f t="shared" si="18"/>
        <v>32892</v>
      </c>
      <c r="L228" s="3" t="s">
        <v>338</v>
      </c>
      <c r="M228" s="18">
        <v>0</v>
      </c>
      <c r="O228" s="5">
        <v>400</v>
      </c>
      <c r="P228" s="5" t="s">
        <v>273</v>
      </c>
      <c r="Q228" s="18">
        <f t="shared" si="19"/>
        <v>4042</v>
      </c>
      <c r="R228" s="7" t="s">
        <v>274</v>
      </c>
      <c r="S228" s="18">
        <f t="shared" si="20"/>
        <v>363.78</v>
      </c>
      <c r="T228" s="7" t="s">
        <v>277</v>
      </c>
      <c r="U228" s="15">
        <v>852</v>
      </c>
      <c r="V228" s="15">
        <f t="shared" si="21"/>
        <v>10224</v>
      </c>
      <c r="W228" s="9" t="s">
        <v>269</v>
      </c>
      <c r="X228" s="10">
        <f t="shared" si="22"/>
        <v>2182.6799999999998</v>
      </c>
      <c r="Y228" s="19" t="s">
        <v>284</v>
      </c>
      <c r="AB228" s="10">
        <f t="shared" si="23"/>
        <v>50104.46</v>
      </c>
    </row>
    <row r="229" spans="1:28">
      <c r="A229" s="20" t="s">
        <v>567</v>
      </c>
      <c r="B229" s="13" t="s">
        <v>209</v>
      </c>
      <c r="C229" s="20" t="s">
        <v>45</v>
      </c>
      <c r="D229" s="20">
        <v>1</v>
      </c>
      <c r="E229" s="19"/>
      <c r="F229" s="20" t="s">
        <v>9</v>
      </c>
      <c r="G229" s="20" t="s">
        <v>10</v>
      </c>
      <c r="H229" s="23">
        <v>1928</v>
      </c>
      <c r="I229" s="3">
        <v>720</v>
      </c>
      <c r="K229" s="17">
        <f t="shared" si="18"/>
        <v>31776</v>
      </c>
      <c r="L229" s="3" t="s">
        <v>338</v>
      </c>
      <c r="M229" s="18">
        <v>0</v>
      </c>
      <c r="O229" s="5">
        <v>400</v>
      </c>
      <c r="P229" s="5" t="s">
        <v>273</v>
      </c>
      <c r="Q229" s="18">
        <f t="shared" si="19"/>
        <v>3856</v>
      </c>
      <c r="R229" s="7" t="s">
        <v>274</v>
      </c>
      <c r="S229" s="18">
        <f t="shared" si="20"/>
        <v>347.03999999999996</v>
      </c>
      <c r="T229" s="7" t="s">
        <v>277</v>
      </c>
      <c r="U229" s="15">
        <v>852</v>
      </c>
      <c r="V229" s="15">
        <f t="shared" si="21"/>
        <v>10224</v>
      </c>
      <c r="W229" s="9" t="s">
        <v>269</v>
      </c>
      <c r="X229" s="10">
        <f t="shared" si="22"/>
        <v>2082.2399999999998</v>
      </c>
      <c r="Y229" s="19" t="s">
        <v>284</v>
      </c>
      <c r="Z229" s="10"/>
      <c r="AB229" s="10">
        <f t="shared" si="23"/>
        <v>48685.279999999999</v>
      </c>
    </row>
    <row r="230" spans="1:28">
      <c r="A230" s="20" t="s">
        <v>568</v>
      </c>
      <c r="B230" s="13" t="s">
        <v>210</v>
      </c>
      <c r="C230" s="20" t="s">
        <v>7</v>
      </c>
      <c r="D230" s="20">
        <v>1</v>
      </c>
      <c r="E230" s="19"/>
      <c r="F230" s="20" t="s">
        <v>9</v>
      </c>
      <c r="G230" s="20" t="s">
        <v>10</v>
      </c>
      <c r="H230" s="23">
        <v>1928</v>
      </c>
      <c r="I230" s="3">
        <v>720</v>
      </c>
      <c r="K230" s="17">
        <f t="shared" si="18"/>
        <v>31776</v>
      </c>
      <c r="L230" s="3" t="s">
        <v>338</v>
      </c>
      <c r="M230" s="18">
        <v>0</v>
      </c>
      <c r="O230" s="5">
        <v>400</v>
      </c>
      <c r="P230" s="5" t="s">
        <v>273</v>
      </c>
      <c r="Q230" s="18">
        <f t="shared" si="19"/>
        <v>3856</v>
      </c>
      <c r="R230" s="7" t="s">
        <v>274</v>
      </c>
      <c r="S230" s="18">
        <f t="shared" si="20"/>
        <v>347.03999999999996</v>
      </c>
      <c r="T230" s="7" t="s">
        <v>277</v>
      </c>
      <c r="U230" s="15">
        <v>852</v>
      </c>
      <c r="V230" s="15">
        <f t="shared" si="21"/>
        <v>10224</v>
      </c>
      <c r="W230" s="9" t="s">
        <v>269</v>
      </c>
      <c r="X230" s="10">
        <f t="shared" si="22"/>
        <v>2082.2399999999998</v>
      </c>
      <c r="Y230" s="19" t="s">
        <v>284</v>
      </c>
      <c r="AB230" s="10">
        <f t="shared" si="23"/>
        <v>48685.279999999999</v>
      </c>
    </row>
    <row r="231" spans="1:28">
      <c r="A231" s="20" t="s">
        <v>569</v>
      </c>
      <c r="B231" s="13" t="s">
        <v>211</v>
      </c>
      <c r="C231" s="20" t="s">
        <v>12</v>
      </c>
      <c r="D231" s="20">
        <v>1</v>
      </c>
      <c r="E231" s="19"/>
      <c r="F231" s="20" t="s">
        <v>9</v>
      </c>
      <c r="G231" s="20" t="s">
        <v>37</v>
      </c>
      <c r="H231" s="23">
        <v>2378</v>
      </c>
      <c r="I231" s="3">
        <v>720</v>
      </c>
      <c r="J231" s="3">
        <v>93</v>
      </c>
      <c r="K231" s="17">
        <f t="shared" si="18"/>
        <v>38292</v>
      </c>
      <c r="L231" s="3" t="s">
        <v>339</v>
      </c>
      <c r="M231" s="18">
        <v>0</v>
      </c>
      <c r="O231" s="5">
        <v>400</v>
      </c>
      <c r="P231" s="5" t="s">
        <v>273</v>
      </c>
      <c r="Q231" s="18">
        <f t="shared" si="19"/>
        <v>4942</v>
      </c>
      <c r="R231" s="7" t="s">
        <v>274</v>
      </c>
      <c r="S231" s="18">
        <f t="shared" si="20"/>
        <v>444.78</v>
      </c>
      <c r="T231" s="7" t="s">
        <v>277</v>
      </c>
      <c r="U231" s="15">
        <v>1302</v>
      </c>
      <c r="V231" s="15">
        <f t="shared" si="21"/>
        <v>15624</v>
      </c>
      <c r="W231" s="9" t="s">
        <v>270</v>
      </c>
      <c r="X231" s="10">
        <f t="shared" si="22"/>
        <v>2668.68</v>
      </c>
      <c r="Y231" s="19" t="s">
        <v>284</v>
      </c>
      <c r="AB231" s="10">
        <f t="shared" si="23"/>
        <v>62371.46</v>
      </c>
    </row>
    <row r="232" spans="1:28">
      <c r="A232" s="20" t="s">
        <v>570</v>
      </c>
      <c r="B232" s="13" t="s">
        <v>212</v>
      </c>
      <c r="C232" s="20" t="s">
        <v>25</v>
      </c>
      <c r="D232" s="20">
        <v>1</v>
      </c>
      <c r="E232" s="19"/>
      <c r="F232" s="20" t="s">
        <v>9</v>
      </c>
      <c r="G232" s="20" t="s">
        <v>15</v>
      </c>
      <c r="H232" s="23">
        <v>2268</v>
      </c>
      <c r="I232" s="3">
        <v>720</v>
      </c>
      <c r="J232" s="3">
        <v>93</v>
      </c>
      <c r="K232" s="17">
        <f t="shared" si="18"/>
        <v>36972</v>
      </c>
      <c r="L232" s="3" t="s">
        <v>338</v>
      </c>
      <c r="M232" s="18">
        <v>0</v>
      </c>
      <c r="O232" s="5">
        <v>400</v>
      </c>
      <c r="P232" s="5" t="s">
        <v>273</v>
      </c>
      <c r="Q232" s="18">
        <f t="shared" si="19"/>
        <v>4722</v>
      </c>
      <c r="R232" s="7" t="s">
        <v>274</v>
      </c>
      <c r="S232" s="18">
        <f t="shared" si="20"/>
        <v>424.97999999999996</v>
      </c>
      <c r="T232" s="7" t="s">
        <v>277</v>
      </c>
      <c r="U232" s="15">
        <v>852</v>
      </c>
      <c r="V232" s="15">
        <f t="shared" si="21"/>
        <v>10224</v>
      </c>
      <c r="W232" s="9" t="s">
        <v>269</v>
      </c>
      <c r="X232" s="10">
        <f t="shared" si="22"/>
        <v>2549.8799999999997</v>
      </c>
      <c r="Y232" s="19" t="s">
        <v>284</v>
      </c>
      <c r="Z232" s="10"/>
      <c r="AB232" s="10">
        <f t="shared" si="23"/>
        <v>55292.86</v>
      </c>
    </row>
    <row r="233" spans="1:28">
      <c r="A233" s="20" t="s">
        <v>571</v>
      </c>
      <c r="B233" s="13" t="s">
        <v>213</v>
      </c>
      <c r="C233" s="20" t="s">
        <v>36</v>
      </c>
      <c r="D233" s="20">
        <v>1</v>
      </c>
      <c r="E233" s="19"/>
      <c r="F233" s="20" t="s">
        <v>9</v>
      </c>
      <c r="G233" s="20" t="s">
        <v>19</v>
      </c>
      <c r="H233" s="23">
        <v>3978</v>
      </c>
      <c r="I233" s="3">
        <v>720</v>
      </c>
      <c r="J233" s="3">
        <v>93</v>
      </c>
      <c r="K233" s="17">
        <f t="shared" si="18"/>
        <v>57492</v>
      </c>
      <c r="L233" s="3" t="s">
        <v>338</v>
      </c>
      <c r="M233" s="18">
        <v>0</v>
      </c>
      <c r="O233" s="5">
        <v>400</v>
      </c>
      <c r="P233" s="5" t="s">
        <v>273</v>
      </c>
      <c r="Q233" s="18">
        <f t="shared" si="19"/>
        <v>8142</v>
      </c>
      <c r="R233" s="7" t="s">
        <v>274</v>
      </c>
      <c r="S233" s="18">
        <f t="shared" si="20"/>
        <v>732.78</v>
      </c>
      <c r="T233" s="7" t="s">
        <v>277</v>
      </c>
      <c r="U233" s="15">
        <v>802</v>
      </c>
      <c r="V233" s="15">
        <f t="shared" si="21"/>
        <v>9624</v>
      </c>
      <c r="W233" s="9" t="s">
        <v>269</v>
      </c>
      <c r="X233" s="10">
        <f t="shared" si="22"/>
        <v>4396.68</v>
      </c>
      <c r="Y233" s="19" t="s">
        <v>284</v>
      </c>
      <c r="AB233" s="10">
        <f t="shared" si="23"/>
        <v>80787.459999999992</v>
      </c>
    </row>
    <row r="234" spans="1:28">
      <c r="A234" s="20" t="s">
        <v>572</v>
      </c>
      <c r="B234" s="13" t="s">
        <v>214</v>
      </c>
      <c r="C234" s="20" t="s">
        <v>7</v>
      </c>
      <c r="D234" s="20">
        <v>1</v>
      </c>
      <c r="E234" s="19"/>
      <c r="F234" s="20" t="s">
        <v>9</v>
      </c>
      <c r="G234" s="20" t="s">
        <v>15</v>
      </c>
      <c r="H234" s="23">
        <v>2268</v>
      </c>
      <c r="I234" s="3">
        <v>720</v>
      </c>
      <c r="J234" s="3">
        <v>93</v>
      </c>
      <c r="K234" s="17">
        <f t="shared" si="18"/>
        <v>36972</v>
      </c>
      <c r="L234" s="3" t="s">
        <v>338</v>
      </c>
      <c r="M234" s="18">
        <v>0</v>
      </c>
      <c r="O234" s="5">
        <v>400</v>
      </c>
      <c r="P234" s="5" t="s">
        <v>273</v>
      </c>
      <c r="Q234" s="18">
        <f t="shared" si="19"/>
        <v>4722</v>
      </c>
      <c r="R234" s="7" t="s">
        <v>274</v>
      </c>
      <c r="S234" s="18">
        <f t="shared" si="20"/>
        <v>424.97999999999996</v>
      </c>
      <c r="T234" s="7" t="s">
        <v>277</v>
      </c>
      <c r="U234" s="15">
        <v>852</v>
      </c>
      <c r="V234" s="15">
        <f t="shared" si="21"/>
        <v>10224</v>
      </c>
      <c r="W234" s="9" t="s">
        <v>269</v>
      </c>
      <c r="X234" s="10">
        <f t="shared" si="22"/>
        <v>2549.8799999999997</v>
      </c>
      <c r="Y234" s="19" t="s">
        <v>284</v>
      </c>
      <c r="AB234" s="10">
        <f t="shared" si="23"/>
        <v>55292.86</v>
      </c>
    </row>
    <row r="235" spans="1:28">
      <c r="A235" s="20" t="s">
        <v>573</v>
      </c>
      <c r="B235" s="13" t="s">
        <v>215</v>
      </c>
      <c r="C235" s="20" t="s">
        <v>25</v>
      </c>
      <c r="D235" s="20">
        <v>1</v>
      </c>
      <c r="E235" s="19"/>
      <c r="F235" s="20" t="s">
        <v>9</v>
      </c>
      <c r="G235" s="20" t="s">
        <v>10</v>
      </c>
      <c r="H235" s="23">
        <v>1928</v>
      </c>
      <c r="I235" s="3">
        <v>720</v>
      </c>
      <c r="J235" s="3">
        <v>93</v>
      </c>
      <c r="K235" s="17">
        <f t="shared" si="18"/>
        <v>32892</v>
      </c>
      <c r="L235" s="3" t="s">
        <v>338</v>
      </c>
      <c r="M235" s="18">
        <v>0</v>
      </c>
      <c r="O235" s="5">
        <v>400</v>
      </c>
      <c r="P235" s="5" t="s">
        <v>273</v>
      </c>
      <c r="Q235" s="18">
        <f t="shared" si="19"/>
        <v>4042</v>
      </c>
      <c r="R235" s="7" t="s">
        <v>274</v>
      </c>
      <c r="S235" s="18">
        <f t="shared" si="20"/>
        <v>363.78</v>
      </c>
      <c r="T235" s="7" t="s">
        <v>277</v>
      </c>
      <c r="U235" s="15">
        <v>852</v>
      </c>
      <c r="V235" s="15">
        <f t="shared" si="21"/>
        <v>10224</v>
      </c>
      <c r="W235" s="9" t="s">
        <v>269</v>
      </c>
      <c r="X235" s="10">
        <f t="shared" si="22"/>
        <v>2182.6799999999998</v>
      </c>
      <c r="Y235" s="19" t="s">
        <v>284</v>
      </c>
      <c r="AB235" s="10">
        <f t="shared" si="23"/>
        <v>50104.46</v>
      </c>
    </row>
    <row r="236" spans="1:28">
      <c r="A236" s="20" t="s">
        <v>574</v>
      </c>
      <c r="B236" s="13" t="s">
        <v>332</v>
      </c>
      <c r="C236" s="20" t="s">
        <v>36</v>
      </c>
      <c r="D236" s="20">
        <v>1</v>
      </c>
      <c r="E236" s="19"/>
      <c r="F236" s="20" t="s">
        <v>9</v>
      </c>
      <c r="G236" s="20" t="s">
        <v>37</v>
      </c>
      <c r="H236" s="23">
        <v>2378</v>
      </c>
      <c r="I236" s="3">
        <v>720</v>
      </c>
      <c r="K236" s="17">
        <f t="shared" si="18"/>
        <v>37176</v>
      </c>
      <c r="L236" s="3" t="s">
        <v>339</v>
      </c>
      <c r="M236" s="18">
        <v>0</v>
      </c>
      <c r="O236" s="5">
        <v>400</v>
      </c>
      <c r="P236" s="5" t="s">
        <v>273</v>
      </c>
      <c r="Q236" s="18">
        <f t="shared" si="19"/>
        <v>4756</v>
      </c>
      <c r="R236" s="7" t="s">
        <v>274</v>
      </c>
      <c r="S236" s="18">
        <f t="shared" si="20"/>
        <v>428.03999999999996</v>
      </c>
      <c r="T236" s="7" t="s">
        <v>277</v>
      </c>
      <c r="U236" s="15">
        <v>1302</v>
      </c>
      <c r="V236" s="15">
        <f t="shared" si="21"/>
        <v>15624</v>
      </c>
      <c r="W236" s="9" t="s">
        <v>270</v>
      </c>
      <c r="X236" s="10">
        <f t="shared" si="22"/>
        <v>2568.2399999999998</v>
      </c>
      <c r="Y236" s="19" t="s">
        <v>284</v>
      </c>
      <c r="AB236" s="10">
        <f t="shared" si="23"/>
        <v>60952.28</v>
      </c>
    </row>
    <row r="237" spans="1:28">
      <c r="A237" s="20" t="s">
        <v>575</v>
      </c>
      <c r="B237" s="13" t="s">
        <v>216</v>
      </c>
      <c r="C237" s="20" t="s">
        <v>7</v>
      </c>
      <c r="D237" s="20">
        <v>1</v>
      </c>
      <c r="E237" s="19"/>
      <c r="F237" s="20" t="s">
        <v>9</v>
      </c>
      <c r="G237" s="20" t="s">
        <v>10</v>
      </c>
      <c r="H237" s="23">
        <v>1928</v>
      </c>
      <c r="I237" s="3">
        <v>720</v>
      </c>
      <c r="J237" s="3">
        <v>93</v>
      </c>
      <c r="K237" s="17">
        <f t="shared" si="18"/>
        <v>32892</v>
      </c>
      <c r="L237" s="3" t="s">
        <v>338</v>
      </c>
      <c r="M237" s="18">
        <v>0</v>
      </c>
      <c r="O237" s="5">
        <v>400</v>
      </c>
      <c r="P237" s="5" t="s">
        <v>273</v>
      </c>
      <c r="Q237" s="18">
        <f t="shared" si="19"/>
        <v>4042</v>
      </c>
      <c r="R237" s="7" t="s">
        <v>274</v>
      </c>
      <c r="S237" s="18">
        <f t="shared" si="20"/>
        <v>363.78</v>
      </c>
      <c r="T237" s="7" t="s">
        <v>277</v>
      </c>
      <c r="U237" s="15">
        <v>852</v>
      </c>
      <c r="V237" s="15">
        <f t="shared" si="21"/>
        <v>10224</v>
      </c>
      <c r="W237" s="9" t="s">
        <v>269</v>
      </c>
      <c r="X237" s="10">
        <f t="shared" si="22"/>
        <v>2182.6799999999998</v>
      </c>
      <c r="Y237" s="19" t="s">
        <v>284</v>
      </c>
      <c r="Z237" s="10"/>
      <c r="AA237" s="19" t="s">
        <v>285</v>
      </c>
      <c r="AB237" s="10">
        <f t="shared" si="23"/>
        <v>50104.46</v>
      </c>
    </row>
    <row r="238" spans="1:28">
      <c r="A238" s="20" t="s">
        <v>576</v>
      </c>
      <c r="B238" s="13" t="s">
        <v>217</v>
      </c>
      <c r="C238" s="20" t="s">
        <v>45</v>
      </c>
      <c r="D238" s="20">
        <v>1</v>
      </c>
      <c r="E238" s="19"/>
      <c r="F238" s="20" t="s">
        <v>9</v>
      </c>
      <c r="G238" s="20" t="s">
        <v>19</v>
      </c>
      <c r="H238" s="23">
        <v>3978</v>
      </c>
      <c r="I238" s="3">
        <v>720</v>
      </c>
      <c r="J238" s="3">
        <v>93</v>
      </c>
      <c r="K238" s="17">
        <f t="shared" si="18"/>
        <v>57492</v>
      </c>
      <c r="L238" s="3" t="s">
        <v>338</v>
      </c>
      <c r="M238" s="18">
        <v>0</v>
      </c>
      <c r="O238" s="5">
        <v>400</v>
      </c>
      <c r="P238" s="5" t="s">
        <v>273</v>
      </c>
      <c r="Q238" s="18">
        <f t="shared" si="19"/>
        <v>8142</v>
      </c>
      <c r="R238" s="7" t="s">
        <v>274</v>
      </c>
      <c r="S238" s="18">
        <f t="shared" si="20"/>
        <v>732.78</v>
      </c>
      <c r="T238" s="7" t="s">
        <v>277</v>
      </c>
      <c r="U238" s="15">
        <v>802</v>
      </c>
      <c r="V238" s="15">
        <f t="shared" si="21"/>
        <v>9624</v>
      </c>
      <c r="W238" s="9" t="s">
        <v>269</v>
      </c>
      <c r="X238" s="10">
        <f t="shared" si="22"/>
        <v>4396.68</v>
      </c>
      <c r="Y238" s="19" t="s">
        <v>284</v>
      </c>
      <c r="AB238" s="10">
        <f t="shared" si="23"/>
        <v>80787.459999999992</v>
      </c>
    </row>
    <row r="239" spans="1:28">
      <c r="A239" s="20" t="s">
        <v>577</v>
      </c>
      <c r="B239" s="13" t="s">
        <v>218</v>
      </c>
      <c r="C239" s="20" t="s">
        <v>45</v>
      </c>
      <c r="D239" s="20">
        <v>1</v>
      </c>
      <c r="E239" s="19"/>
      <c r="F239" s="20" t="s">
        <v>9</v>
      </c>
      <c r="G239" s="20" t="s">
        <v>10</v>
      </c>
      <c r="H239" s="23">
        <v>1928</v>
      </c>
      <c r="I239" s="3">
        <v>720</v>
      </c>
      <c r="K239" s="17">
        <f t="shared" si="18"/>
        <v>31776</v>
      </c>
      <c r="L239" s="3" t="s">
        <v>338</v>
      </c>
      <c r="M239" s="18">
        <v>0</v>
      </c>
      <c r="O239" s="5">
        <v>400</v>
      </c>
      <c r="P239" s="5" t="s">
        <v>273</v>
      </c>
      <c r="Q239" s="18">
        <f t="shared" si="19"/>
        <v>3856</v>
      </c>
      <c r="R239" s="7" t="s">
        <v>274</v>
      </c>
      <c r="S239" s="18">
        <f t="shared" si="20"/>
        <v>347.03999999999996</v>
      </c>
      <c r="T239" s="7" t="s">
        <v>277</v>
      </c>
      <c r="U239" s="15">
        <v>852</v>
      </c>
      <c r="V239" s="15">
        <f t="shared" si="21"/>
        <v>10224</v>
      </c>
      <c r="W239" s="9" t="s">
        <v>269</v>
      </c>
      <c r="X239" s="10">
        <f t="shared" si="22"/>
        <v>2082.2399999999998</v>
      </c>
      <c r="Y239" s="19" t="s">
        <v>284</v>
      </c>
      <c r="AB239" s="10">
        <f t="shared" si="23"/>
        <v>48685.279999999999</v>
      </c>
    </row>
    <row r="240" spans="1:28">
      <c r="A240" s="20" t="s">
        <v>578</v>
      </c>
      <c r="B240" s="13" t="s">
        <v>333</v>
      </c>
      <c r="C240" s="20" t="s">
        <v>7</v>
      </c>
      <c r="D240" s="20">
        <v>1</v>
      </c>
      <c r="E240" s="19"/>
      <c r="F240" s="20" t="s">
        <v>9</v>
      </c>
      <c r="G240" s="20" t="s">
        <v>10</v>
      </c>
      <c r="H240" s="23">
        <v>1928</v>
      </c>
      <c r="I240" s="3">
        <v>720</v>
      </c>
      <c r="K240" s="17">
        <f t="shared" si="18"/>
        <v>31776</v>
      </c>
      <c r="L240" s="3" t="s">
        <v>338</v>
      </c>
      <c r="M240" s="18">
        <v>0</v>
      </c>
      <c r="O240" s="5">
        <v>400</v>
      </c>
      <c r="P240" s="5" t="s">
        <v>273</v>
      </c>
      <c r="Q240" s="18">
        <f t="shared" si="19"/>
        <v>3856</v>
      </c>
      <c r="R240" s="7" t="s">
        <v>274</v>
      </c>
      <c r="S240" s="18">
        <f t="shared" si="20"/>
        <v>347.03999999999996</v>
      </c>
      <c r="T240" s="7" t="s">
        <v>277</v>
      </c>
      <c r="U240" s="15">
        <v>852</v>
      </c>
      <c r="V240" s="15">
        <f t="shared" si="21"/>
        <v>10224</v>
      </c>
      <c r="W240" s="9" t="s">
        <v>269</v>
      </c>
      <c r="X240" s="10">
        <f t="shared" si="22"/>
        <v>2082.2399999999998</v>
      </c>
      <c r="Y240" s="19" t="s">
        <v>284</v>
      </c>
      <c r="AB240" s="10">
        <f t="shared" si="23"/>
        <v>48685.279999999999</v>
      </c>
    </row>
    <row r="241" spans="1:28">
      <c r="A241" s="20" t="s">
        <v>579</v>
      </c>
      <c r="B241" s="13" t="s">
        <v>580</v>
      </c>
      <c r="C241" s="20" t="s">
        <v>45</v>
      </c>
      <c r="D241" s="20">
        <v>1</v>
      </c>
      <c r="E241" s="19"/>
      <c r="F241" s="20" t="s">
        <v>26</v>
      </c>
      <c r="G241" s="20" t="s">
        <v>10</v>
      </c>
      <c r="H241" s="23">
        <v>1928</v>
      </c>
      <c r="I241" s="3">
        <v>720</v>
      </c>
      <c r="J241" s="3">
        <v>93</v>
      </c>
      <c r="K241" s="17">
        <f t="shared" si="18"/>
        <v>32892</v>
      </c>
      <c r="L241" s="3" t="s">
        <v>337</v>
      </c>
      <c r="M241" s="18">
        <v>0</v>
      </c>
      <c r="O241" s="5">
        <v>400</v>
      </c>
      <c r="P241" s="5" t="s">
        <v>273</v>
      </c>
      <c r="Q241" s="18">
        <f t="shared" si="19"/>
        <v>4042</v>
      </c>
      <c r="R241" s="7" t="s">
        <v>274</v>
      </c>
      <c r="S241" s="18">
        <f t="shared" si="20"/>
        <v>363.78</v>
      </c>
      <c r="T241" s="7" t="s">
        <v>277</v>
      </c>
      <c r="U241" s="15">
        <v>852</v>
      </c>
      <c r="V241" s="15">
        <f t="shared" si="21"/>
        <v>10224</v>
      </c>
      <c r="W241" s="9" t="s">
        <v>269</v>
      </c>
      <c r="X241" s="10">
        <f t="shared" si="22"/>
        <v>2182.6799999999998</v>
      </c>
      <c r="Y241" s="19" t="s">
        <v>284</v>
      </c>
      <c r="AB241" s="10">
        <f t="shared" si="23"/>
        <v>50104.46</v>
      </c>
    </row>
    <row r="242" spans="1:28">
      <c r="A242" s="20" t="s">
        <v>581</v>
      </c>
      <c r="B242" s="13" t="s">
        <v>219</v>
      </c>
      <c r="C242" s="20" t="s">
        <v>7</v>
      </c>
      <c r="D242" s="20">
        <v>1</v>
      </c>
      <c r="E242" s="19"/>
      <c r="F242" s="20" t="s">
        <v>9</v>
      </c>
      <c r="G242" s="20" t="s">
        <v>15</v>
      </c>
      <c r="H242" s="23">
        <v>2268</v>
      </c>
      <c r="I242" s="3">
        <v>720</v>
      </c>
      <c r="K242" s="17">
        <f t="shared" si="18"/>
        <v>35856</v>
      </c>
      <c r="L242" s="3" t="s">
        <v>338</v>
      </c>
      <c r="M242" s="18">
        <v>0</v>
      </c>
      <c r="O242" s="5">
        <v>400</v>
      </c>
      <c r="P242" s="5" t="s">
        <v>273</v>
      </c>
      <c r="Q242" s="18">
        <f t="shared" si="19"/>
        <v>4536</v>
      </c>
      <c r="R242" s="7" t="s">
        <v>274</v>
      </c>
      <c r="S242" s="18">
        <f t="shared" si="20"/>
        <v>408.24</v>
      </c>
      <c r="T242" s="7" t="s">
        <v>277</v>
      </c>
      <c r="U242" s="15">
        <v>852</v>
      </c>
      <c r="V242" s="15">
        <f t="shared" si="21"/>
        <v>10224</v>
      </c>
      <c r="W242" s="9" t="s">
        <v>269</v>
      </c>
      <c r="X242" s="10">
        <f t="shared" si="22"/>
        <v>2449.44</v>
      </c>
      <c r="Y242" s="19" t="s">
        <v>284</v>
      </c>
      <c r="AB242" s="10">
        <f t="shared" si="23"/>
        <v>53873.68</v>
      </c>
    </row>
    <row r="243" spans="1:28">
      <c r="A243" s="20" t="s">
        <v>582</v>
      </c>
      <c r="B243" s="13" t="s">
        <v>220</v>
      </c>
      <c r="C243" s="20" t="s">
        <v>7</v>
      </c>
      <c r="D243" s="20">
        <v>1</v>
      </c>
      <c r="E243" s="19"/>
      <c r="F243" s="20" t="s">
        <v>9</v>
      </c>
      <c r="G243" s="20" t="s">
        <v>15</v>
      </c>
      <c r="H243" s="23">
        <v>2268</v>
      </c>
      <c r="I243" s="3">
        <v>720</v>
      </c>
      <c r="K243" s="17">
        <f t="shared" si="18"/>
        <v>35856</v>
      </c>
      <c r="L243" s="3" t="s">
        <v>338</v>
      </c>
      <c r="M243" s="18">
        <v>0</v>
      </c>
      <c r="O243" s="5">
        <v>400</v>
      </c>
      <c r="P243" s="5" t="s">
        <v>273</v>
      </c>
      <c r="Q243" s="18">
        <f t="shared" si="19"/>
        <v>4536</v>
      </c>
      <c r="R243" s="7" t="s">
        <v>274</v>
      </c>
      <c r="S243" s="18">
        <f t="shared" si="20"/>
        <v>408.24</v>
      </c>
      <c r="T243" s="7" t="s">
        <v>277</v>
      </c>
      <c r="U243" s="15">
        <v>852</v>
      </c>
      <c r="V243" s="15">
        <f t="shared" si="21"/>
        <v>10224</v>
      </c>
      <c r="W243" s="9" t="s">
        <v>269</v>
      </c>
      <c r="X243" s="10">
        <f t="shared" si="22"/>
        <v>2449.44</v>
      </c>
      <c r="Y243" s="19" t="s">
        <v>284</v>
      </c>
      <c r="AB243" s="10">
        <f t="shared" si="23"/>
        <v>53873.68</v>
      </c>
    </row>
    <row r="244" spans="1:28">
      <c r="A244" s="20" t="s">
        <v>583</v>
      </c>
      <c r="B244" s="13" t="s">
        <v>221</v>
      </c>
      <c r="C244" s="20" t="s">
        <v>7</v>
      </c>
      <c r="D244" s="20">
        <v>1</v>
      </c>
      <c r="E244" s="19"/>
      <c r="F244" s="20" t="s">
        <v>9</v>
      </c>
      <c r="G244" s="20" t="s">
        <v>15</v>
      </c>
      <c r="H244" s="23">
        <v>2268</v>
      </c>
      <c r="I244" s="3">
        <v>720</v>
      </c>
      <c r="K244" s="17">
        <f t="shared" si="18"/>
        <v>35856</v>
      </c>
      <c r="L244" s="3" t="s">
        <v>338</v>
      </c>
      <c r="M244" s="18">
        <v>0</v>
      </c>
      <c r="O244" s="5">
        <v>400</v>
      </c>
      <c r="P244" s="5" t="s">
        <v>273</v>
      </c>
      <c r="Q244" s="18">
        <f t="shared" si="19"/>
        <v>4536</v>
      </c>
      <c r="R244" s="7" t="s">
        <v>274</v>
      </c>
      <c r="S244" s="18">
        <f t="shared" si="20"/>
        <v>408.24</v>
      </c>
      <c r="T244" s="7" t="s">
        <v>277</v>
      </c>
      <c r="U244" s="15">
        <v>852</v>
      </c>
      <c r="V244" s="15">
        <f t="shared" si="21"/>
        <v>10224</v>
      </c>
      <c r="W244" s="9" t="s">
        <v>269</v>
      </c>
      <c r="X244" s="10">
        <f t="shared" si="22"/>
        <v>2449.44</v>
      </c>
      <c r="Y244" s="19" t="s">
        <v>284</v>
      </c>
      <c r="AB244" s="10">
        <f t="shared" si="23"/>
        <v>53873.68</v>
      </c>
    </row>
    <row r="245" spans="1:28">
      <c r="A245" s="20" t="s">
        <v>584</v>
      </c>
      <c r="B245" s="13" t="s">
        <v>222</v>
      </c>
      <c r="C245" s="20" t="s">
        <v>14</v>
      </c>
      <c r="D245" s="20">
        <v>1</v>
      </c>
      <c r="E245" s="19"/>
      <c r="F245" s="20" t="s">
        <v>9</v>
      </c>
      <c r="G245" s="20" t="s">
        <v>15</v>
      </c>
      <c r="H245" s="23">
        <v>2268</v>
      </c>
      <c r="I245" s="3">
        <v>720</v>
      </c>
      <c r="K245" s="17">
        <f t="shared" si="18"/>
        <v>35856</v>
      </c>
      <c r="L245" s="3" t="s">
        <v>338</v>
      </c>
      <c r="M245" s="18">
        <v>0</v>
      </c>
      <c r="O245" s="5">
        <v>400</v>
      </c>
      <c r="P245" s="5" t="s">
        <v>273</v>
      </c>
      <c r="Q245" s="18">
        <f t="shared" si="19"/>
        <v>4536</v>
      </c>
      <c r="R245" s="7" t="s">
        <v>274</v>
      </c>
      <c r="S245" s="18">
        <f t="shared" si="20"/>
        <v>408.24</v>
      </c>
      <c r="T245" s="7" t="s">
        <v>277</v>
      </c>
      <c r="U245" s="15">
        <v>852</v>
      </c>
      <c r="V245" s="15">
        <f t="shared" si="21"/>
        <v>10224</v>
      </c>
      <c r="W245" s="9" t="s">
        <v>269</v>
      </c>
      <c r="X245" s="10">
        <f t="shared" si="22"/>
        <v>2449.44</v>
      </c>
      <c r="Y245" s="19" t="s">
        <v>284</v>
      </c>
      <c r="AB245" s="10">
        <f t="shared" si="23"/>
        <v>53873.68</v>
      </c>
    </row>
    <row r="246" spans="1:28">
      <c r="A246" s="20" t="s">
        <v>585</v>
      </c>
      <c r="B246" s="13" t="s">
        <v>223</v>
      </c>
      <c r="C246" s="20" t="s">
        <v>12</v>
      </c>
      <c r="D246" s="20">
        <v>1</v>
      </c>
      <c r="E246" s="19"/>
      <c r="F246" s="20" t="s">
        <v>9</v>
      </c>
      <c r="G246" s="20" t="s">
        <v>37</v>
      </c>
      <c r="H246" s="23">
        <v>2378</v>
      </c>
      <c r="I246" s="3">
        <v>720</v>
      </c>
      <c r="K246" s="17">
        <f t="shared" si="18"/>
        <v>37176</v>
      </c>
      <c r="L246" s="3" t="s">
        <v>339</v>
      </c>
      <c r="M246" s="18">
        <v>0</v>
      </c>
      <c r="O246" s="5">
        <v>400</v>
      </c>
      <c r="P246" s="5" t="s">
        <v>273</v>
      </c>
      <c r="Q246" s="18">
        <f t="shared" si="19"/>
        <v>4756</v>
      </c>
      <c r="R246" s="7" t="s">
        <v>274</v>
      </c>
      <c r="S246" s="18">
        <f t="shared" si="20"/>
        <v>428.03999999999996</v>
      </c>
      <c r="T246" s="7" t="s">
        <v>277</v>
      </c>
      <c r="U246" s="15">
        <v>1302</v>
      </c>
      <c r="V246" s="15">
        <f t="shared" si="21"/>
        <v>15624</v>
      </c>
      <c r="W246" s="9" t="s">
        <v>270</v>
      </c>
      <c r="X246" s="10">
        <f t="shared" si="22"/>
        <v>2568.2399999999998</v>
      </c>
      <c r="Y246" s="19" t="s">
        <v>284</v>
      </c>
      <c r="AB246" s="10">
        <f t="shared" si="23"/>
        <v>60952.28</v>
      </c>
    </row>
    <row r="247" spans="1:28">
      <c r="A247" s="20" t="s">
        <v>586</v>
      </c>
      <c r="B247" s="13" t="s">
        <v>224</v>
      </c>
      <c r="C247" s="20" t="s">
        <v>7</v>
      </c>
      <c r="D247" s="20">
        <v>1</v>
      </c>
      <c r="E247" s="19"/>
      <c r="F247" s="20" t="s">
        <v>9</v>
      </c>
      <c r="G247" s="20" t="s">
        <v>10</v>
      </c>
      <c r="H247" s="23">
        <v>1928</v>
      </c>
      <c r="I247" s="3">
        <v>720</v>
      </c>
      <c r="K247" s="17">
        <f t="shared" si="18"/>
        <v>31776</v>
      </c>
      <c r="L247" s="3" t="s">
        <v>338</v>
      </c>
      <c r="M247" s="18">
        <v>0</v>
      </c>
      <c r="O247" s="5">
        <v>400</v>
      </c>
      <c r="P247" s="5" t="s">
        <v>273</v>
      </c>
      <c r="Q247" s="18">
        <f t="shared" si="19"/>
        <v>3856</v>
      </c>
      <c r="R247" s="7" t="s">
        <v>274</v>
      </c>
      <c r="S247" s="18">
        <f t="shared" si="20"/>
        <v>347.03999999999996</v>
      </c>
      <c r="T247" s="7" t="s">
        <v>277</v>
      </c>
      <c r="U247" s="15">
        <v>852</v>
      </c>
      <c r="V247" s="15">
        <f t="shared" si="21"/>
        <v>10224</v>
      </c>
      <c r="W247" s="9" t="s">
        <v>269</v>
      </c>
      <c r="X247" s="10">
        <f t="shared" si="22"/>
        <v>2082.2399999999998</v>
      </c>
      <c r="Y247" s="19" t="s">
        <v>284</v>
      </c>
      <c r="AB247" s="10">
        <f t="shared" si="23"/>
        <v>48685.279999999999</v>
      </c>
    </row>
    <row r="248" spans="1:28">
      <c r="A248" s="20" t="s">
        <v>587</v>
      </c>
      <c r="B248" s="13" t="s">
        <v>225</v>
      </c>
      <c r="C248" s="20" t="s">
        <v>14</v>
      </c>
      <c r="D248" s="20">
        <v>1</v>
      </c>
      <c r="E248" s="19"/>
      <c r="F248" s="20" t="s">
        <v>9</v>
      </c>
      <c r="G248" s="20" t="s">
        <v>15</v>
      </c>
      <c r="H248" s="23">
        <v>2268</v>
      </c>
      <c r="I248" s="3">
        <v>720</v>
      </c>
      <c r="K248" s="17">
        <f t="shared" si="18"/>
        <v>35856</v>
      </c>
      <c r="L248" s="3" t="s">
        <v>338</v>
      </c>
      <c r="M248" s="18">
        <v>0</v>
      </c>
      <c r="O248" s="5">
        <v>400</v>
      </c>
      <c r="P248" s="5" t="s">
        <v>273</v>
      </c>
      <c r="Q248" s="18">
        <f t="shared" si="19"/>
        <v>4536</v>
      </c>
      <c r="R248" s="7" t="s">
        <v>274</v>
      </c>
      <c r="S248" s="18">
        <f t="shared" si="20"/>
        <v>408.24</v>
      </c>
      <c r="T248" s="7" t="s">
        <v>277</v>
      </c>
      <c r="U248" s="15">
        <v>852</v>
      </c>
      <c r="V248" s="15">
        <f t="shared" si="21"/>
        <v>10224</v>
      </c>
      <c r="W248" s="9" t="s">
        <v>269</v>
      </c>
      <c r="X248" s="10">
        <f t="shared" si="22"/>
        <v>2449.44</v>
      </c>
      <c r="Y248" s="19" t="s">
        <v>284</v>
      </c>
      <c r="AB248" s="10">
        <f t="shared" si="23"/>
        <v>53873.68</v>
      </c>
    </row>
    <row r="249" spans="1:28">
      <c r="A249" s="20" t="s">
        <v>588</v>
      </c>
      <c r="B249" s="13" t="s">
        <v>226</v>
      </c>
      <c r="C249" s="20" t="s">
        <v>14</v>
      </c>
      <c r="D249" s="20">
        <v>1</v>
      </c>
      <c r="E249" s="19"/>
      <c r="F249" s="20" t="s">
        <v>9</v>
      </c>
      <c r="G249" s="20" t="s">
        <v>15</v>
      </c>
      <c r="H249" s="23">
        <v>2268</v>
      </c>
      <c r="I249" s="3">
        <v>720</v>
      </c>
      <c r="J249" s="3">
        <v>93</v>
      </c>
      <c r="K249" s="17">
        <f t="shared" si="18"/>
        <v>36972</v>
      </c>
      <c r="L249" s="3" t="s">
        <v>338</v>
      </c>
      <c r="M249" s="18">
        <v>0</v>
      </c>
      <c r="O249" s="5">
        <v>400</v>
      </c>
      <c r="P249" s="5" t="s">
        <v>273</v>
      </c>
      <c r="Q249" s="18">
        <f t="shared" si="19"/>
        <v>4722</v>
      </c>
      <c r="R249" s="7" t="s">
        <v>274</v>
      </c>
      <c r="S249" s="18">
        <f t="shared" si="20"/>
        <v>424.97999999999996</v>
      </c>
      <c r="T249" s="7" t="s">
        <v>277</v>
      </c>
      <c r="U249" s="15">
        <v>852</v>
      </c>
      <c r="V249" s="15">
        <f t="shared" si="21"/>
        <v>10224</v>
      </c>
      <c r="W249" s="9" t="s">
        <v>269</v>
      </c>
      <c r="X249" s="10">
        <f t="shared" si="22"/>
        <v>2549.8799999999997</v>
      </c>
      <c r="Y249" s="19" t="s">
        <v>284</v>
      </c>
      <c r="AB249" s="10">
        <f t="shared" si="23"/>
        <v>55292.86</v>
      </c>
    </row>
    <row r="250" spans="1:28">
      <c r="A250" s="20" t="s">
        <v>589</v>
      </c>
      <c r="B250" s="13" t="s">
        <v>227</v>
      </c>
      <c r="C250" s="20" t="s">
        <v>7</v>
      </c>
      <c r="D250" s="20">
        <v>1</v>
      </c>
      <c r="E250" s="19"/>
      <c r="F250" s="20" t="s">
        <v>9</v>
      </c>
      <c r="G250" s="20" t="s">
        <v>15</v>
      </c>
      <c r="H250" s="23">
        <v>2268</v>
      </c>
      <c r="I250" s="3">
        <v>720</v>
      </c>
      <c r="K250" s="17">
        <f t="shared" si="18"/>
        <v>35856</v>
      </c>
      <c r="L250" s="3" t="s">
        <v>338</v>
      </c>
      <c r="M250" s="18">
        <v>0</v>
      </c>
      <c r="O250" s="5">
        <v>400</v>
      </c>
      <c r="P250" s="5" t="s">
        <v>273</v>
      </c>
      <c r="Q250" s="18">
        <f t="shared" si="19"/>
        <v>4536</v>
      </c>
      <c r="R250" s="7" t="s">
        <v>274</v>
      </c>
      <c r="S250" s="18">
        <f t="shared" si="20"/>
        <v>408.24</v>
      </c>
      <c r="T250" s="7" t="s">
        <v>277</v>
      </c>
      <c r="U250" s="15">
        <v>852</v>
      </c>
      <c r="V250" s="15">
        <f t="shared" si="21"/>
        <v>10224</v>
      </c>
      <c r="W250" s="9" t="s">
        <v>269</v>
      </c>
      <c r="X250" s="10">
        <f t="shared" si="22"/>
        <v>2449.44</v>
      </c>
      <c r="Y250" s="19" t="s">
        <v>284</v>
      </c>
      <c r="AB250" s="10">
        <f t="shared" si="23"/>
        <v>53873.68</v>
      </c>
    </row>
    <row r="251" spans="1:28">
      <c r="A251" s="20" t="s">
        <v>590</v>
      </c>
      <c r="B251" s="13" t="s">
        <v>228</v>
      </c>
      <c r="C251" s="20" t="s">
        <v>7</v>
      </c>
      <c r="D251" s="20">
        <v>1</v>
      </c>
      <c r="E251" s="19"/>
      <c r="F251" s="20" t="s">
        <v>9</v>
      </c>
      <c r="G251" s="20" t="s">
        <v>15</v>
      </c>
      <c r="H251" s="23">
        <v>2268</v>
      </c>
      <c r="I251" s="3">
        <v>720</v>
      </c>
      <c r="J251" s="3">
        <v>93</v>
      </c>
      <c r="K251" s="17">
        <f t="shared" si="18"/>
        <v>36972</v>
      </c>
      <c r="L251" s="3" t="s">
        <v>338</v>
      </c>
      <c r="M251" s="18">
        <v>0</v>
      </c>
      <c r="O251" s="5">
        <v>400</v>
      </c>
      <c r="P251" s="5" t="s">
        <v>273</v>
      </c>
      <c r="Q251" s="18">
        <f t="shared" si="19"/>
        <v>4722</v>
      </c>
      <c r="R251" s="7" t="s">
        <v>274</v>
      </c>
      <c r="S251" s="18">
        <f t="shared" si="20"/>
        <v>424.97999999999996</v>
      </c>
      <c r="T251" s="7" t="s">
        <v>277</v>
      </c>
      <c r="U251" s="15">
        <v>852</v>
      </c>
      <c r="V251" s="15">
        <f t="shared" si="21"/>
        <v>10224</v>
      </c>
      <c r="W251" s="9" t="s">
        <v>269</v>
      </c>
      <c r="X251" s="10">
        <f t="shared" si="22"/>
        <v>2549.8799999999997</v>
      </c>
      <c r="Y251" s="19" t="s">
        <v>284</v>
      </c>
      <c r="AB251" s="10">
        <f t="shared" si="23"/>
        <v>55292.86</v>
      </c>
    </row>
    <row r="252" spans="1:28">
      <c r="A252" s="20" t="s">
        <v>591</v>
      </c>
      <c r="B252" s="13" t="s">
        <v>229</v>
      </c>
      <c r="C252" s="20" t="s">
        <v>7</v>
      </c>
      <c r="D252" s="20">
        <v>1</v>
      </c>
      <c r="E252" s="19"/>
      <c r="F252" s="20" t="s">
        <v>9</v>
      </c>
      <c r="G252" s="20" t="s">
        <v>15</v>
      </c>
      <c r="H252" s="23">
        <v>2268</v>
      </c>
      <c r="I252" s="3">
        <v>720</v>
      </c>
      <c r="K252" s="17">
        <f t="shared" si="18"/>
        <v>35856</v>
      </c>
      <c r="L252" s="3" t="s">
        <v>338</v>
      </c>
      <c r="M252" s="18">
        <v>0</v>
      </c>
      <c r="O252" s="5">
        <v>400</v>
      </c>
      <c r="P252" s="5" t="s">
        <v>273</v>
      </c>
      <c r="Q252" s="18">
        <f t="shared" si="19"/>
        <v>4536</v>
      </c>
      <c r="R252" s="7" t="s">
        <v>274</v>
      </c>
      <c r="S252" s="18">
        <f t="shared" si="20"/>
        <v>408.24</v>
      </c>
      <c r="T252" s="7" t="s">
        <v>277</v>
      </c>
      <c r="U252" s="15">
        <v>852</v>
      </c>
      <c r="V252" s="15">
        <f t="shared" si="21"/>
        <v>10224</v>
      </c>
      <c r="W252" s="9" t="s">
        <v>269</v>
      </c>
      <c r="X252" s="10">
        <f t="shared" si="22"/>
        <v>2449.44</v>
      </c>
      <c r="Y252" s="19" t="s">
        <v>284</v>
      </c>
      <c r="AB252" s="10">
        <f t="shared" si="23"/>
        <v>53873.68</v>
      </c>
    </row>
    <row r="253" spans="1:28">
      <c r="A253" s="20" t="s">
        <v>592</v>
      </c>
      <c r="B253" s="13" t="s">
        <v>230</v>
      </c>
      <c r="C253" s="20" t="s">
        <v>12</v>
      </c>
      <c r="D253" s="20">
        <v>1</v>
      </c>
      <c r="E253" s="19"/>
      <c r="F253" s="20" t="s">
        <v>9</v>
      </c>
      <c r="G253" s="20" t="s">
        <v>23</v>
      </c>
      <c r="H253" s="23">
        <v>1928</v>
      </c>
      <c r="I253" s="3">
        <v>720</v>
      </c>
      <c r="J253" s="3">
        <v>93</v>
      </c>
      <c r="K253" s="17">
        <f t="shared" si="18"/>
        <v>32892</v>
      </c>
      <c r="L253" s="3" t="s">
        <v>340</v>
      </c>
      <c r="M253" s="18">
        <v>0</v>
      </c>
      <c r="O253" s="5">
        <v>400</v>
      </c>
      <c r="P253" s="5" t="s">
        <v>273</v>
      </c>
      <c r="Q253" s="18">
        <f t="shared" si="19"/>
        <v>4042</v>
      </c>
      <c r="R253" s="7" t="s">
        <v>274</v>
      </c>
      <c r="S253" s="18">
        <f t="shared" si="20"/>
        <v>363.78</v>
      </c>
      <c r="T253" s="7" t="s">
        <v>277</v>
      </c>
      <c r="U253" s="15">
        <v>852</v>
      </c>
      <c r="V253" s="15">
        <f t="shared" si="21"/>
        <v>10224</v>
      </c>
      <c r="W253" s="9" t="s">
        <v>270</v>
      </c>
      <c r="X253" s="10">
        <f t="shared" si="22"/>
        <v>2182.6799999999998</v>
      </c>
      <c r="Y253" s="19" t="s">
        <v>284</v>
      </c>
      <c r="AB253" s="10">
        <f t="shared" si="23"/>
        <v>50104.46</v>
      </c>
    </row>
    <row r="254" spans="1:28">
      <c r="A254" s="20" t="s">
        <v>593</v>
      </c>
      <c r="B254" s="13" t="s">
        <v>231</v>
      </c>
      <c r="C254" s="20" t="s">
        <v>45</v>
      </c>
      <c r="D254" s="20">
        <v>1</v>
      </c>
      <c r="E254" s="19"/>
      <c r="F254" s="20" t="s">
        <v>9</v>
      </c>
      <c r="G254" s="20" t="s">
        <v>10</v>
      </c>
      <c r="H254" s="23">
        <v>1928</v>
      </c>
      <c r="I254" s="3">
        <v>720</v>
      </c>
      <c r="K254" s="17">
        <f t="shared" si="18"/>
        <v>31776</v>
      </c>
      <c r="L254" s="3" t="s">
        <v>338</v>
      </c>
      <c r="M254" s="18">
        <v>0</v>
      </c>
      <c r="O254" s="5">
        <v>400</v>
      </c>
      <c r="P254" s="5" t="s">
        <v>273</v>
      </c>
      <c r="Q254" s="18">
        <f t="shared" si="19"/>
        <v>3856</v>
      </c>
      <c r="R254" s="7" t="s">
        <v>274</v>
      </c>
      <c r="S254" s="18">
        <f t="shared" si="20"/>
        <v>347.03999999999996</v>
      </c>
      <c r="T254" s="7" t="s">
        <v>277</v>
      </c>
      <c r="U254" s="15">
        <v>852</v>
      </c>
      <c r="V254" s="15">
        <f t="shared" si="21"/>
        <v>10224</v>
      </c>
      <c r="W254" s="9" t="s">
        <v>269</v>
      </c>
      <c r="X254" s="10">
        <f t="shared" si="22"/>
        <v>2082.2399999999998</v>
      </c>
      <c r="Y254" s="19" t="s">
        <v>284</v>
      </c>
      <c r="AB254" s="10">
        <f t="shared" si="23"/>
        <v>48685.279999999999</v>
      </c>
    </row>
    <row r="255" spans="1:28">
      <c r="A255" s="20" t="s">
        <v>594</v>
      </c>
      <c r="B255" s="13" t="s">
        <v>232</v>
      </c>
      <c r="C255" s="20" t="s">
        <v>45</v>
      </c>
      <c r="D255" s="20">
        <v>1</v>
      </c>
      <c r="E255" s="19"/>
      <c r="F255" s="20" t="s">
        <v>9</v>
      </c>
      <c r="G255" s="20" t="s">
        <v>115</v>
      </c>
      <c r="H255" s="23">
        <v>2268</v>
      </c>
      <c r="I255" s="3">
        <v>720</v>
      </c>
      <c r="K255" s="17">
        <f t="shared" si="18"/>
        <v>35856</v>
      </c>
      <c r="L255" s="3" t="s">
        <v>338</v>
      </c>
      <c r="M255" s="18">
        <v>0</v>
      </c>
      <c r="O255" s="5">
        <v>400</v>
      </c>
      <c r="P255" s="5" t="s">
        <v>273</v>
      </c>
      <c r="Q255" s="18">
        <f t="shared" si="19"/>
        <v>4536</v>
      </c>
      <c r="R255" s="7" t="s">
        <v>274</v>
      </c>
      <c r="S255" s="18">
        <f t="shared" si="20"/>
        <v>408.24</v>
      </c>
      <c r="T255" s="7" t="s">
        <v>277</v>
      </c>
      <c r="U255" s="15">
        <v>852</v>
      </c>
      <c r="V255" s="15">
        <f t="shared" si="21"/>
        <v>10224</v>
      </c>
      <c r="W255" s="9" t="s">
        <v>269</v>
      </c>
      <c r="X255" s="10">
        <f t="shared" si="22"/>
        <v>2449.44</v>
      </c>
      <c r="Y255" s="19" t="s">
        <v>284</v>
      </c>
      <c r="AB255" s="10">
        <f t="shared" si="23"/>
        <v>53873.68</v>
      </c>
    </row>
    <row r="256" spans="1:28">
      <c r="A256" s="20" t="s">
        <v>595</v>
      </c>
      <c r="B256" s="13" t="s">
        <v>233</v>
      </c>
      <c r="C256" s="20" t="s">
        <v>12</v>
      </c>
      <c r="D256" s="20">
        <v>1</v>
      </c>
      <c r="E256" s="19"/>
      <c r="F256" s="20" t="s">
        <v>9</v>
      </c>
      <c r="G256" s="20" t="s">
        <v>10</v>
      </c>
      <c r="H256" s="23">
        <v>1928</v>
      </c>
      <c r="I256" s="3">
        <v>720</v>
      </c>
      <c r="K256" s="17">
        <f t="shared" si="18"/>
        <v>31776</v>
      </c>
      <c r="L256" s="3" t="s">
        <v>338</v>
      </c>
      <c r="M256" s="18">
        <v>0</v>
      </c>
      <c r="O256" s="5">
        <v>400</v>
      </c>
      <c r="P256" s="5" t="s">
        <v>273</v>
      </c>
      <c r="Q256" s="18">
        <f t="shared" si="19"/>
        <v>3856</v>
      </c>
      <c r="R256" s="7" t="s">
        <v>274</v>
      </c>
      <c r="S256" s="18">
        <f t="shared" si="20"/>
        <v>347.03999999999996</v>
      </c>
      <c r="T256" s="7" t="s">
        <v>277</v>
      </c>
      <c r="U256" s="15">
        <v>852</v>
      </c>
      <c r="V256" s="15">
        <f t="shared" si="21"/>
        <v>10224</v>
      </c>
      <c r="W256" s="9" t="s">
        <v>269</v>
      </c>
      <c r="X256" s="10">
        <f t="shared" si="22"/>
        <v>2082.2399999999998</v>
      </c>
      <c r="Y256" s="19" t="s">
        <v>284</v>
      </c>
      <c r="AB256" s="10">
        <f t="shared" si="23"/>
        <v>48685.279999999999</v>
      </c>
    </row>
    <row r="257" spans="1:28">
      <c r="A257" s="33" t="s">
        <v>662</v>
      </c>
      <c r="B257" s="13" t="s">
        <v>663</v>
      </c>
      <c r="C257" s="20" t="s">
        <v>36</v>
      </c>
      <c r="D257" s="20">
        <v>1</v>
      </c>
      <c r="E257" s="19"/>
      <c r="F257" s="20" t="s">
        <v>26</v>
      </c>
      <c r="G257" s="20" t="s">
        <v>37</v>
      </c>
      <c r="H257" s="23">
        <v>2378</v>
      </c>
      <c r="I257" s="3">
        <v>720</v>
      </c>
      <c r="K257" s="17">
        <f t="shared" si="18"/>
        <v>37176</v>
      </c>
      <c r="L257" s="3" t="s">
        <v>337</v>
      </c>
      <c r="M257" s="18">
        <v>0</v>
      </c>
      <c r="O257" s="5">
        <v>400</v>
      </c>
      <c r="P257" s="5" t="s">
        <v>273</v>
      </c>
      <c r="Q257" s="18">
        <f t="shared" si="19"/>
        <v>4756</v>
      </c>
      <c r="R257" s="7" t="s">
        <v>274</v>
      </c>
      <c r="S257" s="18">
        <f t="shared" si="20"/>
        <v>428.03999999999996</v>
      </c>
      <c r="T257" s="7" t="s">
        <v>277</v>
      </c>
      <c r="U257" s="15">
        <v>1302</v>
      </c>
      <c r="V257" s="15">
        <f t="shared" si="21"/>
        <v>15624</v>
      </c>
      <c r="W257" s="9" t="s">
        <v>269</v>
      </c>
      <c r="X257" s="10">
        <f t="shared" si="22"/>
        <v>2568.2399999999998</v>
      </c>
      <c r="Y257" s="19" t="s">
        <v>284</v>
      </c>
      <c r="AB257" s="10">
        <f t="shared" si="23"/>
        <v>60952.28</v>
      </c>
    </row>
    <row r="258" spans="1:28">
      <c r="A258" s="32">
        <v>29677239</v>
      </c>
      <c r="B258" s="13" t="s">
        <v>642</v>
      </c>
      <c r="C258" s="20" t="s">
        <v>45</v>
      </c>
      <c r="D258" s="20">
        <v>1</v>
      </c>
      <c r="E258" s="19"/>
      <c r="F258" s="20" t="s">
        <v>9</v>
      </c>
      <c r="G258" s="20" t="s">
        <v>46</v>
      </c>
      <c r="H258" s="23">
        <v>5478</v>
      </c>
      <c r="I258" s="3">
        <v>720</v>
      </c>
      <c r="K258" s="17">
        <f t="shared" si="18"/>
        <v>74376</v>
      </c>
      <c r="L258" s="3" t="s">
        <v>338</v>
      </c>
      <c r="M258" s="18">
        <v>0</v>
      </c>
      <c r="O258" s="5">
        <v>400</v>
      </c>
      <c r="P258" s="5" t="s">
        <v>273</v>
      </c>
      <c r="Q258" s="18">
        <f t="shared" si="19"/>
        <v>10956</v>
      </c>
      <c r="R258" s="7" t="s">
        <v>274</v>
      </c>
      <c r="S258" s="18">
        <f t="shared" si="20"/>
        <v>986.04</v>
      </c>
      <c r="T258" s="7" t="s">
        <v>277</v>
      </c>
      <c r="U258" s="15">
        <v>1302</v>
      </c>
      <c r="V258" s="15">
        <f t="shared" si="21"/>
        <v>15624</v>
      </c>
      <c r="W258" s="9" t="s">
        <v>269</v>
      </c>
      <c r="X258" s="10">
        <f t="shared" si="22"/>
        <v>5916.24</v>
      </c>
      <c r="Y258" s="19" t="s">
        <v>284</v>
      </c>
      <c r="AB258" s="10">
        <f t="shared" si="23"/>
        <v>108258.28</v>
      </c>
    </row>
    <row r="259" spans="1:28">
      <c r="A259" s="20" t="s">
        <v>596</v>
      </c>
      <c r="B259" s="13" t="s">
        <v>234</v>
      </c>
      <c r="C259" s="20" t="s">
        <v>7</v>
      </c>
      <c r="D259" s="20">
        <v>1</v>
      </c>
      <c r="E259" s="19"/>
      <c r="F259" s="20" t="s">
        <v>9</v>
      </c>
      <c r="G259" s="20" t="s">
        <v>10</v>
      </c>
      <c r="H259" s="23">
        <v>1928</v>
      </c>
      <c r="I259" s="3">
        <v>720</v>
      </c>
      <c r="K259" s="17">
        <f t="shared" ref="K259:K294" si="24">SUM(H259:J259)*$C$1</f>
        <v>31776</v>
      </c>
      <c r="L259" s="3" t="s">
        <v>338</v>
      </c>
      <c r="M259" s="18">
        <v>0</v>
      </c>
      <c r="O259" s="5">
        <v>400</v>
      </c>
      <c r="P259" s="5" t="s">
        <v>273</v>
      </c>
      <c r="Q259" s="18">
        <f t="shared" ref="Q259:Q294" si="25">(H259+J259)*$G$1</f>
        <v>3856</v>
      </c>
      <c r="R259" s="7" t="s">
        <v>274</v>
      </c>
      <c r="S259" s="18">
        <f t="shared" ref="S259:S294" si="26">+Q259*0.09</f>
        <v>347.03999999999996</v>
      </c>
      <c r="T259" s="7" t="s">
        <v>277</v>
      </c>
      <c r="U259" s="15">
        <v>852</v>
      </c>
      <c r="V259" s="15">
        <f t="shared" ref="V259:V294" si="27">+U259*$C$1</f>
        <v>10224</v>
      </c>
      <c r="W259" s="9" t="s">
        <v>269</v>
      </c>
      <c r="X259" s="10">
        <f t="shared" ref="X259:X294" si="28">+(H259+J259)*0.09*$C$1+M259*0.09</f>
        <v>2082.2399999999998</v>
      </c>
      <c r="Y259" s="19" t="s">
        <v>284</v>
      </c>
      <c r="AB259" s="10">
        <f t="shared" ref="AB259:AB294" si="29">+K259+M259+O259+Q259+S259+V259+X259+Z259</f>
        <v>48685.279999999999</v>
      </c>
    </row>
    <row r="260" spans="1:28">
      <c r="A260" s="20" t="s">
        <v>597</v>
      </c>
      <c r="B260" s="13" t="s">
        <v>235</v>
      </c>
      <c r="C260" s="20" t="s">
        <v>45</v>
      </c>
      <c r="D260" s="20">
        <v>1</v>
      </c>
      <c r="E260" s="19"/>
      <c r="F260" s="20" t="s">
        <v>9</v>
      </c>
      <c r="G260" s="20" t="s">
        <v>80</v>
      </c>
      <c r="H260" s="23">
        <v>2828</v>
      </c>
      <c r="I260" s="3">
        <v>720</v>
      </c>
      <c r="K260" s="17">
        <f t="shared" si="24"/>
        <v>42576</v>
      </c>
      <c r="L260" s="3" t="s">
        <v>338</v>
      </c>
      <c r="M260" s="18">
        <v>0</v>
      </c>
      <c r="O260" s="5">
        <v>400</v>
      </c>
      <c r="P260" s="5" t="s">
        <v>273</v>
      </c>
      <c r="Q260" s="18">
        <f t="shared" si="25"/>
        <v>5656</v>
      </c>
      <c r="R260" s="7" t="s">
        <v>274</v>
      </c>
      <c r="S260" s="18">
        <f t="shared" si="26"/>
        <v>509.03999999999996</v>
      </c>
      <c r="T260" s="7" t="s">
        <v>277</v>
      </c>
      <c r="U260" s="15">
        <v>852</v>
      </c>
      <c r="V260" s="15">
        <f t="shared" si="27"/>
        <v>10224</v>
      </c>
      <c r="W260" s="9" t="s">
        <v>269</v>
      </c>
      <c r="X260" s="10">
        <f t="shared" si="28"/>
        <v>3054.24</v>
      </c>
      <c r="Y260" s="19" t="s">
        <v>284</v>
      </c>
      <c r="Z260" s="10"/>
      <c r="AB260" s="10">
        <f t="shared" si="29"/>
        <v>62419.28</v>
      </c>
    </row>
    <row r="261" spans="1:28">
      <c r="A261" s="20" t="s">
        <v>598</v>
      </c>
      <c r="B261" s="13" t="s">
        <v>236</v>
      </c>
      <c r="C261" s="20" t="s">
        <v>7</v>
      </c>
      <c r="D261" s="20">
        <v>1</v>
      </c>
      <c r="E261" s="19"/>
      <c r="F261" s="20" t="s">
        <v>9</v>
      </c>
      <c r="G261" s="20" t="s">
        <v>10</v>
      </c>
      <c r="H261" s="23">
        <v>1928</v>
      </c>
      <c r="I261" s="3">
        <v>720</v>
      </c>
      <c r="J261" s="3">
        <v>93</v>
      </c>
      <c r="K261" s="17">
        <f t="shared" si="24"/>
        <v>32892</v>
      </c>
      <c r="L261" s="3" t="s">
        <v>338</v>
      </c>
      <c r="M261" s="18">
        <v>0</v>
      </c>
      <c r="O261" s="5">
        <v>400</v>
      </c>
      <c r="P261" s="5" t="s">
        <v>273</v>
      </c>
      <c r="Q261" s="18">
        <f t="shared" si="25"/>
        <v>4042</v>
      </c>
      <c r="R261" s="7" t="s">
        <v>274</v>
      </c>
      <c r="S261" s="18">
        <f t="shared" si="26"/>
        <v>363.78</v>
      </c>
      <c r="T261" s="7" t="s">
        <v>277</v>
      </c>
      <c r="U261" s="15">
        <v>852</v>
      </c>
      <c r="V261" s="15">
        <f t="shared" si="27"/>
        <v>10224</v>
      </c>
      <c r="W261" s="9" t="s">
        <v>269</v>
      </c>
      <c r="X261" s="10">
        <f t="shared" si="28"/>
        <v>2182.6799999999998</v>
      </c>
      <c r="Y261" s="19" t="s">
        <v>284</v>
      </c>
      <c r="AB261" s="10">
        <f t="shared" si="29"/>
        <v>50104.46</v>
      </c>
    </row>
    <row r="262" spans="1:28">
      <c r="A262" s="20" t="s">
        <v>599</v>
      </c>
      <c r="B262" s="13" t="s">
        <v>237</v>
      </c>
      <c r="C262" s="20" t="s">
        <v>45</v>
      </c>
      <c r="D262" s="20">
        <v>1</v>
      </c>
      <c r="E262" s="19"/>
      <c r="F262" s="20" t="s">
        <v>9</v>
      </c>
      <c r="G262" s="20" t="s">
        <v>10</v>
      </c>
      <c r="H262" s="23">
        <v>1928</v>
      </c>
      <c r="I262" s="3">
        <v>720</v>
      </c>
      <c r="J262" s="3">
        <v>93</v>
      </c>
      <c r="K262" s="17">
        <f t="shared" si="24"/>
        <v>32892</v>
      </c>
      <c r="L262" s="3" t="s">
        <v>338</v>
      </c>
      <c r="M262" s="18">
        <v>0</v>
      </c>
      <c r="O262" s="5">
        <v>400</v>
      </c>
      <c r="P262" s="5" t="s">
        <v>273</v>
      </c>
      <c r="Q262" s="18">
        <f t="shared" si="25"/>
        <v>4042</v>
      </c>
      <c r="R262" s="7" t="s">
        <v>274</v>
      </c>
      <c r="S262" s="18">
        <f t="shared" si="26"/>
        <v>363.78</v>
      </c>
      <c r="T262" s="7" t="s">
        <v>277</v>
      </c>
      <c r="U262" s="15">
        <v>852</v>
      </c>
      <c r="V262" s="15">
        <f t="shared" si="27"/>
        <v>10224</v>
      </c>
      <c r="W262" s="9" t="s">
        <v>269</v>
      </c>
      <c r="X262" s="10">
        <f t="shared" si="28"/>
        <v>2182.6799999999998</v>
      </c>
      <c r="Y262" s="19" t="s">
        <v>284</v>
      </c>
      <c r="AB262" s="10">
        <f t="shared" si="29"/>
        <v>50104.46</v>
      </c>
    </row>
    <row r="263" spans="1:28">
      <c r="A263" s="20" t="s">
        <v>600</v>
      </c>
      <c r="B263" s="13" t="s">
        <v>238</v>
      </c>
      <c r="C263" s="20" t="s">
        <v>7</v>
      </c>
      <c r="D263" s="20">
        <v>1</v>
      </c>
      <c r="E263" s="19"/>
      <c r="F263" s="20" t="s">
        <v>9</v>
      </c>
      <c r="G263" s="20" t="s">
        <v>15</v>
      </c>
      <c r="H263" s="23">
        <v>2268</v>
      </c>
      <c r="I263" s="3">
        <v>720</v>
      </c>
      <c r="K263" s="17">
        <f t="shared" si="24"/>
        <v>35856</v>
      </c>
      <c r="L263" s="3" t="s">
        <v>338</v>
      </c>
      <c r="M263" s="18">
        <v>0</v>
      </c>
      <c r="O263" s="5">
        <v>400</v>
      </c>
      <c r="P263" s="5" t="s">
        <v>273</v>
      </c>
      <c r="Q263" s="18">
        <f t="shared" si="25"/>
        <v>4536</v>
      </c>
      <c r="R263" s="7" t="s">
        <v>274</v>
      </c>
      <c r="S263" s="18">
        <f t="shared" si="26"/>
        <v>408.24</v>
      </c>
      <c r="T263" s="7" t="s">
        <v>277</v>
      </c>
      <c r="U263" s="15">
        <v>852</v>
      </c>
      <c r="V263" s="15">
        <f t="shared" si="27"/>
        <v>10224</v>
      </c>
      <c r="W263" s="9" t="s">
        <v>269</v>
      </c>
      <c r="X263" s="10">
        <f t="shared" si="28"/>
        <v>2449.44</v>
      </c>
      <c r="Y263" s="19" t="s">
        <v>284</v>
      </c>
      <c r="Z263" s="10"/>
      <c r="AB263" s="10">
        <f t="shared" si="29"/>
        <v>53873.68</v>
      </c>
    </row>
    <row r="264" spans="1:28">
      <c r="A264" s="20" t="s">
        <v>601</v>
      </c>
      <c r="B264" s="13" t="s">
        <v>239</v>
      </c>
      <c r="C264" s="20" t="s">
        <v>7</v>
      </c>
      <c r="D264" s="20">
        <v>1</v>
      </c>
      <c r="E264" s="19"/>
      <c r="F264" s="20" t="s">
        <v>9</v>
      </c>
      <c r="G264" s="20" t="s">
        <v>15</v>
      </c>
      <c r="H264" s="23">
        <v>2268</v>
      </c>
      <c r="I264" s="3">
        <v>720</v>
      </c>
      <c r="K264" s="17">
        <f t="shared" si="24"/>
        <v>35856</v>
      </c>
      <c r="L264" s="3" t="s">
        <v>338</v>
      </c>
      <c r="M264" s="18">
        <v>0</v>
      </c>
      <c r="O264" s="5">
        <v>400</v>
      </c>
      <c r="P264" s="5" t="s">
        <v>273</v>
      </c>
      <c r="Q264" s="18">
        <f t="shared" si="25"/>
        <v>4536</v>
      </c>
      <c r="R264" s="7" t="s">
        <v>274</v>
      </c>
      <c r="S264" s="18">
        <f t="shared" si="26"/>
        <v>408.24</v>
      </c>
      <c r="T264" s="7" t="s">
        <v>277</v>
      </c>
      <c r="U264" s="15">
        <v>852</v>
      </c>
      <c r="V264" s="15">
        <f t="shared" si="27"/>
        <v>10224</v>
      </c>
      <c r="W264" s="9" t="s">
        <v>269</v>
      </c>
      <c r="X264" s="10">
        <f t="shared" si="28"/>
        <v>2449.44</v>
      </c>
      <c r="Y264" s="19" t="s">
        <v>284</v>
      </c>
      <c r="AB264" s="10">
        <f t="shared" si="29"/>
        <v>53873.68</v>
      </c>
    </row>
    <row r="265" spans="1:28">
      <c r="A265" s="31" t="s">
        <v>602</v>
      </c>
      <c r="B265" s="13" t="s">
        <v>240</v>
      </c>
      <c r="C265" s="20" t="s">
        <v>45</v>
      </c>
      <c r="D265" s="20">
        <v>1</v>
      </c>
      <c r="E265" s="19" t="s">
        <v>8</v>
      </c>
      <c r="F265" s="20" t="s">
        <v>9</v>
      </c>
      <c r="G265" s="20" t="s">
        <v>19</v>
      </c>
      <c r="H265" s="23">
        <v>3978</v>
      </c>
      <c r="I265" s="3">
        <v>720</v>
      </c>
      <c r="K265" s="17">
        <f t="shared" si="24"/>
        <v>56376</v>
      </c>
      <c r="L265" s="3" t="s">
        <v>338</v>
      </c>
      <c r="M265" s="18">
        <v>0</v>
      </c>
      <c r="O265" s="5">
        <v>400</v>
      </c>
      <c r="P265" s="5" t="s">
        <v>273</v>
      </c>
      <c r="Q265" s="18">
        <f t="shared" si="25"/>
        <v>7956</v>
      </c>
      <c r="R265" s="7" t="s">
        <v>274</v>
      </c>
      <c r="S265" s="18">
        <f t="shared" si="26"/>
        <v>716.04</v>
      </c>
      <c r="T265" s="7" t="s">
        <v>277</v>
      </c>
      <c r="U265" s="15">
        <v>802</v>
      </c>
      <c r="V265" s="15">
        <f t="shared" si="27"/>
        <v>9624</v>
      </c>
      <c r="W265" s="9" t="s">
        <v>269</v>
      </c>
      <c r="X265" s="10">
        <f t="shared" si="28"/>
        <v>4296.24</v>
      </c>
      <c r="Y265" s="19" t="s">
        <v>284</v>
      </c>
      <c r="AB265" s="10">
        <f t="shared" si="29"/>
        <v>79368.280000000013</v>
      </c>
    </row>
    <row r="266" spans="1:28">
      <c r="A266" s="20" t="s">
        <v>603</v>
      </c>
      <c r="B266" s="13" t="s">
        <v>241</v>
      </c>
      <c r="C266" s="20" t="s">
        <v>25</v>
      </c>
      <c r="D266" s="20">
        <v>1</v>
      </c>
      <c r="E266" s="19"/>
      <c r="F266" s="20" t="s">
        <v>9</v>
      </c>
      <c r="G266" s="20" t="s">
        <v>15</v>
      </c>
      <c r="H266" s="23">
        <v>2268</v>
      </c>
      <c r="I266" s="3">
        <v>720</v>
      </c>
      <c r="K266" s="17">
        <f t="shared" si="24"/>
        <v>35856</v>
      </c>
      <c r="L266" s="3" t="s">
        <v>338</v>
      </c>
      <c r="M266" s="18">
        <v>0</v>
      </c>
      <c r="O266" s="5">
        <v>400</v>
      </c>
      <c r="P266" s="5" t="s">
        <v>273</v>
      </c>
      <c r="Q266" s="18">
        <f t="shared" si="25"/>
        <v>4536</v>
      </c>
      <c r="R266" s="7" t="s">
        <v>274</v>
      </c>
      <c r="S266" s="18">
        <f t="shared" si="26"/>
        <v>408.24</v>
      </c>
      <c r="T266" s="7" t="s">
        <v>277</v>
      </c>
      <c r="U266" s="15">
        <v>852</v>
      </c>
      <c r="V266" s="15">
        <f t="shared" si="27"/>
        <v>10224</v>
      </c>
      <c r="W266" s="9" t="s">
        <v>269</v>
      </c>
      <c r="X266" s="10">
        <f t="shared" si="28"/>
        <v>2449.44</v>
      </c>
      <c r="Y266" s="19" t="s">
        <v>284</v>
      </c>
      <c r="Z266" s="10"/>
      <c r="AB266" s="10">
        <f t="shared" si="29"/>
        <v>53873.68</v>
      </c>
    </row>
    <row r="267" spans="1:28">
      <c r="A267" s="20" t="s">
        <v>604</v>
      </c>
      <c r="B267" s="13" t="s">
        <v>242</v>
      </c>
      <c r="C267" s="20" t="s">
        <v>7</v>
      </c>
      <c r="D267" s="20">
        <v>1</v>
      </c>
      <c r="E267" s="19"/>
      <c r="F267" s="20" t="s">
        <v>9</v>
      </c>
      <c r="G267" s="20" t="s">
        <v>10</v>
      </c>
      <c r="H267" s="23">
        <v>1928</v>
      </c>
      <c r="I267" s="3">
        <v>720</v>
      </c>
      <c r="K267" s="17">
        <f t="shared" si="24"/>
        <v>31776</v>
      </c>
      <c r="L267" s="3" t="s">
        <v>338</v>
      </c>
      <c r="M267" s="18">
        <v>0</v>
      </c>
      <c r="O267" s="5">
        <v>400</v>
      </c>
      <c r="P267" s="5" t="s">
        <v>273</v>
      </c>
      <c r="Q267" s="18">
        <f t="shared" si="25"/>
        <v>3856</v>
      </c>
      <c r="R267" s="7" t="s">
        <v>274</v>
      </c>
      <c r="S267" s="18">
        <f t="shared" si="26"/>
        <v>347.03999999999996</v>
      </c>
      <c r="T267" s="7" t="s">
        <v>277</v>
      </c>
      <c r="U267" s="15">
        <v>852</v>
      </c>
      <c r="V267" s="15">
        <f t="shared" si="27"/>
        <v>10224</v>
      </c>
      <c r="W267" s="9" t="s">
        <v>269</v>
      </c>
      <c r="X267" s="10">
        <f t="shared" si="28"/>
        <v>2082.2399999999998</v>
      </c>
      <c r="Y267" s="19" t="s">
        <v>284</v>
      </c>
      <c r="AB267" s="10">
        <f t="shared" si="29"/>
        <v>48685.279999999999</v>
      </c>
    </row>
    <row r="268" spans="1:28">
      <c r="A268" s="20" t="s">
        <v>605</v>
      </c>
      <c r="B268" s="13" t="s">
        <v>243</v>
      </c>
      <c r="C268" s="20" t="s">
        <v>12</v>
      </c>
      <c r="D268" s="20">
        <v>1</v>
      </c>
      <c r="E268" s="19"/>
      <c r="F268" s="20" t="s">
        <v>9</v>
      </c>
      <c r="G268" s="20" t="s">
        <v>23</v>
      </c>
      <c r="H268" s="23">
        <v>1928</v>
      </c>
      <c r="I268" s="3">
        <v>720</v>
      </c>
      <c r="J268" s="3">
        <v>93</v>
      </c>
      <c r="K268" s="17">
        <f t="shared" si="24"/>
        <v>32892</v>
      </c>
      <c r="L268" s="3" t="s">
        <v>340</v>
      </c>
      <c r="M268" s="18">
        <v>3888.03</v>
      </c>
      <c r="N268" s="7" t="s">
        <v>279</v>
      </c>
      <c r="O268" s="5">
        <v>400</v>
      </c>
      <c r="P268" s="5" t="s">
        <v>273</v>
      </c>
      <c r="Q268" s="18">
        <f t="shared" si="25"/>
        <v>4042</v>
      </c>
      <c r="R268" s="7" t="s">
        <v>274</v>
      </c>
      <c r="S268" s="18">
        <f t="shared" si="26"/>
        <v>363.78</v>
      </c>
      <c r="T268" s="7" t="s">
        <v>277</v>
      </c>
      <c r="U268" s="15">
        <v>852</v>
      </c>
      <c r="V268" s="15">
        <f t="shared" si="27"/>
        <v>10224</v>
      </c>
      <c r="W268" s="9" t="s">
        <v>270</v>
      </c>
      <c r="X268" s="10">
        <f t="shared" si="28"/>
        <v>2532.6026999999999</v>
      </c>
      <c r="Y268" s="19" t="s">
        <v>284</v>
      </c>
      <c r="Z268" s="10"/>
      <c r="AB268" s="10">
        <f t="shared" si="29"/>
        <v>54342.412700000001</v>
      </c>
    </row>
    <row r="269" spans="1:28">
      <c r="A269" s="20" t="s">
        <v>606</v>
      </c>
      <c r="B269" s="13" t="s">
        <v>244</v>
      </c>
      <c r="C269" s="20" t="s">
        <v>7</v>
      </c>
      <c r="D269" s="20">
        <v>1</v>
      </c>
      <c r="F269" s="20" t="s">
        <v>9</v>
      </c>
      <c r="G269" s="20" t="s">
        <v>10</v>
      </c>
      <c r="H269" s="23">
        <v>1928</v>
      </c>
      <c r="I269" s="3">
        <v>720</v>
      </c>
      <c r="K269" s="17">
        <f t="shared" si="24"/>
        <v>31776</v>
      </c>
      <c r="L269" s="3" t="s">
        <v>338</v>
      </c>
      <c r="M269" s="18">
        <v>0</v>
      </c>
      <c r="O269" s="5">
        <v>400</v>
      </c>
      <c r="P269" s="5" t="s">
        <v>273</v>
      </c>
      <c r="Q269" s="18">
        <f t="shared" si="25"/>
        <v>3856</v>
      </c>
      <c r="R269" s="7" t="s">
        <v>274</v>
      </c>
      <c r="S269" s="18">
        <f t="shared" si="26"/>
        <v>347.03999999999996</v>
      </c>
      <c r="T269" s="7" t="s">
        <v>277</v>
      </c>
      <c r="U269" s="15">
        <v>852</v>
      </c>
      <c r="V269" s="15">
        <f t="shared" si="27"/>
        <v>10224</v>
      </c>
      <c r="W269" s="9" t="s">
        <v>269</v>
      </c>
      <c r="X269" s="10">
        <f t="shared" si="28"/>
        <v>2082.2399999999998</v>
      </c>
      <c r="Y269" s="19" t="s">
        <v>284</v>
      </c>
      <c r="Z269" s="10"/>
      <c r="AA269" s="19" t="s">
        <v>285</v>
      </c>
      <c r="AB269" s="10">
        <f t="shared" si="29"/>
        <v>48685.279999999999</v>
      </c>
    </row>
    <row r="270" spans="1:28">
      <c r="A270" s="20" t="s">
        <v>607</v>
      </c>
      <c r="B270" s="13" t="s">
        <v>245</v>
      </c>
      <c r="C270" s="20" t="s">
        <v>7</v>
      </c>
      <c r="D270" s="20">
        <v>1</v>
      </c>
      <c r="E270" s="19" t="s">
        <v>8</v>
      </c>
      <c r="F270" s="20" t="s">
        <v>9</v>
      </c>
      <c r="G270" s="20" t="s">
        <v>15</v>
      </c>
      <c r="H270" s="23">
        <v>2268</v>
      </c>
      <c r="I270" s="3">
        <v>720</v>
      </c>
      <c r="J270" s="3">
        <v>93</v>
      </c>
      <c r="K270" s="17">
        <f t="shared" si="24"/>
        <v>36972</v>
      </c>
      <c r="L270" s="3" t="s">
        <v>338</v>
      </c>
      <c r="M270" s="18">
        <v>0</v>
      </c>
      <c r="O270" s="5">
        <v>400</v>
      </c>
      <c r="P270" s="5" t="s">
        <v>273</v>
      </c>
      <c r="Q270" s="18">
        <f t="shared" si="25"/>
        <v>4722</v>
      </c>
      <c r="R270" s="7" t="s">
        <v>274</v>
      </c>
      <c r="S270" s="18">
        <f t="shared" si="26"/>
        <v>424.97999999999996</v>
      </c>
      <c r="T270" s="7" t="s">
        <v>277</v>
      </c>
      <c r="U270" s="15">
        <v>852</v>
      </c>
      <c r="V270" s="15">
        <f t="shared" si="27"/>
        <v>10224</v>
      </c>
      <c r="W270" s="9" t="s">
        <v>269</v>
      </c>
      <c r="X270" s="10">
        <f t="shared" si="28"/>
        <v>2549.8799999999997</v>
      </c>
      <c r="Y270" s="19" t="s">
        <v>284</v>
      </c>
      <c r="AB270" s="10">
        <f t="shared" si="29"/>
        <v>55292.86</v>
      </c>
    </row>
    <row r="271" spans="1:28">
      <c r="A271" s="20" t="s">
        <v>608</v>
      </c>
      <c r="B271" s="13" t="s">
        <v>246</v>
      </c>
      <c r="C271" s="20" t="s">
        <v>36</v>
      </c>
      <c r="D271" s="20">
        <v>1</v>
      </c>
      <c r="E271" s="19"/>
      <c r="F271" s="20" t="s">
        <v>9</v>
      </c>
      <c r="G271" s="20" t="s">
        <v>19</v>
      </c>
      <c r="H271" s="23">
        <v>3978</v>
      </c>
      <c r="I271" s="3">
        <v>720</v>
      </c>
      <c r="K271" s="17">
        <f t="shared" si="24"/>
        <v>56376</v>
      </c>
      <c r="L271" s="3" t="s">
        <v>338</v>
      </c>
      <c r="M271" s="18">
        <v>0</v>
      </c>
      <c r="O271" s="5">
        <v>400</v>
      </c>
      <c r="P271" s="5" t="s">
        <v>273</v>
      </c>
      <c r="Q271" s="18">
        <f t="shared" si="25"/>
        <v>7956</v>
      </c>
      <c r="R271" s="7" t="s">
        <v>274</v>
      </c>
      <c r="S271" s="18">
        <f t="shared" si="26"/>
        <v>716.04</v>
      </c>
      <c r="T271" s="7" t="s">
        <v>277</v>
      </c>
      <c r="U271" s="15">
        <v>802</v>
      </c>
      <c r="V271" s="15">
        <f t="shared" si="27"/>
        <v>9624</v>
      </c>
      <c r="W271" s="9" t="s">
        <v>269</v>
      </c>
      <c r="X271" s="10">
        <f t="shared" si="28"/>
        <v>4296.24</v>
      </c>
      <c r="Y271" s="19" t="s">
        <v>284</v>
      </c>
      <c r="AB271" s="10">
        <f t="shared" si="29"/>
        <v>79368.280000000013</v>
      </c>
    </row>
    <row r="272" spans="1:28">
      <c r="A272" s="20" t="s">
        <v>609</v>
      </c>
      <c r="B272" s="13" t="s">
        <v>334</v>
      </c>
      <c r="C272" s="20" t="s">
        <v>14</v>
      </c>
      <c r="D272" s="20">
        <v>1</v>
      </c>
      <c r="E272" s="19"/>
      <c r="F272" s="20" t="s">
        <v>9</v>
      </c>
      <c r="G272" s="20" t="s">
        <v>15</v>
      </c>
      <c r="H272" s="23">
        <v>2268</v>
      </c>
      <c r="I272" s="3">
        <v>720</v>
      </c>
      <c r="K272" s="17">
        <f t="shared" si="24"/>
        <v>35856</v>
      </c>
      <c r="L272" s="3" t="s">
        <v>338</v>
      </c>
      <c r="M272" s="18">
        <v>0</v>
      </c>
      <c r="O272" s="5">
        <v>400</v>
      </c>
      <c r="P272" s="5" t="s">
        <v>273</v>
      </c>
      <c r="Q272" s="18">
        <f t="shared" si="25"/>
        <v>4536</v>
      </c>
      <c r="R272" s="7" t="s">
        <v>274</v>
      </c>
      <c r="S272" s="18">
        <f t="shared" si="26"/>
        <v>408.24</v>
      </c>
      <c r="T272" s="7" t="s">
        <v>277</v>
      </c>
      <c r="U272" s="15">
        <v>852</v>
      </c>
      <c r="V272" s="15">
        <f t="shared" si="27"/>
        <v>10224</v>
      </c>
      <c r="W272" s="9" t="s">
        <v>269</v>
      </c>
      <c r="X272" s="10">
        <f t="shared" si="28"/>
        <v>2449.44</v>
      </c>
      <c r="Y272" s="19" t="s">
        <v>284</v>
      </c>
      <c r="AB272" s="10">
        <f t="shared" si="29"/>
        <v>53873.68</v>
      </c>
    </row>
    <row r="273" spans="1:28">
      <c r="A273" s="20" t="s">
        <v>610</v>
      </c>
      <c r="B273" s="13" t="s">
        <v>247</v>
      </c>
      <c r="C273" s="20" t="s">
        <v>25</v>
      </c>
      <c r="D273" s="20">
        <v>1</v>
      </c>
      <c r="E273" s="19"/>
      <c r="F273" s="20" t="s">
        <v>9</v>
      </c>
      <c r="G273" s="20" t="s">
        <v>15</v>
      </c>
      <c r="H273" s="23">
        <v>2268</v>
      </c>
      <c r="I273" s="3">
        <v>720</v>
      </c>
      <c r="J273" s="3">
        <v>93</v>
      </c>
      <c r="K273" s="17">
        <f t="shared" si="24"/>
        <v>36972</v>
      </c>
      <c r="L273" s="3" t="s">
        <v>338</v>
      </c>
      <c r="M273" s="18">
        <v>0</v>
      </c>
      <c r="O273" s="5">
        <v>400</v>
      </c>
      <c r="P273" s="5" t="s">
        <v>273</v>
      </c>
      <c r="Q273" s="18">
        <f t="shared" si="25"/>
        <v>4722</v>
      </c>
      <c r="R273" s="7" t="s">
        <v>274</v>
      </c>
      <c r="S273" s="18">
        <f t="shared" si="26"/>
        <v>424.97999999999996</v>
      </c>
      <c r="T273" s="7" t="s">
        <v>277</v>
      </c>
      <c r="U273" s="15">
        <v>852</v>
      </c>
      <c r="V273" s="15">
        <f t="shared" si="27"/>
        <v>10224</v>
      </c>
      <c r="W273" s="9" t="s">
        <v>269</v>
      </c>
      <c r="X273" s="10">
        <f t="shared" si="28"/>
        <v>2549.8799999999997</v>
      </c>
      <c r="Y273" s="19" t="s">
        <v>284</v>
      </c>
      <c r="Z273" s="10"/>
      <c r="AA273" s="19" t="s">
        <v>285</v>
      </c>
      <c r="AB273" s="10">
        <f t="shared" si="29"/>
        <v>55292.86</v>
      </c>
    </row>
    <row r="274" spans="1:28">
      <c r="A274" s="20" t="s">
        <v>611</v>
      </c>
      <c r="B274" s="13" t="s">
        <v>248</v>
      </c>
      <c r="C274" s="20" t="s">
        <v>25</v>
      </c>
      <c r="D274" s="20">
        <v>1</v>
      </c>
      <c r="E274" s="19"/>
      <c r="F274" s="20" t="s">
        <v>26</v>
      </c>
      <c r="G274" s="20" t="s">
        <v>28</v>
      </c>
      <c r="H274" s="23">
        <v>1600</v>
      </c>
      <c r="I274" s="3">
        <v>720</v>
      </c>
      <c r="K274" s="17">
        <f t="shared" si="24"/>
        <v>27840</v>
      </c>
      <c r="L274" s="3" t="s">
        <v>337</v>
      </c>
      <c r="M274" s="18">
        <v>0</v>
      </c>
      <c r="O274" s="5">
        <v>400</v>
      </c>
      <c r="P274" s="5" t="s">
        <v>273</v>
      </c>
      <c r="Q274" s="18">
        <f t="shared" si="25"/>
        <v>3200</v>
      </c>
      <c r="R274" s="7" t="s">
        <v>274</v>
      </c>
      <c r="S274" s="18">
        <f t="shared" si="26"/>
        <v>288</v>
      </c>
      <c r="T274" s="7" t="s">
        <v>277</v>
      </c>
      <c r="U274" s="15">
        <v>802</v>
      </c>
      <c r="V274" s="15">
        <f t="shared" si="27"/>
        <v>9624</v>
      </c>
      <c r="W274" s="9" t="s">
        <v>269</v>
      </c>
      <c r="X274" s="10">
        <f t="shared" si="28"/>
        <v>1728</v>
      </c>
      <c r="Y274" s="19" t="s">
        <v>284</v>
      </c>
      <c r="AB274" s="10">
        <f t="shared" si="29"/>
        <v>43080</v>
      </c>
    </row>
    <row r="275" spans="1:28">
      <c r="A275" s="20" t="s">
        <v>612</v>
      </c>
      <c r="B275" s="13" t="s">
        <v>249</v>
      </c>
      <c r="C275" s="20" t="s">
        <v>36</v>
      </c>
      <c r="D275" s="20">
        <v>1</v>
      </c>
      <c r="E275" s="19"/>
      <c r="F275" s="20" t="s">
        <v>9</v>
      </c>
      <c r="G275" s="20" t="s">
        <v>19</v>
      </c>
      <c r="H275" s="23">
        <v>3978</v>
      </c>
      <c r="I275" s="3">
        <v>720</v>
      </c>
      <c r="K275" s="17">
        <f t="shared" si="24"/>
        <v>56376</v>
      </c>
      <c r="L275" s="3" t="s">
        <v>338</v>
      </c>
      <c r="M275" s="18">
        <v>0</v>
      </c>
      <c r="O275" s="5">
        <v>400</v>
      </c>
      <c r="P275" s="5" t="s">
        <v>273</v>
      </c>
      <c r="Q275" s="18">
        <f t="shared" si="25"/>
        <v>7956</v>
      </c>
      <c r="R275" s="7" t="s">
        <v>274</v>
      </c>
      <c r="S275" s="18">
        <f t="shared" si="26"/>
        <v>716.04</v>
      </c>
      <c r="T275" s="7" t="s">
        <v>277</v>
      </c>
      <c r="U275" s="15">
        <v>802</v>
      </c>
      <c r="V275" s="15">
        <f t="shared" si="27"/>
        <v>9624</v>
      </c>
      <c r="W275" s="9" t="s">
        <v>269</v>
      </c>
      <c r="X275" s="10">
        <f t="shared" si="28"/>
        <v>4296.24</v>
      </c>
      <c r="Y275" s="19" t="s">
        <v>284</v>
      </c>
      <c r="AB275" s="10">
        <f t="shared" si="29"/>
        <v>79368.280000000013</v>
      </c>
    </row>
    <row r="276" spans="1:28">
      <c r="A276" s="20" t="s">
        <v>613</v>
      </c>
      <c r="B276" s="13" t="s">
        <v>305</v>
      </c>
      <c r="C276" s="20" t="s">
        <v>25</v>
      </c>
      <c r="D276" s="20">
        <v>1</v>
      </c>
      <c r="E276" s="19"/>
      <c r="F276" s="20" t="s">
        <v>9</v>
      </c>
      <c r="G276" s="20" t="s">
        <v>15</v>
      </c>
      <c r="H276" s="23">
        <v>2268</v>
      </c>
      <c r="I276" s="3">
        <v>720</v>
      </c>
      <c r="K276" s="17">
        <f t="shared" si="24"/>
        <v>35856</v>
      </c>
      <c r="L276" s="3" t="s">
        <v>338</v>
      </c>
      <c r="M276" s="18">
        <v>0</v>
      </c>
      <c r="O276" s="5">
        <v>400</v>
      </c>
      <c r="P276" s="5" t="s">
        <v>273</v>
      </c>
      <c r="Q276" s="18">
        <f t="shared" si="25"/>
        <v>4536</v>
      </c>
      <c r="R276" s="7" t="s">
        <v>274</v>
      </c>
      <c r="S276" s="18">
        <f t="shared" si="26"/>
        <v>408.24</v>
      </c>
      <c r="T276" s="7" t="s">
        <v>277</v>
      </c>
      <c r="U276" s="15">
        <v>852</v>
      </c>
      <c r="V276" s="15">
        <f t="shared" si="27"/>
        <v>10224</v>
      </c>
      <c r="W276" s="9" t="s">
        <v>269</v>
      </c>
      <c r="X276" s="10">
        <f t="shared" si="28"/>
        <v>2449.44</v>
      </c>
      <c r="Y276" s="19" t="s">
        <v>284</v>
      </c>
      <c r="AB276" s="10">
        <f t="shared" si="29"/>
        <v>53873.68</v>
      </c>
    </row>
    <row r="277" spans="1:28">
      <c r="A277" s="20" t="s">
        <v>614</v>
      </c>
      <c r="B277" s="13" t="s">
        <v>250</v>
      </c>
      <c r="C277" s="20" t="s">
        <v>12</v>
      </c>
      <c r="D277" s="20">
        <v>1</v>
      </c>
      <c r="E277" s="19"/>
      <c r="F277" s="20" t="s">
        <v>9</v>
      </c>
      <c r="G277" s="20" t="s">
        <v>28</v>
      </c>
      <c r="H277" s="23">
        <v>1600</v>
      </c>
      <c r="I277" s="3">
        <v>720</v>
      </c>
      <c r="K277" s="17">
        <f t="shared" si="24"/>
        <v>27840</v>
      </c>
      <c r="L277" s="3" t="s">
        <v>338</v>
      </c>
      <c r="M277" s="18">
        <v>0</v>
      </c>
      <c r="O277" s="5">
        <v>400</v>
      </c>
      <c r="P277" s="5" t="s">
        <v>273</v>
      </c>
      <c r="Q277" s="18">
        <f t="shared" si="25"/>
        <v>3200</v>
      </c>
      <c r="R277" s="7" t="s">
        <v>274</v>
      </c>
      <c r="S277" s="18">
        <f t="shared" si="26"/>
        <v>288</v>
      </c>
      <c r="T277" s="7" t="s">
        <v>277</v>
      </c>
      <c r="U277" s="15">
        <v>802</v>
      </c>
      <c r="V277" s="15">
        <f t="shared" si="27"/>
        <v>9624</v>
      </c>
      <c r="W277" s="9" t="s">
        <v>269</v>
      </c>
      <c r="X277" s="10">
        <f t="shared" si="28"/>
        <v>1728</v>
      </c>
      <c r="Y277" s="19" t="s">
        <v>284</v>
      </c>
      <c r="AB277" s="10">
        <f t="shared" si="29"/>
        <v>43080</v>
      </c>
    </row>
    <row r="278" spans="1:28">
      <c r="A278" s="20" t="s">
        <v>615</v>
      </c>
      <c r="B278" s="13" t="s">
        <v>251</v>
      </c>
      <c r="C278" s="20" t="s">
        <v>7</v>
      </c>
      <c r="D278" s="20">
        <v>1</v>
      </c>
      <c r="E278" s="19"/>
      <c r="F278" s="20" t="s">
        <v>9</v>
      </c>
      <c r="G278" s="20" t="s">
        <v>10</v>
      </c>
      <c r="H278" s="23">
        <v>1928</v>
      </c>
      <c r="I278" s="3">
        <v>720</v>
      </c>
      <c r="K278" s="17">
        <f t="shared" si="24"/>
        <v>31776</v>
      </c>
      <c r="L278" s="3" t="s">
        <v>338</v>
      </c>
      <c r="M278" s="18">
        <v>0</v>
      </c>
      <c r="O278" s="5">
        <v>400</v>
      </c>
      <c r="P278" s="5" t="s">
        <v>273</v>
      </c>
      <c r="Q278" s="18">
        <f t="shared" si="25"/>
        <v>3856</v>
      </c>
      <c r="R278" s="7" t="s">
        <v>274</v>
      </c>
      <c r="S278" s="18">
        <f t="shared" si="26"/>
        <v>347.03999999999996</v>
      </c>
      <c r="T278" s="7" t="s">
        <v>277</v>
      </c>
      <c r="U278" s="15">
        <v>852</v>
      </c>
      <c r="V278" s="15">
        <f t="shared" si="27"/>
        <v>10224</v>
      </c>
      <c r="W278" s="9" t="s">
        <v>269</v>
      </c>
      <c r="X278" s="10">
        <f t="shared" si="28"/>
        <v>2082.2399999999998</v>
      </c>
      <c r="Y278" s="19" t="s">
        <v>284</v>
      </c>
      <c r="AB278" s="10">
        <f t="shared" si="29"/>
        <v>48685.279999999999</v>
      </c>
    </row>
    <row r="279" spans="1:28">
      <c r="A279" s="20" t="s">
        <v>616</v>
      </c>
      <c r="B279" s="13" t="s">
        <v>335</v>
      </c>
      <c r="C279" s="20" t="s">
        <v>45</v>
      </c>
      <c r="D279" s="20">
        <v>1</v>
      </c>
      <c r="E279" s="19"/>
      <c r="F279" s="20" t="s">
        <v>26</v>
      </c>
      <c r="G279" s="20" t="s">
        <v>19</v>
      </c>
      <c r="H279" s="23">
        <v>3978</v>
      </c>
      <c r="I279" s="3">
        <v>720</v>
      </c>
      <c r="J279" s="3">
        <v>93</v>
      </c>
      <c r="K279" s="17">
        <f t="shared" si="24"/>
        <v>57492</v>
      </c>
      <c r="L279" s="3" t="s">
        <v>337</v>
      </c>
      <c r="M279" s="18">
        <v>0</v>
      </c>
      <c r="O279" s="5">
        <v>400</v>
      </c>
      <c r="P279" s="5" t="s">
        <v>273</v>
      </c>
      <c r="Q279" s="18">
        <f t="shared" si="25"/>
        <v>8142</v>
      </c>
      <c r="R279" s="7" t="s">
        <v>274</v>
      </c>
      <c r="S279" s="18">
        <f t="shared" si="26"/>
        <v>732.78</v>
      </c>
      <c r="T279" s="7" t="s">
        <v>277</v>
      </c>
      <c r="U279" s="15">
        <v>802</v>
      </c>
      <c r="V279" s="15">
        <f t="shared" si="27"/>
        <v>9624</v>
      </c>
      <c r="W279" s="9" t="s">
        <v>269</v>
      </c>
      <c r="X279" s="10">
        <f t="shared" si="28"/>
        <v>4396.68</v>
      </c>
      <c r="Y279" s="19" t="s">
        <v>284</v>
      </c>
      <c r="AB279" s="10">
        <f t="shared" si="29"/>
        <v>80787.459999999992</v>
      </c>
    </row>
    <row r="280" spans="1:28">
      <c r="A280" s="20" t="s">
        <v>617</v>
      </c>
      <c r="B280" s="13" t="s">
        <v>252</v>
      </c>
      <c r="C280" s="20" t="s">
        <v>14</v>
      </c>
      <c r="D280" s="20">
        <v>1</v>
      </c>
      <c r="E280" s="19"/>
      <c r="F280" s="20" t="s">
        <v>9</v>
      </c>
      <c r="G280" s="20" t="s">
        <v>15</v>
      </c>
      <c r="H280" s="23">
        <v>2268</v>
      </c>
      <c r="I280" s="3">
        <v>720</v>
      </c>
      <c r="K280" s="17">
        <f t="shared" si="24"/>
        <v>35856</v>
      </c>
      <c r="L280" s="3" t="s">
        <v>338</v>
      </c>
      <c r="M280" s="18">
        <v>0</v>
      </c>
      <c r="O280" s="5">
        <v>400</v>
      </c>
      <c r="P280" s="5" t="s">
        <v>273</v>
      </c>
      <c r="Q280" s="18">
        <f t="shared" si="25"/>
        <v>4536</v>
      </c>
      <c r="R280" s="7" t="s">
        <v>274</v>
      </c>
      <c r="S280" s="18">
        <f t="shared" si="26"/>
        <v>408.24</v>
      </c>
      <c r="T280" s="7" t="s">
        <v>277</v>
      </c>
      <c r="U280" s="15">
        <v>852</v>
      </c>
      <c r="V280" s="15">
        <f t="shared" si="27"/>
        <v>10224</v>
      </c>
      <c r="W280" s="9" t="s">
        <v>269</v>
      </c>
      <c r="X280" s="10">
        <f t="shared" si="28"/>
        <v>2449.44</v>
      </c>
      <c r="Y280" s="19" t="s">
        <v>284</v>
      </c>
      <c r="AB280" s="10">
        <f t="shared" si="29"/>
        <v>53873.68</v>
      </c>
    </row>
    <row r="281" spans="1:28">
      <c r="A281" s="20" t="s">
        <v>618</v>
      </c>
      <c r="B281" s="13" t="s">
        <v>253</v>
      </c>
      <c r="C281" s="20" t="s">
        <v>14</v>
      </c>
      <c r="D281" s="20">
        <v>1</v>
      </c>
      <c r="E281" s="19"/>
      <c r="F281" s="20" t="s">
        <v>9</v>
      </c>
      <c r="G281" s="20" t="s">
        <v>10</v>
      </c>
      <c r="H281" s="23">
        <v>1928</v>
      </c>
      <c r="I281" s="3">
        <v>720</v>
      </c>
      <c r="K281" s="17">
        <f t="shared" si="24"/>
        <v>31776</v>
      </c>
      <c r="L281" s="3" t="s">
        <v>338</v>
      </c>
      <c r="M281" s="18">
        <v>0</v>
      </c>
      <c r="O281" s="5">
        <v>400</v>
      </c>
      <c r="P281" s="5" t="s">
        <v>273</v>
      </c>
      <c r="Q281" s="18">
        <f t="shared" si="25"/>
        <v>3856</v>
      </c>
      <c r="R281" s="7" t="s">
        <v>274</v>
      </c>
      <c r="S281" s="18">
        <f t="shared" si="26"/>
        <v>347.03999999999996</v>
      </c>
      <c r="T281" s="7" t="s">
        <v>277</v>
      </c>
      <c r="U281" s="15">
        <v>852</v>
      </c>
      <c r="V281" s="15">
        <f t="shared" si="27"/>
        <v>10224</v>
      </c>
      <c r="W281" s="9" t="s">
        <v>269</v>
      </c>
      <c r="X281" s="10">
        <f t="shared" si="28"/>
        <v>2082.2399999999998</v>
      </c>
      <c r="Y281" s="19" t="s">
        <v>284</v>
      </c>
      <c r="AB281" s="10">
        <f t="shared" si="29"/>
        <v>48685.279999999999</v>
      </c>
    </row>
    <row r="282" spans="1:28">
      <c r="A282" s="20" t="s">
        <v>619</v>
      </c>
      <c r="B282" s="13" t="s">
        <v>254</v>
      </c>
      <c r="C282" s="20" t="s">
        <v>25</v>
      </c>
      <c r="D282" s="20">
        <v>1</v>
      </c>
      <c r="E282" s="19"/>
      <c r="F282" s="20" t="s">
        <v>9</v>
      </c>
      <c r="G282" s="20" t="s">
        <v>15</v>
      </c>
      <c r="H282" s="23">
        <v>2268</v>
      </c>
      <c r="I282" s="3">
        <v>720</v>
      </c>
      <c r="J282" s="3">
        <v>93</v>
      </c>
      <c r="K282" s="17">
        <f t="shared" si="24"/>
        <v>36972</v>
      </c>
      <c r="L282" s="3" t="s">
        <v>338</v>
      </c>
      <c r="M282" s="18">
        <v>0</v>
      </c>
      <c r="O282" s="5">
        <v>400</v>
      </c>
      <c r="P282" s="5" t="s">
        <v>273</v>
      </c>
      <c r="Q282" s="18">
        <f t="shared" si="25"/>
        <v>4722</v>
      </c>
      <c r="R282" s="7" t="s">
        <v>274</v>
      </c>
      <c r="S282" s="18">
        <f t="shared" si="26"/>
        <v>424.97999999999996</v>
      </c>
      <c r="T282" s="7" t="s">
        <v>277</v>
      </c>
      <c r="U282" s="15">
        <v>852</v>
      </c>
      <c r="V282" s="15">
        <f t="shared" si="27"/>
        <v>10224</v>
      </c>
      <c r="W282" s="9" t="s">
        <v>269</v>
      </c>
      <c r="X282" s="10">
        <f t="shared" si="28"/>
        <v>2549.8799999999997</v>
      </c>
      <c r="Y282" s="19" t="s">
        <v>284</v>
      </c>
      <c r="AB282" s="10">
        <f t="shared" si="29"/>
        <v>55292.86</v>
      </c>
    </row>
    <row r="283" spans="1:28">
      <c r="A283" s="20" t="s">
        <v>620</v>
      </c>
      <c r="B283" s="13" t="s">
        <v>336</v>
      </c>
      <c r="C283" s="20" t="s">
        <v>45</v>
      </c>
      <c r="D283" s="20">
        <v>1</v>
      </c>
      <c r="E283" s="19"/>
      <c r="F283" s="20" t="s">
        <v>9</v>
      </c>
      <c r="G283" s="20" t="s">
        <v>46</v>
      </c>
      <c r="H283" s="23">
        <v>5478</v>
      </c>
      <c r="I283" s="3">
        <v>720</v>
      </c>
      <c r="K283" s="17">
        <f t="shared" si="24"/>
        <v>74376</v>
      </c>
      <c r="L283" s="3" t="s">
        <v>338</v>
      </c>
      <c r="M283" s="18">
        <v>0</v>
      </c>
      <c r="O283" s="5">
        <v>400</v>
      </c>
      <c r="P283" s="5" t="s">
        <v>273</v>
      </c>
      <c r="Q283" s="18">
        <f t="shared" si="25"/>
        <v>10956</v>
      </c>
      <c r="R283" s="7" t="s">
        <v>274</v>
      </c>
      <c r="S283" s="18">
        <f t="shared" si="26"/>
        <v>986.04</v>
      </c>
      <c r="T283" s="7" t="s">
        <v>277</v>
      </c>
      <c r="U283" s="15">
        <v>1302</v>
      </c>
      <c r="V283" s="15">
        <f t="shared" si="27"/>
        <v>15624</v>
      </c>
      <c r="W283" s="9" t="s">
        <v>269</v>
      </c>
      <c r="X283" s="10">
        <f t="shared" si="28"/>
        <v>5916.24</v>
      </c>
      <c r="Y283" s="19" t="s">
        <v>284</v>
      </c>
      <c r="AB283" s="10">
        <f t="shared" si="29"/>
        <v>108258.28</v>
      </c>
    </row>
    <row r="284" spans="1:28">
      <c r="A284" s="20" t="s">
        <v>621</v>
      </c>
      <c r="B284" s="13" t="s">
        <v>255</v>
      </c>
      <c r="C284" s="20" t="s">
        <v>12</v>
      </c>
      <c r="D284" s="20">
        <v>1</v>
      </c>
      <c r="E284" s="19"/>
      <c r="F284" s="20" t="s">
        <v>9</v>
      </c>
      <c r="G284" s="20" t="s">
        <v>37</v>
      </c>
      <c r="H284" s="23">
        <v>2378</v>
      </c>
      <c r="I284" s="3">
        <v>720</v>
      </c>
      <c r="J284" s="3">
        <v>93</v>
      </c>
      <c r="K284" s="17">
        <f t="shared" si="24"/>
        <v>38292</v>
      </c>
      <c r="L284" s="3" t="s">
        <v>339</v>
      </c>
      <c r="M284" s="18">
        <v>0</v>
      </c>
      <c r="O284" s="5">
        <v>400</v>
      </c>
      <c r="P284" s="5" t="s">
        <v>273</v>
      </c>
      <c r="Q284" s="18">
        <f t="shared" si="25"/>
        <v>4942</v>
      </c>
      <c r="R284" s="7" t="s">
        <v>274</v>
      </c>
      <c r="S284" s="18">
        <f t="shared" si="26"/>
        <v>444.78</v>
      </c>
      <c r="T284" s="7" t="s">
        <v>277</v>
      </c>
      <c r="U284" s="15">
        <v>1302</v>
      </c>
      <c r="V284" s="15">
        <f t="shared" si="27"/>
        <v>15624</v>
      </c>
      <c r="W284" s="9" t="s">
        <v>270</v>
      </c>
      <c r="X284" s="10">
        <f t="shared" si="28"/>
        <v>2668.68</v>
      </c>
      <c r="Y284" s="19" t="s">
        <v>284</v>
      </c>
      <c r="AB284" s="10">
        <f t="shared" si="29"/>
        <v>62371.46</v>
      </c>
    </row>
    <row r="285" spans="1:28">
      <c r="A285" s="20" t="s">
        <v>622</v>
      </c>
      <c r="B285" s="13" t="s">
        <v>256</v>
      </c>
      <c r="C285" s="20" t="s">
        <v>12</v>
      </c>
      <c r="D285" s="20">
        <v>1</v>
      </c>
      <c r="E285" s="19"/>
      <c r="F285" s="20" t="s">
        <v>9</v>
      </c>
      <c r="G285" s="20" t="s">
        <v>37</v>
      </c>
      <c r="H285" s="23">
        <v>2378</v>
      </c>
      <c r="I285" s="3">
        <v>720</v>
      </c>
      <c r="K285" s="17">
        <f t="shared" si="24"/>
        <v>37176</v>
      </c>
      <c r="L285" s="3" t="s">
        <v>339</v>
      </c>
      <c r="M285" s="18">
        <v>0</v>
      </c>
      <c r="O285" s="5">
        <v>400</v>
      </c>
      <c r="P285" s="5" t="s">
        <v>273</v>
      </c>
      <c r="Q285" s="18">
        <f t="shared" si="25"/>
        <v>4756</v>
      </c>
      <c r="R285" s="7" t="s">
        <v>274</v>
      </c>
      <c r="S285" s="18">
        <f t="shared" si="26"/>
        <v>428.03999999999996</v>
      </c>
      <c r="T285" s="7" t="s">
        <v>277</v>
      </c>
      <c r="U285" s="15">
        <v>1302</v>
      </c>
      <c r="V285" s="15">
        <f t="shared" si="27"/>
        <v>15624</v>
      </c>
      <c r="W285" s="9" t="s">
        <v>270</v>
      </c>
      <c r="X285" s="10">
        <f t="shared" si="28"/>
        <v>2568.2399999999998</v>
      </c>
      <c r="Y285" s="19" t="s">
        <v>284</v>
      </c>
      <c r="AB285" s="10">
        <f t="shared" si="29"/>
        <v>60952.28</v>
      </c>
    </row>
    <row r="286" spans="1:28">
      <c r="A286" s="20" t="s">
        <v>623</v>
      </c>
      <c r="B286" s="13" t="s">
        <v>257</v>
      </c>
      <c r="C286" s="20" t="s">
        <v>12</v>
      </c>
      <c r="D286" s="20">
        <v>1</v>
      </c>
      <c r="E286" s="19"/>
      <c r="F286" s="20" t="s">
        <v>9</v>
      </c>
      <c r="G286" s="20" t="s">
        <v>23</v>
      </c>
      <c r="H286" s="23">
        <v>1928</v>
      </c>
      <c r="I286" s="3">
        <v>720</v>
      </c>
      <c r="K286" s="17">
        <f t="shared" si="24"/>
        <v>31776</v>
      </c>
      <c r="L286" s="3" t="s">
        <v>340</v>
      </c>
      <c r="M286" s="18">
        <v>3876.14</v>
      </c>
      <c r="N286" s="7" t="s">
        <v>279</v>
      </c>
      <c r="O286" s="5">
        <v>400</v>
      </c>
      <c r="P286" s="5" t="s">
        <v>273</v>
      </c>
      <c r="Q286" s="18">
        <f t="shared" si="25"/>
        <v>3856</v>
      </c>
      <c r="R286" s="7" t="s">
        <v>274</v>
      </c>
      <c r="S286" s="18">
        <f t="shared" si="26"/>
        <v>347.03999999999996</v>
      </c>
      <c r="T286" s="7" t="s">
        <v>277</v>
      </c>
      <c r="U286" s="15">
        <v>852</v>
      </c>
      <c r="V286" s="15">
        <f t="shared" si="27"/>
        <v>10224</v>
      </c>
      <c r="W286" s="9" t="s">
        <v>270</v>
      </c>
      <c r="X286" s="10">
        <f t="shared" si="28"/>
        <v>2431.0925999999999</v>
      </c>
      <c r="Y286" s="19" t="s">
        <v>284</v>
      </c>
      <c r="AB286" s="10">
        <f t="shared" si="29"/>
        <v>52910.272599999997</v>
      </c>
    </row>
    <row r="287" spans="1:28">
      <c r="A287" s="20" t="s">
        <v>624</v>
      </c>
      <c r="B287" s="13" t="s">
        <v>258</v>
      </c>
      <c r="C287" s="20" t="s">
        <v>36</v>
      </c>
      <c r="D287" s="20">
        <v>1</v>
      </c>
      <c r="E287" s="19"/>
      <c r="F287" s="20" t="s">
        <v>9</v>
      </c>
      <c r="G287" s="20" t="s">
        <v>115</v>
      </c>
      <c r="H287" s="23">
        <v>2268</v>
      </c>
      <c r="I287" s="3">
        <v>720</v>
      </c>
      <c r="J287" s="3">
        <v>93</v>
      </c>
      <c r="K287" s="17">
        <f t="shared" si="24"/>
        <v>36972</v>
      </c>
      <c r="L287" s="3" t="s">
        <v>338</v>
      </c>
      <c r="M287" s="18">
        <v>0</v>
      </c>
      <c r="O287" s="5">
        <v>400</v>
      </c>
      <c r="P287" s="5" t="s">
        <v>273</v>
      </c>
      <c r="Q287" s="18">
        <f t="shared" si="25"/>
        <v>4722</v>
      </c>
      <c r="R287" s="7" t="s">
        <v>274</v>
      </c>
      <c r="S287" s="18">
        <f t="shared" si="26"/>
        <v>424.97999999999996</v>
      </c>
      <c r="T287" s="7" t="s">
        <v>277</v>
      </c>
      <c r="U287" s="15">
        <v>852</v>
      </c>
      <c r="V287" s="15">
        <f t="shared" si="27"/>
        <v>10224</v>
      </c>
      <c r="W287" s="9" t="s">
        <v>269</v>
      </c>
      <c r="X287" s="10">
        <f t="shared" si="28"/>
        <v>2549.8799999999997</v>
      </c>
      <c r="Y287" s="19" t="s">
        <v>284</v>
      </c>
      <c r="AB287" s="10">
        <f t="shared" si="29"/>
        <v>55292.86</v>
      </c>
    </row>
    <row r="288" spans="1:28">
      <c r="A288" s="20" t="s">
        <v>625</v>
      </c>
      <c r="B288" s="13" t="s">
        <v>259</v>
      </c>
      <c r="C288" s="20" t="s">
        <v>7</v>
      </c>
      <c r="D288" s="20">
        <v>1</v>
      </c>
      <c r="E288" s="19"/>
      <c r="F288" s="20" t="s">
        <v>9</v>
      </c>
      <c r="G288" s="20" t="s">
        <v>10</v>
      </c>
      <c r="H288" s="23">
        <v>1928</v>
      </c>
      <c r="I288" s="3">
        <v>720</v>
      </c>
      <c r="K288" s="17">
        <f t="shared" si="24"/>
        <v>31776</v>
      </c>
      <c r="L288" s="3" t="s">
        <v>338</v>
      </c>
      <c r="M288" s="18">
        <v>0</v>
      </c>
      <c r="O288" s="5">
        <v>400</v>
      </c>
      <c r="P288" s="5" t="s">
        <v>273</v>
      </c>
      <c r="Q288" s="18">
        <f t="shared" si="25"/>
        <v>3856</v>
      </c>
      <c r="R288" s="7" t="s">
        <v>274</v>
      </c>
      <c r="S288" s="18">
        <f t="shared" si="26"/>
        <v>347.03999999999996</v>
      </c>
      <c r="T288" s="7" t="s">
        <v>277</v>
      </c>
      <c r="U288" s="15">
        <v>852</v>
      </c>
      <c r="V288" s="15">
        <f t="shared" si="27"/>
        <v>10224</v>
      </c>
      <c r="W288" s="9" t="s">
        <v>269</v>
      </c>
      <c r="X288" s="10">
        <f t="shared" si="28"/>
        <v>2082.2399999999998</v>
      </c>
      <c r="Y288" s="19" t="s">
        <v>284</v>
      </c>
      <c r="AB288" s="10">
        <f t="shared" si="29"/>
        <v>48685.279999999999</v>
      </c>
    </row>
    <row r="289" spans="1:28">
      <c r="A289" s="33" t="s">
        <v>626</v>
      </c>
      <c r="B289" s="13" t="s">
        <v>260</v>
      </c>
      <c r="C289" s="20" t="s">
        <v>7</v>
      </c>
      <c r="D289" s="20">
        <v>1</v>
      </c>
      <c r="E289" s="19"/>
      <c r="F289" s="20" t="s">
        <v>9</v>
      </c>
      <c r="G289" s="20" t="s">
        <v>10</v>
      </c>
      <c r="H289" s="23">
        <v>1928</v>
      </c>
      <c r="I289" s="3">
        <v>720</v>
      </c>
      <c r="J289" s="3">
        <v>93</v>
      </c>
      <c r="K289" s="17">
        <f t="shared" si="24"/>
        <v>32892</v>
      </c>
      <c r="L289" s="3" t="s">
        <v>338</v>
      </c>
      <c r="M289" s="18">
        <v>0</v>
      </c>
      <c r="O289" s="5">
        <v>400</v>
      </c>
      <c r="P289" s="5" t="s">
        <v>273</v>
      </c>
      <c r="Q289" s="18">
        <f t="shared" si="25"/>
        <v>4042</v>
      </c>
      <c r="R289" s="7" t="s">
        <v>274</v>
      </c>
      <c r="S289" s="18">
        <f t="shared" si="26"/>
        <v>363.78</v>
      </c>
      <c r="T289" s="7" t="s">
        <v>277</v>
      </c>
      <c r="U289" s="15">
        <v>852</v>
      </c>
      <c r="V289" s="15">
        <f t="shared" si="27"/>
        <v>10224</v>
      </c>
      <c r="W289" s="9" t="s">
        <v>269</v>
      </c>
      <c r="X289" s="10">
        <f t="shared" si="28"/>
        <v>2182.6799999999998</v>
      </c>
      <c r="Y289" s="19" t="s">
        <v>284</v>
      </c>
      <c r="AB289" s="10">
        <f t="shared" si="29"/>
        <v>50104.46</v>
      </c>
    </row>
    <row r="290" spans="1:28">
      <c r="A290" s="33" t="s">
        <v>627</v>
      </c>
      <c r="B290" s="13" t="s">
        <v>261</v>
      </c>
      <c r="C290" s="20" t="s">
        <v>7</v>
      </c>
      <c r="D290" s="20">
        <v>1</v>
      </c>
      <c r="E290" s="19"/>
      <c r="F290" s="20" t="s">
        <v>9</v>
      </c>
      <c r="G290" s="20" t="s">
        <v>15</v>
      </c>
      <c r="H290" s="23">
        <v>2268</v>
      </c>
      <c r="I290" s="3">
        <v>720</v>
      </c>
      <c r="J290" s="3">
        <v>93</v>
      </c>
      <c r="K290" s="17">
        <f t="shared" si="24"/>
        <v>36972</v>
      </c>
      <c r="L290" s="3" t="s">
        <v>338</v>
      </c>
      <c r="M290" s="18">
        <v>0</v>
      </c>
      <c r="O290" s="5">
        <v>400</v>
      </c>
      <c r="P290" s="5" t="s">
        <v>273</v>
      </c>
      <c r="Q290" s="18">
        <f t="shared" si="25"/>
        <v>4722</v>
      </c>
      <c r="R290" s="7" t="s">
        <v>274</v>
      </c>
      <c r="S290" s="18">
        <f t="shared" si="26"/>
        <v>424.97999999999996</v>
      </c>
      <c r="T290" s="7" t="s">
        <v>277</v>
      </c>
      <c r="U290" s="15">
        <v>852</v>
      </c>
      <c r="V290" s="15">
        <f t="shared" si="27"/>
        <v>10224</v>
      </c>
      <c r="W290" s="9" t="s">
        <v>269</v>
      </c>
      <c r="X290" s="10">
        <f t="shared" si="28"/>
        <v>2549.8799999999997</v>
      </c>
      <c r="Y290" s="19" t="s">
        <v>284</v>
      </c>
      <c r="AB290" s="10">
        <f t="shared" si="29"/>
        <v>55292.86</v>
      </c>
    </row>
    <row r="291" spans="1:28">
      <c r="A291" s="33" t="s">
        <v>628</v>
      </c>
      <c r="B291" s="13" t="s">
        <v>262</v>
      </c>
      <c r="C291" s="20" t="s">
        <v>12</v>
      </c>
      <c r="D291" s="20">
        <v>1</v>
      </c>
      <c r="E291" s="19"/>
      <c r="F291" s="20" t="s">
        <v>9</v>
      </c>
      <c r="G291" s="20" t="s">
        <v>37</v>
      </c>
      <c r="H291" s="23">
        <v>2378</v>
      </c>
      <c r="I291" s="3">
        <v>720</v>
      </c>
      <c r="J291" s="3">
        <v>93</v>
      </c>
      <c r="K291" s="17">
        <f t="shared" si="24"/>
        <v>38292</v>
      </c>
      <c r="L291" s="3" t="s">
        <v>339</v>
      </c>
      <c r="M291" s="18">
        <v>0</v>
      </c>
      <c r="O291" s="5">
        <v>400</v>
      </c>
      <c r="P291" s="5" t="s">
        <v>273</v>
      </c>
      <c r="Q291" s="18">
        <f t="shared" si="25"/>
        <v>4942</v>
      </c>
      <c r="R291" s="7" t="s">
        <v>274</v>
      </c>
      <c r="S291" s="18">
        <f t="shared" si="26"/>
        <v>444.78</v>
      </c>
      <c r="T291" s="7" t="s">
        <v>277</v>
      </c>
      <c r="U291" s="15">
        <v>1302</v>
      </c>
      <c r="V291" s="15">
        <f t="shared" si="27"/>
        <v>15624</v>
      </c>
      <c r="W291" s="9" t="s">
        <v>270</v>
      </c>
      <c r="X291" s="10">
        <f t="shared" si="28"/>
        <v>2668.68</v>
      </c>
      <c r="Y291" s="19" t="s">
        <v>284</v>
      </c>
      <c r="AB291" s="10">
        <f t="shared" si="29"/>
        <v>62371.46</v>
      </c>
    </row>
    <row r="292" spans="1:28">
      <c r="A292" s="33" t="s">
        <v>629</v>
      </c>
      <c r="B292" s="13" t="s">
        <v>263</v>
      </c>
      <c r="C292" s="20" t="s">
        <v>7</v>
      </c>
      <c r="D292" s="20">
        <v>1</v>
      </c>
      <c r="E292" s="19"/>
      <c r="F292" s="20" t="s">
        <v>9</v>
      </c>
      <c r="G292" s="20" t="s">
        <v>10</v>
      </c>
      <c r="H292" s="23">
        <v>1928</v>
      </c>
      <c r="I292" s="3">
        <v>720</v>
      </c>
      <c r="K292" s="17">
        <f t="shared" si="24"/>
        <v>31776</v>
      </c>
      <c r="L292" s="3" t="s">
        <v>338</v>
      </c>
      <c r="M292" s="18">
        <v>0</v>
      </c>
      <c r="O292" s="5">
        <v>400</v>
      </c>
      <c r="P292" s="5" t="s">
        <v>273</v>
      </c>
      <c r="Q292" s="18">
        <f t="shared" si="25"/>
        <v>3856</v>
      </c>
      <c r="R292" s="7" t="s">
        <v>274</v>
      </c>
      <c r="S292" s="18">
        <f t="shared" si="26"/>
        <v>347.03999999999996</v>
      </c>
      <c r="T292" s="7" t="s">
        <v>277</v>
      </c>
      <c r="U292" s="15">
        <v>852</v>
      </c>
      <c r="V292" s="15">
        <f t="shared" si="27"/>
        <v>10224</v>
      </c>
      <c r="W292" s="9" t="s">
        <v>269</v>
      </c>
      <c r="X292" s="10">
        <f t="shared" si="28"/>
        <v>2082.2399999999998</v>
      </c>
      <c r="Y292" s="19" t="s">
        <v>284</v>
      </c>
      <c r="AB292" s="10">
        <f t="shared" si="29"/>
        <v>48685.279999999999</v>
      </c>
    </row>
    <row r="293" spans="1:28">
      <c r="A293" s="33" t="s">
        <v>630</v>
      </c>
      <c r="B293" s="13" t="s">
        <v>655</v>
      </c>
      <c r="C293" s="20" t="s">
        <v>7</v>
      </c>
      <c r="D293" s="20">
        <v>1</v>
      </c>
      <c r="E293" s="19"/>
      <c r="F293" s="20" t="s">
        <v>9</v>
      </c>
      <c r="G293" s="20" t="s">
        <v>15</v>
      </c>
      <c r="H293" s="23">
        <v>2268</v>
      </c>
      <c r="I293" s="3">
        <v>720</v>
      </c>
      <c r="K293" s="17">
        <f t="shared" si="24"/>
        <v>35856</v>
      </c>
      <c r="L293" s="3" t="s">
        <v>338</v>
      </c>
      <c r="M293" s="18">
        <v>0</v>
      </c>
      <c r="O293" s="5">
        <v>400</v>
      </c>
      <c r="P293" s="5" t="s">
        <v>273</v>
      </c>
      <c r="Q293" s="18">
        <f t="shared" si="25"/>
        <v>4536</v>
      </c>
      <c r="R293" s="7" t="s">
        <v>274</v>
      </c>
      <c r="S293" s="18">
        <f t="shared" si="26"/>
        <v>408.24</v>
      </c>
      <c r="T293" s="7" t="s">
        <v>277</v>
      </c>
      <c r="U293" s="15">
        <v>852</v>
      </c>
      <c r="V293" s="15">
        <f t="shared" si="27"/>
        <v>10224</v>
      </c>
      <c r="W293" s="9" t="s">
        <v>269</v>
      </c>
      <c r="X293" s="10">
        <f t="shared" si="28"/>
        <v>2449.44</v>
      </c>
      <c r="Y293" s="19" t="s">
        <v>284</v>
      </c>
      <c r="AB293" s="10">
        <f t="shared" si="29"/>
        <v>53873.68</v>
      </c>
    </row>
    <row r="294" spans="1:28">
      <c r="A294" s="20" t="s">
        <v>631</v>
      </c>
      <c r="B294" s="13" t="s">
        <v>656</v>
      </c>
      <c r="C294" s="20" t="s">
        <v>45</v>
      </c>
      <c r="D294" s="20">
        <v>1</v>
      </c>
      <c r="E294" s="19"/>
      <c r="F294" s="20" t="s">
        <v>9</v>
      </c>
      <c r="G294" s="20" t="s">
        <v>115</v>
      </c>
      <c r="H294" s="23">
        <v>2268</v>
      </c>
      <c r="I294" s="3">
        <v>720</v>
      </c>
      <c r="K294" s="17">
        <f t="shared" si="24"/>
        <v>35856</v>
      </c>
      <c r="L294" s="3" t="s">
        <v>338</v>
      </c>
      <c r="M294" s="18">
        <v>0</v>
      </c>
      <c r="O294" s="5">
        <v>400</v>
      </c>
      <c r="P294" s="5" t="s">
        <v>273</v>
      </c>
      <c r="Q294" s="18">
        <f t="shared" si="25"/>
        <v>4536</v>
      </c>
      <c r="R294" s="7" t="s">
        <v>274</v>
      </c>
      <c r="S294" s="18">
        <f t="shared" si="26"/>
        <v>408.24</v>
      </c>
      <c r="T294" s="7" t="s">
        <v>277</v>
      </c>
      <c r="U294" s="15">
        <v>852</v>
      </c>
      <c r="V294" s="15">
        <f t="shared" si="27"/>
        <v>10224</v>
      </c>
      <c r="W294" s="9" t="s">
        <v>269</v>
      </c>
      <c r="X294" s="10">
        <f t="shared" si="28"/>
        <v>2449.44</v>
      </c>
      <c r="Y294" s="19" t="s">
        <v>284</v>
      </c>
      <c r="AB294" s="10">
        <f t="shared" si="29"/>
        <v>53873.68</v>
      </c>
    </row>
    <row r="295" spans="1:28">
      <c r="H295" s="11">
        <f t="shared" ref="H295:T295" si="30">SUM(H3:H294)</f>
        <v>697874</v>
      </c>
      <c r="I295" s="11">
        <f t="shared" si="30"/>
        <v>210240</v>
      </c>
      <c r="J295" s="11">
        <f t="shared" si="30"/>
        <v>11067</v>
      </c>
      <c r="K295" s="11">
        <f t="shared" si="30"/>
        <v>11030172</v>
      </c>
      <c r="L295" s="11">
        <f t="shared" si="30"/>
        <v>0</v>
      </c>
      <c r="M295" s="11">
        <f t="shared" si="30"/>
        <v>53095.5</v>
      </c>
      <c r="N295" s="11">
        <f t="shared" si="30"/>
        <v>0</v>
      </c>
      <c r="O295" s="11">
        <f t="shared" si="30"/>
        <v>116800</v>
      </c>
      <c r="P295" s="11">
        <f t="shared" si="30"/>
        <v>0</v>
      </c>
      <c r="Q295" s="11">
        <f t="shared" si="30"/>
        <v>1417882</v>
      </c>
      <c r="R295" s="11">
        <f t="shared" si="30"/>
        <v>0</v>
      </c>
      <c r="S295" s="11">
        <f t="shared" si="30"/>
        <v>127609.37999999983</v>
      </c>
      <c r="T295" s="11">
        <f t="shared" si="30"/>
        <v>0</v>
      </c>
      <c r="U295" s="11"/>
      <c r="V295" s="11">
        <f t="shared" ref="V295:AB295" si="31">SUM(V3:V294)</f>
        <v>3269808</v>
      </c>
      <c r="W295" s="11">
        <f t="shared" si="31"/>
        <v>0</v>
      </c>
      <c r="X295" s="11">
        <f t="shared" si="31"/>
        <v>770434.87499999907</v>
      </c>
      <c r="Y295" s="11">
        <f t="shared" si="31"/>
        <v>0</v>
      </c>
      <c r="Z295" s="11">
        <f t="shared" si="31"/>
        <v>0</v>
      </c>
      <c r="AA295" s="11">
        <f t="shared" si="31"/>
        <v>0</v>
      </c>
      <c r="AB295" s="11">
        <f t="shared" si="31"/>
        <v>16785801.75499998</v>
      </c>
    </row>
  </sheetData>
  <autoFilter ref="A2:AA29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06"/>
  <sheetViews>
    <sheetView topLeftCell="A63" zoomScale="85" zoomScaleNormal="85" workbookViewId="0">
      <selection activeCell="B67" sqref="B67"/>
    </sheetView>
  </sheetViews>
  <sheetFormatPr baseColWidth="10" defaultRowHeight="15"/>
  <cols>
    <col min="1" max="1" width="21.5703125" customWidth="1"/>
    <col min="2" max="2" width="22.42578125" customWidth="1"/>
    <col min="3" max="3" width="12.5703125" customWidth="1"/>
    <col min="4" max="4" width="11.7109375" customWidth="1"/>
    <col min="5" max="5" width="10.28515625" customWidth="1"/>
    <col min="6" max="6" width="12.7109375" customWidth="1"/>
    <col min="7" max="13" width="13.42578125" customWidth="1"/>
  </cols>
  <sheetData>
    <row r="1" spans="1:8">
      <c r="B1" t="s">
        <v>645</v>
      </c>
    </row>
    <row r="3" spans="1:8">
      <c r="A3" s="21" t="s">
        <v>634</v>
      </c>
      <c r="B3" s="21" t="s">
        <v>635</v>
      </c>
    </row>
    <row r="4" spans="1:8">
      <c r="A4" s="21" t="s">
        <v>632</v>
      </c>
      <c r="B4" s="19" t="s">
        <v>338</v>
      </c>
      <c r="C4" s="19" t="s">
        <v>337</v>
      </c>
      <c r="D4" s="19" t="s">
        <v>339</v>
      </c>
      <c r="E4" s="19" t="s">
        <v>340</v>
      </c>
      <c r="F4" s="19" t="s">
        <v>633</v>
      </c>
    </row>
    <row r="5" spans="1:8">
      <c r="A5" s="22" t="s">
        <v>12</v>
      </c>
      <c r="B5" s="10">
        <v>505092</v>
      </c>
      <c r="C5" s="10"/>
      <c r="D5" s="10">
        <v>1075416</v>
      </c>
      <c r="E5" s="10">
        <v>385776</v>
      </c>
      <c r="F5" s="10">
        <v>1966284</v>
      </c>
    </row>
    <row r="6" spans="1:8">
      <c r="A6" s="22" t="s">
        <v>14</v>
      </c>
      <c r="B6" s="10">
        <v>940848</v>
      </c>
      <c r="C6" s="10">
        <v>107568</v>
      </c>
      <c r="D6" s="10"/>
      <c r="E6" s="10"/>
      <c r="F6" s="10">
        <v>1048416</v>
      </c>
    </row>
    <row r="7" spans="1:8">
      <c r="A7" s="22" t="s">
        <v>7</v>
      </c>
      <c r="B7" s="10">
        <v>3699336</v>
      </c>
      <c r="C7" s="10">
        <v>864144</v>
      </c>
      <c r="D7" s="10"/>
      <c r="E7" s="10"/>
      <c r="F7" s="10">
        <v>4563480</v>
      </c>
    </row>
    <row r="8" spans="1:8">
      <c r="A8" s="22" t="s">
        <v>36</v>
      </c>
      <c r="B8" s="10">
        <v>471984</v>
      </c>
      <c r="C8" s="10">
        <v>88668</v>
      </c>
      <c r="D8" s="10">
        <v>413400</v>
      </c>
      <c r="E8" s="10"/>
      <c r="F8" s="10">
        <v>974052</v>
      </c>
    </row>
    <row r="9" spans="1:8">
      <c r="A9" s="22" t="s">
        <v>45</v>
      </c>
      <c r="B9" s="10">
        <v>1585992</v>
      </c>
      <c r="C9" s="10">
        <v>90384</v>
      </c>
      <c r="D9" s="10"/>
      <c r="E9" s="10"/>
      <c r="F9" s="10">
        <v>1676376</v>
      </c>
    </row>
    <row r="10" spans="1:8">
      <c r="A10" s="22" t="s">
        <v>25</v>
      </c>
      <c r="B10" s="10">
        <v>949392</v>
      </c>
      <c r="C10" s="10">
        <v>168300</v>
      </c>
      <c r="D10" s="10"/>
      <c r="E10" s="10"/>
      <c r="F10" s="10">
        <v>1117692</v>
      </c>
    </row>
    <row r="11" spans="1:8">
      <c r="A11" s="22" t="s">
        <v>633</v>
      </c>
      <c r="B11" s="10">
        <v>8152644</v>
      </c>
      <c r="C11" s="10">
        <v>1319064</v>
      </c>
      <c r="D11" s="10">
        <v>1488816</v>
      </c>
      <c r="E11" s="10">
        <v>385776</v>
      </c>
      <c r="F11" s="10">
        <v>11346300</v>
      </c>
      <c r="H11" s="10">
        <f>+GETPIVOTDATA("TOTAL SUELDO",$A$3)+GETPIVOTDATA("GUARDIAS",$A$13)+GETPIVOTDATA("GRATIFICACIONES",$A$23)+GETPIVOTDATA("9% GRATIFICACIONES",$A$33)+GETPIVOTDATA("BONO FISCAL",$A$43)+GETPIVOTDATA("ESSALUD 9% Y 6.75%",$A$53)+GETPIVOTDATA("ESCOLARIDAD",$A$63)</f>
        <v>17259425.594999999</v>
      </c>
    </row>
    <row r="13" spans="1:8">
      <c r="A13" s="21" t="s">
        <v>637</v>
      </c>
      <c r="B13" s="21" t="s">
        <v>635</v>
      </c>
    </row>
    <row r="14" spans="1:8">
      <c r="A14" s="21" t="s">
        <v>632</v>
      </c>
      <c r="B14" s="19" t="s">
        <v>279</v>
      </c>
      <c r="C14" s="19" t="s">
        <v>636</v>
      </c>
      <c r="D14" s="19" t="s">
        <v>633</v>
      </c>
    </row>
    <row r="15" spans="1:8">
      <c r="A15" s="22" t="s">
        <v>12</v>
      </c>
      <c r="B15" s="10">
        <v>53095.5</v>
      </c>
      <c r="C15" s="10">
        <v>0</v>
      </c>
      <c r="D15" s="10">
        <v>53095.5</v>
      </c>
    </row>
    <row r="16" spans="1:8">
      <c r="A16" s="22" t="s">
        <v>14</v>
      </c>
      <c r="B16" s="10"/>
      <c r="C16" s="10">
        <v>0</v>
      </c>
      <c r="D16" s="10">
        <v>0</v>
      </c>
    </row>
    <row r="17" spans="1:4">
      <c r="A17" s="22" t="s">
        <v>7</v>
      </c>
      <c r="B17" s="10"/>
      <c r="C17" s="10">
        <v>0</v>
      </c>
      <c r="D17" s="10">
        <v>0</v>
      </c>
    </row>
    <row r="18" spans="1:4">
      <c r="A18" s="22" t="s">
        <v>36</v>
      </c>
      <c r="B18" s="10"/>
      <c r="C18" s="10">
        <v>0</v>
      </c>
      <c r="D18" s="10">
        <v>0</v>
      </c>
    </row>
    <row r="19" spans="1:4">
      <c r="A19" s="22" t="s">
        <v>45</v>
      </c>
      <c r="B19" s="10"/>
      <c r="C19" s="10">
        <v>0</v>
      </c>
      <c r="D19" s="10">
        <v>0</v>
      </c>
    </row>
    <row r="20" spans="1:4">
      <c r="A20" s="22" t="s">
        <v>25</v>
      </c>
      <c r="B20" s="10"/>
      <c r="C20" s="10">
        <v>0</v>
      </c>
      <c r="D20" s="10">
        <v>0</v>
      </c>
    </row>
    <row r="21" spans="1:4">
      <c r="A21" s="22" t="s">
        <v>633</v>
      </c>
      <c r="B21" s="10">
        <v>53095.5</v>
      </c>
      <c r="C21" s="10">
        <v>0</v>
      </c>
      <c r="D21" s="10">
        <v>53095.5</v>
      </c>
    </row>
    <row r="23" spans="1:4">
      <c r="A23" s="21" t="s">
        <v>638</v>
      </c>
      <c r="B23" s="21" t="s">
        <v>635</v>
      </c>
    </row>
    <row r="24" spans="1:4">
      <c r="A24" s="21" t="s">
        <v>632</v>
      </c>
      <c r="B24" s="19" t="s">
        <v>274</v>
      </c>
      <c r="C24" s="19" t="s">
        <v>633</v>
      </c>
    </row>
    <row r="25" spans="1:4">
      <c r="A25" s="22" t="s">
        <v>12</v>
      </c>
      <c r="B25" s="10">
        <v>249954</v>
      </c>
      <c r="C25" s="10">
        <v>249954</v>
      </c>
    </row>
    <row r="26" spans="1:4">
      <c r="A26" s="22" t="s">
        <v>14</v>
      </c>
      <c r="B26" s="10">
        <v>132976</v>
      </c>
      <c r="C26" s="10">
        <v>132976</v>
      </c>
    </row>
    <row r="27" spans="1:4">
      <c r="A27" s="22" t="s">
        <v>7</v>
      </c>
      <c r="B27" s="10">
        <v>573380</v>
      </c>
      <c r="C27" s="10">
        <v>573380</v>
      </c>
    </row>
    <row r="28" spans="1:4">
      <c r="A28" s="22" t="s">
        <v>36</v>
      </c>
      <c r="B28" s="10">
        <v>129222</v>
      </c>
      <c r="C28" s="10">
        <v>129222</v>
      </c>
    </row>
    <row r="29" spans="1:4">
      <c r="A29" s="22" t="s">
        <v>45</v>
      </c>
      <c r="B29" s="10">
        <v>233316</v>
      </c>
      <c r="C29" s="10">
        <v>233316</v>
      </c>
    </row>
    <row r="30" spans="1:4">
      <c r="A30" s="22" t="s">
        <v>25</v>
      </c>
      <c r="B30" s="10">
        <v>140202</v>
      </c>
      <c r="C30" s="10">
        <v>140202</v>
      </c>
    </row>
    <row r="31" spans="1:4">
      <c r="A31" s="22" t="s">
        <v>633</v>
      </c>
      <c r="B31" s="10">
        <v>1459050</v>
      </c>
      <c r="C31" s="10">
        <v>1459050</v>
      </c>
    </row>
    <row r="33" spans="1:4">
      <c r="A33" s="21" t="s">
        <v>639</v>
      </c>
      <c r="B33" s="21" t="s">
        <v>635</v>
      </c>
    </row>
    <row r="34" spans="1:4">
      <c r="A34" s="21" t="s">
        <v>632</v>
      </c>
      <c r="B34" s="19" t="s">
        <v>277</v>
      </c>
      <c r="C34" s="19" t="s">
        <v>633</v>
      </c>
    </row>
    <row r="35" spans="1:4">
      <c r="A35" s="22" t="s">
        <v>12</v>
      </c>
      <c r="B35" s="10">
        <v>22495.860000000004</v>
      </c>
      <c r="C35" s="10">
        <v>22495.860000000004</v>
      </c>
    </row>
    <row r="36" spans="1:4">
      <c r="A36" s="22" t="s">
        <v>14</v>
      </c>
      <c r="B36" s="10">
        <v>11967.839999999997</v>
      </c>
      <c r="C36" s="10">
        <v>11967.839999999997</v>
      </c>
    </row>
    <row r="37" spans="1:4">
      <c r="A37" s="22" t="s">
        <v>7</v>
      </c>
      <c r="B37" s="10">
        <v>51604.200000000026</v>
      </c>
      <c r="C37" s="10">
        <v>51604.200000000026</v>
      </c>
    </row>
    <row r="38" spans="1:4">
      <c r="A38" s="22" t="s">
        <v>36</v>
      </c>
      <c r="B38" s="10">
        <v>11629.98</v>
      </c>
      <c r="C38" s="10">
        <v>11629.98</v>
      </c>
    </row>
    <row r="39" spans="1:4">
      <c r="A39" s="22" t="s">
        <v>45</v>
      </c>
      <c r="B39" s="10">
        <v>20998.440000000002</v>
      </c>
      <c r="C39" s="10">
        <v>20998.440000000002</v>
      </c>
    </row>
    <row r="40" spans="1:4">
      <c r="A40" s="22" t="s">
        <v>25</v>
      </c>
      <c r="B40" s="10">
        <v>12618.179999999995</v>
      </c>
      <c r="C40" s="10">
        <v>12618.179999999995</v>
      </c>
    </row>
    <row r="41" spans="1:4">
      <c r="A41" s="22" t="s">
        <v>633</v>
      </c>
      <c r="B41" s="10">
        <v>131314.50000000003</v>
      </c>
      <c r="C41" s="10">
        <v>131314.50000000003</v>
      </c>
    </row>
    <row r="43" spans="1:4">
      <c r="A43" s="21" t="s">
        <v>640</v>
      </c>
      <c r="B43" s="21" t="s">
        <v>635</v>
      </c>
    </row>
    <row r="44" spans="1:4">
      <c r="A44" s="21" t="s">
        <v>632</v>
      </c>
      <c r="B44" s="19" t="s">
        <v>269</v>
      </c>
      <c r="C44" s="19" t="s">
        <v>270</v>
      </c>
      <c r="D44" s="19" t="s">
        <v>633</v>
      </c>
    </row>
    <row r="45" spans="1:4">
      <c r="A45" s="22" t="s">
        <v>12</v>
      </c>
      <c r="B45" s="10">
        <v>163584</v>
      </c>
      <c r="C45" s="10">
        <v>533112</v>
      </c>
      <c r="D45" s="10">
        <v>696696</v>
      </c>
    </row>
    <row r="46" spans="1:4">
      <c r="A46" s="22" t="s">
        <v>14</v>
      </c>
      <c r="B46" s="10">
        <v>301896</v>
      </c>
      <c r="C46" s="10"/>
      <c r="D46" s="10">
        <v>301896</v>
      </c>
    </row>
    <row r="47" spans="1:4">
      <c r="A47" s="22" t="s">
        <v>7</v>
      </c>
      <c r="B47" s="10">
        <v>1327920</v>
      </c>
      <c r="C47" s="10"/>
      <c r="D47" s="10">
        <v>1327920</v>
      </c>
    </row>
    <row r="48" spans="1:4">
      <c r="A48" s="22" t="s">
        <v>36</v>
      </c>
      <c r="B48" s="10">
        <v>135888</v>
      </c>
      <c r="C48" s="10">
        <v>171864</v>
      </c>
      <c r="D48" s="10">
        <v>307752</v>
      </c>
    </row>
    <row r="49" spans="1:4">
      <c r="A49" s="22" t="s">
        <v>45</v>
      </c>
      <c r="B49" s="10">
        <v>396768</v>
      </c>
      <c r="C49" s="10"/>
      <c r="D49" s="10">
        <v>396768</v>
      </c>
    </row>
    <row r="50" spans="1:4">
      <c r="A50" s="22" t="s">
        <v>25</v>
      </c>
      <c r="B50" s="10">
        <v>325968</v>
      </c>
      <c r="C50" s="10"/>
      <c r="D50" s="10">
        <v>325968</v>
      </c>
    </row>
    <row r="51" spans="1:4">
      <c r="A51" s="22" t="s">
        <v>633</v>
      </c>
      <c r="B51" s="10">
        <v>2652024</v>
      </c>
      <c r="C51" s="10">
        <v>704976</v>
      </c>
      <c r="D51" s="10">
        <v>3357000</v>
      </c>
    </row>
    <row r="53" spans="1:4">
      <c r="A53" s="21" t="s">
        <v>641</v>
      </c>
      <c r="B53" s="21" t="s">
        <v>635</v>
      </c>
    </row>
    <row r="54" spans="1:4">
      <c r="A54" s="21" t="s">
        <v>632</v>
      </c>
      <c r="B54" s="19" t="s">
        <v>284</v>
      </c>
      <c r="C54" s="19" t="s">
        <v>633</v>
      </c>
    </row>
    <row r="55" spans="1:4">
      <c r="A55" s="22" t="s">
        <v>12</v>
      </c>
      <c r="B55" s="10">
        <v>139753.75499999992</v>
      </c>
      <c r="C55" s="10">
        <v>139753.75499999992</v>
      </c>
    </row>
    <row r="56" spans="1:4">
      <c r="A56" s="22" t="s">
        <v>14</v>
      </c>
      <c r="B56" s="10">
        <v>71807.040000000023</v>
      </c>
      <c r="C56" s="10">
        <v>71807.040000000023</v>
      </c>
    </row>
    <row r="57" spans="1:4">
      <c r="A57" s="22" t="s">
        <v>7</v>
      </c>
      <c r="B57" s="10">
        <v>309625.1999999999</v>
      </c>
      <c r="C57" s="10">
        <v>309625.1999999999</v>
      </c>
    </row>
    <row r="58" spans="1:4">
      <c r="A58" s="22" t="s">
        <v>36</v>
      </c>
      <c r="B58" s="10">
        <v>69779.87999999999</v>
      </c>
      <c r="C58" s="10">
        <v>69779.87999999999</v>
      </c>
    </row>
    <row r="59" spans="1:4">
      <c r="A59" s="22" t="s">
        <v>45</v>
      </c>
      <c r="B59" s="10">
        <v>125990.64</v>
      </c>
      <c r="C59" s="10">
        <v>125990.64</v>
      </c>
    </row>
    <row r="60" spans="1:4">
      <c r="A60" s="22" t="s">
        <v>25</v>
      </c>
      <c r="B60" s="10">
        <v>75709.08</v>
      </c>
      <c r="C60" s="10">
        <v>75709.08</v>
      </c>
    </row>
    <row r="61" spans="1:4">
      <c r="A61" s="22" t="s">
        <v>633</v>
      </c>
      <c r="B61" s="10">
        <v>792665.59499999974</v>
      </c>
      <c r="C61" s="10">
        <v>792665.59499999974</v>
      </c>
    </row>
    <row r="63" spans="1:4">
      <c r="A63" s="21" t="s">
        <v>644</v>
      </c>
      <c r="B63" s="21" t="s">
        <v>635</v>
      </c>
    </row>
    <row r="64" spans="1:4">
      <c r="A64" s="21" t="s">
        <v>632</v>
      </c>
      <c r="B64" s="19" t="s">
        <v>273</v>
      </c>
      <c r="C64" s="19" t="s">
        <v>633</v>
      </c>
    </row>
    <row r="65" spans="1:13">
      <c r="A65" s="22" t="s">
        <v>12</v>
      </c>
      <c r="B65" s="10">
        <v>21600</v>
      </c>
      <c r="C65" s="10">
        <v>21600</v>
      </c>
    </row>
    <row r="66" spans="1:13">
      <c r="A66" s="22" t="s">
        <v>14</v>
      </c>
      <c r="B66" s="10">
        <v>11600</v>
      </c>
      <c r="C66" s="10">
        <v>11600</v>
      </c>
    </row>
    <row r="67" spans="1:13">
      <c r="A67" s="22" t="s">
        <v>7</v>
      </c>
      <c r="B67" s="10">
        <v>52000</v>
      </c>
      <c r="C67" s="10">
        <v>52000</v>
      </c>
    </row>
    <row r="68" spans="1:13">
      <c r="A68" s="22" t="s">
        <v>36</v>
      </c>
      <c r="B68" s="10">
        <v>9200</v>
      </c>
      <c r="C68" s="10">
        <v>9200</v>
      </c>
      <c r="M68" s="10"/>
    </row>
    <row r="69" spans="1:13">
      <c r="A69" s="22" t="s">
        <v>45</v>
      </c>
      <c r="B69" s="10">
        <v>12800</v>
      </c>
      <c r="C69" s="10">
        <v>12800</v>
      </c>
    </row>
    <row r="70" spans="1:13">
      <c r="A70" s="22" t="s">
        <v>25</v>
      </c>
      <c r="B70" s="10">
        <v>12800</v>
      </c>
      <c r="C70" s="10">
        <v>12800</v>
      </c>
    </row>
    <row r="71" spans="1:13">
      <c r="A71" s="22" t="s">
        <v>633</v>
      </c>
      <c r="B71" s="10">
        <v>120000</v>
      </c>
      <c r="C71" s="10">
        <v>120000</v>
      </c>
    </row>
    <row r="73" spans="1:13" s="19" customFormat="1"/>
    <row r="74" spans="1:13" s="19" customFormat="1" ht="15" customHeight="1">
      <c r="A74" s="133" t="s">
        <v>651</v>
      </c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</row>
    <row r="75" spans="1:13" s="19" customForma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</row>
    <row r="77" spans="1:13" s="25" customFormat="1" ht="20.100000000000001" customHeight="1">
      <c r="A77" s="24" t="s">
        <v>647</v>
      </c>
      <c r="B77" s="132" t="s">
        <v>286</v>
      </c>
      <c r="C77" s="132"/>
      <c r="D77" s="132"/>
      <c r="E77" s="132"/>
      <c r="F77" s="24" t="s">
        <v>278</v>
      </c>
      <c r="G77" s="24" t="s">
        <v>287</v>
      </c>
      <c r="H77" s="24" t="s">
        <v>648</v>
      </c>
      <c r="I77" s="132" t="s">
        <v>267</v>
      </c>
      <c r="J77" s="132"/>
      <c r="K77" s="24" t="s">
        <v>271</v>
      </c>
      <c r="L77" s="24" t="s">
        <v>649</v>
      </c>
      <c r="M77" s="132" t="s">
        <v>307</v>
      </c>
    </row>
    <row r="78" spans="1:13" s="25" customFormat="1" ht="20.100000000000001" customHeight="1">
      <c r="A78" s="24" t="s">
        <v>650</v>
      </c>
      <c r="B78" s="24" t="s">
        <v>338</v>
      </c>
      <c r="C78" s="24" t="s">
        <v>337</v>
      </c>
      <c r="D78" s="24" t="s">
        <v>339</v>
      </c>
      <c r="E78" s="24" t="s">
        <v>340</v>
      </c>
      <c r="F78" s="24" t="s">
        <v>279</v>
      </c>
      <c r="G78" s="24" t="s">
        <v>274</v>
      </c>
      <c r="H78" s="24" t="s">
        <v>277</v>
      </c>
      <c r="I78" s="24" t="s">
        <v>269</v>
      </c>
      <c r="J78" s="24" t="s">
        <v>270</v>
      </c>
      <c r="K78" s="24" t="s">
        <v>273</v>
      </c>
      <c r="L78" s="24" t="s">
        <v>284</v>
      </c>
      <c r="M78" s="132"/>
    </row>
    <row r="79" spans="1:13" s="25" customFormat="1" ht="20.100000000000001" customHeight="1">
      <c r="A79" s="26" t="s">
        <v>12</v>
      </c>
      <c r="B79" s="27">
        <v>505092</v>
      </c>
      <c r="C79" s="27"/>
      <c r="D79" s="27">
        <v>1075416</v>
      </c>
      <c r="E79" s="27">
        <v>385776</v>
      </c>
      <c r="F79" s="27">
        <v>53095.5</v>
      </c>
      <c r="G79" s="27">
        <v>249954</v>
      </c>
      <c r="H79" s="27">
        <v>22495.860000000004</v>
      </c>
      <c r="I79" s="27">
        <v>163584</v>
      </c>
      <c r="J79" s="27">
        <v>533112</v>
      </c>
      <c r="K79" s="27">
        <v>21600</v>
      </c>
      <c r="L79" s="27">
        <v>139753.75499999992</v>
      </c>
      <c r="M79" s="27">
        <f>SUM(B79:L79)</f>
        <v>3149879.1149999998</v>
      </c>
    </row>
    <row r="80" spans="1:13" s="25" customFormat="1" ht="20.100000000000001" customHeight="1">
      <c r="A80" s="26" t="s">
        <v>14</v>
      </c>
      <c r="B80" s="27">
        <v>940848</v>
      </c>
      <c r="C80" s="27">
        <v>107568</v>
      </c>
      <c r="D80" s="27"/>
      <c r="E80" s="27"/>
      <c r="F80" s="27"/>
      <c r="G80" s="27">
        <v>132976</v>
      </c>
      <c r="H80" s="27">
        <v>11967.839999999997</v>
      </c>
      <c r="I80" s="27">
        <v>301896</v>
      </c>
      <c r="J80" s="27"/>
      <c r="K80" s="27">
        <v>11600</v>
      </c>
      <c r="L80" s="27">
        <v>71807.040000000023</v>
      </c>
      <c r="M80" s="27">
        <f t="shared" ref="M80:M85" si="0">SUM(B80:L80)</f>
        <v>1578662.8800000001</v>
      </c>
    </row>
    <row r="81" spans="1:13" s="25" customFormat="1" ht="20.100000000000001" customHeight="1">
      <c r="A81" s="26" t="s">
        <v>7</v>
      </c>
      <c r="B81" s="27">
        <v>3699336</v>
      </c>
      <c r="C81" s="27">
        <v>864144</v>
      </c>
      <c r="D81" s="27"/>
      <c r="E81" s="27"/>
      <c r="F81" s="27"/>
      <c r="G81" s="27">
        <v>573380</v>
      </c>
      <c r="H81" s="27">
        <v>51604.200000000026</v>
      </c>
      <c r="I81" s="27">
        <v>1327920</v>
      </c>
      <c r="J81" s="27"/>
      <c r="K81" s="27">
        <v>52000</v>
      </c>
      <c r="L81" s="27">
        <v>309625.1999999999</v>
      </c>
      <c r="M81" s="27">
        <f t="shared" si="0"/>
        <v>6878009.4000000004</v>
      </c>
    </row>
    <row r="82" spans="1:13" s="25" customFormat="1" ht="20.100000000000001" customHeight="1">
      <c r="A82" s="26" t="s">
        <v>36</v>
      </c>
      <c r="B82" s="27">
        <v>471984</v>
      </c>
      <c r="C82" s="27">
        <v>88668</v>
      </c>
      <c r="D82" s="27">
        <v>413400</v>
      </c>
      <c r="E82" s="27"/>
      <c r="F82" s="27"/>
      <c r="G82" s="27">
        <v>129222</v>
      </c>
      <c r="H82" s="27">
        <v>11629.98</v>
      </c>
      <c r="I82" s="27">
        <v>135888</v>
      </c>
      <c r="J82" s="27">
        <v>171864</v>
      </c>
      <c r="K82" s="27">
        <v>9200</v>
      </c>
      <c r="L82" s="27">
        <v>69779.87999999999</v>
      </c>
      <c r="M82" s="27">
        <f t="shared" si="0"/>
        <v>1501635.8599999999</v>
      </c>
    </row>
    <row r="83" spans="1:13" s="25" customFormat="1" ht="20.100000000000001" customHeight="1">
      <c r="A83" s="26" t="s">
        <v>45</v>
      </c>
      <c r="B83" s="27">
        <v>1585992</v>
      </c>
      <c r="C83" s="27">
        <v>90384</v>
      </c>
      <c r="D83" s="27"/>
      <c r="E83" s="27"/>
      <c r="F83" s="27"/>
      <c r="G83" s="27">
        <v>233316</v>
      </c>
      <c r="H83" s="27">
        <v>20998.440000000002</v>
      </c>
      <c r="I83" s="27">
        <v>396768</v>
      </c>
      <c r="J83" s="27"/>
      <c r="K83" s="27">
        <v>12800</v>
      </c>
      <c r="L83" s="27">
        <v>125990.64</v>
      </c>
      <c r="M83" s="27">
        <f t="shared" si="0"/>
        <v>2466249.08</v>
      </c>
    </row>
    <row r="84" spans="1:13" s="25" customFormat="1" ht="20.100000000000001" customHeight="1">
      <c r="A84" s="26" t="s">
        <v>25</v>
      </c>
      <c r="B84" s="27">
        <v>949392</v>
      </c>
      <c r="C84" s="27">
        <v>168300</v>
      </c>
      <c r="D84" s="27"/>
      <c r="E84" s="27"/>
      <c r="F84" s="27"/>
      <c r="G84" s="27">
        <v>140202</v>
      </c>
      <c r="H84" s="27">
        <v>12618.179999999995</v>
      </c>
      <c r="I84" s="27">
        <v>325968</v>
      </c>
      <c r="J84" s="27"/>
      <c r="K84" s="27">
        <v>12800</v>
      </c>
      <c r="L84" s="27">
        <v>75709.08</v>
      </c>
      <c r="M84" s="27">
        <f t="shared" si="0"/>
        <v>1684989.26</v>
      </c>
    </row>
    <row r="85" spans="1:13" s="25" customFormat="1" ht="20.100000000000001" customHeight="1">
      <c r="A85" s="28" t="s">
        <v>307</v>
      </c>
      <c r="B85" s="29">
        <f>SUM(B79:B84)</f>
        <v>8152644</v>
      </c>
      <c r="C85" s="29">
        <f t="shared" ref="C85:L85" si="1">SUM(C79:C84)</f>
        <v>1319064</v>
      </c>
      <c r="D85" s="29">
        <f t="shared" si="1"/>
        <v>1488816</v>
      </c>
      <c r="E85" s="29">
        <f t="shared" si="1"/>
        <v>385776</v>
      </c>
      <c r="F85" s="29">
        <f t="shared" si="1"/>
        <v>53095.5</v>
      </c>
      <c r="G85" s="29">
        <f t="shared" si="1"/>
        <v>1459050</v>
      </c>
      <c r="H85" s="29">
        <f t="shared" si="1"/>
        <v>131314.50000000003</v>
      </c>
      <c r="I85" s="29">
        <f t="shared" si="1"/>
        <v>2652024</v>
      </c>
      <c r="J85" s="29">
        <f t="shared" si="1"/>
        <v>704976</v>
      </c>
      <c r="K85" s="29">
        <f t="shared" si="1"/>
        <v>120000</v>
      </c>
      <c r="L85" s="29">
        <f t="shared" si="1"/>
        <v>792665.59499999974</v>
      </c>
      <c r="M85" s="29">
        <f t="shared" si="0"/>
        <v>17259425.594999999</v>
      </c>
    </row>
    <row r="87" spans="1:13">
      <c r="A87" s="21" t="s">
        <v>632</v>
      </c>
      <c r="B87" t="s">
        <v>659</v>
      </c>
    </row>
    <row r="88" spans="1:13">
      <c r="A88" s="22" t="s">
        <v>16</v>
      </c>
      <c r="B88" s="35">
        <v>3</v>
      </c>
    </row>
    <row r="89" spans="1:13">
      <c r="A89" s="22" t="s">
        <v>46</v>
      </c>
      <c r="B89" s="35">
        <v>8</v>
      </c>
    </row>
    <row r="90" spans="1:13">
      <c r="A90" s="22" t="s">
        <v>19</v>
      </c>
      <c r="B90" s="35">
        <v>15</v>
      </c>
    </row>
    <row r="91" spans="1:13">
      <c r="A91" s="22" t="s">
        <v>15</v>
      </c>
      <c r="B91" s="35">
        <v>123</v>
      </c>
    </row>
    <row r="92" spans="1:13">
      <c r="A92" s="22" t="s">
        <v>10</v>
      </c>
      <c r="B92" s="35">
        <v>78</v>
      </c>
    </row>
    <row r="93" spans="1:13">
      <c r="A93" s="22" t="s">
        <v>152</v>
      </c>
      <c r="B93" s="35">
        <v>1</v>
      </c>
    </row>
    <row r="94" spans="1:13">
      <c r="A94" s="22" t="s">
        <v>28</v>
      </c>
      <c r="B94" s="35">
        <v>9</v>
      </c>
    </row>
    <row r="95" spans="1:13">
      <c r="A95" s="22" t="s">
        <v>166</v>
      </c>
      <c r="B95" s="35">
        <v>4</v>
      </c>
    </row>
    <row r="96" spans="1:13">
      <c r="A96" s="22" t="s">
        <v>30</v>
      </c>
      <c r="B96" s="35">
        <v>2</v>
      </c>
    </row>
    <row r="97" spans="1:2">
      <c r="A97" s="22" t="s">
        <v>80</v>
      </c>
      <c r="B97" s="35">
        <v>6</v>
      </c>
    </row>
    <row r="98" spans="1:2">
      <c r="A98" s="22" t="s">
        <v>160</v>
      </c>
      <c r="B98" s="35">
        <v>1</v>
      </c>
    </row>
    <row r="99" spans="1:2">
      <c r="A99" s="22" t="s">
        <v>138</v>
      </c>
      <c r="B99" s="35">
        <v>1</v>
      </c>
    </row>
    <row r="100" spans="1:2">
      <c r="A100" s="22" t="s">
        <v>115</v>
      </c>
      <c r="B100" s="35">
        <v>4</v>
      </c>
    </row>
    <row r="101" spans="1:2">
      <c r="A101" s="22" t="s">
        <v>37</v>
      </c>
      <c r="B101" s="35">
        <v>29</v>
      </c>
    </row>
    <row r="102" spans="1:2">
      <c r="A102" s="22" t="s">
        <v>49</v>
      </c>
      <c r="B102" s="35">
        <v>3</v>
      </c>
    </row>
    <row r="103" spans="1:2">
      <c r="A103" s="22" t="s">
        <v>53</v>
      </c>
      <c r="B103" s="35">
        <v>1</v>
      </c>
    </row>
    <row r="104" spans="1:2">
      <c r="A104" s="22" t="s">
        <v>23</v>
      </c>
      <c r="B104" s="35">
        <v>11</v>
      </c>
    </row>
    <row r="105" spans="1:2">
      <c r="A105" s="22" t="s">
        <v>13</v>
      </c>
      <c r="B105" s="35">
        <v>1</v>
      </c>
    </row>
    <row r="106" spans="1:2">
      <c r="A106" s="22" t="s">
        <v>633</v>
      </c>
      <c r="B106" s="35">
        <v>300</v>
      </c>
    </row>
  </sheetData>
  <mergeCells count="4">
    <mergeCell ref="B77:E77"/>
    <mergeCell ref="I77:J77"/>
    <mergeCell ref="M77:M78"/>
    <mergeCell ref="A74:M75"/>
  </mergeCells>
  <pageMargins left="0.31" right="0.23" top="0.67" bottom="0.23" header="0.17" footer="0.17"/>
  <pageSetup paperSize="9" scale="33"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D.L.728 - 12-09-2021</vt:lpstr>
      <vt:lpstr>PEA</vt:lpstr>
      <vt:lpstr>TABLA</vt:lpstr>
      <vt:lpstr>PEA!BaseDeDatos</vt:lpstr>
      <vt:lpstr>BaseDeDatos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Usuario de Windows</cp:lastModifiedBy>
  <cp:lastPrinted>2021-05-20T14:09:02Z</cp:lastPrinted>
  <dcterms:created xsi:type="dcterms:W3CDTF">2016-01-12T13:11:26Z</dcterms:created>
  <dcterms:modified xsi:type="dcterms:W3CDTF">2021-12-20T16:14:38Z</dcterms:modified>
</cp:coreProperties>
</file>