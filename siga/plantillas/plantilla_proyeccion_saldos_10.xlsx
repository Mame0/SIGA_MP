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L21" i="3"/>
  <c r="L20"/>
  <c r="L19"/>
  <c r="L18"/>
  <c r="L17"/>
  <c r="L16"/>
  <c r="L15"/>
  <c r="L14"/>
  <c r="L13"/>
  <c r="L12"/>
  <c r="L11"/>
  <c r="L10"/>
  <c r="L9"/>
  <c r="L8"/>
  <c r="L7"/>
  <c r="L6"/>
  <c r="L5"/>
  <c r="L66" i="2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 s="1"/>
  <c r="L37"/>
  <c r="L36"/>
  <c r="L35"/>
  <c r="L34"/>
  <c r="L33"/>
  <c r="L32"/>
  <c r="L31"/>
  <c r="L30"/>
  <c r="L29"/>
  <c r="L28"/>
  <c r="L27"/>
  <c r="L26"/>
  <c r="L25"/>
  <c r="L24"/>
  <c r="L23" s="1"/>
  <c r="L22"/>
  <c r="L21"/>
  <c r="L20"/>
  <c r="L19"/>
  <c r="L18"/>
  <c r="L17"/>
  <c r="L16"/>
  <c r="L15"/>
  <c r="L14"/>
  <c r="L13"/>
  <c r="L12"/>
  <c r="L11"/>
  <c r="L10"/>
  <c r="L9"/>
  <c r="L8"/>
  <c r="L7"/>
  <c r="L6"/>
  <c r="M321" i="1"/>
  <c r="M304"/>
  <c r="M287"/>
  <c r="M270"/>
  <c r="M253"/>
  <c r="M236"/>
  <c r="M228"/>
  <c r="M211"/>
  <c r="M194"/>
  <c r="M177"/>
  <c r="M160"/>
  <c r="M143"/>
  <c r="M126"/>
  <c r="M109"/>
  <c r="M92"/>
  <c r="M75"/>
  <c r="M57"/>
  <c r="M40"/>
  <c r="M23"/>
  <c r="M6"/>
  <c r="M338" s="1"/>
  <c r="K21" i="3"/>
  <c r="K20"/>
  <c r="K19"/>
  <c r="K18"/>
  <c r="K17"/>
  <c r="K16"/>
  <c r="K15"/>
  <c r="K14"/>
  <c r="K13"/>
  <c r="K12"/>
  <c r="K11"/>
  <c r="K10"/>
  <c r="K9"/>
  <c r="K8"/>
  <c r="K7"/>
  <c r="K6"/>
  <c r="K5"/>
  <c r="K66" i="2"/>
  <c r="K65"/>
  <c r="K64"/>
  <c r="K63"/>
  <c r="K62"/>
  <c r="K61"/>
  <c r="K60"/>
  <c r="K59"/>
  <c r="K58"/>
  <c r="K57"/>
  <c r="K56"/>
  <c r="K55"/>
  <c r="K54"/>
  <c r="K53"/>
  <c r="K52"/>
  <c r="K50"/>
  <c r="K49"/>
  <c r="K48"/>
  <c r="K47"/>
  <c r="K46"/>
  <c r="K45"/>
  <c r="K44"/>
  <c r="K43"/>
  <c r="K42"/>
  <c r="K41"/>
  <c r="K40"/>
  <c r="K39"/>
  <c r="K37"/>
  <c r="K36"/>
  <c r="K35"/>
  <c r="K34"/>
  <c r="K33"/>
  <c r="K32"/>
  <c r="K31"/>
  <c r="K30"/>
  <c r="K29"/>
  <c r="K28"/>
  <c r="K27"/>
  <c r="K26"/>
  <c r="K25"/>
  <c r="K24"/>
  <c r="K22"/>
  <c r="K21"/>
  <c r="K20"/>
  <c r="K19"/>
  <c r="K18"/>
  <c r="K17"/>
  <c r="K16"/>
  <c r="K15"/>
  <c r="K14"/>
  <c r="K13"/>
  <c r="K12"/>
  <c r="K11"/>
  <c r="K10"/>
  <c r="K9"/>
  <c r="K8"/>
  <c r="K7"/>
  <c r="K6"/>
  <c r="L321" i="1"/>
  <c r="L304"/>
  <c r="L287"/>
  <c r="L270"/>
  <c r="L253"/>
  <c r="L236"/>
  <c r="L228"/>
  <c r="L211"/>
  <c r="L194"/>
  <c r="L177"/>
  <c r="L160"/>
  <c r="L143"/>
  <c r="L126"/>
  <c r="L109"/>
  <c r="L92"/>
  <c r="L75"/>
  <c r="L57"/>
  <c r="L40"/>
  <c r="L23"/>
  <c r="L6"/>
  <c r="J21" i="3"/>
  <c r="J20"/>
  <c r="J19"/>
  <c r="J18"/>
  <c r="J17"/>
  <c r="J16"/>
  <c r="J15"/>
  <c r="J14"/>
  <c r="J13"/>
  <c r="J12"/>
  <c r="J11"/>
  <c r="J10"/>
  <c r="J9"/>
  <c r="J8"/>
  <c r="J7"/>
  <c r="J6"/>
  <c r="J5"/>
  <c r="J66" i="2"/>
  <c r="J65"/>
  <c r="J64"/>
  <c r="J63"/>
  <c r="J62"/>
  <c r="J61"/>
  <c r="J60"/>
  <c r="J59"/>
  <c r="J58"/>
  <c r="J57"/>
  <c r="J56"/>
  <c r="J55"/>
  <c r="J54"/>
  <c r="J53"/>
  <c r="J52"/>
  <c r="J50"/>
  <c r="J49"/>
  <c r="J48"/>
  <c r="J47"/>
  <c r="J46"/>
  <c r="J45"/>
  <c r="J44"/>
  <c r="J43"/>
  <c r="J42"/>
  <c r="J41"/>
  <c r="J40"/>
  <c r="J39"/>
  <c r="J37"/>
  <c r="J36"/>
  <c r="J35"/>
  <c r="J34"/>
  <c r="J33"/>
  <c r="J32"/>
  <c r="J31"/>
  <c r="J30"/>
  <c r="J29"/>
  <c r="J28"/>
  <c r="J27"/>
  <c r="J26"/>
  <c r="J25"/>
  <c r="J24"/>
  <c r="J22"/>
  <c r="J21"/>
  <c r="J20"/>
  <c r="J19"/>
  <c r="J18"/>
  <c r="J17"/>
  <c r="J16"/>
  <c r="J15"/>
  <c r="J14"/>
  <c r="J13"/>
  <c r="J12"/>
  <c r="J11"/>
  <c r="J10"/>
  <c r="J9"/>
  <c r="J8"/>
  <c r="J7"/>
  <c r="J6"/>
  <c r="K321" i="1"/>
  <c r="K304"/>
  <c r="K287"/>
  <c r="K270"/>
  <c r="K253"/>
  <c r="K236"/>
  <c r="K228"/>
  <c r="K211"/>
  <c r="K194"/>
  <c r="K177"/>
  <c r="K160"/>
  <c r="K143"/>
  <c r="K126"/>
  <c r="K109"/>
  <c r="K92"/>
  <c r="K75"/>
  <c r="K57"/>
  <c r="K40"/>
  <c r="K23"/>
  <c r="K6"/>
  <c r="I21" i="3"/>
  <c r="I20"/>
  <c r="I19"/>
  <c r="I18"/>
  <c r="I17"/>
  <c r="I16"/>
  <c r="I15"/>
  <c r="I14"/>
  <c r="I13"/>
  <c r="I12"/>
  <c r="I11"/>
  <c r="I10"/>
  <c r="I9"/>
  <c r="I8"/>
  <c r="I7"/>
  <c r="I6"/>
  <c r="I5"/>
  <c r="I66" i="2"/>
  <c r="I65"/>
  <c r="I64"/>
  <c r="I63"/>
  <c r="I62"/>
  <c r="I61"/>
  <c r="I60"/>
  <c r="I59"/>
  <c r="I58"/>
  <c r="I57"/>
  <c r="I56"/>
  <c r="I55"/>
  <c r="I54"/>
  <c r="I53"/>
  <c r="I52"/>
  <c r="I50"/>
  <c r="I49"/>
  <c r="I48"/>
  <c r="I47"/>
  <c r="I46"/>
  <c r="I45"/>
  <c r="I44"/>
  <c r="I43"/>
  <c r="I42"/>
  <c r="I41"/>
  <c r="I40"/>
  <c r="I39"/>
  <c r="I37"/>
  <c r="I36"/>
  <c r="I35"/>
  <c r="I34"/>
  <c r="I33"/>
  <c r="I32"/>
  <c r="I31"/>
  <c r="I30"/>
  <c r="I29"/>
  <c r="I28"/>
  <c r="I27"/>
  <c r="I26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J321" i="1"/>
  <c r="J304"/>
  <c r="J287"/>
  <c r="J270"/>
  <c r="J253"/>
  <c r="J236"/>
  <c r="J228"/>
  <c r="J211"/>
  <c r="J194"/>
  <c r="J177"/>
  <c r="J160"/>
  <c r="J143"/>
  <c r="J126"/>
  <c r="J109"/>
  <c r="J92"/>
  <c r="J75"/>
  <c r="J57"/>
  <c r="J40"/>
  <c r="J23"/>
  <c r="J6"/>
  <c r="H21" i="3"/>
  <c r="H20"/>
  <c r="H19"/>
  <c r="H18"/>
  <c r="H17"/>
  <c r="H16"/>
  <c r="H15"/>
  <c r="H14"/>
  <c r="H13"/>
  <c r="H12"/>
  <c r="H11"/>
  <c r="H10"/>
  <c r="H9"/>
  <c r="H8"/>
  <c r="H7"/>
  <c r="H6"/>
  <c r="H5"/>
  <c r="H66" i="2"/>
  <c r="H65"/>
  <c r="H64"/>
  <c r="H63"/>
  <c r="H62"/>
  <c r="H61"/>
  <c r="H60"/>
  <c r="H59"/>
  <c r="H58"/>
  <c r="H57"/>
  <c r="H56"/>
  <c r="H55"/>
  <c r="H54"/>
  <c r="H53"/>
  <c r="H52"/>
  <c r="H50"/>
  <c r="H49"/>
  <c r="H48"/>
  <c r="H47"/>
  <c r="H46"/>
  <c r="H45"/>
  <c r="H44"/>
  <c r="H43"/>
  <c r="H42"/>
  <c r="H41"/>
  <c r="H40"/>
  <c r="H39"/>
  <c r="H37"/>
  <c r="H36"/>
  <c r="H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H10"/>
  <c r="H9"/>
  <c r="H8"/>
  <c r="H7"/>
  <c r="H6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R21"/>
  <c r="Q21"/>
  <c r="N21"/>
  <c r="M21"/>
  <c r="F21"/>
  <c r="E21"/>
  <c r="D21"/>
  <c r="C21"/>
  <c r="W20"/>
  <c r="V20"/>
  <c r="U20"/>
  <c r="T20"/>
  <c r="S20"/>
  <c r="R20"/>
  <c r="Q20"/>
  <c r="N20"/>
  <c r="M20"/>
  <c r="F20"/>
  <c r="E20"/>
  <c r="D20"/>
  <c r="C20"/>
  <c r="W19"/>
  <c r="V19"/>
  <c r="U19"/>
  <c r="T19"/>
  <c r="S19"/>
  <c r="R19"/>
  <c r="Q19"/>
  <c r="N19"/>
  <c r="M19"/>
  <c r="F19"/>
  <c r="E19"/>
  <c r="D19"/>
  <c r="C19"/>
  <c r="W18"/>
  <c r="V18"/>
  <c r="U18"/>
  <c r="T18"/>
  <c r="S18"/>
  <c r="R18"/>
  <c r="Q18"/>
  <c r="N18"/>
  <c r="M18"/>
  <c r="F18"/>
  <c r="E18"/>
  <c r="D18"/>
  <c r="C18"/>
  <c r="W17"/>
  <c r="V17"/>
  <c r="U17"/>
  <c r="T17"/>
  <c r="S17"/>
  <c r="R17"/>
  <c r="Q17"/>
  <c r="N17"/>
  <c r="M17"/>
  <c r="F17"/>
  <c r="E17"/>
  <c r="D17"/>
  <c r="C17"/>
  <c r="W16"/>
  <c r="V16"/>
  <c r="U16"/>
  <c r="T16"/>
  <c r="S16"/>
  <c r="R16"/>
  <c r="Q16"/>
  <c r="N16"/>
  <c r="M16"/>
  <c r="F16"/>
  <c r="E16"/>
  <c r="D16"/>
  <c r="C16"/>
  <c r="W15"/>
  <c r="V15"/>
  <c r="U15"/>
  <c r="T15"/>
  <c r="S15"/>
  <c r="R15"/>
  <c r="Q15"/>
  <c r="N15"/>
  <c r="M15"/>
  <c r="F15"/>
  <c r="E15"/>
  <c r="D15"/>
  <c r="C15"/>
  <c r="W14"/>
  <c r="V14"/>
  <c r="U14"/>
  <c r="T14"/>
  <c r="S14"/>
  <c r="R14"/>
  <c r="Q14"/>
  <c r="W13"/>
  <c r="V13"/>
  <c r="U13"/>
  <c r="T13"/>
  <c r="S13"/>
  <c r="R13"/>
  <c r="Q13"/>
  <c r="W12"/>
  <c r="V12"/>
  <c r="U12"/>
  <c r="T12"/>
  <c r="S12"/>
  <c r="R12"/>
  <c r="Q12"/>
  <c r="W11"/>
  <c r="V11"/>
  <c r="U11"/>
  <c r="T11"/>
  <c r="S11"/>
  <c r="R11"/>
  <c r="Q11"/>
  <c r="W10"/>
  <c r="V10"/>
  <c r="U10"/>
  <c r="T10"/>
  <c r="S10"/>
  <c r="R10"/>
  <c r="Q10"/>
  <c r="N14"/>
  <c r="M14"/>
  <c r="F14"/>
  <c r="E14"/>
  <c r="D14"/>
  <c r="C14"/>
  <c r="N13"/>
  <c r="M13"/>
  <c r="F13"/>
  <c r="E13"/>
  <c r="D13"/>
  <c r="C13"/>
  <c r="N12"/>
  <c r="M12"/>
  <c r="F12"/>
  <c r="E12"/>
  <c r="D12"/>
  <c r="C12"/>
  <c r="N11"/>
  <c r="M11"/>
  <c r="F11"/>
  <c r="E11"/>
  <c r="D11"/>
  <c r="C11"/>
  <c r="N10"/>
  <c r="M10"/>
  <c r="F10"/>
  <c r="E10"/>
  <c r="D10"/>
  <c r="C10"/>
  <c r="W8"/>
  <c r="V8"/>
  <c r="U8"/>
  <c r="T8"/>
  <c r="S8"/>
  <c r="R8"/>
  <c r="Q8"/>
  <c r="N8"/>
  <c r="M8"/>
  <c r="F8"/>
  <c r="E8"/>
  <c r="D8"/>
  <c r="C8"/>
  <c r="W7"/>
  <c r="V7"/>
  <c r="U7"/>
  <c r="T7"/>
  <c r="S7"/>
  <c r="R7"/>
  <c r="Q7"/>
  <c r="N7"/>
  <c r="M7"/>
  <c r="F7"/>
  <c r="E7"/>
  <c r="D7"/>
  <c r="C7"/>
  <c r="W6"/>
  <c r="V6"/>
  <c r="U6"/>
  <c r="T6"/>
  <c r="S6"/>
  <c r="R6"/>
  <c r="Q6"/>
  <c r="N6"/>
  <c r="M6"/>
  <c r="F6"/>
  <c r="E6"/>
  <c r="D6"/>
  <c r="C6"/>
  <c r="W5"/>
  <c r="V5"/>
  <c r="U5"/>
  <c r="T5"/>
  <c r="S5"/>
  <c r="R5"/>
  <c r="Q5"/>
  <c r="N5"/>
  <c r="M5"/>
  <c r="F5"/>
  <c r="E5"/>
  <c r="D5"/>
  <c r="C5"/>
  <c r="W15" i="2"/>
  <c r="V15"/>
  <c r="U15"/>
  <c r="T15"/>
  <c r="S15"/>
  <c r="R15"/>
  <c r="Q15"/>
  <c r="N15"/>
  <c r="M15"/>
  <c r="F15"/>
  <c r="C15"/>
  <c r="W22"/>
  <c r="V22"/>
  <c r="U22"/>
  <c r="T22"/>
  <c r="S22"/>
  <c r="R22"/>
  <c r="Q22"/>
  <c r="N22"/>
  <c r="M22"/>
  <c r="F22"/>
  <c r="C22"/>
  <c r="W10"/>
  <c r="V10"/>
  <c r="U10"/>
  <c r="T10"/>
  <c r="S10"/>
  <c r="R10"/>
  <c r="Q10"/>
  <c r="N10"/>
  <c r="M10"/>
  <c r="F10"/>
  <c r="C10"/>
  <c r="W9"/>
  <c r="V9"/>
  <c r="U9"/>
  <c r="T9"/>
  <c r="S9"/>
  <c r="R9"/>
  <c r="Q9"/>
  <c r="N9"/>
  <c r="M9"/>
  <c r="F9"/>
  <c r="C9"/>
  <c r="W8"/>
  <c r="V8"/>
  <c r="U8"/>
  <c r="T8"/>
  <c r="S8"/>
  <c r="R8"/>
  <c r="Q8"/>
  <c r="N8"/>
  <c r="M8"/>
  <c r="F8"/>
  <c r="C8"/>
  <c r="W7"/>
  <c r="V7"/>
  <c r="U7"/>
  <c r="T7"/>
  <c r="S7"/>
  <c r="R7"/>
  <c r="Q7"/>
  <c r="N7"/>
  <c r="M7"/>
  <c r="F7"/>
  <c r="E7"/>
  <c r="D7"/>
  <c r="C7"/>
  <c r="W6"/>
  <c r="V6"/>
  <c r="U6"/>
  <c r="T6"/>
  <c r="S6"/>
  <c r="R6"/>
  <c r="Q6"/>
  <c r="N6"/>
  <c r="M6"/>
  <c r="F6"/>
  <c r="E6"/>
  <c r="D6"/>
  <c r="C6"/>
  <c r="X211" i="1"/>
  <c r="W211"/>
  <c r="V211"/>
  <c r="U211"/>
  <c r="T211"/>
  <c r="S211"/>
  <c r="R211"/>
  <c r="O211"/>
  <c r="N211"/>
  <c r="G211"/>
  <c r="F211"/>
  <c r="E211"/>
  <c r="D211"/>
  <c r="E8" i="2"/>
  <c r="D8"/>
  <c r="E9"/>
  <c r="D9"/>
  <c r="E10"/>
  <c r="D10"/>
  <c r="W11"/>
  <c r="V11"/>
  <c r="U11"/>
  <c r="T11"/>
  <c r="S11"/>
  <c r="R11"/>
  <c r="Q11"/>
  <c r="N11"/>
  <c r="M11"/>
  <c r="F11"/>
  <c r="E11"/>
  <c r="D11"/>
  <c r="C11"/>
  <c r="V12"/>
  <c r="U12"/>
  <c r="T12"/>
  <c r="S12"/>
  <c r="R12"/>
  <c r="Q12"/>
  <c r="N12"/>
  <c r="M12"/>
  <c r="F12"/>
  <c r="E12"/>
  <c r="D12"/>
  <c r="C12"/>
  <c r="W13"/>
  <c r="V13"/>
  <c r="U13"/>
  <c r="T13"/>
  <c r="S13"/>
  <c r="R13"/>
  <c r="Q13"/>
  <c r="N13"/>
  <c r="M13"/>
  <c r="F13"/>
  <c r="E13"/>
  <c r="D13"/>
  <c r="C13"/>
  <c r="W14"/>
  <c r="V14"/>
  <c r="U14"/>
  <c r="T14"/>
  <c r="S14"/>
  <c r="R14"/>
  <c r="Q14"/>
  <c r="N14"/>
  <c r="M14"/>
  <c r="F14"/>
  <c r="E14"/>
  <c r="D14"/>
  <c r="C14"/>
  <c r="W12"/>
  <c r="E15"/>
  <c r="D15"/>
  <c r="W16"/>
  <c r="V16"/>
  <c r="U16"/>
  <c r="T16"/>
  <c r="S16"/>
  <c r="R16"/>
  <c r="Q16"/>
  <c r="N16"/>
  <c r="M16"/>
  <c r="F16"/>
  <c r="E16"/>
  <c r="D16"/>
  <c r="C16"/>
  <c r="W17"/>
  <c r="V17"/>
  <c r="U17"/>
  <c r="T17"/>
  <c r="S17"/>
  <c r="R17"/>
  <c r="Q17"/>
  <c r="N17"/>
  <c r="M17"/>
  <c r="F17"/>
  <c r="E17"/>
  <c r="D17"/>
  <c r="C17"/>
  <c r="W18"/>
  <c r="V18"/>
  <c r="U18"/>
  <c r="T18"/>
  <c r="S18"/>
  <c r="R18"/>
  <c r="Q18"/>
  <c r="N18"/>
  <c r="M18"/>
  <c r="F18"/>
  <c r="E18"/>
  <c r="D18"/>
  <c r="C18"/>
  <c r="W19"/>
  <c r="V19"/>
  <c r="U19"/>
  <c r="T19"/>
  <c r="S19"/>
  <c r="R19"/>
  <c r="Q19"/>
  <c r="N19"/>
  <c r="M19"/>
  <c r="F19"/>
  <c r="E19"/>
  <c r="D19"/>
  <c r="C19"/>
  <c r="W20"/>
  <c r="V20"/>
  <c r="U20"/>
  <c r="T20"/>
  <c r="S20"/>
  <c r="R20"/>
  <c r="Q20"/>
  <c r="N20"/>
  <c r="M20"/>
  <c r="F20"/>
  <c r="E20"/>
  <c r="D20"/>
  <c r="C20"/>
  <c r="W21"/>
  <c r="V21"/>
  <c r="U21"/>
  <c r="T21"/>
  <c r="S21"/>
  <c r="R21"/>
  <c r="Q21"/>
  <c r="N21"/>
  <c r="M21"/>
  <c r="F21"/>
  <c r="E21"/>
  <c r="D21"/>
  <c r="C21"/>
  <c r="L22" i="3" l="1"/>
  <c r="L5" i="2"/>
  <c r="L67" s="1"/>
  <c r="K38"/>
  <c r="K51"/>
  <c r="K22" i="3"/>
  <c r="J51" i="2"/>
  <c r="K5"/>
  <c r="J22" i="3"/>
  <c r="K23" i="2"/>
  <c r="J23"/>
  <c r="J38"/>
  <c r="K338" i="1"/>
  <c r="L338"/>
  <c r="I51" i="2"/>
  <c r="J5"/>
  <c r="I23"/>
  <c r="I38"/>
  <c r="I22" i="3"/>
  <c r="I5" i="2"/>
  <c r="H51"/>
  <c r="H38"/>
  <c r="J338" i="1"/>
  <c r="G51" i="2"/>
  <c r="H5"/>
  <c r="H22" i="3"/>
  <c r="H23" i="2"/>
  <c r="G22" i="3"/>
  <c r="G23" i="2"/>
  <c r="G38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O21"/>
  <c r="P21" s="1"/>
  <c r="X20"/>
  <c r="O20"/>
  <c r="P20" s="1"/>
  <c r="X19"/>
  <c r="O19"/>
  <c r="P19" s="1"/>
  <c r="X18"/>
  <c r="O18"/>
  <c r="P18" s="1"/>
  <c r="X17"/>
  <c r="O17"/>
  <c r="P17" s="1"/>
  <c r="X16"/>
  <c r="O16"/>
  <c r="P16" s="1"/>
  <c r="X15"/>
  <c r="O15"/>
  <c r="P15" s="1"/>
  <c r="X14"/>
  <c r="O14"/>
  <c r="P14" s="1"/>
  <c r="X13"/>
  <c r="O13"/>
  <c r="P13" s="1"/>
  <c r="X12"/>
  <c r="O12"/>
  <c r="P12" s="1"/>
  <c r="X11"/>
  <c r="O11"/>
  <c r="P11" s="1"/>
  <c r="W9"/>
  <c r="W22" s="1"/>
  <c r="V9"/>
  <c r="V22" s="1"/>
  <c r="U9"/>
  <c r="U22" s="1"/>
  <c r="T9"/>
  <c r="T22" s="1"/>
  <c r="S9"/>
  <c r="S22" s="1"/>
  <c r="R9"/>
  <c r="R22" s="1"/>
  <c r="Q9"/>
  <c r="Q22" s="1"/>
  <c r="N9"/>
  <c r="N22" s="1"/>
  <c r="M9"/>
  <c r="M22" s="1"/>
  <c r="F9"/>
  <c r="F22" s="1"/>
  <c r="E9"/>
  <c r="E22" s="1"/>
  <c r="D9"/>
  <c r="D22" s="1"/>
  <c r="C9"/>
  <c r="C22" s="1"/>
  <c r="X8"/>
  <c r="O8"/>
  <c r="P8" s="1"/>
  <c r="X7"/>
  <c r="O7"/>
  <c r="P7" s="1"/>
  <c r="X6"/>
  <c r="O6"/>
  <c r="X5"/>
  <c r="O5"/>
  <c r="P5" s="1"/>
  <c r="W66" i="2"/>
  <c r="V66"/>
  <c r="U66"/>
  <c r="T66"/>
  <c r="S66"/>
  <c r="R66"/>
  <c r="Q66"/>
  <c r="N66"/>
  <c r="M66"/>
  <c r="F66"/>
  <c r="E66"/>
  <c r="D66"/>
  <c r="C66"/>
  <c r="W65"/>
  <c r="V65"/>
  <c r="U65"/>
  <c r="T65"/>
  <c r="S65"/>
  <c r="R65"/>
  <c r="Q65"/>
  <c r="N65"/>
  <c r="M65"/>
  <c r="F65"/>
  <c r="E65"/>
  <c r="D65"/>
  <c r="C65"/>
  <c r="W64"/>
  <c r="V64"/>
  <c r="U64"/>
  <c r="T64"/>
  <c r="S64"/>
  <c r="R64"/>
  <c r="Q64"/>
  <c r="N64"/>
  <c r="M64"/>
  <c r="F64"/>
  <c r="E64"/>
  <c r="D64"/>
  <c r="C64"/>
  <c r="W63"/>
  <c r="V63"/>
  <c r="U63"/>
  <c r="T63"/>
  <c r="S63"/>
  <c r="R63"/>
  <c r="Q63"/>
  <c r="N63"/>
  <c r="M63"/>
  <c r="F63"/>
  <c r="E63"/>
  <c r="D63"/>
  <c r="C63"/>
  <c r="W62"/>
  <c r="V62"/>
  <c r="U62"/>
  <c r="T62"/>
  <c r="S62"/>
  <c r="R62"/>
  <c r="Q62"/>
  <c r="N62"/>
  <c r="M62"/>
  <c r="F62"/>
  <c r="E62"/>
  <c r="D62"/>
  <c r="C62"/>
  <c r="W61"/>
  <c r="V61"/>
  <c r="U61"/>
  <c r="T61"/>
  <c r="S61"/>
  <c r="R61"/>
  <c r="Q61"/>
  <c r="N61"/>
  <c r="M61"/>
  <c r="F61"/>
  <c r="E61"/>
  <c r="D61"/>
  <c r="C61"/>
  <c r="W60"/>
  <c r="V60"/>
  <c r="U60"/>
  <c r="T60"/>
  <c r="S60"/>
  <c r="R60"/>
  <c r="Q60"/>
  <c r="N60"/>
  <c r="M60"/>
  <c r="F60"/>
  <c r="E60"/>
  <c r="D60"/>
  <c r="C60"/>
  <c r="W59"/>
  <c r="V59"/>
  <c r="U59"/>
  <c r="T59"/>
  <c r="S59"/>
  <c r="R59"/>
  <c r="Q59"/>
  <c r="N59"/>
  <c r="M59"/>
  <c r="F59"/>
  <c r="E59"/>
  <c r="D59"/>
  <c r="C59"/>
  <c r="W58"/>
  <c r="V58"/>
  <c r="U58"/>
  <c r="T58"/>
  <c r="S58"/>
  <c r="R58"/>
  <c r="Q58"/>
  <c r="N58"/>
  <c r="M58"/>
  <c r="F58"/>
  <c r="E58"/>
  <c r="D58"/>
  <c r="C58"/>
  <c r="W57"/>
  <c r="V57"/>
  <c r="U57"/>
  <c r="T57"/>
  <c r="S57"/>
  <c r="R57"/>
  <c r="Q57"/>
  <c r="N57"/>
  <c r="M57"/>
  <c r="F57"/>
  <c r="E57"/>
  <c r="D57"/>
  <c r="C57"/>
  <c r="W56"/>
  <c r="V56"/>
  <c r="U56"/>
  <c r="T56"/>
  <c r="S56"/>
  <c r="R56"/>
  <c r="Q56"/>
  <c r="N56"/>
  <c r="M56"/>
  <c r="F56"/>
  <c r="E56"/>
  <c r="D56"/>
  <c r="C56"/>
  <c r="W55"/>
  <c r="V55"/>
  <c r="U55"/>
  <c r="T55"/>
  <c r="S55"/>
  <c r="R55"/>
  <c r="Q55"/>
  <c r="N55"/>
  <c r="M55"/>
  <c r="F55"/>
  <c r="E55"/>
  <c r="D55"/>
  <c r="C55"/>
  <c r="W54"/>
  <c r="V54"/>
  <c r="U54"/>
  <c r="T54"/>
  <c r="S54"/>
  <c r="R54"/>
  <c r="Q54"/>
  <c r="N54"/>
  <c r="M54"/>
  <c r="F54"/>
  <c r="E54"/>
  <c r="D54"/>
  <c r="C54"/>
  <c r="W53"/>
  <c r="V53"/>
  <c r="U53"/>
  <c r="T53"/>
  <c r="S53"/>
  <c r="R53"/>
  <c r="Q53"/>
  <c r="N53"/>
  <c r="M53"/>
  <c r="F53"/>
  <c r="E53"/>
  <c r="D53"/>
  <c r="C53"/>
  <c r="W52"/>
  <c r="V52"/>
  <c r="U52"/>
  <c r="T52"/>
  <c r="S52"/>
  <c r="R52"/>
  <c r="Q52"/>
  <c r="N52"/>
  <c r="M52"/>
  <c r="F52"/>
  <c r="E52"/>
  <c r="D52"/>
  <c r="C52"/>
  <c r="W50"/>
  <c r="V50"/>
  <c r="U50"/>
  <c r="T50"/>
  <c r="S50"/>
  <c r="R50"/>
  <c r="Q50"/>
  <c r="N50"/>
  <c r="M50"/>
  <c r="F50"/>
  <c r="E50"/>
  <c r="D50"/>
  <c r="C50"/>
  <c r="W49"/>
  <c r="V49"/>
  <c r="U49"/>
  <c r="T49"/>
  <c r="S49"/>
  <c r="R49"/>
  <c r="Q49"/>
  <c r="N49"/>
  <c r="M49"/>
  <c r="F49"/>
  <c r="E49"/>
  <c r="D49"/>
  <c r="C49"/>
  <c r="W48"/>
  <c r="V48"/>
  <c r="U48"/>
  <c r="T48"/>
  <c r="S48"/>
  <c r="R48"/>
  <c r="Q48"/>
  <c r="N48"/>
  <c r="M48"/>
  <c r="F48"/>
  <c r="E48"/>
  <c r="D48"/>
  <c r="C48"/>
  <c r="W47"/>
  <c r="V47"/>
  <c r="U47"/>
  <c r="T47"/>
  <c r="S47"/>
  <c r="R47"/>
  <c r="Q47"/>
  <c r="N47"/>
  <c r="M47"/>
  <c r="F47"/>
  <c r="E47"/>
  <c r="D47"/>
  <c r="C47"/>
  <c r="W46"/>
  <c r="V46"/>
  <c r="U46"/>
  <c r="T46"/>
  <c r="S46"/>
  <c r="R46"/>
  <c r="Q46"/>
  <c r="N46"/>
  <c r="M46"/>
  <c r="F46"/>
  <c r="E46"/>
  <c r="D46"/>
  <c r="C46"/>
  <c r="W45"/>
  <c r="V45"/>
  <c r="U45"/>
  <c r="T45"/>
  <c r="S45"/>
  <c r="R45"/>
  <c r="Q45"/>
  <c r="N45"/>
  <c r="M45"/>
  <c r="F45"/>
  <c r="E45"/>
  <c r="D45"/>
  <c r="C45"/>
  <c r="W44"/>
  <c r="V44"/>
  <c r="U44"/>
  <c r="T44"/>
  <c r="S44"/>
  <c r="R44"/>
  <c r="Q44"/>
  <c r="N44"/>
  <c r="M44"/>
  <c r="F44"/>
  <c r="E44"/>
  <c r="D44"/>
  <c r="C44"/>
  <c r="W43"/>
  <c r="V43"/>
  <c r="U43"/>
  <c r="T43"/>
  <c r="S43"/>
  <c r="R43"/>
  <c r="Q43"/>
  <c r="N43"/>
  <c r="M43"/>
  <c r="F43"/>
  <c r="E43"/>
  <c r="D43"/>
  <c r="C43"/>
  <c r="W42"/>
  <c r="V42"/>
  <c r="U42"/>
  <c r="T42"/>
  <c r="S42"/>
  <c r="R42"/>
  <c r="Q42"/>
  <c r="N42"/>
  <c r="M42"/>
  <c r="F42"/>
  <c r="E42"/>
  <c r="D42"/>
  <c r="C42"/>
  <c r="W41"/>
  <c r="V41"/>
  <c r="U41"/>
  <c r="T41"/>
  <c r="S41"/>
  <c r="R41"/>
  <c r="Q41"/>
  <c r="N41"/>
  <c r="M41"/>
  <c r="F41"/>
  <c r="E41"/>
  <c r="D41"/>
  <c r="C41"/>
  <c r="W40"/>
  <c r="V40"/>
  <c r="U40"/>
  <c r="T40"/>
  <c r="S40"/>
  <c r="R40"/>
  <c r="Q40"/>
  <c r="N40"/>
  <c r="M40"/>
  <c r="F40"/>
  <c r="E40"/>
  <c r="D40"/>
  <c r="C40"/>
  <c r="W39"/>
  <c r="V39"/>
  <c r="U39"/>
  <c r="T39"/>
  <c r="S39"/>
  <c r="R39"/>
  <c r="Q39"/>
  <c r="N39"/>
  <c r="M39"/>
  <c r="F39"/>
  <c r="E39"/>
  <c r="D39"/>
  <c r="C39"/>
  <c r="W37"/>
  <c r="V37"/>
  <c r="U37"/>
  <c r="T37"/>
  <c r="S37"/>
  <c r="R37"/>
  <c r="Q37"/>
  <c r="N37"/>
  <c r="M37"/>
  <c r="F37"/>
  <c r="E37"/>
  <c r="D37"/>
  <c r="C37"/>
  <c r="W36"/>
  <c r="V36"/>
  <c r="U36"/>
  <c r="T36"/>
  <c r="S36"/>
  <c r="R36"/>
  <c r="Q36"/>
  <c r="N36"/>
  <c r="M36"/>
  <c r="F36"/>
  <c r="E36"/>
  <c r="D36"/>
  <c r="C36"/>
  <c r="W35"/>
  <c r="V35"/>
  <c r="U35"/>
  <c r="T35"/>
  <c r="S35"/>
  <c r="R35"/>
  <c r="Q35"/>
  <c r="N35"/>
  <c r="M35"/>
  <c r="F35"/>
  <c r="E35"/>
  <c r="D35"/>
  <c r="C35"/>
  <c r="W34"/>
  <c r="V34"/>
  <c r="U34"/>
  <c r="T34"/>
  <c r="S34"/>
  <c r="R34"/>
  <c r="Q34"/>
  <c r="N34"/>
  <c r="M34"/>
  <c r="F34"/>
  <c r="E34"/>
  <c r="D34"/>
  <c r="C34"/>
  <c r="W33"/>
  <c r="V33"/>
  <c r="U33"/>
  <c r="T33"/>
  <c r="S33"/>
  <c r="R33"/>
  <c r="Q33"/>
  <c r="N33"/>
  <c r="M33"/>
  <c r="F33"/>
  <c r="E33"/>
  <c r="D33"/>
  <c r="C33"/>
  <c r="W32"/>
  <c r="V32"/>
  <c r="U32"/>
  <c r="T32"/>
  <c r="S32"/>
  <c r="R32"/>
  <c r="Q32"/>
  <c r="N32"/>
  <c r="M32"/>
  <c r="F32"/>
  <c r="E32"/>
  <c r="D32"/>
  <c r="C32"/>
  <c r="W31"/>
  <c r="V31"/>
  <c r="U31"/>
  <c r="T31"/>
  <c r="S31"/>
  <c r="R31"/>
  <c r="Q31"/>
  <c r="N31"/>
  <c r="M31"/>
  <c r="F31"/>
  <c r="E31"/>
  <c r="D31"/>
  <c r="C31"/>
  <c r="W30"/>
  <c r="V30"/>
  <c r="U30"/>
  <c r="T30"/>
  <c r="S30"/>
  <c r="R30"/>
  <c r="Q30"/>
  <c r="N30"/>
  <c r="M30"/>
  <c r="F30"/>
  <c r="E30"/>
  <c r="D30"/>
  <c r="C30"/>
  <c r="W29"/>
  <c r="V29"/>
  <c r="U29"/>
  <c r="T29"/>
  <c r="S29"/>
  <c r="R29"/>
  <c r="Q29"/>
  <c r="N29"/>
  <c r="M29"/>
  <c r="F29"/>
  <c r="E29"/>
  <c r="D29"/>
  <c r="C29"/>
  <c r="W28"/>
  <c r="V28"/>
  <c r="U28"/>
  <c r="T28"/>
  <c r="S28"/>
  <c r="R28"/>
  <c r="Q28"/>
  <c r="N28"/>
  <c r="M28"/>
  <c r="F28"/>
  <c r="E28"/>
  <c r="D28"/>
  <c r="C28"/>
  <c r="W27"/>
  <c r="V27"/>
  <c r="U27"/>
  <c r="T27"/>
  <c r="S27"/>
  <c r="R27"/>
  <c r="Q27"/>
  <c r="N27"/>
  <c r="M27"/>
  <c r="F27"/>
  <c r="E27"/>
  <c r="D27"/>
  <c r="C27"/>
  <c r="W26"/>
  <c r="V26"/>
  <c r="U26"/>
  <c r="T26"/>
  <c r="S26"/>
  <c r="R26"/>
  <c r="Q26"/>
  <c r="N26"/>
  <c r="M26"/>
  <c r="F26"/>
  <c r="E26"/>
  <c r="D26"/>
  <c r="C26"/>
  <c r="W25"/>
  <c r="V25"/>
  <c r="U25"/>
  <c r="T25"/>
  <c r="S25"/>
  <c r="R25"/>
  <c r="Q25"/>
  <c r="N25"/>
  <c r="M25"/>
  <c r="F25"/>
  <c r="E25"/>
  <c r="D25"/>
  <c r="C25"/>
  <c r="W24"/>
  <c r="V24"/>
  <c r="U24"/>
  <c r="T24"/>
  <c r="S24"/>
  <c r="R24"/>
  <c r="Q24"/>
  <c r="N24"/>
  <c r="M24"/>
  <c r="F24"/>
  <c r="E24"/>
  <c r="D24"/>
  <c r="C24"/>
  <c r="X22"/>
  <c r="O22"/>
  <c r="P22" s="1"/>
  <c r="X21"/>
  <c r="O21"/>
  <c r="P21" s="1"/>
  <c r="X20"/>
  <c r="O20"/>
  <c r="P20" s="1"/>
  <c r="X19"/>
  <c r="O19"/>
  <c r="P19" s="1"/>
  <c r="X18"/>
  <c r="O18"/>
  <c r="P18" s="1"/>
  <c r="X17"/>
  <c r="O17"/>
  <c r="P17" s="1"/>
  <c r="X16"/>
  <c r="O16"/>
  <c r="P16" s="1"/>
  <c r="X15"/>
  <c r="O15"/>
  <c r="P15" s="1"/>
  <c r="X14"/>
  <c r="O14"/>
  <c r="P14" s="1"/>
  <c r="X13"/>
  <c r="O13"/>
  <c r="P13" s="1"/>
  <c r="X12"/>
  <c r="O12"/>
  <c r="P12" s="1"/>
  <c r="X11"/>
  <c r="O11"/>
  <c r="P11" s="1"/>
  <c r="X10"/>
  <c r="O10"/>
  <c r="P10" s="1"/>
  <c r="X9"/>
  <c r="O9"/>
  <c r="P9" s="1"/>
  <c r="X8"/>
  <c r="O8"/>
  <c r="P8" s="1"/>
  <c r="X7"/>
  <c r="O7"/>
  <c r="P7" s="1"/>
  <c r="O6"/>
  <c r="P6" s="1"/>
  <c r="X6" s="1"/>
  <c r="W5"/>
  <c r="V5"/>
  <c r="U5"/>
  <c r="T5"/>
  <c r="S5"/>
  <c r="R5"/>
  <c r="Q5"/>
  <c r="N5"/>
  <c r="M5"/>
  <c r="F5"/>
  <c r="C5"/>
  <c r="Y337" i="1"/>
  <c r="P337"/>
  <c r="Q337" s="1"/>
  <c r="Y336"/>
  <c r="P336"/>
  <c r="Q336" s="1"/>
  <c r="Y335"/>
  <c r="P335"/>
  <c r="Q335" s="1"/>
  <c r="Y334"/>
  <c r="P334"/>
  <c r="Q334" s="1"/>
  <c r="Y333"/>
  <c r="P333"/>
  <c r="Q333" s="1"/>
  <c r="Y332"/>
  <c r="P332"/>
  <c r="Q332" s="1"/>
  <c r="Y331"/>
  <c r="P331"/>
  <c r="Y330"/>
  <c r="P330"/>
  <c r="Q330" s="1"/>
  <c r="Y329"/>
  <c r="P329"/>
  <c r="Q329" s="1"/>
  <c r="Y328"/>
  <c r="P328"/>
  <c r="Y327"/>
  <c r="P327"/>
  <c r="Q327" s="1"/>
  <c r="Y326"/>
  <c r="P326"/>
  <c r="Q326" s="1"/>
  <c r="Y325"/>
  <c r="P325"/>
  <c r="Y324"/>
  <c r="P324"/>
  <c r="Q324" s="1"/>
  <c r="Y323"/>
  <c r="P323"/>
  <c r="Q323" s="1"/>
  <c r="Y322"/>
  <c r="P322"/>
  <c r="Q322" s="1"/>
  <c r="X321"/>
  <c r="W321"/>
  <c r="V321"/>
  <c r="U321"/>
  <c r="T321"/>
  <c r="S321"/>
  <c r="R321"/>
  <c r="Y321"/>
  <c r="O321"/>
  <c r="N321"/>
  <c r="G321"/>
  <c r="F321"/>
  <c r="E321"/>
  <c r="D321"/>
  <c r="Y320"/>
  <c r="P320"/>
  <c r="Q320" s="1"/>
  <c r="Y319"/>
  <c r="P319"/>
  <c r="Q319" s="1"/>
  <c r="Y318"/>
  <c r="P318"/>
  <c r="Q318" s="1"/>
  <c r="Y317"/>
  <c r="P317"/>
  <c r="Q317" s="1"/>
  <c r="Y316"/>
  <c r="P316"/>
  <c r="Q316" s="1"/>
  <c r="Y315"/>
  <c r="P315"/>
  <c r="Q315" s="1"/>
  <c r="Y314"/>
  <c r="P314"/>
  <c r="Q314" s="1"/>
  <c r="Y313"/>
  <c r="P313"/>
  <c r="Q313" s="1"/>
  <c r="Y312"/>
  <c r="P312"/>
  <c r="Q312" s="1"/>
  <c r="Y311"/>
  <c r="P311"/>
  <c r="Q311" s="1"/>
  <c r="Y310"/>
  <c r="P310"/>
  <c r="Q310" s="1"/>
  <c r="Y309"/>
  <c r="P309"/>
  <c r="Q309" s="1"/>
  <c r="Y308"/>
  <c r="P308"/>
  <c r="Q308" s="1"/>
  <c r="Y307"/>
  <c r="P307"/>
  <c r="Q307" s="1"/>
  <c r="Y306"/>
  <c r="P306"/>
  <c r="Q306" s="1"/>
  <c r="Y305"/>
  <c r="P305"/>
  <c r="Q305" s="1"/>
  <c r="X304"/>
  <c r="W304"/>
  <c r="V304"/>
  <c r="U304"/>
  <c r="T304"/>
  <c r="S304"/>
  <c r="R304"/>
  <c r="Y304"/>
  <c r="O304"/>
  <c r="N304"/>
  <c r="G304"/>
  <c r="F304"/>
  <c r="E304"/>
  <c r="D304"/>
  <c r="Y303"/>
  <c r="P303"/>
  <c r="Q303" s="1"/>
  <c r="Y302"/>
  <c r="P302"/>
  <c r="Q302" s="1"/>
  <c r="Y301"/>
  <c r="P301"/>
  <c r="Q301" s="1"/>
  <c r="Y300"/>
  <c r="P300"/>
  <c r="Q300" s="1"/>
  <c r="Y299"/>
  <c r="P299"/>
  <c r="Q299" s="1"/>
  <c r="Y298"/>
  <c r="P298"/>
  <c r="Q298" s="1"/>
  <c r="Y297"/>
  <c r="P297"/>
  <c r="Q297" s="1"/>
  <c r="Y296"/>
  <c r="P296"/>
  <c r="Q296" s="1"/>
  <c r="Y295"/>
  <c r="P295"/>
  <c r="Q295" s="1"/>
  <c r="Y294"/>
  <c r="P294"/>
  <c r="Q294" s="1"/>
  <c r="Y293"/>
  <c r="P293"/>
  <c r="Q293" s="1"/>
  <c r="Y292"/>
  <c r="P292"/>
  <c r="Q292" s="1"/>
  <c r="Y291"/>
  <c r="P291"/>
  <c r="Q291" s="1"/>
  <c r="Y290"/>
  <c r="P290"/>
  <c r="Q290" s="1"/>
  <c r="Y289"/>
  <c r="P289"/>
  <c r="Y288"/>
  <c r="P288"/>
  <c r="Q288" s="1"/>
  <c r="X287"/>
  <c r="W287"/>
  <c r="V287"/>
  <c r="U287"/>
  <c r="T287"/>
  <c r="S287"/>
  <c r="R287"/>
  <c r="O287"/>
  <c r="N287"/>
  <c r="G287"/>
  <c r="F287"/>
  <c r="E287"/>
  <c r="D287"/>
  <c r="Y286"/>
  <c r="P286"/>
  <c r="Q286" s="1"/>
  <c r="Y285"/>
  <c r="P285"/>
  <c r="Q285" s="1"/>
  <c r="Y284"/>
  <c r="P284"/>
  <c r="Q284" s="1"/>
  <c r="Y283"/>
  <c r="P283"/>
  <c r="Q283" s="1"/>
  <c r="Y282"/>
  <c r="P282"/>
  <c r="Q282" s="1"/>
  <c r="Y281"/>
  <c r="P281"/>
  <c r="Q281" s="1"/>
  <c r="Y280"/>
  <c r="P280"/>
  <c r="Q280" s="1"/>
  <c r="Y279"/>
  <c r="P279"/>
  <c r="Q279" s="1"/>
  <c r="Y278"/>
  <c r="P278"/>
  <c r="Q278" s="1"/>
  <c r="Y277"/>
  <c r="P277"/>
  <c r="Q277" s="1"/>
  <c r="Y276"/>
  <c r="P276"/>
  <c r="Q276" s="1"/>
  <c r="Y275"/>
  <c r="P275"/>
  <c r="Q275" s="1"/>
  <c r="Y274"/>
  <c r="P274"/>
  <c r="Q274" s="1"/>
  <c r="Y273"/>
  <c r="P273"/>
  <c r="Q273" s="1"/>
  <c r="Y272"/>
  <c r="P272"/>
  <c r="Q272" s="1"/>
  <c r="Y271"/>
  <c r="P271"/>
  <c r="Q271" s="1"/>
  <c r="X270"/>
  <c r="W270"/>
  <c r="V270"/>
  <c r="U270"/>
  <c r="T270"/>
  <c r="S270"/>
  <c r="R270"/>
  <c r="Y270" s="1"/>
  <c r="O270"/>
  <c r="N270"/>
  <c r="G270"/>
  <c r="F270"/>
  <c r="E270"/>
  <c r="D270"/>
  <c r="Y269"/>
  <c r="P269"/>
  <c r="Q269" s="1"/>
  <c r="Y268"/>
  <c r="P268"/>
  <c r="Q268" s="1"/>
  <c r="Y267"/>
  <c r="P267"/>
  <c r="Q267" s="1"/>
  <c r="Y266"/>
  <c r="P266"/>
  <c r="Q266" s="1"/>
  <c r="Y265"/>
  <c r="P265"/>
  <c r="Q265" s="1"/>
  <c r="Y264"/>
  <c r="P264"/>
  <c r="Q264" s="1"/>
  <c r="Y263"/>
  <c r="P263"/>
  <c r="Q263" s="1"/>
  <c r="Y262"/>
  <c r="P262"/>
  <c r="Q262" s="1"/>
  <c r="Y261"/>
  <c r="P261"/>
  <c r="Q261" s="1"/>
  <c r="Y260"/>
  <c r="P260"/>
  <c r="Q260" s="1"/>
  <c r="Y259"/>
  <c r="P259"/>
  <c r="Q259" s="1"/>
  <c r="Y258"/>
  <c r="P258"/>
  <c r="Q258" s="1"/>
  <c r="Y257"/>
  <c r="P257"/>
  <c r="Q257" s="1"/>
  <c r="Y256"/>
  <c r="P256"/>
  <c r="Q256" s="1"/>
  <c r="Y255"/>
  <c r="P255"/>
  <c r="Q255" s="1"/>
  <c r="Y254"/>
  <c r="P254"/>
  <c r="Q254" s="1"/>
  <c r="X253"/>
  <c r="W253"/>
  <c r="V253"/>
  <c r="U253"/>
  <c r="T253"/>
  <c r="S253"/>
  <c r="R253"/>
  <c r="O253"/>
  <c r="N253"/>
  <c r="G253"/>
  <c r="F253"/>
  <c r="E253"/>
  <c r="D253"/>
  <c r="Y252"/>
  <c r="P252"/>
  <c r="Q252" s="1"/>
  <c r="Y251"/>
  <c r="P251"/>
  <c r="Q251" s="1"/>
  <c r="Y250"/>
  <c r="P250"/>
  <c r="Q250" s="1"/>
  <c r="Y249"/>
  <c r="P249"/>
  <c r="Q249" s="1"/>
  <c r="Y248"/>
  <c r="P248"/>
  <c r="Q248" s="1"/>
  <c r="Y247"/>
  <c r="P247"/>
  <c r="Q247" s="1"/>
  <c r="Y246"/>
  <c r="P246"/>
  <c r="Q246" s="1"/>
  <c r="Y245"/>
  <c r="P245"/>
  <c r="Q245" s="1"/>
  <c r="Y244"/>
  <c r="P244"/>
  <c r="Q244" s="1"/>
  <c r="Y243"/>
  <c r="P243"/>
  <c r="Q243" s="1"/>
  <c r="Y242"/>
  <c r="P242"/>
  <c r="Q242" s="1"/>
  <c r="Y241"/>
  <c r="P241"/>
  <c r="Q241" s="1"/>
  <c r="Y240"/>
  <c r="P240"/>
  <c r="Q240" s="1"/>
  <c r="Y239"/>
  <c r="P239"/>
  <c r="Q239" s="1"/>
  <c r="Y238"/>
  <c r="P238"/>
  <c r="Q238" s="1"/>
  <c r="Y237"/>
  <c r="P237"/>
  <c r="Q237" s="1"/>
  <c r="X236"/>
  <c r="W236"/>
  <c r="V236"/>
  <c r="U236"/>
  <c r="T236"/>
  <c r="S236"/>
  <c r="R236"/>
  <c r="O236"/>
  <c r="N236"/>
  <c r="G236"/>
  <c r="F236"/>
  <c r="E236"/>
  <c r="D236"/>
  <c r="Y235"/>
  <c r="P235"/>
  <c r="Q235" s="1"/>
  <c r="Y234"/>
  <c r="P234"/>
  <c r="Q234" s="1"/>
  <c r="Y233"/>
  <c r="P233"/>
  <c r="Q233" s="1"/>
  <c r="Y232"/>
  <c r="P232"/>
  <c r="Q232" s="1"/>
  <c r="Y231"/>
  <c r="P231"/>
  <c r="Q231" s="1"/>
  <c r="Y230"/>
  <c r="P230"/>
  <c r="Q230" s="1"/>
  <c r="Y229"/>
  <c r="P229"/>
  <c r="Q229" s="1"/>
  <c r="X228"/>
  <c r="W228"/>
  <c r="V228"/>
  <c r="U228"/>
  <c r="T228"/>
  <c r="S228"/>
  <c r="R228"/>
  <c r="Y228" s="1"/>
  <c r="O228"/>
  <c r="N228"/>
  <c r="G228"/>
  <c r="F228"/>
  <c r="E228"/>
  <c r="D228"/>
  <c r="Y227"/>
  <c r="P227"/>
  <c r="Q227" s="1"/>
  <c r="Y226"/>
  <c r="P226"/>
  <c r="Q226" s="1"/>
  <c r="Y225"/>
  <c r="P225"/>
  <c r="Q225" s="1"/>
  <c r="Y224"/>
  <c r="P224"/>
  <c r="Q224" s="1"/>
  <c r="Y223"/>
  <c r="P223"/>
  <c r="Q223" s="1"/>
  <c r="Y222"/>
  <c r="P222"/>
  <c r="Q222" s="1"/>
  <c r="Y221"/>
  <c r="P221"/>
  <c r="Q221" s="1"/>
  <c r="Y220"/>
  <c r="P220"/>
  <c r="Q220" s="1"/>
  <c r="Y219"/>
  <c r="P219"/>
  <c r="Q219" s="1"/>
  <c r="Y218"/>
  <c r="P218"/>
  <c r="Q218" s="1"/>
  <c r="Y217"/>
  <c r="P217"/>
  <c r="Q217" s="1"/>
  <c r="Y216"/>
  <c r="P216"/>
  <c r="Q216" s="1"/>
  <c r="Y215"/>
  <c r="P215"/>
  <c r="Q215" s="1"/>
  <c r="Y214"/>
  <c r="P214"/>
  <c r="Q214" s="1"/>
  <c r="Y213"/>
  <c r="P213"/>
  <c r="Q213" s="1"/>
  <c r="Y212"/>
  <c r="P212"/>
  <c r="Q212" s="1"/>
  <c r="Y211"/>
  <c r="P211"/>
  <c r="Q211" s="1"/>
  <c r="Y210"/>
  <c r="P210"/>
  <c r="Q210" s="1"/>
  <c r="Y209"/>
  <c r="P209"/>
  <c r="Q209" s="1"/>
  <c r="Y208"/>
  <c r="P208"/>
  <c r="Q208" s="1"/>
  <c r="Y207"/>
  <c r="P207"/>
  <c r="Q207" s="1"/>
  <c r="Y206"/>
  <c r="P206"/>
  <c r="Q206" s="1"/>
  <c r="Y205"/>
  <c r="P205"/>
  <c r="Q205" s="1"/>
  <c r="Y204"/>
  <c r="P204"/>
  <c r="Q204" s="1"/>
  <c r="Y203"/>
  <c r="P203"/>
  <c r="Q203" s="1"/>
  <c r="Y202"/>
  <c r="P202"/>
  <c r="Q202" s="1"/>
  <c r="Y201"/>
  <c r="P201"/>
  <c r="Q201" s="1"/>
  <c r="Y200"/>
  <c r="P200"/>
  <c r="Q200" s="1"/>
  <c r="Y199"/>
  <c r="P199"/>
  <c r="Q199" s="1"/>
  <c r="Y198"/>
  <c r="P198"/>
  <c r="Q198" s="1"/>
  <c r="Y197"/>
  <c r="P197"/>
  <c r="Q197" s="1"/>
  <c r="Y196"/>
  <c r="P196"/>
  <c r="Q196" s="1"/>
  <c r="Y195"/>
  <c r="P195"/>
  <c r="Q195" s="1"/>
  <c r="X194"/>
  <c r="W194"/>
  <c r="V194"/>
  <c r="U194"/>
  <c r="T194"/>
  <c r="S194"/>
  <c r="R194"/>
  <c r="O194"/>
  <c r="N194"/>
  <c r="G194"/>
  <c r="F194"/>
  <c r="E194"/>
  <c r="D194"/>
  <c r="Y193"/>
  <c r="P193"/>
  <c r="Q193" s="1"/>
  <c r="Y192"/>
  <c r="P192"/>
  <c r="Q192" s="1"/>
  <c r="Y191"/>
  <c r="P191"/>
  <c r="Q191" s="1"/>
  <c r="Y190"/>
  <c r="P190"/>
  <c r="Q190" s="1"/>
  <c r="Y189"/>
  <c r="P189"/>
  <c r="Q189" s="1"/>
  <c r="Y188"/>
  <c r="P188"/>
  <c r="Q188" s="1"/>
  <c r="Y187"/>
  <c r="P187"/>
  <c r="Q187" s="1"/>
  <c r="Y186"/>
  <c r="P186"/>
  <c r="Q186" s="1"/>
  <c r="Y185"/>
  <c r="P185"/>
  <c r="Q185" s="1"/>
  <c r="Y184"/>
  <c r="P184"/>
  <c r="Q184" s="1"/>
  <c r="Y183"/>
  <c r="P183"/>
  <c r="Q183" s="1"/>
  <c r="Y182"/>
  <c r="P182"/>
  <c r="Q182" s="1"/>
  <c r="Y181"/>
  <c r="P181"/>
  <c r="Q181" s="1"/>
  <c r="Y180"/>
  <c r="P180"/>
  <c r="Q180" s="1"/>
  <c r="Y179"/>
  <c r="P179"/>
  <c r="Q179" s="1"/>
  <c r="Y178"/>
  <c r="P178"/>
  <c r="Q178" s="1"/>
  <c r="X177"/>
  <c r="W177"/>
  <c r="V177"/>
  <c r="U177"/>
  <c r="T177"/>
  <c r="S177"/>
  <c r="R177"/>
  <c r="Y177"/>
  <c r="O177"/>
  <c r="N177"/>
  <c r="G177"/>
  <c r="F177"/>
  <c r="E177"/>
  <c r="D177"/>
  <c r="Y176"/>
  <c r="P176"/>
  <c r="Q176" s="1"/>
  <c r="Y175"/>
  <c r="P175"/>
  <c r="Q175" s="1"/>
  <c r="Y174"/>
  <c r="P174"/>
  <c r="Q174" s="1"/>
  <c r="Y173"/>
  <c r="P173"/>
  <c r="Q173" s="1"/>
  <c r="Y172"/>
  <c r="P172"/>
  <c r="Q172" s="1"/>
  <c r="Y171"/>
  <c r="P171"/>
  <c r="Q171" s="1"/>
  <c r="Y170"/>
  <c r="P170"/>
  <c r="Q170" s="1"/>
  <c r="Y169"/>
  <c r="P169"/>
  <c r="Q169" s="1"/>
  <c r="Y168"/>
  <c r="P168"/>
  <c r="Q168" s="1"/>
  <c r="Y167"/>
  <c r="P167"/>
  <c r="Q167" s="1"/>
  <c r="Y166"/>
  <c r="P166"/>
  <c r="Q166" s="1"/>
  <c r="Y165"/>
  <c r="P165"/>
  <c r="Q165" s="1"/>
  <c r="Y164"/>
  <c r="P164"/>
  <c r="Q164" s="1"/>
  <c r="Y163"/>
  <c r="P163"/>
  <c r="Q163" s="1"/>
  <c r="Y162"/>
  <c r="P162"/>
  <c r="Q162" s="1"/>
  <c r="Y161"/>
  <c r="P161"/>
  <c r="Q161" s="1"/>
  <c r="X160"/>
  <c r="W160"/>
  <c r="V160"/>
  <c r="U160"/>
  <c r="T160"/>
  <c r="S160"/>
  <c r="Y160" s="1"/>
  <c r="R160"/>
  <c r="O160"/>
  <c r="N160"/>
  <c r="G160"/>
  <c r="F160"/>
  <c r="E160"/>
  <c r="D160"/>
  <c r="Y159"/>
  <c r="P159"/>
  <c r="Q159" s="1"/>
  <c r="Y158"/>
  <c r="P158"/>
  <c r="Q158" s="1"/>
  <c r="Y157"/>
  <c r="P157"/>
  <c r="Q157" s="1"/>
  <c r="Y156"/>
  <c r="P156"/>
  <c r="Q156" s="1"/>
  <c r="Y155"/>
  <c r="P155"/>
  <c r="Q155" s="1"/>
  <c r="Y154"/>
  <c r="P154"/>
  <c r="Q154" s="1"/>
  <c r="Y153"/>
  <c r="P153"/>
  <c r="Q153" s="1"/>
  <c r="Y152"/>
  <c r="P152"/>
  <c r="Q152" s="1"/>
  <c r="Y151"/>
  <c r="P151"/>
  <c r="Q151" s="1"/>
  <c r="Y150"/>
  <c r="P150"/>
  <c r="Q150" s="1"/>
  <c r="Y149"/>
  <c r="P149"/>
  <c r="Q149" s="1"/>
  <c r="Y148"/>
  <c r="P148"/>
  <c r="Q148" s="1"/>
  <c r="Y147"/>
  <c r="P147"/>
  <c r="Q147" s="1"/>
  <c r="Y146"/>
  <c r="P146"/>
  <c r="Q146" s="1"/>
  <c r="Y145"/>
  <c r="P145"/>
  <c r="Q145" s="1"/>
  <c r="Y144"/>
  <c r="P144"/>
  <c r="Q144" s="1"/>
  <c r="X143"/>
  <c r="W143"/>
  <c r="V143"/>
  <c r="U143"/>
  <c r="T143"/>
  <c r="S143"/>
  <c r="R143"/>
  <c r="O143"/>
  <c r="N143"/>
  <c r="G143"/>
  <c r="F143"/>
  <c r="E143"/>
  <c r="D143"/>
  <c r="Y142"/>
  <c r="P142"/>
  <c r="Q142" s="1"/>
  <c r="Y141"/>
  <c r="P141"/>
  <c r="Q141" s="1"/>
  <c r="Y140"/>
  <c r="P140"/>
  <c r="Q140" s="1"/>
  <c r="Y139"/>
  <c r="P139"/>
  <c r="Q139" s="1"/>
  <c r="Y138"/>
  <c r="P138"/>
  <c r="Q138" s="1"/>
  <c r="Y137"/>
  <c r="P137"/>
  <c r="Q137" s="1"/>
  <c r="Y136"/>
  <c r="P136"/>
  <c r="Q136" s="1"/>
  <c r="Y135"/>
  <c r="P135"/>
  <c r="Q135" s="1"/>
  <c r="Y134"/>
  <c r="P134"/>
  <c r="Q134" s="1"/>
  <c r="Y133"/>
  <c r="P133"/>
  <c r="Q133" s="1"/>
  <c r="Y132"/>
  <c r="P132"/>
  <c r="Q132" s="1"/>
  <c r="Y131"/>
  <c r="P131"/>
  <c r="Q131" s="1"/>
  <c r="Y130"/>
  <c r="P130"/>
  <c r="Q130" s="1"/>
  <c r="Y129"/>
  <c r="P129"/>
  <c r="Q129" s="1"/>
  <c r="Y128"/>
  <c r="P128"/>
  <c r="Q128" s="1"/>
  <c r="Y127"/>
  <c r="P127"/>
  <c r="Q127" s="1"/>
  <c r="X126"/>
  <c r="W126"/>
  <c r="V126"/>
  <c r="U126"/>
  <c r="T126"/>
  <c r="S126"/>
  <c r="R126"/>
  <c r="Y126" s="1"/>
  <c r="O126"/>
  <c r="N126"/>
  <c r="G126"/>
  <c r="F126"/>
  <c r="E126"/>
  <c r="D126"/>
  <c r="Y125"/>
  <c r="P125"/>
  <c r="Q125" s="1"/>
  <c r="Y124"/>
  <c r="P124"/>
  <c r="Q124" s="1"/>
  <c r="Y123"/>
  <c r="P123"/>
  <c r="Q123" s="1"/>
  <c r="Y122"/>
  <c r="P122"/>
  <c r="Q122" s="1"/>
  <c r="Y121"/>
  <c r="P121"/>
  <c r="Q121" s="1"/>
  <c r="Y120"/>
  <c r="P120"/>
  <c r="Q120" s="1"/>
  <c r="Y119"/>
  <c r="P119"/>
  <c r="Q119" s="1"/>
  <c r="Y118"/>
  <c r="P118"/>
  <c r="Q118" s="1"/>
  <c r="Y117"/>
  <c r="P117"/>
  <c r="Q117" s="1"/>
  <c r="Y116"/>
  <c r="P116"/>
  <c r="Q116" s="1"/>
  <c r="Y115"/>
  <c r="P115"/>
  <c r="Q115" s="1"/>
  <c r="Y114"/>
  <c r="P114"/>
  <c r="Q114" s="1"/>
  <c r="Y113"/>
  <c r="P113"/>
  <c r="Q113" s="1"/>
  <c r="Y112"/>
  <c r="P112"/>
  <c r="Q112" s="1"/>
  <c r="Y111"/>
  <c r="P111"/>
  <c r="Q111" s="1"/>
  <c r="Y110"/>
  <c r="P110"/>
  <c r="Q110" s="1"/>
  <c r="X109"/>
  <c r="W109"/>
  <c r="V109"/>
  <c r="U109"/>
  <c r="T109"/>
  <c r="S109"/>
  <c r="R109"/>
  <c r="O109"/>
  <c r="N109"/>
  <c r="G109"/>
  <c r="F109"/>
  <c r="E109"/>
  <c r="D109"/>
  <c r="Y108"/>
  <c r="P108"/>
  <c r="Q108" s="1"/>
  <c r="Y107"/>
  <c r="P107"/>
  <c r="Q107" s="1"/>
  <c r="Y106"/>
  <c r="P106"/>
  <c r="Q106" s="1"/>
  <c r="Y105"/>
  <c r="P105"/>
  <c r="Q105" s="1"/>
  <c r="Y104"/>
  <c r="P104"/>
  <c r="Q104" s="1"/>
  <c r="Y103"/>
  <c r="P103"/>
  <c r="Q103" s="1"/>
  <c r="Y102"/>
  <c r="P102"/>
  <c r="Q102" s="1"/>
  <c r="Y101"/>
  <c r="P101"/>
  <c r="Q101" s="1"/>
  <c r="Y100"/>
  <c r="P100"/>
  <c r="Q100" s="1"/>
  <c r="Y99"/>
  <c r="P99"/>
  <c r="Q99" s="1"/>
  <c r="Y98"/>
  <c r="P98"/>
  <c r="Q98" s="1"/>
  <c r="Y97"/>
  <c r="P97"/>
  <c r="Q97" s="1"/>
  <c r="Y96"/>
  <c r="P96"/>
  <c r="Q96" s="1"/>
  <c r="Y95"/>
  <c r="P95"/>
  <c r="Q95" s="1"/>
  <c r="Y94"/>
  <c r="P94"/>
  <c r="Q94" s="1"/>
  <c r="Y93"/>
  <c r="P93"/>
  <c r="Q93" s="1"/>
  <c r="X92"/>
  <c r="W92"/>
  <c r="V92"/>
  <c r="U92"/>
  <c r="T92"/>
  <c r="S92"/>
  <c r="R92"/>
  <c r="O92"/>
  <c r="N92"/>
  <c r="G92"/>
  <c r="F92"/>
  <c r="E22" i="2" s="1"/>
  <c r="E5" s="1"/>
  <c r="E92" i="1"/>
  <c r="D22" i="2" s="1"/>
  <c r="D5" s="1"/>
  <c r="D92" i="1"/>
  <c r="Y91"/>
  <c r="P91"/>
  <c r="Q91" s="1"/>
  <c r="Y90"/>
  <c r="P90"/>
  <c r="Q90" s="1"/>
  <c r="Y89"/>
  <c r="P89"/>
  <c r="Q89" s="1"/>
  <c r="Y88"/>
  <c r="P88"/>
  <c r="Q88" s="1"/>
  <c r="Y87"/>
  <c r="P87"/>
  <c r="Q87" s="1"/>
  <c r="Y86"/>
  <c r="P86"/>
  <c r="Q86" s="1"/>
  <c r="Y85"/>
  <c r="P85"/>
  <c r="Q85" s="1"/>
  <c r="Y84"/>
  <c r="P84"/>
  <c r="Q84" s="1"/>
  <c r="Y83"/>
  <c r="P83"/>
  <c r="Q83" s="1"/>
  <c r="Y82"/>
  <c r="P82"/>
  <c r="Q82" s="1"/>
  <c r="Y81"/>
  <c r="P81"/>
  <c r="Q81" s="1"/>
  <c r="Y80"/>
  <c r="P80"/>
  <c r="Q80" s="1"/>
  <c r="Y79"/>
  <c r="P79"/>
  <c r="Q79" s="1"/>
  <c r="Y78"/>
  <c r="P78"/>
  <c r="Q78" s="1"/>
  <c r="Y77"/>
  <c r="P77"/>
  <c r="Q77" s="1"/>
  <c r="Y76"/>
  <c r="P76"/>
  <c r="Q76" s="1"/>
  <c r="X75"/>
  <c r="W75"/>
  <c r="V75"/>
  <c r="U75"/>
  <c r="T75"/>
  <c r="S75"/>
  <c r="R75"/>
  <c r="O75"/>
  <c r="N75"/>
  <c r="G75"/>
  <c r="F75"/>
  <c r="E75"/>
  <c r="D75"/>
  <c r="Y74"/>
  <c r="P74"/>
  <c r="Q74" s="1"/>
  <c r="Y73"/>
  <c r="P73"/>
  <c r="Q73" s="1"/>
  <c r="Y72"/>
  <c r="P72"/>
  <c r="Q72" s="1"/>
  <c r="Y71"/>
  <c r="P71"/>
  <c r="Q71" s="1"/>
  <c r="Y70"/>
  <c r="P70"/>
  <c r="Q70" s="1"/>
  <c r="Y69"/>
  <c r="P69"/>
  <c r="Q69" s="1"/>
  <c r="Y68"/>
  <c r="P68"/>
  <c r="Q68" s="1"/>
  <c r="Y67"/>
  <c r="P67"/>
  <c r="Q67" s="1"/>
  <c r="Y66"/>
  <c r="P66"/>
  <c r="Q66" s="1"/>
  <c r="Y65"/>
  <c r="P65"/>
  <c r="Q65" s="1"/>
  <c r="Y64"/>
  <c r="P64"/>
  <c r="Q64" s="1"/>
  <c r="Y63"/>
  <c r="P63"/>
  <c r="Y62"/>
  <c r="P62"/>
  <c r="Q62" s="1"/>
  <c r="Y61"/>
  <c r="P61"/>
  <c r="Q61" s="1"/>
  <c r="Y60"/>
  <c r="P60"/>
  <c r="Q60" s="1"/>
  <c r="Y59"/>
  <c r="P59"/>
  <c r="Q59" s="1"/>
  <c r="Y58"/>
  <c r="P58"/>
  <c r="Q58" s="1"/>
  <c r="X57"/>
  <c r="W57"/>
  <c r="V57"/>
  <c r="U57"/>
  <c r="T57"/>
  <c r="S57"/>
  <c r="R57"/>
  <c r="O57"/>
  <c r="N57"/>
  <c r="G57"/>
  <c r="F57"/>
  <c r="E57"/>
  <c r="D57"/>
  <c r="Y56"/>
  <c r="P56"/>
  <c r="Q56" s="1"/>
  <c r="Y55"/>
  <c r="P55"/>
  <c r="Q55" s="1"/>
  <c r="Y54"/>
  <c r="P54"/>
  <c r="Q54" s="1"/>
  <c r="Y53"/>
  <c r="P53"/>
  <c r="Q53" s="1"/>
  <c r="Y52"/>
  <c r="P52"/>
  <c r="Q52" s="1"/>
  <c r="Y51"/>
  <c r="P51"/>
  <c r="Q51" s="1"/>
  <c r="Y50"/>
  <c r="P50"/>
  <c r="Y49"/>
  <c r="P49"/>
  <c r="Q49" s="1"/>
  <c r="Y48"/>
  <c r="P48"/>
  <c r="Q48" s="1"/>
  <c r="Y47"/>
  <c r="P47"/>
  <c r="Q47" s="1"/>
  <c r="Y46"/>
  <c r="P46"/>
  <c r="Q46" s="1"/>
  <c r="Y45"/>
  <c r="P45"/>
  <c r="Q45" s="1"/>
  <c r="Y44"/>
  <c r="P44"/>
  <c r="Q44" s="1"/>
  <c r="Y43"/>
  <c r="P43"/>
  <c r="Q43" s="1"/>
  <c r="Y42"/>
  <c r="P42"/>
  <c r="Q42" s="1"/>
  <c r="Y41"/>
  <c r="P41"/>
  <c r="Q41" s="1"/>
  <c r="X40"/>
  <c r="W40"/>
  <c r="V40"/>
  <c r="U40"/>
  <c r="T40"/>
  <c r="S40"/>
  <c r="R40"/>
  <c r="Y40" s="1"/>
  <c r="O40"/>
  <c r="N40"/>
  <c r="G40"/>
  <c r="F40"/>
  <c r="E40"/>
  <c r="D40"/>
  <c r="Y39"/>
  <c r="P39"/>
  <c r="Q39" s="1"/>
  <c r="Y38"/>
  <c r="P38"/>
  <c r="Q38" s="1"/>
  <c r="Y37"/>
  <c r="P37"/>
  <c r="Q37" s="1"/>
  <c r="Y36"/>
  <c r="P36"/>
  <c r="Q36" s="1"/>
  <c r="Y35"/>
  <c r="P35"/>
  <c r="Q35" s="1"/>
  <c r="Y34"/>
  <c r="P34"/>
  <c r="Q34" s="1"/>
  <c r="Y33"/>
  <c r="P33"/>
  <c r="Q33" s="1"/>
  <c r="Y32"/>
  <c r="P32"/>
  <c r="Q32" s="1"/>
  <c r="Y31"/>
  <c r="P31"/>
  <c r="Q31" s="1"/>
  <c r="Y30"/>
  <c r="P30"/>
  <c r="Q30" s="1"/>
  <c r="Y29"/>
  <c r="P29"/>
  <c r="Q29" s="1"/>
  <c r="Y28"/>
  <c r="P28"/>
  <c r="Q28" s="1"/>
  <c r="Y27"/>
  <c r="P27"/>
  <c r="Q27" s="1"/>
  <c r="Y26"/>
  <c r="P26"/>
  <c r="Y25"/>
  <c r="P25"/>
  <c r="Q25" s="1"/>
  <c r="Y24"/>
  <c r="P24"/>
  <c r="X23"/>
  <c r="W23"/>
  <c r="V23"/>
  <c r="U23"/>
  <c r="T23"/>
  <c r="S23"/>
  <c r="R23"/>
  <c r="O23"/>
  <c r="N23"/>
  <c r="G23"/>
  <c r="F23"/>
  <c r="E23"/>
  <c r="D23"/>
  <c r="Y22"/>
  <c r="P22"/>
  <c r="Q22" s="1"/>
  <c r="Y21"/>
  <c r="P21"/>
  <c r="Y20"/>
  <c r="P20"/>
  <c r="Y19"/>
  <c r="P19"/>
  <c r="Q19" s="1"/>
  <c r="Y18"/>
  <c r="P18"/>
  <c r="Q18" s="1"/>
  <c r="Y17"/>
  <c r="P17"/>
  <c r="Q17" s="1"/>
  <c r="Y16"/>
  <c r="P16"/>
  <c r="Q16" s="1"/>
  <c r="Y15"/>
  <c r="P15"/>
  <c r="Q15" s="1"/>
  <c r="Y14"/>
  <c r="P14"/>
  <c r="Q14" s="1"/>
  <c r="Y13"/>
  <c r="P13"/>
  <c r="Q13" s="1"/>
  <c r="Y12"/>
  <c r="P12"/>
  <c r="Q12" s="1"/>
  <c r="Y11"/>
  <c r="P11"/>
  <c r="Q11" s="1"/>
  <c r="Y10"/>
  <c r="P10"/>
  <c r="Q10" s="1"/>
  <c r="Y9"/>
  <c r="P9"/>
  <c r="Y8"/>
  <c r="P8"/>
  <c r="Q8" s="1"/>
  <c r="Y7"/>
  <c r="P7"/>
  <c r="Q7" s="1"/>
  <c r="X6"/>
  <c r="W6"/>
  <c r="V6"/>
  <c r="U6"/>
  <c r="T6"/>
  <c r="S6"/>
  <c r="R6"/>
  <c r="O6"/>
  <c r="O338" s="1"/>
  <c r="N6"/>
  <c r="G6"/>
  <c r="F6"/>
  <c r="E6"/>
  <c r="E338" s="1"/>
  <c r="D6"/>
  <c r="Y92" l="1"/>
  <c r="Z92" s="1"/>
  <c r="AA92" s="1"/>
  <c r="P253"/>
  <c r="J67" i="2"/>
  <c r="K67"/>
  <c r="I67"/>
  <c r="X338" i="1"/>
  <c r="D338"/>
  <c r="N338"/>
  <c r="W338"/>
  <c r="Z20"/>
  <c r="AA20" s="1"/>
  <c r="Q253"/>
  <c r="Z247"/>
  <c r="AA247" s="1"/>
  <c r="Z325"/>
  <c r="AA325" s="1"/>
  <c r="Z331"/>
  <c r="AA331" s="1"/>
  <c r="G338"/>
  <c r="P143"/>
  <c r="P228"/>
  <c r="Q228" s="1"/>
  <c r="Y236"/>
  <c r="Z246"/>
  <c r="AA246" s="1"/>
  <c r="X63" i="2"/>
  <c r="Y6" i="1"/>
  <c r="Q20"/>
  <c r="Z47"/>
  <c r="AA47" s="1"/>
  <c r="Z184"/>
  <c r="AA184" s="1"/>
  <c r="Z229"/>
  <c r="AA229" s="1"/>
  <c r="P236"/>
  <c r="Q236" s="1"/>
  <c r="P287"/>
  <c r="Q287" s="1"/>
  <c r="H67" i="2"/>
  <c r="Z9" i="1"/>
  <c r="AA9" s="1"/>
  <c r="P109"/>
  <c r="Q109" s="1"/>
  <c r="Z289"/>
  <c r="AA289" s="1"/>
  <c r="Z73"/>
  <c r="AA73" s="1"/>
  <c r="Z224"/>
  <c r="AA224" s="1"/>
  <c r="Z275"/>
  <c r="AA275" s="1"/>
  <c r="Z285"/>
  <c r="AA285" s="1"/>
  <c r="Z52"/>
  <c r="AA52" s="1"/>
  <c r="Z77"/>
  <c r="AA77" s="1"/>
  <c r="Z153"/>
  <c r="AA153" s="1"/>
  <c r="Z159"/>
  <c r="AA159" s="1"/>
  <c r="Z163"/>
  <c r="AA163" s="1"/>
  <c r="Z167"/>
  <c r="AA167" s="1"/>
  <c r="Z171"/>
  <c r="AA171" s="1"/>
  <c r="Z175"/>
  <c r="AA175" s="1"/>
  <c r="Z235"/>
  <c r="AA235" s="1"/>
  <c r="Q289"/>
  <c r="Z305"/>
  <c r="AA305" s="1"/>
  <c r="Z311"/>
  <c r="AA311" s="1"/>
  <c r="Z315"/>
  <c r="AA315" s="1"/>
  <c r="R23" i="2"/>
  <c r="O45"/>
  <c r="P45" s="1"/>
  <c r="G67"/>
  <c r="Z24" i="1"/>
  <c r="AA24" s="1"/>
  <c r="Z26"/>
  <c r="AA26" s="1"/>
  <c r="P40"/>
  <c r="Q40" s="1"/>
  <c r="P92"/>
  <c r="Q92" s="1"/>
  <c r="P126"/>
  <c r="Q126" s="1"/>
  <c r="P160"/>
  <c r="Q160" s="1"/>
  <c r="P177"/>
  <c r="Y194"/>
  <c r="P304"/>
  <c r="Q304" s="1"/>
  <c r="W51" i="2"/>
  <c r="F338" i="1"/>
  <c r="Z11"/>
  <c r="AA11" s="1"/>
  <c r="Z21"/>
  <c r="AA21" s="1"/>
  <c r="P57"/>
  <c r="Q57" s="1"/>
  <c r="Z63"/>
  <c r="AA63" s="1"/>
  <c r="P75"/>
  <c r="Q75" s="1"/>
  <c r="Z115"/>
  <c r="AA115" s="1"/>
  <c r="Z117"/>
  <c r="AA117" s="1"/>
  <c r="Z119"/>
  <c r="AA119" s="1"/>
  <c r="Z140"/>
  <c r="AA140" s="1"/>
  <c r="P194"/>
  <c r="Q194" s="1"/>
  <c r="Z220"/>
  <c r="AA220" s="1"/>
  <c r="Z254"/>
  <c r="AA254" s="1"/>
  <c r="Z256"/>
  <c r="AA256" s="1"/>
  <c r="Z262"/>
  <c r="AA262" s="1"/>
  <c r="P321"/>
  <c r="Z321" s="1"/>
  <c r="AA321" s="1"/>
  <c r="P23"/>
  <c r="Q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P270"/>
  <c r="Q270" s="1"/>
  <c r="Z328"/>
  <c r="AA328" s="1"/>
  <c r="Z323"/>
  <c r="AA323" s="1"/>
  <c r="X44" i="2"/>
  <c r="Q177" i="1"/>
  <c r="Z7"/>
  <c r="AA7" s="1"/>
  <c r="Q9"/>
  <c r="Q21"/>
  <c r="Q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Z324"/>
  <c r="AA324" s="1"/>
  <c r="Q328"/>
  <c r="Z337"/>
  <c r="AA337" s="1"/>
  <c r="X48" i="2"/>
  <c r="F51"/>
  <c r="Q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Q331"/>
  <c r="T51" i="2"/>
  <c r="X24"/>
  <c r="C38"/>
  <c r="M38"/>
  <c r="X40"/>
  <c r="M23"/>
  <c r="Q23"/>
  <c r="Q38"/>
  <c r="U38"/>
  <c r="N51"/>
  <c r="F38"/>
  <c r="O49"/>
  <c r="C51"/>
  <c r="M51"/>
  <c r="O66"/>
  <c r="P66" s="1"/>
  <c r="T38"/>
  <c r="O41"/>
  <c r="P41" s="1"/>
  <c r="O61"/>
  <c r="P61" s="1"/>
  <c r="N23"/>
  <c r="V23"/>
  <c r="W23"/>
  <c r="N38"/>
  <c r="R38"/>
  <c r="V38"/>
  <c r="U51"/>
  <c r="O53"/>
  <c r="P53" s="1"/>
  <c r="Q143" i="1"/>
  <c r="P6"/>
  <c r="Q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O24" i="2"/>
  <c r="P24" s="1"/>
  <c r="T23"/>
  <c r="C23"/>
  <c r="U23"/>
  <c r="O28"/>
  <c r="P28" s="1"/>
  <c r="O32"/>
  <c r="O36"/>
  <c r="P36" s="1"/>
  <c r="O54"/>
  <c r="O58"/>
  <c r="P58" s="1"/>
  <c r="O65"/>
  <c r="Z10" i="1"/>
  <c r="AA10" s="1"/>
  <c r="Z16"/>
  <c r="AA16" s="1"/>
  <c r="Q24"/>
  <c r="Z29"/>
  <c r="AA29" s="1"/>
  <c r="Z36"/>
  <c r="AA36" s="1"/>
  <c r="Z46"/>
  <c r="AA46" s="1"/>
  <c r="Q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Q325"/>
  <c r="Z327"/>
  <c r="AA327" s="1"/>
  <c r="Z336"/>
  <c r="AA336" s="1"/>
  <c r="S23" i="2"/>
  <c r="Y7" i="3"/>
  <c r="Z7" s="1"/>
  <c r="Y23" i="1"/>
  <c r="Z23" s="1"/>
  <c r="AA23" s="1"/>
  <c r="Y57"/>
  <c r="Z61"/>
  <c r="AA61" s="1"/>
  <c r="Q63"/>
  <c r="Z103"/>
  <c r="AA103" s="1"/>
  <c r="Z249"/>
  <c r="AA249" s="1"/>
  <c r="Z252"/>
  <c r="AA252" s="1"/>
  <c r="W38" i="2"/>
  <c r="Z40" i="1"/>
  <c r="AA40" s="1"/>
  <c r="U338"/>
  <c r="Z177"/>
  <c r="AA177" s="1"/>
  <c r="Z228"/>
  <c r="AA228" s="1"/>
  <c r="Z236"/>
  <c r="AA236" s="1"/>
  <c r="V51" i="2"/>
  <c r="V67" s="1"/>
  <c r="O57"/>
  <c r="P57" s="1"/>
  <c r="Z30" i="1"/>
  <c r="AA30" s="1"/>
  <c r="Z48"/>
  <c r="AA48" s="1"/>
  <c r="O25" i="2"/>
  <c r="P25" s="1"/>
  <c r="X28"/>
  <c r="Y28" s="1"/>
  <c r="Z28" s="1"/>
  <c r="O29"/>
  <c r="P29" s="1"/>
  <c r="O33"/>
  <c r="X33"/>
  <c r="O37"/>
  <c r="P37" s="1"/>
  <c r="X37"/>
  <c r="O42"/>
  <c r="P42" s="1"/>
  <c r="O46"/>
  <c r="O50"/>
  <c r="P50" s="1"/>
  <c r="O62"/>
  <c r="Z38" i="1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X25"/>
  <c r="O26"/>
  <c r="O30"/>
  <c r="P30" s="1"/>
  <c r="X30"/>
  <c r="O34"/>
  <c r="P34" s="1"/>
  <c r="O39"/>
  <c r="P39" s="1"/>
  <c r="O43"/>
  <c r="P43" s="1"/>
  <c r="O47"/>
  <c r="P47" s="1"/>
  <c r="O55"/>
  <c r="P55" s="1"/>
  <c r="O59"/>
  <c r="P59" s="1"/>
  <c r="O63"/>
  <c r="Y63" s="1"/>
  <c r="Z63" s="1"/>
  <c r="O9" i="3"/>
  <c r="P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O27" i="2"/>
  <c r="P27" s="1"/>
  <c r="O31"/>
  <c r="P31" s="1"/>
  <c r="O35"/>
  <c r="P35" s="1"/>
  <c r="S38"/>
  <c r="O40"/>
  <c r="O44"/>
  <c r="Y44" s="1"/>
  <c r="Z44" s="1"/>
  <c r="O48"/>
  <c r="P48" s="1"/>
  <c r="O52"/>
  <c r="R51"/>
  <c r="O56"/>
  <c r="P56" s="1"/>
  <c r="O60"/>
  <c r="P60" s="1"/>
  <c r="O64"/>
  <c r="X9" i="3"/>
  <c r="V338" i="1"/>
  <c r="X41" i="2"/>
  <c r="X45"/>
  <c r="X49"/>
  <c r="X42"/>
  <c r="X46"/>
  <c r="X50"/>
  <c r="X39"/>
  <c r="X43"/>
  <c r="X47"/>
  <c r="S51"/>
  <c r="X53"/>
  <c r="Y53" s="1"/>
  <c r="Z53" s="1"/>
  <c r="X57"/>
  <c r="X52"/>
  <c r="X56"/>
  <c r="X60"/>
  <c r="X61"/>
  <c r="X64"/>
  <c r="X65"/>
  <c r="Y65" s="1"/>
  <c r="Z65" s="1"/>
  <c r="X66"/>
  <c r="X54"/>
  <c r="X58"/>
  <c r="X62"/>
  <c r="X55"/>
  <c r="X59"/>
  <c r="X32"/>
  <c r="Y32" s="1"/>
  <c r="Z32" s="1"/>
  <c r="X36"/>
  <c r="X29"/>
  <c r="Y29" s="1"/>
  <c r="Z29" s="1"/>
  <c r="X34"/>
  <c r="Y34" s="1"/>
  <c r="Z34" s="1"/>
  <c r="X26"/>
  <c r="X27"/>
  <c r="X31"/>
  <c r="X35"/>
  <c r="Y287" i="1"/>
  <c r="Z287" s="1"/>
  <c r="AA287" s="1"/>
  <c r="T338"/>
  <c r="S338"/>
  <c r="R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P6"/>
  <c r="Y5"/>
  <c r="Z5" s="1"/>
  <c r="O5" i="2"/>
  <c r="P5" s="1"/>
  <c r="P49"/>
  <c r="P32"/>
  <c r="P64"/>
  <c r="P65"/>
  <c r="P338" i="1"/>
  <c r="Z211"/>
  <c r="AA211" s="1"/>
  <c r="O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Y58" l="1"/>
  <c r="Z58" s="1"/>
  <c r="Y61"/>
  <c r="Z61" s="1"/>
  <c r="C67"/>
  <c r="T67"/>
  <c r="Y40"/>
  <c r="Z40" s="1"/>
  <c r="Z57" i="1"/>
  <c r="AA57" s="1"/>
  <c r="Q321"/>
  <c r="Y56" i="2"/>
  <c r="Z56" s="1"/>
  <c r="Y35"/>
  <c r="Z35" s="1"/>
  <c r="W67"/>
  <c r="Y50"/>
  <c r="Z50" s="1"/>
  <c r="Y45"/>
  <c r="Z45" s="1"/>
  <c r="Y41"/>
  <c r="Z41" s="1"/>
  <c r="U67"/>
  <c r="Q67"/>
  <c r="Y52"/>
  <c r="Z52" s="1"/>
  <c r="M67"/>
  <c r="Y46"/>
  <c r="Z46" s="1"/>
  <c r="P46"/>
  <c r="Y66"/>
  <c r="Z66" s="1"/>
  <c r="F67"/>
  <c r="P63"/>
  <c r="Y43"/>
  <c r="Z43" s="1"/>
  <c r="Y26"/>
  <c r="Z26" s="1"/>
  <c r="Y33"/>
  <c r="Z33" s="1"/>
  <c r="N67"/>
  <c r="Z304" i="1"/>
  <c r="AA304" s="1"/>
  <c r="Y39" i="2"/>
  <c r="Z39" s="1"/>
  <c r="Y27"/>
  <c r="Z27" s="1"/>
  <c r="Y57"/>
  <c r="Z57" s="1"/>
  <c r="Y54"/>
  <c r="Z54" s="1"/>
  <c r="Y49"/>
  <c r="Z49" s="1"/>
  <c r="P44"/>
  <c r="P26"/>
  <c r="Y25"/>
  <c r="Z25" s="1"/>
  <c r="Y30"/>
  <c r="Z30" s="1"/>
  <c r="P33"/>
  <c r="Y62"/>
  <c r="Z62" s="1"/>
  <c r="Y37"/>
  <c r="Z37" s="1"/>
  <c r="R67"/>
  <c r="Y48"/>
  <c r="Z48" s="1"/>
  <c r="P62"/>
  <c r="X51"/>
  <c r="Y24"/>
  <c r="Y47"/>
  <c r="Z47" s="1"/>
  <c r="P54"/>
  <c r="O23"/>
  <c r="P23" s="1"/>
  <c r="Y31"/>
  <c r="Z31" s="1"/>
  <c r="X38"/>
  <c r="P40"/>
  <c r="Y36"/>
  <c r="Z36" s="1"/>
  <c r="Z126" i="1"/>
  <c r="AA126" s="1"/>
  <c r="O51" i="2"/>
  <c r="P51" s="1"/>
  <c r="P52"/>
  <c r="Y42"/>
  <c r="Z42" s="1"/>
  <c r="Y9" i="3"/>
  <c r="Z9" s="1"/>
  <c r="O22"/>
  <c r="P22" s="1"/>
  <c r="Y64" i="2"/>
  <c r="Z64" s="1"/>
  <c r="X23"/>
  <c r="Y60"/>
  <c r="Z60" s="1"/>
  <c r="S67"/>
  <c r="Y59"/>
  <c r="Z59" s="1"/>
  <c r="O38"/>
  <c r="P38" s="1"/>
  <c r="Y55"/>
  <c r="Z55" s="1"/>
  <c r="Y338" i="1"/>
  <c r="Z338" s="1"/>
  <c r="AA338" s="1"/>
  <c r="Z24" i="2"/>
  <c r="P10" i="3"/>
  <c r="X22"/>
  <c r="Y10"/>
  <c r="Z5" i="2"/>
  <c r="Y5"/>
  <c r="X67" l="1"/>
  <c r="Z23"/>
  <c r="Z38"/>
  <c r="O67"/>
  <c r="P67" s="1"/>
  <c r="Y38"/>
  <c r="Y23"/>
  <c r="Y51"/>
  <c r="Z51"/>
  <c r="Z10" i="3"/>
  <c r="Z22" s="1"/>
  <c r="Y22"/>
  <c r="Y67" i="2" l="1"/>
  <c r="Z67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<sst xmlns="http://schemas.openxmlformats.org/spreadsheetml/2006/main" count="1480" uniqueCount="133">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</sst>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topLeftCell="C1" zoomScale="90" zoomScaleNormal="90" workbookViewId="0">
      <pane ySplit="5" topLeftCell="A6" activePane="bottomLeft" state="frozen"/>
      <selection pane="bottomLeft" activeCell="C4" sqref="C4:C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5" width="11.42578125" customWidth="1"/>
    <col min="16" max="16" width="12" customWidth="1"/>
    <col min="17" max="17" width="11.85546875" customWidth="1"/>
    <col min="18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P3" s="1"/>
      <c r="Y3" s="1"/>
      <c r="Z3" s="1"/>
      <c r="AA3" s="1"/>
    </row>
    <row r="4" spans="1:27" ht="30" customHeight="1">
      <c r="A4" s="228" t="s">
        <v>1</v>
      </c>
      <c r="B4" s="230" t="s">
        <v>2</v>
      </c>
      <c r="C4" s="230" t="s">
        <v>3</v>
      </c>
      <c r="D4" s="232" t="s">
        <v>4</v>
      </c>
      <c r="E4" s="232" t="s">
        <v>5</v>
      </c>
      <c r="F4" s="232" t="s">
        <v>6</v>
      </c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24" t="s">
        <v>132</v>
      </c>
      <c r="R4" s="234"/>
      <c r="S4" s="234"/>
      <c r="T4" s="235"/>
      <c r="U4" s="236" t="s">
        <v>9</v>
      </c>
      <c r="V4" s="235"/>
      <c r="W4" s="238" t="s">
        <v>10</v>
      </c>
      <c r="X4" s="237" t="s">
        <v>11</v>
      </c>
      <c r="Y4" s="222" t="s">
        <v>12</v>
      </c>
      <c r="Z4" s="222" t="s">
        <v>13</v>
      </c>
      <c r="AA4" s="226" t="s">
        <v>14</v>
      </c>
    </row>
    <row r="5" spans="1:27" ht="41.25" customHeight="1">
      <c r="A5" s="229"/>
      <c r="B5" s="231"/>
      <c r="C5" s="231"/>
      <c r="D5" s="233"/>
      <c r="E5" s="233"/>
      <c r="F5" s="233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18</v>
      </c>
      <c r="Q5" s="225"/>
      <c r="R5" s="190" t="s">
        <v>25</v>
      </c>
      <c r="S5" s="118" t="s">
        <v>26</v>
      </c>
      <c r="T5" s="118" t="s">
        <v>27</v>
      </c>
      <c r="U5" s="81">
        <v>276</v>
      </c>
      <c r="V5" s="81">
        <v>728</v>
      </c>
      <c r="W5" s="239"/>
      <c r="X5" s="237"/>
      <c r="Y5" s="223"/>
      <c r="Z5" s="223"/>
      <c r="AA5" s="227"/>
    </row>
    <row r="6" spans="1:27" s="108" customFormat="1" ht="13.5" customHeight="1">
      <c r="A6" s="191" t="s">
        <v>28</v>
      </c>
      <c r="B6" s="179"/>
      <c r="C6" s="128"/>
      <c r="D6" s="129">
        <f t="shared" ref="D6:O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M6" si="1">SUBTOTAL(9,H7:H22)</f>
        <v>0</v>
      </c>
      <c r="I6" s="130">
        <f t="shared" si="1"/>
        <v>0</v>
      </c>
      <c r="J6" s="130">
        <f t="shared" si="1"/>
        <v>0</v>
      </c>
      <c r="K6" s="130">
        <f t="shared" si="1"/>
        <v>0</v>
      </c>
      <c r="L6" s="130">
        <f t="shared" si="1"/>
        <v>0</v>
      </c>
      <c r="M6" s="130">
        <f t="shared" si="1"/>
        <v>0</v>
      </c>
      <c r="N6" s="130">
        <f t="shared" si="0"/>
        <v>0</v>
      </c>
      <c r="O6" s="130">
        <f t="shared" si="0"/>
        <v>0</v>
      </c>
      <c r="P6" s="107">
        <f t="shared" ref="P6:P69" si="2">SUM(G6:O6)</f>
        <v>0</v>
      </c>
      <c r="Q6" s="107">
        <f t="shared" ref="Q6:Q69" si="3">D6-P6</f>
        <v>0</v>
      </c>
      <c r="R6" s="130">
        <f t="shared" ref="R6:X6" si="4">SUBTOTAL(9,R7:R22)</f>
        <v>0</v>
      </c>
      <c r="S6" s="130">
        <f t="shared" si="4"/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SUM(R6:X6)</f>
        <v>0</v>
      </c>
      <c r="Z6" s="56">
        <f>+P6+Y6</f>
        <v>0</v>
      </c>
      <c r="AA6" s="131">
        <f>+D6-Z6</f>
        <v>0</v>
      </c>
    </row>
    <row r="7" spans="1:27" s="138" customFormat="1" ht="13.5" customHeight="1">
      <c r="A7" s="217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66"/>
      <c r="M7" s="66"/>
      <c r="N7" s="66"/>
      <c r="O7" s="66"/>
      <c r="P7" s="133">
        <f t="shared" si="2"/>
        <v>0</v>
      </c>
      <c r="Q7" s="134">
        <f t="shared" si="3"/>
        <v>0</v>
      </c>
      <c r="R7" s="132"/>
      <c r="S7" s="132"/>
      <c r="T7" s="132"/>
      <c r="U7" s="135">
        <v>0</v>
      </c>
      <c r="V7" s="135">
        <v>0</v>
      </c>
      <c r="W7" s="135"/>
      <c r="X7" s="132"/>
      <c r="Y7" s="136">
        <f>SUM(R7:X7)</f>
        <v>0</v>
      </c>
      <c r="Z7" s="136">
        <f>+P7+Y7</f>
        <v>0</v>
      </c>
      <c r="AA7" s="137">
        <f>+D7-Z7</f>
        <v>0</v>
      </c>
    </row>
    <row r="8" spans="1:27" s="138" customFormat="1" ht="13.5" customHeight="1">
      <c r="A8" s="217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68"/>
      <c r="M8" s="68"/>
      <c r="N8" s="68"/>
      <c r="O8" s="68"/>
      <c r="P8" s="140">
        <f t="shared" si="2"/>
        <v>0</v>
      </c>
      <c r="Q8" s="141">
        <f t="shared" si="3"/>
        <v>0</v>
      </c>
      <c r="R8" s="139"/>
      <c r="S8" s="139"/>
      <c r="T8" s="139"/>
      <c r="U8" s="142">
        <v>0</v>
      </c>
      <c r="V8" s="142">
        <v>0</v>
      </c>
      <c r="W8" s="142"/>
      <c r="X8" s="139"/>
      <c r="Y8" s="136">
        <f>SUM(R8:X8)</f>
        <v>0</v>
      </c>
      <c r="Z8" s="136">
        <f>+P8+Y8</f>
        <v>0</v>
      </c>
      <c r="AA8" s="137">
        <f>+D8-Z8</f>
        <v>0</v>
      </c>
    </row>
    <row r="9" spans="1:27" s="138" customFormat="1" ht="13.5" customHeight="1">
      <c r="A9" s="217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68"/>
      <c r="M9" s="68"/>
      <c r="N9" s="68"/>
      <c r="O9" s="68"/>
      <c r="P9" s="140">
        <f t="shared" si="2"/>
        <v>0</v>
      </c>
      <c r="Q9" s="141">
        <f t="shared" si="3"/>
        <v>0</v>
      </c>
      <c r="R9" s="139"/>
      <c r="S9" s="139"/>
      <c r="T9" s="139"/>
      <c r="U9" s="142">
        <v>0</v>
      </c>
      <c r="V9" s="142">
        <v>0</v>
      </c>
      <c r="W9" s="142"/>
      <c r="X9" s="139"/>
      <c r="Y9" s="136">
        <f>SUM(R9:X9)</f>
        <v>0</v>
      </c>
      <c r="Z9" s="136">
        <f>+P9+Y9</f>
        <v>0</v>
      </c>
      <c r="AA9" s="137">
        <f>+D9-Z9</f>
        <v>0</v>
      </c>
    </row>
    <row r="10" spans="1:27" s="138" customFormat="1" ht="13.5" customHeight="1">
      <c r="A10" s="217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68"/>
      <c r="M10" s="68"/>
      <c r="N10" s="68"/>
      <c r="O10" s="68"/>
      <c r="P10" s="140">
        <f t="shared" si="2"/>
        <v>0</v>
      </c>
      <c r="Q10" s="141">
        <f t="shared" si="3"/>
        <v>0</v>
      </c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>SUM(R10:X10)</f>
        <v>0</v>
      </c>
      <c r="Z10" s="136">
        <f>+P10+Y10</f>
        <v>0</v>
      </c>
      <c r="AA10" s="137">
        <f>+D10-Z10</f>
        <v>0</v>
      </c>
    </row>
    <row r="11" spans="1:27" s="138" customFormat="1" ht="13.5" customHeight="1">
      <c r="A11" s="217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68"/>
      <c r="M11" s="68"/>
      <c r="N11" s="68"/>
      <c r="O11" s="68"/>
      <c r="P11" s="140">
        <f t="shared" si="2"/>
        <v>0</v>
      </c>
      <c r="Q11" s="141">
        <f t="shared" si="3"/>
        <v>0</v>
      </c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>SUM(R11:X11)</f>
        <v>0</v>
      </c>
      <c r="Z11" s="136">
        <f>+P11+Y11</f>
        <v>0</v>
      </c>
      <c r="AA11" s="137">
        <f>+D11-Z11</f>
        <v>0</v>
      </c>
    </row>
    <row r="12" spans="1:27" s="138" customFormat="1" ht="13.5" customHeight="1">
      <c r="A12" s="217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68"/>
      <c r="M12" s="68"/>
      <c r="N12" s="68"/>
      <c r="O12" s="68"/>
      <c r="P12" s="140">
        <f t="shared" si="2"/>
        <v>0</v>
      </c>
      <c r="Q12" s="141">
        <f t="shared" si="3"/>
        <v>0</v>
      </c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>SUM(R12:X12)</f>
        <v>0</v>
      </c>
      <c r="Z12" s="136">
        <f>+P12+Y12</f>
        <v>0</v>
      </c>
      <c r="AA12" s="137">
        <f>+D12-Z12</f>
        <v>0</v>
      </c>
    </row>
    <row r="13" spans="1:27" s="138" customFormat="1" ht="13.5" customHeight="1">
      <c r="A13" s="217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68"/>
      <c r="M13" s="68"/>
      <c r="N13" s="68"/>
      <c r="O13" s="68"/>
      <c r="P13" s="140">
        <f t="shared" si="2"/>
        <v>0</v>
      </c>
      <c r="Q13" s="141">
        <f t="shared" si="3"/>
        <v>0</v>
      </c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>SUM(R13:X13)</f>
        <v>0</v>
      </c>
      <c r="Z13" s="136">
        <f>+P13+Y13</f>
        <v>0</v>
      </c>
      <c r="AA13" s="137">
        <f>+D13-Z13</f>
        <v>0</v>
      </c>
    </row>
    <row r="14" spans="1:27" s="138" customFormat="1" ht="13.5" customHeight="1">
      <c r="A14" s="217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69"/>
      <c r="M14" s="69"/>
      <c r="N14" s="69"/>
      <c r="O14" s="69"/>
      <c r="P14" s="140">
        <f t="shared" si="2"/>
        <v>0</v>
      </c>
      <c r="Q14" s="141">
        <f t="shared" si="3"/>
        <v>0</v>
      </c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>SUM(R14:X14)</f>
        <v>0</v>
      </c>
      <c r="Z14" s="136">
        <f>+P14+Y14</f>
        <v>0</v>
      </c>
      <c r="AA14" s="137">
        <f>+D14-Z14</f>
        <v>0</v>
      </c>
    </row>
    <row r="15" spans="1:27" s="138" customFormat="1" ht="13.5" customHeight="1">
      <c r="A15" s="217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69"/>
      <c r="M15" s="69"/>
      <c r="N15" s="69"/>
      <c r="O15" s="69"/>
      <c r="P15" s="140">
        <f t="shared" si="2"/>
        <v>0</v>
      </c>
      <c r="Q15" s="141">
        <f t="shared" si="3"/>
        <v>0</v>
      </c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>SUM(R15:X15)</f>
        <v>0</v>
      </c>
      <c r="Z15" s="136">
        <f>+P15+Y15</f>
        <v>0</v>
      </c>
      <c r="AA15" s="137">
        <f>+D15-Z15</f>
        <v>0</v>
      </c>
    </row>
    <row r="16" spans="1:27" s="138" customFormat="1" ht="13.5" customHeight="1">
      <c r="A16" s="217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69"/>
      <c r="M16" s="69"/>
      <c r="N16" s="69"/>
      <c r="O16" s="69"/>
      <c r="P16" s="140">
        <f t="shared" si="2"/>
        <v>0</v>
      </c>
      <c r="Q16" s="141">
        <f t="shared" si="3"/>
        <v>0</v>
      </c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>SUM(R16:X16)</f>
        <v>0</v>
      </c>
      <c r="Z16" s="136">
        <f>+P16+Y16</f>
        <v>0</v>
      </c>
      <c r="AA16" s="137">
        <f>+D16-Z16</f>
        <v>0</v>
      </c>
    </row>
    <row r="17" spans="1:27" s="138" customFormat="1" ht="13.5" customHeight="1">
      <c r="A17" s="217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69"/>
      <c r="M17" s="69"/>
      <c r="N17" s="69"/>
      <c r="O17" s="69"/>
      <c r="P17" s="140">
        <f t="shared" si="2"/>
        <v>0</v>
      </c>
      <c r="Q17" s="141">
        <f t="shared" si="3"/>
        <v>0</v>
      </c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>SUM(R17:X17)</f>
        <v>0</v>
      </c>
      <c r="Z17" s="136">
        <f>+P17+Y17</f>
        <v>0</v>
      </c>
      <c r="AA17" s="137">
        <f>+D17-Z17</f>
        <v>0</v>
      </c>
    </row>
    <row r="18" spans="1:27" s="138" customFormat="1" ht="13.5" customHeight="1">
      <c r="A18" s="217" t="s">
        <v>28</v>
      </c>
      <c r="B18" s="192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69"/>
      <c r="M18" s="69"/>
      <c r="N18" s="69"/>
      <c r="O18" s="69"/>
      <c r="P18" s="140">
        <f t="shared" si="2"/>
        <v>0</v>
      </c>
      <c r="Q18" s="141">
        <f t="shared" si="3"/>
        <v>0</v>
      </c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>SUM(R18:X18)</f>
        <v>0</v>
      </c>
      <c r="Z18" s="136">
        <f>+P18+Y18</f>
        <v>0</v>
      </c>
      <c r="AA18" s="137">
        <f>+D18-Z18</f>
        <v>0</v>
      </c>
    </row>
    <row r="19" spans="1:27" s="138" customFormat="1" ht="13.5" customHeight="1">
      <c r="A19" s="217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69"/>
      <c r="M19" s="69"/>
      <c r="N19" s="69"/>
      <c r="O19" s="69"/>
      <c r="P19" s="140">
        <f t="shared" si="2"/>
        <v>0</v>
      </c>
      <c r="Q19" s="141">
        <f t="shared" si="3"/>
        <v>0</v>
      </c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>SUM(R19:X19)</f>
        <v>0</v>
      </c>
      <c r="Z19" s="136">
        <f>+P19+Y19</f>
        <v>0</v>
      </c>
      <c r="AA19" s="137">
        <f>+D19-Z19</f>
        <v>0</v>
      </c>
    </row>
    <row r="20" spans="1:27" s="138" customFormat="1" ht="13.5" customHeight="1">
      <c r="A20" s="217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68"/>
      <c r="M20" s="68"/>
      <c r="N20" s="68"/>
      <c r="O20" s="68"/>
      <c r="P20" s="140">
        <f t="shared" si="2"/>
        <v>0</v>
      </c>
      <c r="Q20" s="141">
        <f t="shared" si="3"/>
        <v>0</v>
      </c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>SUM(R20:X20)</f>
        <v>0</v>
      </c>
      <c r="Z20" s="136">
        <f>+P20+Y20</f>
        <v>0</v>
      </c>
      <c r="AA20" s="137">
        <f>+D20-Z20</f>
        <v>0</v>
      </c>
    </row>
    <row r="21" spans="1:27" s="138" customFormat="1" ht="13.5" customHeight="1">
      <c r="A21" s="217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68"/>
      <c r="M21" s="68"/>
      <c r="N21" s="68"/>
      <c r="O21" s="68"/>
      <c r="P21" s="140">
        <f t="shared" si="2"/>
        <v>0</v>
      </c>
      <c r="Q21" s="141">
        <f t="shared" si="3"/>
        <v>0</v>
      </c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>SUM(R21:X21)</f>
        <v>0</v>
      </c>
      <c r="Z21" s="136">
        <f>+P21+Y21</f>
        <v>0</v>
      </c>
      <c r="AA21" s="137">
        <f>+D21-Z21</f>
        <v>0</v>
      </c>
    </row>
    <row r="22" spans="1:27" s="138" customFormat="1" ht="13.5" customHeight="1">
      <c r="A22" s="217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71"/>
      <c r="M22" s="71"/>
      <c r="N22" s="71"/>
      <c r="O22" s="71"/>
      <c r="P22" s="144">
        <f t="shared" si="2"/>
        <v>0</v>
      </c>
      <c r="Q22" s="145">
        <f t="shared" si="3"/>
        <v>0</v>
      </c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>SUM(R22:X22)</f>
        <v>0</v>
      </c>
      <c r="Z22" s="136">
        <f>+P22+Y22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O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M23" si="6">SUBTOTAL(9,H24:H39)</f>
        <v>0</v>
      </c>
      <c r="I23" s="130">
        <f t="shared" si="6"/>
        <v>0</v>
      </c>
      <c r="J23" s="130">
        <f t="shared" si="6"/>
        <v>0</v>
      </c>
      <c r="K23" s="130">
        <f t="shared" si="6"/>
        <v>0</v>
      </c>
      <c r="L23" s="130">
        <f t="shared" si="6"/>
        <v>0</v>
      </c>
      <c r="M23" s="130">
        <f t="shared" si="6"/>
        <v>0</v>
      </c>
      <c r="N23" s="130">
        <f t="shared" si="5"/>
        <v>0</v>
      </c>
      <c r="O23" s="130">
        <f t="shared" si="5"/>
        <v>0</v>
      </c>
      <c r="P23" s="107">
        <f t="shared" si="2"/>
        <v>0</v>
      </c>
      <c r="Q23" s="107">
        <f t="shared" si="3"/>
        <v>0</v>
      </c>
      <c r="R23" s="130">
        <f t="shared" ref="R23:X23" si="7">SUBTOTAL(9,R24:R39)</f>
        <v>0</v>
      </c>
      <c r="S23" s="130">
        <f t="shared" si="7"/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SUM(R23:X23)</f>
        <v>0</v>
      </c>
      <c r="Z23" s="56">
        <f>+P23+Y23</f>
        <v>0</v>
      </c>
      <c r="AA23" s="131">
        <f>+D23-Z23</f>
        <v>0</v>
      </c>
    </row>
    <row r="24" spans="1:27" s="138" customFormat="1" ht="13.5" customHeight="1">
      <c r="A24" s="215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66"/>
      <c r="M24" s="66"/>
      <c r="N24" s="66"/>
      <c r="O24" s="66"/>
      <c r="P24" s="133">
        <f t="shared" si="2"/>
        <v>0</v>
      </c>
      <c r="Q24" s="134">
        <f t="shared" si="3"/>
        <v>0</v>
      </c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>SUM(R24:X24)</f>
        <v>0</v>
      </c>
      <c r="Z24" s="136">
        <f>+P24+Y24</f>
        <v>0</v>
      </c>
      <c r="AA24" s="137">
        <f>+D24-Z24</f>
        <v>0</v>
      </c>
    </row>
    <row r="25" spans="1:27" s="138" customFormat="1" ht="13.5" customHeight="1">
      <c r="A25" s="215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68"/>
      <c r="M25" s="68"/>
      <c r="N25" s="68"/>
      <c r="O25" s="68"/>
      <c r="P25" s="140">
        <f t="shared" si="2"/>
        <v>0</v>
      </c>
      <c r="Q25" s="141">
        <f t="shared" si="3"/>
        <v>0</v>
      </c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>SUM(R25:X25)</f>
        <v>0</v>
      </c>
      <c r="Z25" s="136">
        <f>+P25+Y25</f>
        <v>0</v>
      </c>
      <c r="AA25" s="137">
        <f>+D25-Z25</f>
        <v>0</v>
      </c>
    </row>
    <row r="26" spans="1:27" s="138" customFormat="1" ht="13.5" customHeight="1">
      <c r="A26" s="215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68"/>
      <c r="M26" s="68"/>
      <c r="N26" s="68"/>
      <c r="O26" s="68"/>
      <c r="P26" s="140">
        <f t="shared" si="2"/>
        <v>0</v>
      </c>
      <c r="Q26" s="141">
        <f t="shared" si="3"/>
        <v>0</v>
      </c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>SUM(R26:X26)</f>
        <v>0</v>
      </c>
      <c r="Z26" s="136">
        <f>+P26+Y26</f>
        <v>0</v>
      </c>
      <c r="AA26" s="137">
        <f>+D26-Z26</f>
        <v>0</v>
      </c>
    </row>
    <row r="27" spans="1:27" s="138" customFormat="1" ht="13.5" customHeight="1">
      <c r="A27" s="215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68"/>
      <c r="M27" s="68"/>
      <c r="N27" s="68"/>
      <c r="O27" s="68"/>
      <c r="P27" s="140">
        <f t="shared" si="2"/>
        <v>0</v>
      </c>
      <c r="Q27" s="141">
        <f t="shared" si="3"/>
        <v>0</v>
      </c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>SUM(R27:X27)</f>
        <v>0</v>
      </c>
      <c r="Z27" s="136">
        <f>+P27+Y27</f>
        <v>0</v>
      </c>
      <c r="AA27" s="137">
        <f>+D27-Z27</f>
        <v>0</v>
      </c>
    </row>
    <row r="28" spans="1:27" s="138" customFormat="1" ht="13.5" customHeight="1">
      <c r="A28" s="215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68"/>
      <c r="M28" s="68"/>
      <c r="N28" s="68"/>
      <c r="O28" s="68"/>
      <c r="P28" s="140">
        <f t="shared" si="2"/>
        <v>0</v>
      </c>
      <c r="Q28" s="141">
        <f t="shared" si="3"/>
        <v>0</v>
      </c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>SUM(R28:X28)</f>
        <v>0</v>
      </c>
      <c r="Z28" s="136">
        <f>+P28+Y28</f>
        <v>0</v>
      </c>
      <c r="AA28" s="137">
        <f>+D28-Z28</f>
        <v>0</v>
      </c>
    </row>
    <row r="29" spans="1:27" s="138" customFormat="1" ht="13.5" customHeight="1">
      <c r="A29" s="215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68"/>
      <c r="M29" s="68"/>
      <c r="N29" s="68"/>
      <c r="O29" s="68"/>
      <c r="P29" s="140">
        <f t="shared" si="2"/>
        <v>0</v>
      </c>
      <c r="Q29" s="141">
        <f t="shared" si="3"/>
        <v>0</v>
      </c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>SUM(R29:X29)</f>
        <v>0</v>
      </c>
      <c r="Z29" s="136">
        <f>+P29+Y29</f>
        <v>0</v>
      </c>
      <c r="AA29" s="137">
        <f>+D29-Z29</f>
        <v>0</v>
      </c>
    </row>
    <row r="30" spans="1:27" s="138" customFormat="1" ht="13.5" customHeight="1">
      <c r="A30" s="215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68"/>
      <c r="M30" s="68"/>
      <c r="N30" s="68"/>
      <c r="O30" s="68"/>
      <c r="P30" s="140">
        <f t="shared" si="2"/>
        <v>0</v>
      </c>
      <c r="Q30" s="141">
        <f t="shared" si="3"/>
        <v>0</v>
      </c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>SUM(R30:X30)</f>
        <v>0</v>
      </c>
      <c r="Z30" s="136">
        <f>+P30+Y30</f>
        <v>0</v>
      </c>
      <c r="AA30" s="137">
        <f>+D30-Z30</f>
        <v>0</v>
      </c>
    </row>
    <row r="31" spans="1:27" s="138" customFormat="1" ht="13.5" customHeight="1">
      <c r="A31" s="215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69"/>
      <c r="M31" s="69"/>
      <c r="N31" s="69"/>
      <c r="O31" s="69"/>
      <c r="P31" s="140">
        <f t="shared" si="2"/>
        <v>0</v>
      </c>
      <c r="Q31" s="141">
        <f t="shared" si="3"/>
        <v>0</v>
      </c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>SUM(R31:X31)</f>
        <v>0</v>
      </c>
      <c r="Z31" s="136">
        <f>+P31+Y31</f>
        <v>0</v>
      </c>
      <c r="AA31" s="137">
        <f>+D31-Z31</f>
        <v>0</v>
      </c>
    </row>
    <row r="32" spans="1:27" s="138" customFormat="1" ht="13.5" customHeight="1">
      <c r="A32" s="215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69"/>
      <c r="M32" s="69"/>
      <c r="N32" s="69"/>
      <c r="O32" s="69"/>
      <c r="P32" s="140">
        <f t="shared" si="2"/>
        <v>0</v>
      </c>
      <c r="Q32" s="141">
        <f t="shared" si="3"/>
        <v>0</v>
      </c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>SUM(R32:X32)</f>
        <v>0</v>
      </c>
      <c r="Z32" s="136">
        <f>+P32+Y32</f>
        <v>0</v>
      </c>
      <c r="AA32" s="137">
        <f>+D32-Z32</f>
        <v>0</v>
      </c>
    </row>
    <row r="33" spans="1:27" s="138" customFormat="1" ht="13.5" customHeight="1">
      <c r="A33" s="215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69"/>
      <c r="M33" s="69"/>
      <c r="N33" s="69"/>
      <c r="O33" s="69"/>
      <c r="P33" s="140">
        <f t="shared" si="2"/>
        <v>0</v>
      </c>
      <c r="Q33" s="141">
        <f t="shared" si="3"/>
        <v>0</v>
      </c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>SUM(R33:X33)</f>
        <v>0</v>
      </c>
      <c r="Z33" s="136">
        <f>+P33+Y33</f>
        <v>0</v>
      </c>
      <c r="AA33" s="137">
        <f>+D33-Z33</f>
        <v>0</v>
      </c>
    </row>
    <row r="34" spans="1:27" s="138" customFormat="1" ht="13.5" customHeight="1">
      <c r="A34" s="215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69"/>
      <c r="M34" s="69"/>
      <c r="N34" s="69"/>
      <c r="O34" s="69"/>
      <c r="P34" s="140">
        <f t="shared" si="2"/>
        <v>0</v>
      </c>
      <c r="Q34" s="141">
        <f t="shared" si="3"/>
        <v>0</v>
      </c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>SUM(R34:X34)</f>
        <v>0</v>
      </c>
      <c r="Z34" s="136">
        <f>+P34+Y34</f>
        <v>0</v>
      </c>
      <c r="AA34" s="137">
        <f>+D34-Z34</f>
        <v>0</v>
      </c>
    </row>
    <row r="35" spans="1:27" s="138" customFormat="1" ht="13.5" customHeight="1">
      <c r="A35" s="215" t="s">
        <v>61</v>
      </c>
      <c r="B35" s="192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69"/>
      <c r="M35" s="69"/>
      <c r="N35" s="69"/>
      <c r="O35" s="69"/>
      <c r="P35" s="140">
        <f t="shared" si="2"/>
        <v>0</v>
      </c>
      <c r="Q35" s="141">
        <f t="shared" si="3"/>
        <v>0</v>
      </c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>SUM(R35:X35)</f>
        <v>0</v>
      </c>
      <c r="Z35" s="136">
        <f>+P35+Y35</f>
        <v>0</v>
      </c>
      <c r="AA35" s="137">
        <f>+D35-Z35</f>
        <v>0</v>
      </c>
    </row>
    <row r="36" spans="1:27" s="138" customFormat="1" ht="13.5" customHeight="1">
      <c r="A36" s="215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69"/>
      <c r="M36" s="69"/>
      <c r="N36" s="69"/>
      <c r="O36" s="69"/>
      <c r="P36" s="140">
        <f t="shared" si="2"/>
        <v>0</v>
      </c>
      <c r="Q36" s="141">
        <f t="shared" si="3"/>
        <v>0</v>
      </c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>SUM(R36:X36)</f>
        <v>0</v>
      </c>
      <c r="Z36" s="136">
        <f>+P36+Y36</f>
        <v>0</v>
      </c>
      <c r="AA36" s="137">
        <f>+D36-Z36</f>
        <v>0</v>
      </c>
    </row>
    <row r="37" spans="1:27" s="138" customFormat="1" ht="13.5" customHeight="1">
      <c r="A37" s="215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68"/>
      <c r="M37" s="68"/>
      <c r="N37" s="68"/>
      <c r="O37" s="68"/>
      <c r="P37" s="140">
        <f t="shared" si="2"/>
        <v>0</v>
      </c>
      <c r="Q37" s="141">
        <f t="shared" si="3"/>
        <v>0</v>
      </c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>SUM(R37:X37)</f>
        <v>0</v>
      </c>
      <c r="Z37" s="136">
        <f>+P37+Y37</f>
        <v>0</v>
      </c>
      <c r="AA37" s="137">
        <f>+D37-Z37</f>
        <v>0</v>
      </c>
    </row>
    <row r="38" spans="1:27" s="138" customFormat="1" ht="13.5" customHeight="1">
      <c r="A38" s="215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68"/>
      <c r="M38" s="68"/>
      <c r="N38" s="68"/>
      <c r="O38" s="68"/>
      <c r="P38" s="140">
        <f t="shared" si="2"/>
        <v>0</v>
      </c>
      <c r="Q38" s="141">
        <f t="shared" si="3"/>
        <v>0</v>
      </c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>SUM(R38:X38)</f>
        <v>0</v>
      </c>
      <c r="Z38" s="136">
        <f>+P38+Y38</f>
        <v>0</v>
      </c>
      <c r="AA38" s="137">
        <f>+D38-Z38</f>
        <v>0</v>
      </c>
    </row>
    <row r="39" spans="1:27" s="138" customFormat="1" ht="13.5" customHeight="1">
      <c r="A39" s="215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71"/>
      <c r="M39" s="71"/>
      <c r="N39" s="71"/>
      <c r="O39" s="71"/>
      <c r="P39" s="144">
        <f t="shared" si="2"/>
        <v>0</v>
      </c>
      <c r="Q39" s="145">
        <f t="shared" si="3"/>
        <v>0</v>
      </c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>SUM(R39:X39)</f>
        <v>0</v>
      </c>
      <c r="Z39" s="136">
        <f>+P39+Y39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O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M40" si="9">SUBTOTAL(9,H41:H56)</f>
        <v>0</v>
      </c>
      <c r="I40" s="130">
        <f t="shared" si="9"/>
        <v>0</v>
      </c>
      <c r="J40" s="130">
        <f t="shared" si="9"/>
        <v>0</v>
      </c>
      <c r="K40" s="130">
        <f t="shared" si="9"/>
        <v>0</v>
      </c>
      <c r="L40" s="130">
        <f t="shared" si="9"/>
        <v>0</v>
      </c>
      <c r="M40" s="130">
        <f t="shared" si="9"/>
        <v>0</v>
      </c>
      <c r="N40" s="130">
        <f t="shared" si="8"/>
        <v>0</v>
      </c>
      <c r="O40" s="130">
        <f t="shared" si="8"/>
        <v>0</v>
      </c>
      <c r="P40" s="107">
        <f t="shared" si="2"/>
        <v>0</v>
      </c>
      <c r="Q40" s="107">
        <f t="shared" si="3"/>
        <v>0</v>
      </c>
      <c r="R40" s="130">
        <f t="shared" ref="R40:X40" si="10">SUBTOTAL(9,R41:R56)</f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SUM(R40:X40)</f>
        <v>0</v>
      </c>
      <c r="Z40" s="56">
        <f>+P40+Y40</f>
        <v>0</v>
      </c>
      <c r="AA40" s="131">
        <f>+D40-Z40</f>
        <v>0</v>
      </c>
    </row>
    <row r="41" spans="1:27" s="138" customFormat="1" ht="13.5" customHeight="1">
      <c r="A41" s="194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50"/>
      <c r="M41" s="150"/>
      <c r="N41" s="150"/>
      <c r="O41" s="150"/>
      <c r="P41" s="133">
        <f t="shared" si="2"/>
        <v>0</v>
      </c>
      <c r="Q41" s="134">
        <f t="shared" si="3"/>
        <v>0</v>
      </c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>SUM(R41:X41)</f>
        <v>0</v>
      </c>
      <c r="Z41" s="136">
        <f>+P41+Y41</f>
        <v>0</v>
      </c>
      <c r="AA41" s="137">
        <f>+D41-Z41</f>
        <v>0</v>
      </c>
    </row>
    <row r="42" spans="1:27" s="138" customFormat="1" ht="13.5" customHeight="1">
      <c r="A42" s="194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52"/>
      <c r="M42" s="152"/>
      <c r="N42" s="152"/>
      <c r="O42" s="152"/>
      <c r="P42" s="140">
        <f t="shared" si="2"/>
        <v>0</v>
      </c>
      <c r="Q42" s="141">
        <f t="shared" si="3"/>
        <v>0</v>
      </c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>SUM(R42:X42)</f>
        <v>0</v>
      </c>
      <c r="Z42" s="136">
        <f>+P42+Y42</f>
        <v>0</v>
      </c>
      <c r="AA42" s="137">
        <f>+D42-Z42</f>
        <v>0</v>
      </c>
    </row>
    <row r="43" spans="1:27" s="138" customFormat="1" ht="13.5" customHeight="1">
      <c r="A43" s="194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52"/>
      <c r="M43" s="152"/>
      <c r="N43" s="152"/>
      <c r="O43" s="152"/>
      <c r="P43" s="140">
        <f t="shared" si="2"/>
        <v>0</v>
      </c>
      <c r="Q43" s="141">
        <f t="shared" si="3"/>
        <v>0</v>
      </c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>SUM(R43:X43)</f>
        <v>0</v>
      </c>
      <c r="Z43" s="136">
        <f>+P43+Y43</f>
        <v>0</v>
      </c>
      <c r="AA43" s="137">
        <f>+D43-Z43</f>
        <v>0</v>
      </c>
    </row>
    <row r="44" spans="1:27" s="138" customFormat="1" ht="13.5" customHeight="1">
      <c r="A44" s="194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52"/>
      <c r="M44" s="152"/>
      <c r="N44" s="152"/>
      <c r="O44" s="152"/>
      <c r="P44" s="140">
        <f t="shared" si="2"/>
        <v>0</v>
      </c>
      <c r="Q44" s="141">
        <f t="shared" si="3"/>
        <v>0</v>
      </c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>SUM(R44:X44)</f>
        <v>0</v>
      </c>
      <c r="Z44" s="136">
        <f>+P44+Y44</f>
        <v>0</v>
      </c>
      <c r="AA44" s="137">
        <f>+D44-Z44</f>
        <v>0</v>
      </c>
    </row>
    <row r="45" spans="1:27" s="138" customFormat="1" ht="13.5" customHeight="1">
      <c r="A45" s="194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52"/>
      <c r="M45" s="152"/>
      <c r="N45" s="152"/>
      <c r="O45" s="152"/>
      <c r="P45" s="140">
        <f t="shared" si="2"/>
        <v>0</v>
      </c>
      <c r="Q45" s="141">
        <f t="shared" si="3"/>
        <v>0</v>
      </c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>SUM(R45:X45)</f>
        <v>0</v>
      </c>
      <c r="Z45" s="136">
        <f>+P45+Y45</f>
        <v>0</v>
      </c>
      <c r="AA45" s="137">
        <f>+D45-Z45</f>
        <v>0</v>
      </c>
    </row>
    <row r="46" spans="1:27" s="138" customFormat="1" ht="13.5" customHeight="1">
      <c r="A46" s="194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52"/>
      <c r="M46" s="152"/>
      <c r="N46" s="152"/>
      <c r="O46" s="152"/>
      <c r="P46" s="140">
        <f t="shared" si="2"/>
        <v>0</v>
      </c>
      <c r="Q46" s="141">
        <f t="shared" si="3"/>
        <v>0</v>
      </c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>SUM(R46:X46)</f>
        <v>0</v>
      </c>
      <c r="Z46" s="136">
        <f>+P46+Y46</f>
        <v>0</v>
      </c>
      <c r="AA46" s="137">
        <f>+D46-Z46</f>
        <v>0</v>
      </c>
    </row>
    <row r="47" spans="1:27" s="138" customFormat="1" ht="13.5" customHeight="1">
      <c r="A47" s="194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52"/>
      <c r="M47" s="152"/>
      <c r="N47" s="152"/>
      <c r="O47" s="152"/>
      <c r="P47" s="140">
        <f t="shared" si="2"/>
        <v>0</v>
      </c>
      <c r="Q47" s="141">
        <f t="shared" si="3"/>
        <v>0</v>
      </c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>SUM(R47:X47)</f>
        <v>0</v>
      </c>
      <c r="Z47" s="136">
        <f>+P47+Y47</f>
        <v>0</v>
      </c>
      <c r="AA47" s="137">
        <f>+D47-Z47</f>
        <v>0</v>
      </c>
    </row>
    <row r="48" spans="1:27" s="138" customFormat="1" ht="13.5" customHeight="1">
      <c r="A48" s="194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53"/>
      <c r="M48" s="153"/>
      <c r="N48" s="153"/>
      <c r="O48" s="153"/>
      <c r="P48" s="140">
        <f t="shared" si="2"/>
        <v>0</v>
      </c>
      <c r="Q48" s="141">
        <f t="shared" si="3"/>
        <v>0</v>
      </c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>SUM(R48:X48)</f>
        <v>0</v>
      </c>
      <c r="Z48" s="136">
        <f>+P48+Y48</f>
        <v>0</v>
      </c>
      <c r="AA48" s="137">
        <f>+D48-Z48</f>
        <v>0</v>
      </c>
    </row>
    <row r="49" spans="1:27" s="138" customFormat="1" ht="13.5" customHeight="1">
      <c r="A49" s="194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53"/>
      <c r="M49" s="153"/>
      <c r="N49" s="153"/>
      <c r="O49" s="153"/>
      <c r="P49" s="140">
        <f t="shared" si="2"/>
        <v>0</v>
      </c>
      <c r="Q49" s="141">
        <f t="shared" si="3"/>
        <v>0</v>
      </c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>SUM(R49:X49)</f>
        <v>0</v>
      </c>
      <c r="Z49" s="136">
        <f>+P49+Y49</f>
        <v>0</v>
      </c>
      <c r="AA49" s="137">
        <f>+D49-Z49</f>
        <v>0</v>
      </c>
    </row>
    <row r="50" spans="1:27" s="138" customFormat="1" ht="13.5" customHeight="1">
      <c r="A50" s="194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53"/>
      <c r="M50" s="153"/>
      <c r="N50" s="153"/>
      <c r="O50" s="153"/>
      <c r="P50" s="140">
        <f t="shared" si="2"/>
        <v>0</v>
      </c>
      <c r="Q50" s="141">
        <f t="shared" si="3"/>
        <v>0</v>
      </c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>SUM(R50:X50)</f>
        <v>0</v>
      </c>
      <c r="Z50" s="136">
        <f>+P50+Y50</f>
        <v>0</v>
      </c>
      <c r="AA50" s="137">
        <f>+D50-Z50</f>
        <v>0</v>
      </c>
    </row>
    <row r="51" spans="1:27" s="138" customFormat="1" ht="13.5" customHeight="1">
      <c r="A51" s="194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53"/>
      <c r="M51" s="153"/>
      <c r="N51" s="153"/>
      <c r="O51" s="153"/>
      <c r="P51" s="140">
        <f t="shared" si="2"/>
        <v>0</v>
      </c>
      <c r="Q51" s="141">
        <f t="shared" si="3"/>
        <v>0</v>
      </c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>SUM(R51:X51)</f>
        <v>0</v>
      </c>
      <c r="Z51" s="136">
        <f>+P51+Y51</f>
        <v>0</v>
      </c>
      <c r="AA51" s="137">
        <f>+D51-Z51</f>
        <v>0</v>
      </c>
    </row>
    <row r="52" spans="1:27" s="138" customFormat="1" ht="13.5" customHeight="1">
      <c r="A52" s="194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53"/>
      <c r="M52" s="153"/>
      <c r="N52" s="153"/>
      <c r="O52" s="153"/>
      <c r="P52" s="140">
        <f t="shared" si="2"/>
        <v>0</v>
      </c>
      <c r="Q52" s="141">
        <f t="shared" si="3"/>
        <v>0</v>
      </c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>SUM(R52:X52)</f>
        <v>0</v>
      </c>
      <c r="Z52" s="136">
        <f>+P52+Y52</f>
        <v>0</v>
      </c>
      <c r="AA52" s="137">
        <f>+D52-Z52</f>
        <v>0</v>
      </c>
    </row>
    <row r="53" spans="1:27" s="138" customFormat="1" ht="13.5" customHeight="1">
      <c r="A53" s="194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53"/>
      <c r="M53" s="153"/>
      <c r="N53" s="153"/>
      <c r="O53" s="153"/>
      <c r="P53" s="140">
        <f t="shared" si="2"/>
        <v>0</v>
      </c>
      <c r="Q53" s="141">
        <f t="shared" si="3"/>
        <v>0</v>
      </c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>SUM(R53:X53)</f>
        <v>0</v>
      </c>
      <c r="Z53" s="136">
        <f>+P53+Y53</f>
        <v>0</v>
      </c>
      <c r="AA53" s="137">
        <f>+D53-Z53</f>
        <v>0</v>
      </c>
    </row>
    <row r="54" spans="1:27" s="138" customFormat="1" ht="13.5" customHeight="1">
      <c r="A54" s="194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52"/>
      <c r="M54" s="152"/>
      <c r="N54" s="152"/>
      <c r="O54" s="152"/>
      <c r="P54" s="140">
        <f t="shared" si="2"/>
        <v>0</v>
      </c>
      <c r="Q54" s="141">
        <f t="shared" si="3"/>
        <v>0</v>
      </c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>SUM(R54:X54)</f>
        <v>0</v>
      </c>
      <c r="Z54" s="136">
        <f>+P54+Y54</f>
        <v>0</v>
      </c>
      <c r="AA54" s="137">
        <f>+D54-Z54</f>
        <v>0</v>
      </c>
    </row>
    <row r="55" spans="1:27" s="138" customFormat="1" ht="13.5" customHeight="1">
      <c r="A55" s="194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52"/>
      <c r="M55" s="152"/>
      <c r="N55" s="152"/>
      <c r="O55" s="152"/>
      <c r="P55" s="140">
        <f t="shared" si="2"/>
        <v>0</v>
      </c>
      <c r="Q55" s="141">
        <f t="shared" si="3"/>
        <v>0</v>
      </c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>SUM(R55:X55)</f>
        <v>0</v>
      </c>
      <c r="Z55" s="136">
        <f>+P55+Y55</f>
        <v>0</v>
      </c>
      <c r="AA55" s="137">
        <f>+D55-Z55</f>
        <v>0</v>
      </c>
    </row>
    <row r="56" spans="1:27" s="138" customFormat="1" ht="13.5" customHeight="1">
      <c r="A56" s="194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55"/>
      <c r="M56" s="155"/>
      <c r="N56" s="155"/>
      <c r="O56" s="155"/>
      <c r="P56" s="144">
        <f t="shared" si="2"/>
        <v>0</v>
      </c>
      <c r="Q56" s="145">
        <f t="shared" si="3"/>
        <v>0</v>
      </c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>SUM(R56:X56)</f>
        <v>0</v>
      </c>
      <c r="Z56" s="136">
        <f>+P56+Y56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O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M57" si="12">SUBTOTAL(9,H58:H74)</f>
        <v>0</v>
      </c>
      <c r="I57" s="130">
        <f t="shared" si="12"/>
        <v>0</v>
      </c>
      <c r="J57" s="130">
        <f t="shared" si="12"/>
        <v>0</v>
      </c>
      <c r="K57" s="130">
        <f t="shared" si="12"/>
        <v>0</v>
      </c>
      <c r="L57" s="130">
        <f t="shared" si="12"/>
        <v>0</v>
      </c>
      <c r="M57" s="130">
        <f t="shared" si="12"/>
        <v>0</v>
      </c>
      <c r="N57" s="130">
        <f t="shared" si="11"/>
        <v>0</v>
      </c>
      <c r="O57" s="130">
        <f t="shared" si="11"/>
        <v>0</v>
      </c>
      <c r="P57" s="107">
        <f t="shared" si="2"/>
        <v>0</v>
      </c>
      <c r="Q57" s="107">
        <f t="shared" si="3"/>
        <v>0</v>
      </c>
      <c r="R57" s="130">
        <f t="shared" ref="R57:X57" si="13">SUBTOTAL(9,R58:R74)</f>
        <v>0</v>
      </c>
      <c r="S57" s="130">
        <f t="shared" si="13"/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SUM(R57:X57)</f>
        <v>0</v>
      </c>
      <c r="Z57" s="56">
        <f>+P57+Y57</f>
        <v>0</v>
      </c>
      <c r="AA57" s="131">
        <f>+D57-Z57</f>
        <v>0</v>
      </c>
    </row>
    <row r="58" spans="1:27" s="138" customFormat="1" ht="13.5" customHeight="1">
      <c r="A58" s="194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50"/>
      <c r="M58" s="150"/>
      <c r="N58" s="150"/>
      <c r="O58" s="150"/>
      <c r="P58" s="133">
        <f t="shared" si="2"/>
        <v>0</v>
      </c>
      <c r="Q58" s="134">
        <f t="shared" si="3"/>
        <v>0</v>
      </c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>SUM(R58:X58)</f>
        <v>0</v>
      </c>
      <c r="Z58" s="136">
        <f>+P58+Y58</f>
        <v>0</v>
      </c>
      <c r="AA58" s="137">
        <f>+D58-Z58</f>
        <v>0</v>
      </c>
    </row>
    <row r="59" spans="1:27" s="138" customFormat="1" ht="13.5" customHeight="1">
      <c r="A59" s="194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66"/>
      <c r="M59" s="66"/>
      <c r="N59" s="66"/>
      <c r="O59" s="66"/>
      <c r="P59" s="133">
        <f t="shared" si="2"/>
        <v>0</v>
      </c>
      <c r="Q59" s="134">
        <f t="shared" si="3"/>
        <v>0</v>
      </c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>SUM(R59:X59)</f>
        <v>0</v>
      </c>
      <c r="Z59" s="136">
        <f>+P59+Y59</f>
        <v>0</v>
      </c>
      <c r="AA59" s="137">
        <f>+D59-Z59</f>
        <v>0</v>
      </c>
    </row>
    <row r="60" spans="1:27" s="138" customFormat="1" ht="13.5" customHeight="1">
      <c r="A60" s="194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68"/>
      <c r="M60" s="68"/>
      <c r="N60" s="68"/>
      <c r="O60" s="68"/>
      <c r="P60" s="140">
        <f t="shared" si="2"/>
        <v>0</v>
      </c>
      <c r="Q60" s="141">
        <f t="shared" si="3"/>
        <v>0</v>
      </c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>SUM(R60:X60)</f>
        <v>0</v>
      </c>
      <c r="Z60" s="136">
        <f>+P60+Y60</f>
        <v>0</v>
      </c>
      <c r="AA60" s="137">
        <f>+D60-Z60</f>
        <v>0</v>
      </c>
    </row>
    <row r="61" spans="1:27" s="138" customFormat="1" ht="13.5" customHeight="1">
      <c r="A61" s="194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52"/>
      <c r="M61" s="152"/>
      <c r="N61" s="152"/>
      <c r="O61" s="152"/>
      <c r="P61" s="140">
        <f t="shared" si="2"/>
        <v>0</v>
      </c>
      <c r="Q61" s="141">
        <f t="shared" si="3"/>
        <v>0</v>
      </c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>SUM(R61:X61)</f>
        <v>0</v>
      </c>
      <c r="Z61" s="136">
        <f>+P61+Y61</f>
        <v>0</v>
      </c>
      <c r="AA61" s="137">
        <f>+D61-Z61</f>
        <v>0</v>
      </c>
    </row>
    <row r="62" spans="1:27" s="138" customFormat="1" ht="13.5" customHeight="1">
      <c r="A62" s="194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68"/>
      <c r="M62" s="68"/>
      <c r="N62" s="68"/>
      <c r="O62" s="68"/>
      <c r="P62" s="140">
        <f t="shared" si="2"/>
        <v>0</v>
      </c>
      <c r="Q62" s="141">
        <f t="shared" si="3"/>
        <v>0</v>
      </c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>SUM(R62:X62)</f>
        <v>0</v>
      </c>
      <c r="Z62" s="136">
        <f>+P62+Y62</f>
        <v>0</v>
      </c>
      <c r="AA62" s="137">
        <f>+D62-Z62</f>
        <v>0</v>
      </c>
    </row>
    <row r="63" spans="1:27" s="138" customFormat="1" ht="13.5" customHeight="1">
      <c r="A63" s="194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52"/>
      <c r="M63" s="152"/>
      <c r="N63" s="152"/>
      <c r="O63" s="152"/>
      <c r="P63" s="140">
        <f t="shared" si="2"/>
        <v>0</v>
      </c>
      <c r="Q63" s="141">
        <f t="shared" si="3"/>
        <v>0</v>
      </c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>SUM(R63:X63)</f>
        <v>0</v>
      </c>
      <c r="Z63" s="136">
        <f>+P63+Y63</f>
        <v>0</v>
      </c>
      <c r="AA63" s="137">
        <f>+D63-Z63</f>
        <v>0</v>
      </c>
    </row>
    <row r="64" spans="1:27" s="138" customFormat="1" ht="13.5" customHeight="1">
      <c r="A64" s="194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52"/>
      <c r="M64" s="152"/>
      <c r="N64" s="152"/>
      <c r="O64" s="152"/>
      <c r="P64" s="140">
        <f t="shared" si="2"/>
        <v>0</v>
      </c>
      <c r="Q64" s="141">
        <f t="shared" si="3"/>
        <v>0</v>
      </c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>SUM(R64:X64)</f>
        <v>0</v>
      </c>
      <c r="Z64" s="136">
        <f>+P64+Y64</f>
        <v>0</v>
      </c>
      <c r="AA64" s="137">
        <f>+D64-Z64</f>
        <v>0</v>
      </c>
    </row>
    <row r="65" spans="1:27" s="138" customFormat="1" ht="13.5" customHeight="1">
      <c r="A65" s="194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52"/>
      <c r="M65" s="152"/>
      <c r="N65" s="152"/>
      <c r="O65" s="152"/>
      <c r="P65" s="140">
        <f t="shared" si="2"/>
        <v>0</v>
      </c>
      <c r="Q65" s="141">
        <f t="shared" si="3"/>
        <v>0</v>
      </c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>SUM(R65:X65)</f>
        <v>0</v>
      </c>
      <c r="Z65" s="136">
        <f>+P65+Y65</f>
        <v>0</v>
      </c>
      <c r="AA65" s="137">
        <f>+D65-Z65</f>
        <v>0</v>
      </c>
    </row>
    <row r="66" spans="1:27" s="138" customFormat="1" ht="13.5" customHeight="1">
      <c r="A66" s="194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69"/>
      <c r="M66" s="69"/>
      <c r="N66" s="69"/>
      <c r="O66" s="69"/>
      <c r="P66" s="140">
        <f t="shared" si="2"/>
        <v>0</v>
      </c>
      <c r="Q66" s="141">
        <f t="shared" si="3"/>
        <v>0</v>
      </c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>SUM(R66:X66)</f>
        <v>0</v>
      </c>
      <c r="Z66" s="136">
        <f>+P66+Y66</f>
        <v>0</v>
      </c>
      <c r="AA66" s="137">
        <f>+D66-Z66</f>
        <v>0</v>
      </c>
    </row>
    <row r="67" spans="1:27" s="138" customFormat="1" ht="13.5" customHeight="1">
      <c r="A67" s="194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53"/>
      <c r="M67" s="153"/>
      <c r="N67" s="153"/>
      <c r="O67" s="153"/>
      <c r="P67" s="140">
        <f t="shared" si="2"/>
        <v>0</v>
      </c>
      <c r="Q67" s="141">
        <f t="shared" si="3"/>
        <v>0</v>
      </c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>SUM(R67:X67)</f>
        <v>0</v>
      </c>
      <c r="Z67" s="136">
        <f>+P67+Y67</f>
        <v>0</v>
      </c>
      <c r="AA67" s="137">
        <f>+D67-Z67</f>
        <v>0</v>
      </c>
    </row>
    <row r="68" spans="1:27" s="138" customFormat="1" ht="13.5" customHeight="1">
      <c r="A68" s="194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69"/>
      <c r="M68" s="69"/>
      <c r="N68" s="69"/>
      <c r="O68" s="69"/>
      <c r="P68" s="140">
        <f t="shared" si="2"/>
        <v>0</v>
      </c>
      <c r="Q68" s="141">
        <f t="shared" si="3"/>
        <v>0</v>
      </c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>SUM(R68:X68)</f>
        <v>0</v>
      </c>
      <c r="Z68" s="136">
        <f>+P68+Y68</f>
        <v>0</v>
      </c>
      <c r="AA68" s="137">
        <f>+D68-Z68</f>
        <v>0</v>
      </c>
    </row>
    <row r="69" spans="1:27" s="138" customFormat="1" ht="13.5" customHeight="1">
      <c r="A69" s="194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69"/>
      <c r="M69" s="69"/>
      <c r="N69" s="69"/>
      <c r="O69" s="69"/>
      <c r="P69" s="140">
        <f t="shared" si="2"/>
        <v>0</v>
      </c>
      <c r="Q69" s="141">
        <f t="shared" si="3"/>
        <v>0</v>
      </c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>SUM(R69:X69)</f>
        <v>0</v>
      </c>
      <c r="Z69" s="136">
        <f>+P69+Y69</f>
        <v>0</v>
      </c>
      <c r="AA69" s="137">
        <f>+D69-Z69</f>
        <v>0</v>
      </c>
    </row>
    <row r="70" spans="1:27" s="138" customFormat="1" ht="13.5" customHeight="1">
      <c r="A70" s="194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53"/>
      <c r="M70" s="153"/>
      <c r="N70" s="153"/>
      <c r="O70" s="153"/>
      <c r="P70" s="140">
        <f t="shared" ref="P70:P133" si="14">SUM(G70:O70)</f>
        <v>0</v>
      </c>
      <c r="Q70" s="141">
        <f t="shared" ref="Q70:Q133" si="15">D70-P70</f>
        <v>0</v>
      </c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>SUM(R70:X70)</f>
        <v>0</v>
      </c>
      <c r="Z70" s="136">
        <f>+P70+Y70</f>
        <v>0</v>
      </c>
      <c r="AA70" s="137">
        <f>+D70-Z70</f>
        <v>0</v>
      </c>
    </row>
    <row r="71" spans="1:27" s="138" customFormat="1" ht="13.5" customHeight="1">
      <c r="A71" s="194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69"/>
      <c r="M71" s="69"/>
      <c r="N71" s="69"/>
      <c r="O71" s="69"/>
      <c r="P71" s="140">
        <f t="shared" si="14"/>
        <v>0</v>
      </c>
      <c r="Q71" s="141">
        <f t="shared" si="15"/>
        <v>0</v>
      </c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>SUM(R71:X71)</f>
        <v>0</v>
      </c>
      <c r="Z71" s="136">
        <f>+P71+Y71</f>
        <v>0</v>
      </c>
      <c r="AA71" s="137">
        <f>+D71-Z71</f>
        <v>0</v>
      </c>
    </row>
    <row r="72" spans="1:27" s="138" customFormat="1" ht="13.5" customHeight="1">
      <c r="A72" s="194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68"/>
      <c r="M72" s="68"/>
      <c r="N72" s="68"/>
      <c r="O72" s="68"/>
      <c r="P72" s="140">
        <f t="shared" si="14"/>
        <v>0</v>
      </c>
      <c r="Q72" s="141">
        <f t="shared" si="15"/>
        <v>0</v>
      </c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>SUM(R72:X72)</f>
        <v>0</v>
      </c>
      <c r="Z72" s="136">
        <f>+P72+Y72</f>
        <v>0</v>
      </c>
      <c r="AA72" s="137">
        <f>+D72-Z72</f>
        <v>0</v>
      </c>
    </row>
    <row r="73" spans="1:27" s="138" customFormat="1" ht="13.5" customHeight="1">
      <c r="A73" s="194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52"/>
      <c r="M73" s="152"/>
      <c r="N73" s="152"/>
      <c r="O73" s="152"/>
      <c r="P73" s="140">
        <f t="shared" si="14"/>
        <v>0</v>
      </c>
      <c r="Q73" s="141">
        <f t="shared" si="15"/>
        <v>0</v>
      </c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>SUM(R73:X73)</f>
        <v>0</v>
      </c>
      <c r="Z73" s="136">
        <f>+P73+Y73</f>
        <v>0</v>
      </c>
      <c r="AA73" s="137">
        <f>+D73-Z73</f>
        <v>0</v>
      </c>
    </row>
    <row r="74" spans="1:27" s="138" customFormat="1" ht="13.5" customHeight="1">
      <c r="A74" s="194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71"/>
      <c r="M74" s="71"/>
      <c r="N74" s="71"/>
      <c r="O74" s="71"/>
      <c r="P74" s="144">
        <f t="shared" si="14"/>
        <v>0</v>
      </c>
      <c r="Q74" s="145">
        <f t="shared" si="15"/>
        <v>0</v>
      </c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>SUM(R74:X74)</f>
        <v>0</v>
      </c>
      <c r="Z74" s="136">
        <f>+P74+Y74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O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M75" si="17">SUBTOTAL(9,H76:H91)</f>
        <v>0</v>
      </c>
      <c r="I75" s="130">
        <f t="shared" si="17"/>
        <v>0</v>
      </c>
      <c r="J75" s="130">
        <f t="shared" si="17"/>
        <v>0</v>
      </c>
      <c r="K75" s="130">
        <f t="shared" si="17"/>
        <v>0</v>
      </c>
      <c r="L75" s="130">
        <f t="shared" si="17"/>
        <v>0</v>
      </c>
      <c r="M75" s="130">
        <f t="shared" si="17"/>
        <v>0</v>
      </c>
      <c r="N75" s="130">
        <f t="shared" si="16"/>
        <v>0</v>
      </c>
      <c r="O75" s="130">
        <f t="shared" si="16"/>
        <v>0</v>
      </c>
      <c r="P75" s="107">
        <f t="shared" si="14"/>
        <v>0</v>
      </c>
      <c r="Q75" s="107">
        <f t="shared" si="15"/>
        <v>0</v>
      </c>
      <c r="R75" s="130">
        <f t="shared" ref="R75:X75" si="18">SUBTOTAL(9,R76:R91)</f>
        <v>0</v>
      </c>
      <c r="S75" s="130">
        <f t="shared" si="18"/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SUM(R75:X75)</f>
        <v>0</v>
      </c>
      <c r="Z75" s="56">
        <f>+P75+Y75</f>
        <v>0</v>
      </c>
      <c r="AA75" s="131">
        <f>+D75-Z75</f>
        <v>0</v>
      </c>
    </row>
    <row r="76" spans="1:27" s="138" customFormat="1" ht="13.5" customHeight="1">
      <c r="A76" s="194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133">
        <f t="shared" si="14"/>
        <v>0</v>
      </c>
      <c r="Q76" s="134">
        <f t="shared" si="15"/>
        <v>0</v>
      </c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>SUM(R76:X76)</f>
        <v>0</v>
      </c>
      <c r="Z76" s="136">
        <f>+P76+Y76</f>
        <v>0</v>
      </c>
      <c r="AA76" s="137">
        <f>+D76-Z76</f>
        <v>0</v>
      </c>
    </row>
    <row r="77" spans="1:27" s="138" customFormat="1" ht="13.5" customHeight="1">
      <c r="A77" s="194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140">
        <f t="shared" si="14"/>
        <v>0</v>
      </c>
      <c r="Q77" s="141">
        <f t="shared" si="15"/>
        <v>0</v>
      </c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>SUM(R77:X77)</f>
        <v>0</v>
      </c>
      <c r="Z77" s="136">
        <f>+P77+Y77</f>
        <v>0</v>
      </c>
      <c r="AA77" s="137">
        <f>+D77-Z77</f>
        <v>0</v>
      </c>
    </row>
    <row r="78" spans="1:27" s="138" customFormat="1" ht="13.5" customHeight="1">
      <c r="A78" s="194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140">
        <f t="shared" si="14"/>
        <v>0</v>
      </c>
      <c r="Q78" s="141">
        <f t="shared" si="15"/>
        <v>0</v>
      </c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>SUM(R78:X78)</f>
        <v>0</v>
      </c>
      <c r="Z78" s="136">
        <f>+P78+Y78</f>
        <v>0</v>
      </c>
      <c r="AA78" s="137">
        <f>+D78-Z78</f>
        <v>0</v>
      </c>
    </row>
    <row r="79" spans="1:27" s="138" customFormat="1" ht="13.5" customHeight="1">
      <c r="A79" s="194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140">
        <f t="shared" si="14"/>
        <v>0</v>
      </c>
      <c r="Q79" s="141">
        <f t="shared" si="15"/>
        <v>0</v>
      </c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>SUM(R79:X79)</f>
        <v>0</v>
      </c>
      <c r="Z79" s="136">
        <f>+P79+Y79</f>
        <v>0</v>
      </c>
      <c r="AA79" s="137">
        <f>+D79-Z79</f>
        <v>0</v>
      </c>
    </row>
    <row r="80" spans="1:27" s="138" customFormat="1" ht="13.5" customHeight="1">
      <c r="A80" s="194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52"/>
      <c r="M80" s="152"/>
      <c r="N80" s="152"/>
      <c r="O80" s="152"/>
      <c r="P80" s="140">
        <f t="shared" si="14"/>
        <v>0</v>
      </c>
      <c r="Q80" s="141">
        <f t="shared" si="15"/>
        <v>0</v>
      </c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>SUM(R80:X80)</f>
        <v>0</v>
      </c>
      <c r="Z80" s="136">
        <f>+P80+Y80</f>
        <v>0</v>
      </c>
      <c r="AA80" s="137">
        <f>+D80-Z80</f>
        <v>0</v>
      </c>
    </row>
    <row r="81" spans="1:27" s="138" customFormat="1" ht="13.5" customHeight="1">
      <c r="A81" s="194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52"/>
      <c r="M81" s="152"/>
      <c r="N81" s="152"/>
      <c r="O81" s="152"/>
      <c r="P81" s="140">
        <f t="shared" si="14"/>
        <v>0</v>
      </c>
      <c r="Q81" s="141">
        <f t="shared" si="15"/>
        <v>0</v>
      </c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>SUM(R81:X81)</f>
        <v>0</v>
      </c>
      <c r="Z81" s="136">
        <f>+P81+Y81</f>
        <v>0</v>
      </c>
      <c r="AA81" s="137">
        <f>+D81-Z81</f>
        <v>0</v>
      </c>
    </row>
    <row r="82" spans="1:27" s="138" customFormat="1" ht="13.5" customHeight="1">
      <c r="A82" s="194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52"/>
      <c r="M82" s="152"/>
      <c r="N82" s="152"/>
      <c r="O82" s="152"/>
      <c r="P82" s="140">
        <f t="shared" si="14"/>
        <v>0</v>
      </c>
      <c r="Q82" s="141">
        <f t="shared" si="15"/>
        <v>0</v>
      </c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>SUM(R82:X82)</f>
        <v>0</v>
      </c>
      <c r="Z82" s="136">
        <f>+P82+Y82</f>
        <v>0</v>
      </c>
      <c r="AA82" s="137">
        <f>+D82-Z82</f>
        <v>0</v>
      </c>
    </row>
    <row r="83" spans="1:27" s="138" customFormat="1" ht="13.5" customHeight="1">
      <c r="A83" s="194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140">
        <f t="shared" si="14"/>
        <v>0</v>
      </c>
      <c r="Q83" s="141">
        <f t="shared" si="15"/>
        <v>0</v>
      </c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>SUM(R83:X83)</f>
        <v>0</v>
      </c>
      <c r="Z83" s="136">
        <f>+P83+Y83</f>
        <v>0</v>
      </c>
      <c r="AA83" s="137">
        <f>+D83-Z83</f>
        <v>0</v>
      </c>
    </row>
    <row r="84" spans="1:27" s="138" customFormat="1" ht="13.5" customHeight="1">
      <c r="A84" s="194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140">
        <f t="shared" si="14"/>
        <v>0</v>
      </c>
      <c r="Q84" s="141">
        <f t="shared" si="15"/>
        <v>0</v>
      </c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>SUM(R84:X84)</f>
        <v>0</v>
      </c>
      <c r="Z84" s="136">
        <f>+P84+Y84</f>
        <v>0</v>
      </c>
      <c r="AA84" s="137">
        <f>+D84-Z84</f>
        <v>0</v>
      </c>
    </row>
    <row r="85" spans="1:27" s="138" customFormat="1" ht="13.5" customHeight="1">
      <c r="A85" s="194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69"/>
      <c r="M85" s="69"/>
      <c r="N85" s="69"/>
      <c r="O85" s="69"/>
      <c r="P85" s="140">
        <f t="shared" si="14"/>
        <v>0</v>
      </c>
      <c r="Q85" s="141">
        <f t="shared" si="15"/>
        <v>0</v>
      </c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>SUM(R85:X85)</f>
        <v>0</v>
      </c>
      <c r="Z85" s="136">
        <f>+P85+Y85</f>
        <v>0</v>
      </c>
      <c r="AA85" s="137">
        <f>+D85-Z85</f>
        <v>0</v>
      </c>
    </row>
    <row r="86" spans="1:27" s="138" customFormat="1" ht="13.5" customHeight="1">
      <c r="A86" s="194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140">
        <f t="shared" si="14"/>
        <v>0</v>
      </c>
      <c r="Q86" s="141">
        <f t="shared" si="15"/>
        <v>0</v>
      </c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>SUM(R86:X86)</f>
        <v>0</v>
      </c>
      <c r="Z86" s="136">
        <f>+P86+Y86</f>
        <v>0</v>
      </c>
      <c r="AA86" s="137">
        <f>+D86-Z86</f>
        <v>0</v>
      </c>
    </row>
    <row r="87" spans="1:27" s="138" customFormat="1" ht="13.5" customHeight="1">
      <c r="A87" s="194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140">
        <f t="shared" si="14"/>
        <v>0</v>
      </c>
      <c r="Q87" s="141">
        <f t="shared" si="15"/>
        <v>0</v>
      </c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>SUM(R87:X87)</f>
        <v>0</v>
      </c>
      <c r="Z87" s="136">
        <f>+P87+Y87</f>
        <v>0</v>
      </c>
      <c r="AA87" s="137">
        <f>+D87-Z87</f>
        <v>0</v>
      </c>
    </row>
    <row r="88" spans="1:27" s="138" customFormat="1" ht="13.5" customHeight="1">
      <c r="A88" s="194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140">
        <f t="shared" si="14"/>
        <v>0</v>
      </c>
      <c r="Q88" s="141">
        <f t="shared" si="15"/>
        <v>0</v>
      </c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>SUM(R88:X88)</f>
        <v>0</v>
      </c>
      <c r="Z88" s="136">
        <f>+P88+Y88</f>
        <v>0</v>
      </c>
      <c r="AA88" s="137">
        <f>+D88-Z88</f>
        <v>0</v>
      </c>
    </row>
    <row r="89" spans="1:27" s="138" customFormat="1" ht="13.5" customHeight="1">
      <c r="A89" s="194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140">
        <f t="shared" si="14"/>
        <v>0</v>
      </c>
      <c r="Q89" s="141">
        <f t="shared" si="15"/>
        <v>0</v>
      </c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>SUM(R89:X89)</f>
        <v>0</v>
      </c>
      <c r="Z89" s="136">
        <f>+P89+Y89</f>
        <v>0</v>
      </c>
      <c r="AA89" s="137">
        <f>+D89-Z89</f>
        <v>0</v>
      </c>
    </row>
    <row r="90" spans="1:27" s="138" customFormat="1" ht="13.5" customHeight="1">
      <c r="A90" s="194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52"/>
      <c r="M90" s="152"/>
      <c r="N90" s="152"/>
      <c r="O90" s="152"/>
      <c r="P90" s="140">
        <f t="shared" si="14"/>
        <v>0</v>
      </c>
      <c r="Q90" s="141">
        <f t="shared" si="15"/>
        <v>0</v>
      </c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>SUM(R90:X90)</f>
        <v>0</v>
      </c>
      <c r="Z90" s="136">
        <f>+P90+Y90</f>
        <v>0</v>
      </c>
      <c r="AA90" s="137">
        <f>+D90-Z90</f>
        <v>0</v>
      </c>
    </row>
    <row r="91" spans="1:27" s="138" customFormat="1" ht="13.5" customHeight="1">
      <c r="A91" s="194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144">
        <f t="shared" si="14"/>
        <v>0</v>
      </c>
      <c r="Q91" s="145">
        <f t="shared" si="15"/>
        <v>0</v>
      </c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>SUM(R91:X91)</f>
        <v>0</v>
      </c>
      <c r="Z91" s="136">
        <f>+P91+Y91</f>
        <v>0</v>
      </c>
      <c r="AA91" s="137">
        <f>+D91-Z91</f>
        <v>0</v>
      </c>
    </row>
    <row r="92" spans="1:27" s="138" customFormat="1" ht="13.5" customHeight="1">
      <c r="A92" s="193" t="s">
        <v>67</v>
      </c>
      <c r="B92" s="186"/>
      <c r="C92" s="156"/>
      <c r="D92" s="129">
        <f t="shared" ref="D92:O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M92" si="20">SUBTOTAL(9,H93:H108)</f>
        <v>0</v>
      </c>
      <c r="I92" s="130">
        <f t="shared" si="20"/>
        <v>0</v>
      </c>
      <c r="J92" s="130">
        <f t="shared" si="20"/>
        <v>0</v>
      </c>
      <c r="K92" s="130">
        <f t="shared" si="20"/>
        <v>0</v>
      </c>
      <c r="L92" s="130">
        <f t="shared" si="20"/>
        <v>0</v>
      </c>
      <c r="M92" s="130">
        <f t="shared" si="20"/>
        <v>0</v>
      </c>
      <c r="N92" s="130">
        <f t="shared" si="19"/>
        <v>0</v>
      </c>
      <c r="O92" s="130">
        <f t="shared" si="19"/>
        <v>0</v>
      </c>
      <c r="P92" s="107">
        <f t="shared" si="14"/>
        <v>0</v>
      </c>
      <c r="Q92" s="107">
        <f t="shared" si="15"/>
        <v>0</v>
      </c>
      <c r="R92" s="130">
        <f t="shared" ref="R92:X92" si="21">SUBTOTAL(9,R93:R108)</f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SUM(R92:X92)</f>
        <v>0</v>
      </c>
      <c r="Z92" s="56">
        <f>+P92+Y92</f>
        <v>0</v>
      </c>
      <c r="AA92" s="131">
        <f>+D92-Z92</f>
        <v>0</v>
      </c>
    </row>
    <row r="93" spans="1:27" s="138" customFormat="1" ht="13.5" customHeight="1">
      <c r="A93" s="216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133">
        <f t="shared" si="14"/>
        <v>0</v>
      </c>
      <c r="Q93" s="134">
        <f t="shared" si="15"/>
        <v>0</v>
      </c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>SUM(R93:X93)</f>
        <v>0</v>
      </c>
      <c r="Z93" s="136">
        <f>+P93+Y93</f>
        <v>0</v>
      </c>
      <c r="AA93" s="137">
        <f>+D93-Z93</f>
        <v>0</v>
      </c>
    </row>
    <row r="94" spans="1:27" s="138" customFormat="1" ht="13.5" customHeight="1">
      <c r="A94" s="216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140">
        <f t="shared" si="14"/>
        <v>0</v>
      </c>
      <c r="Q94" s="141">
        <f t="shared" si="15"/>
        <v>0</v>
      </c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>SUM(R94:X94)</f>
        <v>0</v>
      </c>
      <c r="Z94" s="136">
        <f>+P94+Y94</f>
        <v>0</v>
      </c>
      <c r="AA94" s="137">
        <f>+D94-Z94</f>
        <v>0</v>
      </c>
    </row>
    <row r="95" spans="1:27" s="138" customFormat="1" ht="13.5" customHeight="1">
      <c r="A95" s="216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140">
        <f t="shared" si="14"/>
        <v>0</v>
      </c>
      <c r="Q95" s="141">
        <f t="shared" si="15"/>
        <v>0</v>
      </c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>SUM(R95:X95)</f>
        <v>0</v>
      </c>
      <c r="Z95" s="136">
        <f>+P95+Y95</f>
        <v>0</v>
      </c>
      <c r="AA95" s="137">
        <f>+D95-Z95</f>
        <v>0</v>
      </c>
    </row>
    <row r="96" spans="1:27" s="138" customFormat="1" ht="13.5" customHeight="1">
      <c r="A96" s="216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140">
        <f t="shared" si="14"/>
        <v>0</v>
      </c>
      <c r="Q96" s="141">
        <f t="shared" si="15"/>
        <v>0</v>
      </c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>SUM(R96:X96)</f>
        <v>0</v>
      </c>
      <c r="Z96" s="136">
        <f>+P96+Y96</f>
        <v>0</v>
      </c>
      <c r="AA96" s="137">
        <f>+D96-Z96</f>
        <v>0</v>
      </c>
    </row>
    <row r="97" spans="1:27" s="138" customFormat="1" ht="13.5" customHeight="1">
      <c r="A97" s="216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52"/>
      <c r="M97" s="152"/>
      <c r="N97" s="152"/>
      <c r="O97" s="152"/>
      <c r="P97" s="140">
        <f t="shared" si="14"/>
        <v>0</v>
      </c>
      <c r="Q97" s="141">
        <f t="shared" si="15"/>
        <v>0</v>
      </c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>SUM(R97:X97)</f>
        <v>0</v>
      </c>
      <c r="Z97" s="136">
        <f>+P97+Y97</f>
        <v>0</v>
      </c>
      <c r="AA97" s="137">
        <f>+D97-Z97</f>
        <v>0</v>
      </c>
    </row>
    <row r="98" spans="1:27" s="138" customFormat="1" ht="13.5" customHeight="1">
      <c r="A98" s="216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52"/>
      <c r="M98" s="152"/>
      <c r="N98" s="152"/>
      <c r="O98" s="152"/>
      <c r="P98" s="140">
        <f t="shared" si="14"/>
        <v>0</v>
      </c>
      <c r="Q98" s="141">
        <f t="shared" si="15"/>
        <v>0</v>
      </c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>SUM(R98:X98)</f>
        <v>0</v>
      </c>
      <c r="Z98" s="136">
        <f>+P98+Y98</f>
        <v>0</v>
      </c>
      <c r="AA98" s="137">
        <f>+D98-Z98</f>
        <v>0</v>
      </c>
    </row>
    <row r="99" spans="1:27" s="138" customFormat="1" ht="13.5" customHeight="1">
      <c r="A99" s="216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52"/>
      <c r="M99" s="152"/>
      <c r="N99" s="152"/>
      <c r="O99" s="152"/>
      <c r="P99" s="140">
        <f t="shared" si="14"/>
        <v>0</v>
      </c>
      <c r="Q99" s="141">
        <f t="shared" si="15"/>
        <v>0</v>
      </c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>SUM(R99:X99)</f>
        <v>0</v>
      </c>
      <c r="Z99" s="136">
        <f>+P99+Y99</f>
        <v>0</v>
      </c>
      <c r="AA99" s="137">
        <f>+D99-Z99</f>
        <v>0</v>
      </c>
    </row>
    <row r="100" spans="1:27" s="138" customFormat="1" ht="13.5" customHeight="1">
      <c r="A100" s="216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140">
        <f t="shared" si="14"/>
        <v>0</v>
      </c>
      <c r="Q100" s="141">
        <f t="shared" si="15"/>
        <v>0</v>
      </c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>SUM(R100:X100)</f>
        <v>0</v>
      </c>
      <c r="Z100" s="136">
        <f>+P100+Y100</f>
        <v>0</v>
      </c>
      <c r="AA100" s="137">
        <f>+D100-Z100</f>
        <v>0</v>
      </c>
    </row>
    <row r="101" spans="1:27" s="138" customFormat="1" ht="13.5" customHeight="1">
      <c r="A101" s="216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140">
        <f t="shared" si="14"/>
        <v>0</v>
      </c>
      <c r="Q101" s="141">
        <f t="shared" si="15"/>
        <v>0</v>
      </c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>SUM(R101:X101)</f>
        <v>0</v>
      </c>
      <c r="Z101" s="136">
        <f>+P101+Y101</f>
        <v>0</v>
      </c>
      <c r="AA101" s="137">
        <f>+D101-Z101</f>
        <v>0</v>
      </c>
    </row>
    <row r="102" spans="1:27" s="138" customFormat="1" ht="13.5" customHeight="1">
      <c r="A102" s="216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69"/>
      <c r="M102" s="69"/>
      <c r="N102" s="69"/>
      <c r="O102" s="69"/>
      <c r="P102" s="140">
        <f t="shared" si="14"/>
        <v>0</v>
      </c>
      <c r="Q102" s="141">
        <f t="shared" si="15"/>
        <v>0</v>
      </c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>SUM(R102:X102)</f>
        <v>0</v>
      </c>
      <c r="Z102" s="136">
        <f>+P102+Y102</f>
        <v>0</v>
      </c>
      <c r="AA102" s="137">
        <f>+D102-Z102</f>
        <v>0</v>
      </c>
    </row>
    <row r="103" spans="1:27" s="138" customFormat="1" ht="13.5" customHeight="1">
      <c r="A103" s="216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140">
        <f t="shared" si="14"/>
        <v>0</v>
      </c>
      <c r="Q103" s="141">
        <f t="shared" si="15"/>
        <v>0</v>
      </c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>SUM(R103:X103)</f>
        <v>0</v>
      </c>
      <c r="Z103" s="136">
        <f>+P103+Y103</f>
        <v>0</v>
      </c>
      <c r="AA103" s="137">
        <f>+D103-Z103</f>
        <v>0</v>
      </c>
    </row>
    <row r="104" spans="1:27" s="138" customFormat="1" ht="13.5" customHeight="1">
      <c r="A104" s="216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140">
        <f t="shared" si="14"/>
        <v>0</v>
      </c>
      <c r="Q104" s="141">
        <f t="shared" si="15"/>
        <v>0</v>
      </c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>SUM(R104:X104)</f>
        <v>0</v>
      </c>
      <c r="Z104" s="136">
        <f>+P104+Y104</f>
        <v>0</v>
      </c>
      <c r="AA104" s="137">
        <f>+D104-Z104</f>
        <v>0</v>
      </c>
    </row>
    <row r="105" spans="1:27" s="138" customFormat="1" ht="13.5" customHeight="1">
      <c r="A105" s="216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140">
        <f t="shared" si="14"/>
        <v>0</v>
      </c>
      <c r="Q105" s="141">
        <f t="shared" si="15"/>
        <v>0</v>
      </c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>SUM(R105:X105)</f>
        <v>0</v>
      </c>
      <c r="Z105" s="136">
        <f>+P105+Y105</f>
        <v>0</v>
      </c>
      <c r="AA105" s="137">
        <f>+D105-Z105</f>
        <v>0</v>
      </c>
    </row>
    <row r="106" spans="1:27" s="138" customFormat="1" ht="13.5" customHeight="1">
      <c r="A106" s="216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140">
        <f t="shared" si="14"/>
        <v>0</v>
      </c>
      <c r="Q106" s="141">
        <f t="shared" si="15"/>
        <v>0</v>
      </c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>SUM(R106:X106)</f>
        <v>0</v>
      </c>
      <c r="Z106" s="136">
        <f>+P106+Y106</f>
        <v>0</v>
      </c>
      <c r="AA106" s="137">
        <f>+D106-Z106</f>
        <v>0</v>
      </c>
    </row>
    <row r="107" spans="1:27" s="138" customFormat="1" ht="13.5" customHeight="1">
      <c r="A107" s="216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52"/>
      <c r="M107" s="152"/>
      <c r="N107" s="152"/>
      <c r="O107" s="152"/>
      <c r="P107" s="140">
        <f t="shared" si="14"/>
        <v>0</v>
      </c>
      <c r="Q107" s="141">
        <f t="shared" si="15"/>
        <v>0</v>
      </c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>SUM(R107:X107)</f>
        <v>0</v>
      </c>
      <c r="Z107" s="136">
        <f>+P107+Y107</f>
        <v>0</v>
      </c>
      <c r="AA107" s="137">
        <f>+D107-Z107</f>
        <v>0</v>
      </c>
    </row>
    <row r="108" spans="1:27" s="138" customFormat="1" ht="13.5" customHeight="1">
      <c r="A108" s="216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144">
        <f t="shared" si="14"/>
        <v>0</v>
      </c>
      <c r="Q108" s="145">
        <f t="shared" si="15"/>
        <v>0</v>
      </c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>SUM(R108:X108)</f>
        <v>0</v>
      </c>
      <c r="Z108" s="136">
        <f>+P108+Y108</f>
        <v>0</v>
      </c>
      <c r="AA108" s="137">
        <f>+D108-Z108</f>
        <v>0</v>
      </c>
    </row>
    <row r="109" spans="1:27" s="138" customFormat="1" ht="13.5" customHeight="1">
      <c r="A109" s="193" t="s">
        <v>68</v>
      </c>
      <c r="B109" s="186"/>
      <c r="C109" s="156"/>
      <c r="D109" s="129">
        <f t="shared" ref="D109:O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M109" si="23">SUBTOTAL(9,H110:H125)</f>
        <v>0</v>
      </c>
      <c r="I109" s="130">
        <f t="shared" si="23"/>
        <v>0</v>
      </c>
      <c r="J109" s="130">
        <f t="shared" si="23"/>
        <v>0</v>
      </c>
      <c r="K109" s="130">
        <f t="shared" si="23"/>
        <v>0</v>
      </c>
      <c r="L109" s="130">
        <f t="shared" si="23"/>
        <v>0</v>
      </c>
      <c r="M109" s="130">
        <f t="shared" si="23"/>
        <v>0</v>
      </c>
      <c r="N109" s="130">
        <f t="shared" si="22"/>
        <v>0</v>
      </c>
      <c r="O109" s="130">
        <f t="shared" si="22"/>
        <v>0</v>
      </c>
      <c r="P109" s="107">
        <f t="shared" si="14"/>
        <v>0</v>
      </c>
      <c r="Q109" s="107">
        <f t="shared" si="15"/>
        <v>0</v>
      </c>
      <c r="R109" s="130">
        <f t="shared" ref="R109:X109" si="24">SUBTOTAL(9,R110:R125)</f>
        <v>0</v>
      </c>
      <c r="S109" s="130">
        <f t="shared" si="24"/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SUM(R109:X109)</f>
        <v>0</v>
      </c>
      <c r="Z109" s="56">
        <f>+P109+Y109</f>
        <v>0</v>
      </c>
      <c r="AA109" s="131">
        <f>+D109-Z109</f>
        <v>0</v>
      </c>
    </row>
    <row r="110" spans="1:27" s="138" customFormat="1" ht="13.5" customHeight="1">
      <c r="A110" s="216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133">
        <f t="shared" si="14"/>
        <v>0</v>
      </c>
      <c r="Q110" s="134">
        <f t="shared" si="15"/>
        <v>0</v>
      </c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>SUM(R110:X110)</f>
        <v>0</v>
      </c>
      <c r="Z110" s="136">
        <f>+P110+Y110</f>
        <v>0</v>
      </c>
      <c r="AA110" s="137">
        <f>+D110-Z110</f>
        <v>0</v>
      </c>
    </row>
    <row r="111" spans="1:27" s="138" customFormat="1" ht="13.5" customHeight="1">
      <c r="A111" s="216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140">
        <f t="shared" si="14"/>
        <v>0</v>
      </c>
      <c r="Q111" s="141">
        <f t="shared" si="15"/>
        <v>0</v>
      </c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>SUM(R111:X111)</f>
        <v>0</v>
      </c>
      <c r="Z111" s="136">
        <f>+P111+Y111</f>
        <v>0</v>
      </c>
      <c r="AA111" s="137">
        <f>+D111-Z111</f>
        <v>0</v>
      </c>
    </row>
    <row r="112" spans="1:27" s="138" customFormat="1" ht="13.5" customHeight="1">
      <c r="A112" s="216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140">
        <f t="shared" si="14"/>
        <v>0</v>
      </c>
      <c r="Q112" s="141">
        <f t="shared" si="15"/>
        <v>0</v>
      </c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>SUM(R112:X112)</f>
        <v>0</v>
      </c>
      <c r="Z112" s="136">
        <f>+P112+Y112</f>
        <v>0</v>
      </c>
      <c r="AA112" s="137">
        <f>+D112-Z112</f>
        <v>0</v>
      </c>
    </row>
    <row r="113" spans="1:27" s="138" customFormat="1" ht="13.5" customHeight="1">
      <c r="A113" s="216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140">
        <f t="shared" si="14"/>
        <v>0</v>
      </c>
      <c r="Q113" s="141">
        <f t="shared" si="15"/>
        <v>0</v>
      </c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>SUM(R113:X113)</f>
        <v>0</v>
      </c>
      <c r="Z113" s="136">
        <f>+P113+Y113</f>
        <v>0</v>
      </c>
      <c r="AA113" s="137">
        <f>+D113-Z113</f>
        <v>0</v>
      </c>
    </row>
    <row r="114" spans="1:27" s="138" customFormat="1" ht="13.5" customHeight="1">
      <c r="A114" s="216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52"/>
      <c r="M114" s="152"/>
      <c r="N114" s="152"/>
      <c r="O114" s="152"/>
      <c r="P114" s="140">
        <f t="shared" si="14"/>
        <v>0</v>
      </c>
      <c r="Q114" s="141">
        <f t="shared" si="15"/>
        <v>0</v>
      </c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>SUM(R114:X114)</f>
        <v>0</v>
      </c>
      <c r="Z114" s="136">
        <f>+P114+Y114</f>
        <v>0</v>
      </c>
      <c r="AA114" s="137">
        <f>+D114-Z114</f>
        <v>0</v>
      </c>
    </row>
    <row r="115" spans="1:27" s="138" customFormat="1" ht="13.5" customHeight="1">
      <c r="A115" s="216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52"/>
      <c r="M115" s="152"/>
      <c r="N115" s="152"/>
      <c r="O115" s="152"/>
      <c r="P115" s="140">
        <f t="shared" si="14"/>
        <v>0</v>
      </c>
      <c r="Q115" s="141">
        <f t="shared" si="15"/>
        <v>0</v>
      </c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>SUM(R115:X115)</f>
        <v>0</v>
      </c>
      <c r="Z115" s="136">
        <f>+P115+Y115</f>
        <v>0</v>
      </c>
      <c r="AA115" s="137">
        <f>+D115-Z115</f>
        <v>0</v>
      </c>
    </row>
    <row r="116" spans="1:27" s="138" customFormat="1" ht="13.5" customHeight="1">
      <c r="A116" s="216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52"/>
      <c r="M116" s="152"/>
      <c r="N116" s="152"/>
      <c r="O116" s="152"/>
      <c r="P116" s="140">
        <f t="shared" si="14"/>
        <v>0</v>
      </c>
      <c r="Q116" s="141">
        <f t="shared" si="15"/>
        <v>0</v>
      </c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>SUM(R116:X116)</f>
        <v>0</v>
      </c>
      <c r="Z116" s="136">
        <f>+P116+Y116</f>
        <v>0</v>
      </c>
      <c r="AA116" s="137">
        <f>+D116-Z116</f>
        <v>0</v>
      </c>
    </row>
    <row r="117" spans="1:27" s="138" customFormat="1" ht="13.5" customHeight="1">
      <c r="A117" s="216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140">
        <f t="shared" si="14"/>
        <v>0</v>
      </c>
      <c r="Q117" s="141">
        <f t="shared" si="15"/>
        <v>0</v>
      </c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>SUM(R117:X117)</f>
        <v>0</v>
      </c>
      <c r="Z117" s="136">
        <f>+P117+Y117</f>
        <v>0</v>
      </c>
      <c r="AA117" s="137">
        <f>+D117-Z117</f>
        <v>0</v>
      </c>
    </row>
    <row r="118" spans="1:27" s="138" customFormat="1" ht="13.5" customHeight="1">
      <c r="A118" s="216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140">
        <f t="shared" si="14"/>
        <v>0</v>
      </c>
      <c r="Q118" s="141">
        <f t="shared" si="15"/>
        <v>0</v>
      </c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>SUM(R118:X118)</f>
        <v>0</v>
      </c>
      <c r="Z118" s="136">
        <f>+P118+Y118</f>
        <v>0</v>
      </c>
      <c r="AA118" s="137">
        <f>+D118-Z118</f>
        <v>0</v>
      </c>
    </row>
    <row r="119" spans="1:27" s="138" customFormat="1" ht="13.5" customHeight="1">
      <c r="A119" s="216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69"/>
      <c r="M119" s="69"/>
      <c r="N119" s="69"/>
      <c r="O119" s="69"/>
      <c r="P119" s="140">
        <f t="shared" si="14"/>
        <v>0</v>
      </c>
      <c r="Q119" s="141">
        <f t="shared" si="15"/>
        <v>0</v>
      </c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>SUM(R119:X119)</f>
        <v>0</v>
      </c>
      <c r="Z119" s="136">
        <f>+P119+Y119</f>
        <v>0</v>
      </c>
      <c r="AA119" s="137">
        <f>+D119-Z119</f>
        <v>0</v>
      </c>
    </row>
    <row r="120" spans="1:27" s="138" customFormat="1" ht="13.5" customHeight="1">
      <c r="A120" s="216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140">
        <f t="shared" si="14"/>
        <v>0</v>
      </c>
      <c r="Q120" s="141">
        <f t="shared" si="15"/>
        <v>0</v>
      </c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>SUM(R120:X120)</f>
        <v>0</v>
      </c>
      <c r="Z120" s="136">
        <f>+P120+Y120</f>
        <v>0</v>
      </c>
      <c r="AA120" s="137">
        <f>+D120-Z120</f>
        <v>0</v>
      </c>
    </row>
    <row r="121" spans="1:27" s="138" customFormat="1" ht="13.5" customHeight="1">
      <c r="A121" s="216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140">
        <f t="shared" si="14"/>
        <v>0</v>
      </c>
      <c r="Q121" s="141">
        <f t="shared" si="15"/>
        <v>0</v>
      </c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>SUM(R121:X121)</f>
        <v>0</v>
      </c>
      <c r="Z121" s="136">
        <f>+P121+Y121</f>
        <v>0</v>
      </c>
      <c r="AA121" s="137">
        <f>+D121-Z121</f>
        <v>0</v>
      </c>
    </row>
    <row r="122" spans="1:27" s="138" customFormat="1" ht="13.5" customHeight="1">
      <c r="A122" s="216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140">
        <f t="shared" si="14"/>
        <v>0</v>
      </c>
      <c r="Q122" s="141">
        <f t="shared" si="15"/>
        <v>0</v>
      </c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>SUM(R122:X122)</f>
        <v>0</v>
      </c>
      <c r="Z122" s="136">
        <f>+P122+Y122</f>
        <v>0</v>
      </c>
      <c r="AA122" s="137">
        <f>+D122-Z122</f>
        <v>0</v>
      </c>
    </row>
    <row r="123" spans="1:27" s="138" customFormat="1" ht="13.5" customHeight="1">
      <c r="A123" s="216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140">
        <f t="shared" si="14"/>
        <v>0</v>
      </c>
      <c r="Q123" s="141">
        <f t="shared" si="15"/>
        <v>0</v>
      </c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>SUM(R123:X123)</f>
        <v>0</v>
      </c>
      <c r="Z123" s="136">
        <f>+P123+Y123</f>
        <v>0</v>
      </c>
      <c r="AA123" s="137">
        <f>+D123-Z123</f>
        <v>0</v>
      </c>
    </row>
    <row r="124" spans="1:27" s="138" customFormat="1" ht="13.5" customHeight="1">
      <c r="A124" s="216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52"/>
      <c r="M124" s="152"/>
      <c r="N124" s="152"/>
      <c r="O124" s="152"/>
      <c r="P124" s="140">
        <f t="shared" si="14"/>
        <v>0</v>
      </c>
      <c r="Q124" s="141">
        <f t="shared" si="15"/>
        <v>0</v>
      </c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>SUM(R124:X124)</f>
        <v>0</v>
      </c>
      <c r="Z124" s="136">
        <f>+P124+Y124</f>
        <v>0</v>
      </c>
      <c r="AA124" s="137">
        <f>+D124-Z124</f>
        <v>0</v>
      </c>
    </row>
    <row r="125" spans="1:27" s="138" customFormat="1" ht="13.5" customHeight="1">
      <c r="A125" s="216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144">
        <f t="shared" si="14"/>
        <v>0</v>
      </c>
      <c r="Q125" s="145">
        <f t="shared" si="15"/>
        <v>0</v>
      </c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>SUM(R125:X125)</f>
        <v>0</v>
      </c>
      <c r="Z125" s="136">
        <f>+P125+Y125</f>
        <v>0</v>
      </c>
      <c r="AA125" s="137">
        <f>+D125-Z125</f>
        <v>0</v>
      </c>
    </row>
    <row r="126" spans="1:27" s="138" customFormat="1" ht="13.5" customHeight="1">
      <c r="A126" s="193" t="s">
        <v>69</v>
      </c>
      <c r="B126" s="186"/>
      <c r="C126" s="156"/>
      <c r="D126" s="129">
        <f t="shared" ref="D126:O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M126" si="26">SUBTOTAL(9,H127:H142)</f>
        <v>0</v>
      </c>
      <c r="I126" s="130">
        <f t="shared" si="26"/>
        <v>0</v>
      </c>
      <c r="J126" s="130">
        <f t="shared" si="26"/>
        <v>0</v>
      </c>
      <c r="K126" s="130">
        <f t="shared" si="26"/>
        <v>0</v>
      </c>
      <c r="L126" s="130">
        <f t="shared" si="26"/>
        <v>0</v>
      </c>
      <c r="M126" s="130">
        <f t="shared" si="26"/>
        <v>0</v>
      </c>
      <c r="N126" s="130">
        <f t="shared" si="25"/>
        <v>0</v>
      </c>
      <c r="O126" s="130">
        <f t="shared" si="25"/>
        <v>0</v>
      </c>
      <c r="P126" s="107">
        <f t="shared" si="14"/>
        <v>0</v>
      </c>
      <c r="Q126" s="107">
        <f t="shared" si="15"/>
        <v>0</v>
      </c>
      <c r="R126" s="130">
        <f t="shared" ref="R126:X126" si="27">SUBTOTAL(9,R127:R142)</f>
        <v>0</v>
      </c>
      <c r="S126" s="130">
        <f t="shared" si="27"/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SUM(R126:X126)</f>
        <v>0</v>
      </c>
      <c r="Z126" s="56">
        <f>+P126+Y126</f>
        <v>0</v>
      </c>
      <c r="AA126" s="131">
        <f>+D126-Z126</f>
        <v>0</v>
      </c>
    </row>
    <row r="127" spans="1:27" s="138" customFormat="1" ht="13.5" customHeight="1">
      <c r="A127" s="216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133">
        <f t="shared" si="14"/>
        <v>0</v>
      </c>
      <c r="Q127" s="134">
        <f t="shared" si="15"/>
        <v>0</v>
      </c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>SUM(R127:X127)</f>
        <v>0</v>
      </c>
      <c r="Z127" s="136">
        <f>+P127+Y127</f>
        <v>0</v>
      </c>
      <c r="AA127" s="137">
        <f>+D127-Z127</f>
        <v>0</v>
      </c>
    </row>
    <row r="128" spans="1:27" s="138" customFormat="1" ht="13.5" customHeight="1">
      <c r="A128" s="216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140">
        <f t="shared" si="14"/>
        <v>0</v>
      </c>
      <c r="Q128" s="141">
        <f t="shared" si="15"/>
        <v>0</v>
      </c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>SUM(R128:X128)</f>
        <v>0</v>
      </c>
      <c r="Z128" s="136">
        <f>+P128+Y128</f>
        <v>0</v>
      </c>
      <c r="AA128" s="137">
        <f>+D128-Z128</f>
        <v>0</v>
      </c>
    </row>
    <row r="129" spans="1:27" s="138" customFormat="1" ht="13.5" customHeight="1">
      <c r="A129" s="216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140">
        <f t="shared" si="14"/>
        <v>0</v>
      </c>
      <c r="Q129" s="141">
        <f t="shared" si="15"/>
        <v>0</v>
      </c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>SUM(R129:X129)</f>
        <v>0</v>
      </c>
      <c r="Z129" s="136">
        <f>+P129+Y129</f>
        <v>0</v>
      </c>
      <c r="AA129" s="137">
        <f>+D129-Z129</f>
        <v>0</v>
      </c>
    </row>
    <row r="130" spans="1:27" s="138" customFormat="1" ht="13.5" customHeight="1">
      <c r="A130" s="216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140">
        <f t="shared" si="14"/>
        <v>0</v>
      </c>
      <c r="Q130" s="141">
        <f t="shared" si="15"/>
        <v>0</v>
      </c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>SUM(R130:X130)</f>
        <v>0</v>
      </c>
      <c r="Z130" s="136">
        <f>+P130+Y130</f>
        <v>0</v>
      </c>
      <c r="AA130" s="137">
        <f>+D130-Z130</f>
        <v>0</v>
      </c>
    </row>
    <row r="131" spans="1:27" s="138" customFormat="1" ht="13.5" customHeight="1">
      <c r="A131" s="216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52"/>
      <c r="M131" s="152"/>
      <c r="N131" s="152"/>
      <c r="O131" s="152"/>
      <c r="P131" s="140">
        <f t="shared" si="14"/>
        <v>0</v>
      </c>
      <c r="Q131" s="141">
        <f t="shared" si="15"/>
        <v>0</v>
      </c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>SUM(R131:X131)</f>
        <v>0</v>
      </c>
      <c r="Z131" s="136">
        <f>+P131+Y131</f>
        <v>0</v>
      </c>
      <c r="AA131" s="137">
        <f>+D131-Z131</f>
        <v>0</v>
      </c>
    </row>
    <row r="132" spans="1:27" s="138" customFormat="1" ht="13.5" customHeight="1">
      <c r="A132" s="216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52"/>
      <c r="M132" s="152"/>
      <c r="N132" s="152"/>
      <c r="O132" s="152"/>
      <c r="P132" s="140">
        <f t="shared" si="14"/>
        <v>0</v>
      </c>
      <c r="Q132" s="141">
        <f t="shared" si="15"/>
        <v>0</v>
      </c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>SUM(R132:X132)</f>
        <v>0</v>
      </c>
      <c r="Z132" s="136">
        <f>+P132+Y132</f>
        <v>0</v>
      </c>
      <c r="AA132" s="137">
        <f>+D132-Z132</f>
        <v>0</v>
      </c>
    </row>
    <row r="133" spans="1:27" s="138" customFormat="1" ht="13.5" customHeight="1">
      <c r="A133" s="216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52"/>
      <c r="M133" s="152"/>
      <c r="N133" s="152"/>
      <c r="O133" s="152"/>
      <c r="P133" s="140">
        <f t="shared" si="14"/>
        <v>0</v>
      </c>
      <c r="Q133" s="141">
        <f t="shared" si="15"/>
        <v>0</v>
      </c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>SUM(R133:X133)</f>
        <v>0</v>
      </c>
      <c r="Z133" s="136">
        <f>+P133+Y133</f>
        <v>0</v>
      </c>
      <c r="AA133" s="137">
        <f>+D133-Z133</f>
        <v>0</v>
      </c>
    </row>
    <row r="134" spans="1:27" s="138" customFormat="1" ht="13.5" customHeight="1">
      <c r="A134" s="216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140">
        <f t="shared" ref="P134:P197" si="28">SUM(G134:O134)</f>
        <v>0</v>
      </c>
      <c r="Q134" s="141">
        <f t="shared" ref="Q134:Q197" si="29">D134-P134</f>
        <v>0</v>
      </c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>SUM(R134:X134)</f>
        <v>0</v>
      </c>
      <c r="Z134" s="136">
        <f>+P134+Y134</f>
        <v>0</v>
      </c>
      <c r="AA134" s="137">
        <f>+D134-Z134</f>
        <v>0</v>
      </c>
    </row>
    <row r="135" spans="1:27" s="138" customFormat="1" ht="13.5" customHeight="1">
      <c r="A135" s="216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140">
        <f t="shared" si="28"/>
        <v>0</v>
      </c>
      <c r="Q135" s="141">
        <f t="shared" si="29"/>
        <v>0</v>
      </c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>SUM(R135:X135)</f>
        <v>0</v>
      </c>
      <c r="Z135" s="136">
        <f>+P135+Y135</f>
        <v>0</v>
      </c>
      <c r="AA135" s="137">
        <f>+D135-Z135</f>
        <v>0</v>
      </c>
    </row>
    <row r="136" spans="1:27" s="138" customFormat="1" ht="13.5" customHeight="1">
      <c r="A136" s="216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69"/>
      <c r="M136" s="69"/>
      <c r="N136" s="69"/>
      <c r="O136" s="69"/>
      <c r="P136" s="140">
        <f t="shared" si="28"/>
        <v>0</v>
      </c>
      <c r="Q136" s="141">
        <f t="shared" si="29"/>
        <v>0</v>
      </c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>SUM(R136:X136)</f>
        <v>0</v>
      </c>
      <c r="Z136" s="136">
        <f>+P136+Y136</f>
        <v>0</v>
      </c>
      <c r="AA136" s="137">
        <f>+D136-Z136</f>
        <v>0</v>
      </c>
    </row>
    <row r="137" spans="1:27" s="138" customFormat="1" ht="13.5" customHeight="1">
      <c r="A137" s="216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140">
        <f t="shared" si="28"/>
        <v>0</v>
      </c>
      <c r="Q137" s="141">
        <f t="shared" si="29"/>
        <v>0</v>
      </c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>SUM(R137:X137)</f>
        <v>0</v>
      </c>
      <c r="Z137" s="136">
        <f>+P137+Y137</f>
        <v>0</v>
      </c>
      <c r="AA137" s="137">
        <f>+D137-Z137</f>
        <v>0</v>
      </c>
    </row>
    <row r="138" spans="1:27" s="138" customFormat="1" ht="13.5" customHeight="1">
      <c r="A138" s="216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140">
        <f t="shared" si="28"/>
        <v>0</v>
      </c>
      <c r="Q138" s="141">
        <f t="shared" si="29"/>
        <v>0</v>
      </c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>SUM(R138:X138)</f>
        <v>0</v>
      </c>
      <c r="Z138" s="136">
        <f>+P138+Y138</f>
        <v>0</v>
      </c>
      <c r="AA138" s="137">
        <f>+D138-Z138</f>
        <v>0</v>
      </c>
    </row>
    <row r="139" spans="1:27" s="138" customFormat="1" ht="13.5" customHeight="1">
      <c r="A139" s="216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140">
        <f t="shared" si="28"/>
        <v>0</v>
      </c>
      <c r="Q139" s="141">
        <f t="shared" si="29"/>
        <v>0</v>
      </c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>SUM(R139:X139)</f>
        <v>0</v>
      </c>
      <c r="Z139" s="136">
        <f>+P139+Y139</f>
        <v>0</v>
      </c>
      <c r="AA139" s="137">
        <f>+D139-Z139</f>
        <v>0</v>
      </c>
    </row>
    <row r="140" spans="1:27" s="138" customFormat="1" ht="13.5" customHeight="1">
      <c r="A140" s="216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140">
        <f t="shared" si="28"/>
        <v>0</v>
      </c>
      <c r="Q140" s="141">
        <f t="shared" si="29"/>
        <v>0</v>
      </c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>SUM(R140:X140)</f>
        <v>0</v>
      </c>
      <c r="Z140" s="136">
        <f>+P140+Y140</f>
        <v>0</v>
      </c>
      <c r="AA140" s="137">
        <f>+D140-Z140</f>
        <v>0</v>
      </c>
    </row>
    <row r="141" spans="1:27" s="138" customFormat="1" ht="13.5" customHeight="1">
      <c r="A141" s="216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52"/>
      <c r="M141" s="152"/>
      <c r="N141" s="152"/>
      <c r="O141" s="152"/>
      <c r="P141" s="140">
        <f t="shared" si="28"/>
        <v>0</v>
      </c>
      <c r="Q141" s="141">
        <f t="shared" si="29"/>
        <v>0</v>
      </c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>SUM(R141:X141)</f>
        <v>0</v>
      </c>
      <c r="Z141" s="136">
        <f>+P141+Y141</f>
        <v>0</v>
      </c>
      <c r="AA141" s="137">
        <f>+D141-Z141</f>
        <v>0</v>
      </c>
    </row>
    <row r="142" spans="1:27" s="138" customFormat="1" ht="13.5" customHeight="1">
      <c r="A142" s="216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144">
        <f t="shared" si="28"/>
        <v>0</v>
      </c>
      <c r="Q142" s="145">
        <f t="shared" si="29"/>
        <v>0</v>
      </c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>SUM(R142:X142)</f>
        <v>0</v>
      </c>
      <c r="Z142" s="136">
        <f>+P142+Y142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O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M143" si="31">SUBTOTAL(9,H144:H159)</f>
        <v>0</v>
      </c>
      <c r="I143" s="130">
        <f t="shared" si="31"/>
        <v>0</v>
      </c>
      <c r="J143" s="130">
        <f t="shared" si="31"/>
        <v>0</v>
      </c>
      <c r="K143" s="130">
        <f t="shared" si="31"/>
        <v>0</v>
      </c>
      <c r="L143" s="130">
        <f t="shared" si="31"/>
        <v>0</v>
      </c>
      <c r="M143" s="130">
        <f t="shared" si="31"/>
        <v>0</v>
      </c>
      <c r="N143" s="130">
        <f t="shared" si="30"/>
        <v>0</v>
      </c>
      <c r="O143" s="130">
        <f t="shared" si="30"/>
        <v>0</v>
      </c>
      <c r="P143" s="107">
        <f t="shared" si="28"/>
        <v>0</v>
      </c>
      <c r="Q143" s="107">
        <f t="shared" si="29"/>
        <v>0</v>
      </c>
      <c r="R143" s="130">
        <f t="shared" ref="R143:X143" si="32">SUBTOTAL(9,R144:R159)</f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SUM(R143:X143)</f>
        <v>0</v>
      </c>
      <c r="Z143" s="56">
        <f>+P143+Y143</f>
        <v>0</v>
      </c>
      <c r="AA143" s="131">
        <f>+D143-Z143</f>
        <v>0</v>
      </c>
    </row>
    <row r="144" spans="1:27" s="138" customFormat="1" ht="13.5" customHeight="1">
      <c r="A144" s="208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73"/>
      <c r="M144" s="73"/>
      <c r="N144" s="73"/>
      <c r="O144" s="73"/>
      <c r="P144" s="159">
        <f t="shared" si="28"/>
        <v>0</v>
      </c>
      <c r="Q144" s="160">
        <f t="shared" si="29"/>
        <v>0</v>
      </c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>SUM(R144:X144)</f>
        <v>0</v>
      </c>
      <c r="Z144" s="162">
        <f>+P144+Y144</f>
        <v>0</v>
      </c>
      <c r="AA144" s="163">
        <f>+D144-Z144</f>
        <v>0</v>
      </c>
    </row>
    <row r="145" spans="1:27" s="138" customFormat="1" ht="13.5" customHeight="1">
      <c r="A145" s="208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75"/>
      <c r="M145" s="75"/>
      <c r="N145" s="75"/>
      <c r="O145" s="75"/>
      <c r="P145" s="165">
        <f t="shared" si="28"/>
        <v>0</v>
      </c>
      <c r="Q145" s="166">
        <f t="shared" si="29"/>
        <v>0</v>
      </c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>SUM(R145:X145)</f>
        <v>0</v>
      </c>
      <c r="Z145" s="162">
        <f>+P145+Y145</f>
        <v>0</v>
      </c>
      <c r="AA145" s="163">
        <f>+D145-Z145</f>
        <v>0</v>
      </c>
    </row>
    <row r="146" spans="1:27" s="138" customFormat="1" ht="13.5" customHeight="1">
      <c r="A146" s="208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75"/>
      <c r="M146" s="75"/>
      <c r="N146" s="75"/>
      <c r="O146" s="75"/>
      <c r="P146" s="165">
        <f t="shared" si="28"/>
        <v>0</v>
      </c>
      <c r="Q146" s="166">
        <f t="shared" si="29"/>
        <v>0</v>
      </c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>SUM(R146:X146)</f>
        <v>0</v>
      </c>
      <c r="Z146" s="162">
        <f>+P146+Y146</f>
        <v>0</v>
      </c>
      <c r="AA146" s="163">
        <f>+D146-Z146</f>
        <v>0</v>
      </c>
    </row>
    <row r="147" spans="1:27" s="138" customFormat="1" ht="13.5" customHeight="1">
      <c r="A147" s="208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75"/>
      <c r="M147" s="75"/>
      <c r="N147" s="75"/>
      <c r="O147" s="75"/>
      <c r="P147" s="165">
        <f t="shared" si="28"/>
        <v>0</v>
      </c>
      <c r="Q147" s="166">
        <f t="shared" si="29"/>
        <v>0</v>
      </c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>SUM(R147:X147)</f>
        <v>0</v>
      </c>
      <c r="Z147" s="162">
        <f>+P147+Y147</f>
        <v>0</v>
      </c>
      <c r="AA147" s="163">
        <f>+D147-Z147</f>
        <v>0</v>
      </c>
    </row>
    <row r="148" spans="1:27" s="138" customFormat="1" ht="13.5" customHeight="1">
      <c r="A148" s="208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75"/>
      <c r="M148" s="75"/>
      <c r="N148" s="75"/>
      <c r="O148" s="75"/>
      <c r="P148" s="165">
        <f t="shared" si="28"/>
        <v>0</v>
      </c>
      <c r="Q148" s="166">
        <f t="shared" si="29"/>
        <v>0</v>
      </c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>SUM(R148:X148)</f>
        <v>0</v>
      </c>
      <c r="Z148" s="162">
        <f>+P148+Y148</f>
        <v>0</v>
      </c>
      <c r="AA148" s="163">
        <f>+D148-Z148</f>
        <v>0</v>
      </c>
    </row>
    <row r="149" spans="1:27" s="138" customFormat="1" ht="13.5" customHeight="1">
      <c r="A149" s="208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75"/>
      <c r="M149" s="75"/>
      <c r="N149" s="75"/>
      <c r="O149" s="75"/>
      <c r="P149" s="165">
        <f t="shared" si="28"/>
        <v>0</v>
      </c>
      <c r="Q149" s="166">
        <f t="shared" si="29"/>
        <v>0</v>
      </c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>SUM(R149:X149)</f>
        <v>0</v>
      </c>
      <c r="Z149" s="162">
        <f>+P149+Y149</f>
        <v>0</v>
      </c>
      <c r="AA149" s="163">
        <f>+D149-Z149</f>
        <v>0</v>
      </c>
    </row>
    <row r="150" spans="1:27" s="138" customFormat="1" ht="13.5" customHeight="1">
      <c r="A150" s="208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75"/>
      <c r="M150" s="75"/>
      <c r="N150" s="75"/>
      <c r="O150" s="75"/>
      <c r="P150" s="165">
        <f t="shared" si="28"/>
        <v>0</v>
      </c>
      <c r="Q150" s="166">
        <f t="shared" si="29"/>
        <v>0</v>
      </c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>SUM(R150:X150)</f>
        <v>0</v>
      </c>
      <c r="Z150" s="162">
        <f>+P150+Y150</f>
        <v>0</v>
      </c>
      <c r="AA150" s="163">
        <f>+D150-Z150</f>
        <v>0</v>
      </c>
    </row>
    <row r="151" spans="1:27" s="138" customFormat="1" ht="13.5" customHeight="1">
      <c r="A151" s="208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76"/>
      <c r="M151" s="76"/>
      <c r="N151" s="76"/>
      <c r="O151" s="76"/>
      <c r="P151" s="165">
        <f t="shared" si="28"/>
        <v>0</v>
      </c>
      <c r="Q151" s="166">
        <f t="shared" si="29"/>
        <v>0</v>
      </c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>SUM(R151:X151)</f>
        <v>0</v>
      </c>
      <c r="Z151" s="162">
        <f>+P151+Y151</f>
        <v>0</v>
      </c>
      <c r="AA151" s="163">
        <f>+D151-Z151</f>
        <v>0</v>
      </c>
    </row>
    <row r="152" spans="1:27" s="138" customFormat="1" ht="13.5" customHeight="1">
      <c r="A152" s="208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76"/>
      <c r="M152" s="76"/>
      <c r="N152" s="76"/>
      <c r="O152" s="76"/>
      <c r="P152" s="165">
        <f t="shared" si="28"/>
        <v>0</v>
      </c>
      <c r="Q152" s="166">
        <f t="shared" si="29"/>
        <v>0</v>
      </c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>SUM(R152:X152)</f>
        <v>0</v>
      </c>
      <c r="Z152" s="162">
        <f>+P152+Y152</f>
        <v>0</v>
      </c>
      <c r="AA152" s="163">
        <f>+D152-Z152</f>
        <v>0</v>
      </c>
    </row>
    <row r="153" spans="1:27" s="138" customFormat="1" ht="13.5" customHeight="1">
      <c r="A153" s="208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76"/>
      <c r="M153" s="76"/>
      <c r="N153" s="76"/>
      <c r="O153" s="76"/>
      <c r="P153" s="165">
        <f t="shared" si="28"/>
        <v>0</v>
      </c>
      <c r="Q153" s="166">
        <f t="shared" si="29"/>
        <v>0</v>
      </c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>SUM(R153:X153)</f>
        <v>0</v>
      </c>
      <c r="Z153" s="162">
        <f>+P153+Y153</f>
        <v>0</v>
      </c>
      <c r="AA153" s="163">
        <f>+D153-Z153</f>
        <v>0</v>
      </c>
    </row>
    <row r="154" spans="1:27" s="138" customFormat="1" ht="13.5" customHeight="1">
      <c r="A154" s="208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76"/>
      <c r="M154" s="76"/>
      <c r="N154" s="76"/>
      <c r="O154" s="76"/>
      <c r="P154" s="165">
        <f t="shared" si="28"/>
        <v>0</v>
      </c>
      <c r="Q154" s="166">
        <f t="shared" si="29"/>
        <v>0</v>
      </c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>SUM(R154:X154)</f>
        <v>0</v>
      </c>
      <c r="Z154" s="162">
        <f>+P154+Y154</f>
        <v>0</v>
      </c>
      <c r="AA154" s="163">
        <f>+D154-Z154</f>
        <v>0</v>
      </c>
    </row>
    <row r="155" spans="1:27" s="138" customFormat="1" ht="13.5" customHeight="1">
      <c r="A155" s="208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140">
        <f t="shared" si="28"/>
        <v>0</v>
      </c>
      <c r="Q155" s="141">
        <f t="shared" si="29"/>
        <v>0</v>
      </c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>SUM(R155:X155)</f>
        <v>0</v>
      </c>
      <c r="Z155" s="136">
        <f>+P155+Y155</f>
        <v>0</v>
      </c>
      <c r="AA155" s="137">
        <f>+D155-Z155</f>
        <v>0</v>
      </c>
    </row>
    <row r="156" spans="1:27" s="138" customFormat="1" ht="13.5" customHeight="1">
      <c r="A156" s="208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76"/>
      <c r="M156" s="76"/>
      <c r="N156" s="76"/>
      <c r="O156" s="76"/>
      <c r="P156" s="165">
        <f t="shared" si="28"/>
        <v>0</v>
      </c>
      <c r="Q156" s="166">
        <f t="shared" si="29"/>
        <v>0</v>
      </c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>SUM(R156:X156)</f>
        <v>0</v>
      </c>
      <c r="Z156" s="162">
        <f>+P156+Y156</f>
        <v>0</v>
      </c>
      <c r="AA156" s="163">
        <f>+D156-Z156</f>
        <v>0</v>
      </c>
    </row>
    <row r="157" spans="1:27" s="138" customFormat="1" ht="13.5" customHeight="1">
      <c r="A157" s="208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75"/>
      <c r="M157" s="75"/>
      <c r="N157" s="75"/>
      <c r="O157" s="75"/>
      <c r="P157" s="165">
        <f t="shared" si="28"/>
        <v>0</v>
      </c>
      <c r="Q157" s="166">
        <f t="shared" si="29"/>
        <v>0</v>
      </c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>SUM(R157:X157)</f>
        <v>0</v>
      </c>
      <c r="Z157" s="162">
        <f>+P157+Y157</f>
        <v>0</v>
      </c>
      <c r="AA157" s="163">
        <f>+D157-Z157</f>
        <v>0</v>
      </c>
    </row>
    <row r="158" spans="1:27" s="138" customFormat="1" ht="13.5" customHeight="1">
      <c r="A158" s="208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75"/>
      <c r="M158" s="75"/>
      <c r="N158" s="75"/>
      <c r="O158" s="75"/>
      <c r="P158" s="165">
        <f t="shared" si="28"/>
        <v>0</v>
      </c>
      <c r="Q158" s="166">
        <f t="shared" si="29"/>
        <v>0</v>
      </c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>SUM(R158:X158)</f>
        <v>0</v>
      </c>
      <c r="Z158" s="162">
        <f>+P158+Y158</f>
        <v>0</v>
      </c>
      <c r="AA158" s="163">
        <f>+D158-Z158</f>
        <v>0</v>
      </c>
    </row>
    <row r="159" spans="1:27" s="138" customFormat="1" ht="13.5" customHeight="1">
      <c r="A159" s="208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78"/>
      <c r="M159" s="78"/>
      <c r="N159" s="78"/>
      <c r="O159" s="78"/>
      <c r="P159" s="169">
        <f t="shared" si="28"/>
        <v>0</v>
      </c>
      <c r="Q159" s="170">
        <f t="shared" si="29"/>
        <v>0</v>
      </c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>SUM(R159:X159)</f>
        <v>0</v>
      </c>
      <c r="Z159" s="162">
        <f>+P159+Y159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O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M160" si="34">SUBTOTAL(9,H161:H176)</f>
        <v>0</v>
      </c>
      <c r="I160" s="130">
        <f t="shared" si="34"/>
        <v>0</v>
      </c>
      <c r="J160" s="130">
        <f t="shared" si="34"/>
        <v>0</v>
      </c>
      <c r="K160" s="130">
        <f t="shared" si="34"/>
        <v>0</v>
      </c>
      <c r="L160" s="130">
        <f t="shared" si="34"/>
        <v>0</v>
      </c>
      <c r="M160" s="130">
        <f t="shared" si="34"/>
        <v>0</v>
      </c>
      <c r="N160" s="130">
        <f t="shared" si="33"/>
        <v>0</v>
      </c>
      <c r="O160" s="130">
        <f t="shared" si="33"/>
        <v>0</v>
      </c>
      <c r="P160" s="107">
        <f t="shared" si="28"/>
        <v>0</v>
      </c>
      <c r="Q160" s="107">
        <f t="shared" si="29"/>
        <v>0</v>
      </c>
      <c r="R160" s="130">
        <f t="shared" ref="R160:X160" si="35">SUBTOTAL(9,R161:R176)</f>
        <v>0</v>
      </c>
      <c r="S160" s="130">
        <f t="shared" si="35"/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SUM(R160:X160)</f>
        <v>0</v>
      </c>
      <c r="Z160" s="56">
        <f>+P160+Y160</f>
        <v>0</v>
      </c>
      <c r="AA160" s="131">
        <f>+D160-Z160</f>
        <v>0</v>
      </c>
    </row>
    <row r="161" spans="1:27" s="138" customFormat="1" ht="13.5" customHeight="1">
      <c r="A161" s="194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73"/>
      <c r="M161" s="73"/>
      <c r="N161" s="73"/>
      <c r="O161" s="73"/>
      <c r="P161" s="159">
        <f t="shared" si="28"/>
        <v>0</v>
      </c>
      <c r="Q161" s="160">
        <f t="shared" si="29"/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SUM(R161:X161)</f>
        <v>0</v>
      </c>
      <c r="Z161" s="162">
        <f>+P161+Y161</f>
        <v>0</v>
      </c>
      <c r="AA161" s="163">
        <f>+D161-Z161</f>
        <v>0</v>
      </c>
    </row>
    <row r="162" spans="1:27" s="138" customFormat="1" ht="13.5" customHeight="1">
      <c r="A162" s="194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66"/>
      <c r="M162" s="66"/>
      <c r="N162" s="66"/>
      <c r="O162" s="66"/>
      <c r="P162" s="133">
        <f t="shared" si="28"/>
        <v>0</v>
      </c>
      <c r="Q162" s="134">
        <f t="shared" si="29"/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SUM(R162:X162)</f>
        <v>0</v>
      </c>
      <c r="Z162" s="136">
        <f>+P162+Y162</f>
        <v>0</v>
      </c>
      <c r="AA162" s="137">
        <f>+D162-Z162</f>
        <v>0</v>
      </c>
    </row>
    <row r="163" spans="1:27" s="138" customFormat="1" ht="13.5" customHeight="1">
      <c r="A163" s="194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75"/>
      <c r="M163" s="75"/>
      <c r="N163" s="75"/>
      <c r="O163" s="75"/>
      <c r="P163" s="165">
        <f t="shared" si="28"/>
        <v>0</v>
      </c>
      <c r="Q163" s="166">
        <f t="shared" si="29"/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SUM(R163:X163)</f>
        <v>0</v>
      </c>
      <c r="Z163" s="162">
        <f>+P163+Y163</f>
        <v>0</v>
      </c>
      <c r="AA163" s="163">
        <f>+D163-Z163</f>
        <v>0</v>
      </c>
    </row>
    <row r="164" spans="1:27" s="138" customFormat="1" ht="13.5" customHeight="1">
      <c r="A164" s="194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75"/>
      <c r="M164" s="75"/>
      <c r="N164" s="75"/>
      <c r="O164" s="75"/>
      <c r="P164" s="165">
        <f t="shared" si="28"/>
        <v>0</v>
      </c>
      <c r="Q164" s="166">
        <f t="shared" si="29"/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SUM(R164:X164)</f>
        <v>0</v>
      </c>
      <c r="Z164" s="162">
        <f>+P164+Y164</f>
        <v>0</v>
      </c>
      <c r="AA164" s="163">
        <f>+D164-Z164</f>
        <v>0</v>
      </c>
    </row>
    <row r="165" spans="1:27" s="138" customFormat="1" ht="13.5" customHeight="1">
      <c r="A165" s="194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68"/>
      <c r="M165" s="68"/>
      <c r="N165" s="68"/>
      <c r="O165" s="68"/>
      <c r="P165" s="140">
        <f t="shared" si="28"/>
        <v>0</v>
      </c>
      <c r="Q165" s="141">
        <f t="shared" si="29"/>
        <v>0</v>
      </c>
      <c r="R165" s="172"/>
      <c r="S165" s="172"/>
      <c r="T165" s="172"/>
      <c r="U165" s="173"/>
      <c r="V165" s="173"/>
      <c r="W165" s="173"/>
      <c r="X165" s="172"/>
      <c r="Y165" s="136">
        <f>SUM(R165:X165)</f>
        <v>0</v>
      </c>
      <c r="Z165" s="136">
        <f>+P165+Y165</f>
        <v>0</v>
      </c>
      <c r="AA165" s="137">
        <f>+D165-Z165</f>
        <v>0</v>
      </c>
    </row>
    <row r="166" spans="1:27" s="138" customFormat="1" ht="13.5" customHeight="1">
      <c r="A166" s="194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68"/>
      <c r="M166" s="68"/>
      <c r="N166" s="68"/>
      <c r="O166" s="68"/>
      <c r="P166" s="140">
        <f t="shared" si="28"/>
        <v>0</v>
      </c>
      <c r="Q166" s="141">
        <f t="shared" si="29"/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SUM(R166:X166)</f>
        <v>0</v>
      </c>
      <c r="Z166" s="136">
        <f>+P166+Y166</f>
        <v>0</v>
      </c>
      <c r="AA166" s="137">
        <f>+D166-Z166</f>
        <v>0</v>
      </c>
    </row>
    <row r="167" spans="1:27" s="138" customFormat="1" ht="13.5" customHeight="1">
      <c r="A167" s="194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68"/>
      <c r="M167" s="68"/>
      <c r="N167" s="68"/>
      <c r="O167" s="68"/>
      <c r="P167" s="140">
        <f t="shared" si="28"/>
        <v>0</v>
      </c>
      <c r="Q167" s="141">
        <f t="shared" si="29"/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SUM(R167:X167)</f>
        <v>0</v>
      </c>
      <c r="Z167" s="136">
        <f>+P167+Y167</f>
        <v>0</v>
      </c>
      <c r="AA167" s="137">
        <f>+D167-Z167</f>
        <v>0</v>
      </c>
    </row>
    <row r="168" spans="1:27" s="138" customFormat="1" ht="13.5" customHeight="1">
      <c r="A168" s="194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69"/>
      <c r="M168" s="69"/>
      <c r="N168" s="69"/>
      <c r="O168" s="69"/>
      <c r="P168" s="140">
        <f t="shared" si="28"/>
        <v>0</v>
      </c>
      <c r="Q168" s="141">
        <f t="shared" si="29"/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SUM(R168:X168)</f>
        <v>0</v>
      </c>
      <c r="Z168" s="136">
        <f>+P168+Y168</f>
        <v>0</v>
      </c>
      <c r="AA168" s="137">
        <f>+D168-Z168</f>
        <v>0</v>
      </c>
    </row>
    <row r="169" spans="1:27" s="138" customFormat="1" ht="13.5" customHeight="1">
      <c r="A169" s="194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69"/>
      <c r="M169" s="69"/>
      <c r="N169" s="69"/>
      <c r="O169" s="69"/>
      <c r="P169" s="140">
        <f t="shared" si="28"/>
        <v>0</v>
      </c>
      <c r="Q169" s="141">
        <f t="shared" si="29"/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SUM(R169:X169)</f>
        <v>0</v>
      </c>
      <c r="Z169" s="136">
        <f>+P169+Y169</f>
        <v>0</v>
      </c>
      <c r="AA169" s="137">
        <f>+D169-Z169</f>
        <v>0</v>
      </c>
    </row>
    <row r="170" spans="1:27" s="138" customFormat="1" ht="13.5" customHeight="1">
      <c r="A170" s="194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69"/>
      <c r="M170" s="69"/>
      <c r="N170" s="69"/>
      <c r="O170" s="69"/>
      <c r="P170" s="140">
        <f t="shared" si="28"/>
        <v>0</v>
      </c>
      <c r="Q170" s="141">
        <f t="shared" si="29"/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SUM(R170:X170)</f>
        <v>0</v>
      </c>
      <c r="Z170" s="136">
        <f>+P170+Y170</f>
        <v>0</v>
      </c>
      <c r="AA170" s="137">
        <f>+D170-Z170</f>
        <v>0</v>
      </c>
    </row>
    <row r="171" spans="1:27" s="138" customFormat="1" ht="13.5" customHeight="1">
      <c r="A171" s="194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69"/>
      <c r="M171" s="69"/>
      <c r="N171" s="69"/>
      <c r="O171" s="69"/>
      <c r="P171" s="140">
        <f t="shared" si="28"/>
        <v>0</v>
      </c>
      <c r="Q171" s="141">
        <f t="shared" si="29"/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SUM(R171:X171)</f>
        <v>0</v>
      </c>
      <c r="Z171" s="136">
        <f>+P171+Y171</f>
        <v>0</v>
      </c>
      <c r="AA171" s="137">
        <f>+D171-Z171</f>
        <v>0</v>
      </c>
    </row>
    <row r="172" spans="1:27" s="138" customFormat="1" ht="13.5" customHeight="1">
      <c r="A172" s="194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140">
        <f t="shared" si="28"/>
        <v>0</v>
      </c>
      <c r="Q172" s="141">
        <f t="shared" si="29"/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SUM(R172:X172)</f>
        <v>0</v>
      </c>
      <c r="Z172" s="136">
        <f>+P172+Y172</f>
        <v>0</v>
      </c>
      <c r="AA172" s="137">
        <f>+D172-Z172</f>
        <v>0</v>
      </c>
    </row>
    <row r="173" spans="1:27" s="138" customFormat="1" ht="13.5" customHeight="1">
      <c r="A173" s="194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69"/>
      <c r="M173" s="69"/>
      <c r="N173" s="69"/>
      <c r="O173" s="69"/>
      <c r="P173" s="140">
        <f t="shared" si="28"/>
        <v>0</v>
      </c>
      <c r="Q173" s="141">
        <f t="shared" si="29"/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SUM(R173:X173)</f>
        <v>0</v>
      </c>
      <c r="Z173" s="136">
        <f>+P173+Y173</f>
        <v>0</v>
      </c>
      <c r="AA173" s="137">
        <f>+D173-Z173</f>
        <v>0</v>
      </c>
    </row>
    <row r="174" spans="1:27" s="138" customFormat="1" ht="13.5" customHeight="1">
      <c r="A174" s="194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68"/>
      <c r="M174" s="68"/>
      <c r="N174" s="68"/>
      <c r="O174" s="68"/>
      <c r="P174" s="140">
        <f t="shared" si="28"/>
        <v>0</v>
      </c>
      <c r="Q174" s="141">
        <f t="shared" si="29"/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SUM(R174:X174)</f>
        <v>0</v>
      </c>
      <c r="Z174" s="136">
        <f>+P174+Y174</f>
        <v>0</v>
      </c>
      <c r="AA174" s="137">
        <f>+D174-Z174</f>
        <v>0</v>
      </c>
    </row>
    <row r="175" spans="1:27" s="138" customFormat="1" ht="13.5" customHeight="1">
      <c r="A175" s="194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68"/>
      <c r="M175" s="68"/>
      <c r="N175" s="68"/>
      <c r="O175" s="68"/>
      <c r="P175" s="140">
        <f t="shared" si="28"/>
        <v>0</v>
      </c>
      <c r="Q175" s="141">
        <f t="shared" si="29"/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SUM(R175:X175)</f>
        <v>0</v>
      </c>
      <c r="Z175" s="136">
        <f>+P175+Y175</f>
        <v>0</v>
      </c>
      <c r="AA175" s="137">
        <f>+D175-Z175</f>
        <v>0</v>
      </c>
    </row>
    <row r="176" spans="1:27" s="138" customFormat="1" ht="13.5" customHeight="1">
      <c r="A176" s="194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71"/>
      <c r="M176" s="71"/>
      <c r="N176" s="71"/>
      <c r="O176" s="71"/>
      <c r="P176" s="144">
        <f t="shared" si="28"/>
        <v>0</v>
      </c>
      <c r="Q176" s="145">
        <f t="shared" si="29"/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SUM(R176:X176)</f>
        <v>0</v>
      </c>
      <c r="Z176" s="136">
        <f>+P176+Y176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O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M177" si="37">SUBTOTAL(9,H178:H193)</f>
        <v>0</v>
      </c>
      <c r="I177" s="130">
        <f t="shared" si="37"/>
        <v>0</v>
      </c>
      <c r="J177" s="130">
        <f t="shared" si="37"/>
        <v>0</v>
      </c>
      <c r="K177" s="130">
        <f t="shared" si="37"/>
        <v>0</v>
      </c>
      <c r="L177" s="130">
        <f t="shared" si="37"/>
        <v>0</v>
      </c>
      <c r="M177" s="130">
        <f t="shared" si="37"/>
        <v>0</v>
      </c>
      <c r="N177" s="130">
        <f t="shared" si="36"/>
        <v>0</v>
      </c>
      <c r="O177" s="130">
        <f t="shared" si="36"/>
        <v>0</v>
      </c>
      <c r="P177" s="107">
        <f t="shared" si="28"/>
        <v>0</v>
      </c>
      <c r="Q177" s="107">
        <f t="shared" si="29"/>
        <v>0</v>
      </c>
      <c r="R177" s="130">
        <f t="shared" ref="R177:X177" si="38">SUBTOTAL(9,R178:R193)</f>
        <v>0</v>
      </c>
      <c r="S177" s="130">
        <f t="shared" si="38"/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SUM(R177:X177)</f>
        <v>0</v>
      </c>
      <c r="Z177" s="56">
        <f>+P177+Y177</f>
        <v>0</v>
      </c>
      <c r="AA177" s="131">
        <f>+D177-Z177</f>
        <v>0</v>
      </c>
    </row>
    <row r="178" spans="1:27" s="138" customFormat="1" ht="13.5" customHeight="1">
      <c r="A178" s="194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73"/>
      <c r="M178" s="73"/>
      <c r="N178" s="73"/>
      <c r="O178" s="73"/>
      <c r="P178" s="159">
        <f t="shared" si="28"/>
        <v>0</v>
      </c>
      <c r="Q178" s="160">
        <f t="shared" si="29"/>
        <v>0</v>
      </c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>SUM(R178:X178)</f>
        <v>0</v>
      </c>
      <c r="Z178" s="162">
        <f>+P178+Y178</f>
        <v>0</v>
      </c>
      <c r="AA178" s="163">
        <f>+D178-Z178</f>
        <v>0</v>
      </c>
    </row>
    <row r="179" spans="1:27" s="138" customFormat="1" ht="13.5" customHeight="1">
      <c r="A179" s="194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66"/>
      <c r="M179" s="66"/>
      <c r="N179" s="66"/>
      <c r="O179" s="66"/>
      <c r="P179" s="133">
        <f t="shared" si="28"/>
        <v>0</v>
      </c>
      <c r="Q179" s="134">
        <f t="shared" si="29"/>
        <v>0</v>
      </c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>SUM(R179:X179)</f>
        <v>0</v>
      </c>
      <c r="Z179" s="136">
        <f>+P179+Y179</f>
        <v>0</v>
      </c>
      <c r="AA179" s="137">
        <f>+D179-Z179</f>
        <v>0</v>
      </c>
    </row>
    <row r="180" spans="1:27" s="138" customFormat="1" ht="13.5" customHeight="1">
      <c r="A180" s="194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68"/>
      <c r="M180" s="68"/>
      <c r="N180" s="68"/>
      <c r="O180" s="68"/>
      <c r="P180" s="140">
        <f t="shared" si="28"/>
        <v>0</v>
      </c>
      <c r="Q180" s="141">
        <f t="shared" si="29"/>
        <v>0</v>
      </c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>SUM(R180:X180)</f>
        <v>0</v>
      </c>
      <c r="Z180" s="136">
        <f>+P180+Y180</f>
        <v>0</v>
      </c>
      <c r="AA180" s="137">
        <f>+D180-Z180</f>
        <v>0</v>
      </c>
    </row>
    <row r="181" spans="1:27" s="138" customFormat="1" ht="13.5" customHeight="1">
      <c r="A181" s="194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75"/>
      <c r="M181" s="75"/>
      <c r="N181" s="75"/>
      <c r="O181" s="75"/>
      <c r="P181" s="165">
        <f t="shared" si="28"/>
        <v>0</v>
      </c>
      <c r="Q181" s="166">
        <f t="shared" si="29"/>
        <v>0</v>
      </c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>SUM(R181:X181)</f>
        <v>0</v>
      </c>
      <c r="Z181" s="162">
        <f>+P181+Y181</f>
        <v>0</v>
      </c>
      <c r="AA181" s="163">
        <f>+D181-Z181</f>
        <v>0</v>
      </c>
    </row>
    <row r="182" spans="1:27" s="138" customFormat="1" ht="13.5" customHeight="1">
      <c r="A182" s="194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68"/>
      <c r="M182" s="68"/>
      <c r="N182" s="68"/>
      <c r="O182" s="68"/>
      <c r="P182" s="140">
        <f t="shared" si="28"/>
        <v>0</v>
      </c>
      <c r="Q182" s="141">
        <f t="shared" si="29"/>
        <v>0</v>
      </c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>SUM(R182:X182)</f>
        <v>0</v>
      </c>
      <c r="Z182" s="136">
        <f>+P182+Y182</f>
        <v>0</v>
      </c>
      <c r="AA182" s="137">
        <f>+D182-Z182</f>
        <v>0</v>
      </c>
    </row>
    <row r="183" spans="1:27" s="138" customFormat="1" ht="13.5" customHeight="1">
      <c r="A183" s="194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68"/>
      <c r="M183" s="68"/>
      <c r="N183" s="68"/>
      <c r="O183" s="68"/>
      <c r="P183" s="140">
        <f t="shared" si="28"/>
        <v>0</v>
      </c>
      <c r="Q183" s="141">
        <f t="shared" si="29"/>
        <v>0</v>
      </c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>SUM(R183:X183)</f>
        <v>0</v>
      </c>
      <c r="Z183" s="136">
        <f>+P183+Y183</f>
        <v>0</v>
      </c>
      <c r="AA183" s="137">
        <f>+D183-Z183</f>
        <v>0</v>
      </c>
    </row>
    <row r="184" spans="1:27" s="138" customFormat="1" ht="13.5" customHeight="1">
      <c r="A184" s="194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68"/>
      <c r="M184" s="68"/>
      <c r="N184" s="68"/>
      <c r="O184" s="68"/>
      <c r="P184" s="140">
        <f t="shared" si="28"/>
        <v>0</v>
      </c>
      <c r="Q184" s="141">
        <f t="shared" si="29"/>
        <v>0</v>
      </c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>SUM(R184:X184)</f>
        <v>0</v>
      </c>
      <c r="Z184" s="136">
        <f>+P184+Y184</f>
        <v>0</v>
      </c>
      <c r="AA184" s="137">
        <f>+D184-Z184</f>
        <v>0</v>
      </c>
    </row>
    <row r="185" spans="1:27" s="138" customFormat="1" ht="13.5" customHeight="1">
      <c r="A185" s="194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69"/>
      <c r="M185" s="69"/>
      <c r="N185" s="69"/>
      <c r="O185" s="69"/>
      <c r="P185" s="140">
        <f t="shared" si="28"/>
        <v>0</v>
      </c>
      <c r="Q185" s="141">
        <f t="shared" si="29"/>
        <v>0</v>
      </c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>SUM(R185:X185)</f>
        <v>0</v>
      </c>
      <c r="Z185" s="136">
        <f>+P185+Y185</f>
        <v>0</v>
      </c>
      <c r="AA185" s="137">
        <f>+D185-Z185</f>
        <v>0</v>
      </c>
    </row>
    <row r="186" spans="1:27" s="138" customFormat="1" ht="13.5" customHeight="1">
      <c r="A186" s="194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69"/>
      <c r="M186" s="69"/>
      <c r="N186" s="69"/>
      <c r="O186" s="69"/>
      <c r="P186" s="140">
        <f t="shared" si="28"/>
        <v>0</v>
      </c>
      <c r="Q186" s="141">
        <f t="shared" si="29"/>
        <v>0</v>
      </c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>SUM(R186:X186)</f>
        <v>0</v>
      </c>
      <c r="Z186" s="136">
        <f>+P186+Y186</f>
        <v>0</v>
      </c>
      <c r="AA186" s="137">
        <f>+D186-Z186</f>
        <v>0</v>
      </c>
    </row>
    <row r="187" spans="1:27" s="138" customFormat="1" ht="13.5" customHeight="1">
      <c r="A187" s="194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69"/>
      <c r="M187" s="69"/>
      <c r="N187" s="69"/>
      <c r="O187" s="69"/>
      <c r="P187" s="140">
        <f t="shared" si="28"/>
        <v>0</v>
      </c>
      <c r="Q187" s="141">
        <f t="shared" si="29"/>
        <v>0</v>
      </c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>SUM(R187:X187)</f>
        <v>0</v>
      </c>
      <c r="Z187" s="136">
        <f>+P187+Y187</f>
        <v>0</v>
      </c>
      <c r="AA187" s="137">
        <f>+D187-Z187</f>
        <v>0</v>
      </c>
    </row>
    <row r="188" spans="1:27" s="138" customFormat="1" ht="13.5" customHeight="1">
      <c r="A188" s="194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69"/>
      <c r="M188" s="69"/>
      <c r="N188" s="69"/>
      <c r="O188" s="69"/>
      <c r="P188" s="140">
        <f t="shared" si="28"/>
        <v>0</v>
      </c>
      <c r="Q188" s="141">
        <f t="shared" si="29"/>
        <v>0</v>
      </c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>SUM(R188:X188)</f>
        <v>0</v>
      </c>
      <c r="Z188" s="136">
        <f>+P188+Y188</f>
        <v>0</v>
      </c>
      <c r="AA188" s="137">
        <f>+D188-Z188</f>
        <v>0</v>
      </c>
    </row>
    <row r="189" spans="1:27" s="138" customFormat="1" ht="13.5" customHeight="1">
      <c r="A189" s="194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140">
        <f t="shared" si="28"/>
        <v>0</v>
      </c>
      <c r="Q189" s="141">
        <f t="shared" si="29"/>
        <v>0</v>
      </c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>SUM(R189:X189)</f>
        <v>0</v>
      </c>
      <c r="Z189" s="136">
        <f>+P189+Y189</f>
        <v>0</v>
      </c>
      <c r="AA189" s="137">
        <f>+D189-Z189</f>
        <v>0</v>
      </c>
    </row>
    <row r="190" spans="1:27" s="138" customFormat="1" ht="13.5" customHeight="1">
      <c r="A190" s="194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69"/>
      <c r="M190" s="69"/>
      <c r="N190" s="69"/>
      <c r="O190" s="69"/>
      <c r="P190" s="140">
        <f t="shared" si="28"/>
        <v>0</v>
      </c>
      <c r="Q190" s="141">
        <f t="shared" si="29"/>
        <v>0</v>
      </c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>SUM(R190:X190)</f>
        <v>0</v>
      </c>
      <c r="Z190" s="136">
        <f>+P190+Y190</f>
        <v>0</v>
      </c>
      <c r="AA190" s="137">
        <f>+D190-Z190</f>
        <v>0</v>
      </c>
    </row>
    <row r="191" spans="1:27" s="138" customFormat="1" ht="13.5" customHeight="1">
      <c r="A191" s="194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68"/>
      <c r="M191" s="68"/>
      <c r="N191" s="68"/>
      <c r="O191" s="68"/>
      <c r="P191" s="140">
        <f t="shared" si="28"/>
        <v>0</v>
      </c>
      <c r="Q191" s="141">
        <f t="shared" si="29"/>
        <v>0</v>
      </c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>SUM(R191:X191)</f>
        <v>0</v>
      </c>
      <c r="Z191" s="136">
        <f>+P191+Y191</f>
        <v>0</v>
      </c>
      <c r="AA191" s="137">
        <f>+D191-Z191</f>
        <v>0</v>
      </c>
    </row>
    <row r="192" spans="1:27" s="138" customFormat="1" ht="13.5" customHeight="1">
      <c r="A192" s="194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68"/>
      <c r="M192" s="68"/>
      <c r="N192" s="68"/>
      <c r="O192" s="68"/>
      <c r="P192" s="140">
        <f t="shared" si="28"/>
        <v>0</v>
      </c>
      <c r="Q192" s="141">
        <f t="shared" si="29"/>
        <v>0</v>
      </c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>SUM(R192:X192)</f>
        <v>0</v>
      </c>
      <c r="Z192" s="136">
        <f>+P192+Y192</f>
        <v>0</v>
      </c>
      <c r="AA192" s="137">
        <f>+D192-Z192</f>
        <v>0</v>
      </c>
    </row>
    <row r="193" spans="1:27" s="138" customFormat="1" ht="13.5" customHeight="1">
      <c r="A193" s="194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71"/>
      <c r="M193" s="71"/>
      <c r="N193" s="71"/>
      <c r="O193" s="71"/>
      <c r="P193" s="140">
        <f t="shared" si="28"/>
        <v>0</v>
      </c>
      <c r="Q193" s="141">
        <f t="shared" si="29"/>
        <v>0</v>
      </c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>SUM(R193:X193)</f>
        <v>0</v>
      </c>
      <c r="Z193" s="136">
        <f>+P193+Y193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O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M194" si="40">SUBTOTAL(9,H195:H210)</f>
        <v>0</v>
      </c>
      <c r="I194" s="130">
        <f t="shared" si="40"/>
        <v>0</v>
      </c>
      <c r="J194" s="130">
        <f t="shared" si="40"/>
        <v>0</v>
      </c>
      <c r="K194" s="130">
        <f t="shared" si="40"/>
        <v>0</v>
      </c>
      <c r="L194" s="130">
        <f t="shared" si="40"/>
        <v>0</v>
      </c>
      <c r="M194" s="130">
        <f t="shared" si="40"/>
        <v>0</v>
      </c>
      <c r="N194" s="130">
        <f t="shared" si="39"/>
        <v>0</v>
      </c>
      <c r="O194" s="130">
        <f t="shared" si="39"/>
        <v>0</v>
      </c>
      <c r="P194" s="107">
        <f t="shared" si="28"/>
        <v>0</v>
      </c>
      <c r="Q194" s="107">
        <f t="shared" si="29"/>
        <v>0</v>
      </c>
      <c r="R194" s="130">
        <f t="shared" ref="R194:X194" si="41">SUBTOTAL(9,R195:R210)</f>
        <v>0</v>
      </c>
      <c r="S194" s="130">
        <f t="shared" si="41"/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SUM(R194:X194)</f>
        <v>0</v>
      </c>
      <c r="Z194" s="56">
        <f>+P194+Y194</f>
        <v>0</v>
      </c>
      <c r="AA194" s="131">
        <f>+D194-Z194</f>
        <v>0</v>
      </c>
    </row>
    <row r="195" spans="1:27" s="138" customFormat="1" ht="13.5" customHeight="1">
      <c r="A195" s="194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73"/>
      <c r="M195" s="73"/>
      <c r="N195" s="73"/>
      <c r="O195" s="73"/>
      <c r="P195" s="159">
        <f t="shared" si="28"/>
        <v>0</v>
      </c>
      <c r="Q195" s="160">
        <f t="shared" si="29"/>
        <v>0</v>
      </c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>SUM(R195:X195)</f>
        <v>0</v>
      </c>
      <c r="Z195" s="162">
        <f>+P195+Y195</f>
        <v>0</v>
      </c>
      <c r="AA195" s="163">
        <f>+D195-Z195</f>
        <v>0</v>
      </c>
    </row>
    <row r="196" spans="1:27" s="138" customFormat="1" ht="13.5" customHeight="1">
      <c r="A196" s="194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66"/>
      <c r="M196" s="66"/>
      <c r="N196" s="66"/>
      <c r="O196" s="66"/>
      <c r="P196" s="133">
        <f t="shared" si="28"/>
        <v>0</v>
      </c>
      <c r="Q196" s="134">
        <f t="shared" si="29"/>
        <v>0</v>
      </c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>SUM(R196:X196)</f>
        <v>0</v>
      </c>
      <c r="Z196" s="136">
        <f>+P196+Y196</f>
        <v>0</v>
      </c>
      <c r="AA196" s="137">
        <f>+D196-Z196</f>
        <v>0</v>
      </c>
    </row>
    <row r="197" spans="1:27" s="138" customFormat="1" ht="13.5" customHeight="1">
      <c r="A197" s="194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68"/>
      <c r="M197" s="68"/>
      <c r="N197" s="68"/>
      <c r="O197" s="68"/>
      <c r="P197" s="140">
        <f t="shared" si="28"/>
        <v>0</v>
      </c>
      <c r="Q197" s="141">
        <f t="shared" si="29"/>
        <v>0</v>
      </c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>SUM(R197:X197)</f>
        <v>0</v>
      </c>
      <c r="Z197" s="136">
        <f>+P197+Y197</f>
        <v>0</v>
      </c>
      <c r="AA197" s="137">
        <f>+D197-Z197</f>
        <v>0</v>
      </c>
    </row>
    <row r="198" spans="1:27" s="138" customFormat="1" ht="13.5" customHeight="1">
      <c r="A198" s="194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75"/>
      <c r="M198" s="75"/>
      <c r="N198" s="75"/>
      <c r="O198" s="75"/>
      <c r="P198" s="165">
        <f t="shared" ref="P198:P261" si="42">SUM(G198:O198)</f>
        <v>0</v>
      </c>
      <c r="Q198" s="166">
        <f t="shared" ref="Q198:Q261" si="43">D198-P198</f>
        <v>0</v>
      </c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>SUM(R198:X198)</f>
        <v>0</v>
      </c>
      <c r="Z198" s="162">
        <f>+P198+Y198</f>
        <v>0</v>
      </c>
      <c r="AA198" s="163">
        <f>+D198-Z198</f>
        <v>0</v>
      </c>
    </row>
    <row r="199" spans="1:27" s="138" customFormat="1" ht="13.5" customHeight="1">
      <c r="A199" s="194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68"/>
      <c r="M199" s="68"/>
      <c r="N199" s="68"/>
      <c r="O199" s="68"/>
      <c r="P199" s="140">
        <f t="shared" si="42"/>
        <v>0</v>
      </c>
      <c r="Q199" s="141">
        <f t="shared" si="43"/>
        <v>0</v>
      </c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>SUM(R199:X199)</f>
        <v>0</v>
      </c>
      <c r="Z199" s="136">
        <f>+P199+Y199</f>
        <v>0</v>
      </c>
      <c r="AA199" s="137">
        <f>+D199-Z199</f>
        <v>0</v>
      </c>
    </row>
    <row r="200" spans="1:27" s="138" customFormat="1" ht="13.5" customHeight="1">
      <c r="A200" s="194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68"/>
      <c r="M200" s="68"/>
      <c r="N200" s="68"/>
      <c r="O200" s="68"/>
      <c r="P200" s="140">
        <f t="shared" si="42"/>
        <v>0</v>
      </c>
      <c r="Q200" s="141">
        <f t="shared" si="43"/>
        <v>0</v>
      </c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>SUM(R200:X200)</f>
        <v>0</v>
      </c>
      <c r="Z200" s="136">
        <f>+P200+Y200</f>
        <v>0</v>
      </c>
      <c r="AA200" s="137">
        <f>+D200-Z200</f>
        <v>0</v>
      </c>
    </row>
    <row r="201" spans="1:27" s="138" customFormat="1" ht="13.5" customHeight="1">
      <c r="A201" s="194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68"/>
      <c r="M201" s="68"/>
      <c r="N201" s="68"/>
      <c r="O201" s="68"/>
      <c r="P201" s="140">
        <f t="shared" si="42"/>
        <v>0</v>
      </c>
      <c r="Q201" s="141">
        <f t="shared" si="43"/>
        <v>0</v>
      </c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>SUM(R201:X201)</f>
        <v>0</v>
      </c>
      <c r="Z201" s="136">
        <f>+P201+Y201</f>
        <v>0</v>
      </c>
      <c r="AA201" s="137">
        <f>+D201-Z201</f>
        <v>0</v>
      </c>
    </row>
    <row r="202" spans="1:27" s="138" customFormat="1" ht="13.5" customHeight="1">
      <c r="A202" s="194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69"/>
      <c r="M202" s="69"/>
      <c r="N202" s="69"/>
      <c r="O202" s="69"/>
      <c r="P202" s="140">
        <f t="shared" si="42"/>
        <v>0</v>
      </c>
      <c r="Q202" s="141">
        <f t="shared" si="43"/>
        <v>0</v>
      </c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>SUM(R202:X202)</f>
        <v>0</v>
      </c>
      <c r="Z202" s="136">
        <f>+P202+Y202</f>
        <v>0</v>
      </c>
      <c r="AA202" s="137">
        <f>+D202-Z202</f>
        <v>0</v>
      </c>
    </row>
    <row r="203" spans="1:27" s="138" customFormat="1" ht="13.5" customHeight="1">
      <c r="A203" s="194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69"/>
      <c r="M203" s="69"/>
      <c r="N203" s="69"/>
      <c r="O203" s="69"/>
      <c r="P203" s="140">
        <f t="shared" si="42"/>
        <v>0</v>
      </c>
      <c r="Q203" s="141">
        <f t="shared" si="43"/>
        <v>0</v>
      </c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>SUM(R203:X203)</f>
        <v>0</v>
      </c>
      <c r="Z203" s="136">
        <f>+P203+Y203</f>
        <v>0</v>
      </c>
      <c r="AA203" s="137">
        <f>+D203-Z203</f>
        <v>0</v>
      </c>
    </row>
    <row r="204" spans="1:27" s="138" customFormat="1" ht="13.5" customHeight="1">
      <c r="A204" s="194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69"/>
      <c r="M204" s="69"/>
      <c r="N204" s="69"/>
      <c r="O204" s="69"/>
      <c r="P204" s="140">
        <f t="shared" si="42"/>
        <v>0</v>
      </c>
      <c r="Q204" s="141">
        <f t="shared" si="43"/>
        <v>0</v>
      </c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>SUM(R204:X204)</f>
        <v>0</v>
      </c>
      <c r="Z204" s="136">
        <f>+P204+Y204</f>
        <v>0</v>
      </c>
      <c r="AA204" s="137">
        <f>+D204-Z204</f>
        <v>0</v>
      </c>
    </row>
    <row r="205" spans="1:27" s="138" customFormat="1" ht="13.5" customHeight="1">
      <c r="A205" s="194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69"/>
      <c r="M205" s="69"/>
      <c r="N205" s="69"/>
      <c r="O205" s="69"/>
      <c r="P205" s="140">
        <f t="shared" si="42"/>
        <v>0</v>
      </c>
      <c r="Q205" s="141">
        <f t="shared" si="43"/>
        <v>0</v>
      </c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>SUM(R205:X205)</f>
        <v>0</v>
      </c>
      <c r="Z205" s="136">
        <f>+P205+Y205</f>
        <v>0</v>
      </c>
      <c r="AA205" s="137">
        <f>+D205-Z205</f>
        <v>0</v>
      </c>
    </row>
    <row r="206" spans="1:27" s="138" customFormat="1" ht="13.5" customHeight="1">
      <c r="A206" s="194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140">
        <f t="shared" si="42"/>
        <v>0</v>
      </c>
      <c r="Q206" s="141">
        <f t="shared" si="43"/>
        <v>0</v>
      </c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>SUM(R206:X206)</f>
        <v>0</v>
      </c>
      <c r="Z206" s="136">
        <f>+P206+Y206</f>
        <v>0</v>
      </c>
      <c r="AA206" s="137">
        <f>+D206-Z206</f>
        <v>0</v>
      </c>
    </row>
    <row r="207" spans="1:27" s="138" customFormat="1" ht="13.5" customHeight="1">
      <c r="A207" s="194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69"/>
      <c r="M207" s="69"/>
      <c r="N207" s="69"/>
      <c r="O207" s="69"/>
      <c r="P207" s="140">
        <f t="shared" si="42"/>
        <v>0</v>
      </c>
      <c r="Q207" s="141">
        <f t="shared" si="43"/>
        <v>0</v>
      </c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>SUM(R207:X207)</f>
        <v>0</v>
      </c>
      <c r="Z207" s="136">
        <f>+P207+Y207</f>
        <v>0</v>
      </c>
      <c r="AA207" s="137">
        <f>+D207-Z207</f>
        <v>0</v>
      </c>
    </row>
    <row r="208" spans="1:27" s="138" customFormat="1" ht="13.5" customHeight="1">
      <c r="A208" s="194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68"/>
      <c r="M208" s="68"/>
      <c r="N208" s="68"/>
      <c r="O208" s="68"/>
      <c r="P208" s="140">
        <f t="shared" si="42"/>
        <v>0</v>
      </c>
      <c r="Q208" s="141">
        <f t="shared" si="43"/>
        <v>0</v>
      </c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>SUM(R208:X208)</f>
        <v>0</v>
      </c>
      <c r="Z208" s="136">
        <f>+P208+Y208</f>
        <v>0</v>
      </c>
      <c r="AA208" s="137">
        <f>+D208-Z208</f>
        <v>0</v>
      </c>
    </row>
    <row r="209" spans="1:27" s="138" customFormat="1" ht="13.5" customHeight="1">
      <c r="A209" s="194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68"/>
      <c r="M209" s="68"/>
      <c r="N209" s="68"/>
      <c r="O209" s="68"/>
      <c r="P209" s="140">
        <f t="shared" si="42"/>
        <v>0</v>
      </c>
      <c r="Q209" s="141">
        <f t="shared" si="43"/>
        <v>0</v>
      </c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>SUM(R209:X209)</f>
        <v>0</v>
      </c>
      <c r="Z209" s="136">
        <f>+P209+Y209</f>
        <v>0</v>
      </c>
      <c r="AA209" s="137">
        <f>+D209-Z209</f>
        <v>0</v>
      </c>
    </row>
    <row r="210" spans="1:27" s="138" customFormat="1" ht="13.5" customHeight="1">
      <c r="A210" s="194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71"/>
      <c r="M210" s="71"/>
      <c r="N210" s="71"/>
      <c r="O210" s="71"/>
      <c r="P210" s="144">
        <f t="shared" si="42"/>
        <v>0</v>
      </c>
      <c r="Q210" s="145">
        <f t="shared" si="43"/>
        <v>0</v>
      </c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>SUM(R210:X210)</f>
        <v>0</v>
      </c>
      <c r="Z210" s="136">
        <f>+P210+Y210</f>
        <v>0</v>
      </c>
      <c r="AA210" s="137">
        <f>+D210-Z210</f>
        <v>0</v>
      </c>
    </row>
    <row r="211" spans="1:27" s="138" customFormat="1" ht="13.5" customHeight="1">
      <c r="A211" s="193" t="s">
        <v>74</v>
      </c>
      <c r="B211" s="186"/>
      <c r="C211" s="156"/>
      <c r="D211" s="130">
        <f t="shared" ref="D211:O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M211" si="45">SUBTOTAL(9,H212:H227)</f>
        <v>0</v>
      </c>
      <c r="I211" s="130">
        <f t="shared" si="45"/>
        <v>0</v>
      </c>
      <c r="J211" s="130">
        <f t="shared" si="45"/>
        <v>0</v>
      </c>
      <c r="K211" s="130">
        <f t="shared" si="45"/>
        <v>0</v>
      </c>
      <c r="L211" s="130">
        <f t="shared" si="45"/>
        <v>0</v>
      </c>
      <c r="M211" s="130">
        <f t="shared" si="45"/>
        <v>0</v>
      </c>
      <c r="N211" s="130">
        <f t="shared" si="44"/>
        <v>0</v>
      </c>
      <c r="O211" s="130">
        <f t="shared" si="44"/>
        <v>0</v>
      </c>
      <c r="P211" s="148">
        <f t="shared" si="42"/>
        <v>0</v>
      </c>
      <c r="Q211" s="148">
        <f t="shared" si="43"/>
        <v>0</v>
      </c>
      <c r="R211" s="130">
        <f t="shared" ref="R211:X211" si="46">SUBTOTAL(9,R212:R227)</f>
        <v>0</v>
      </c>
      <c r="S211" s="130">
        <f t="shared" si="46"/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SUM(R211:X211)</f>
        <v>0</v>
      </c>
      <c r="Z211" s="126">
        <f>+P211+Y211</f>
        <v>0</v>
      </c>
      <c r="AA211" s="127">
        <f>+D211-Z211</f>
        <v>0</v>
      </c>
    </row>
    <row r="212" spans="1:27" s="138" customFormat="1" ht="13.5" customHeight="1">
      <c r="A212" s="216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73"/>
      <c r="M212" s="73"/>
      <c r="N212" s="73"/>
      <c r="O212" s="73"/>
      <c r="P212" s="159">
        <f t="shared" si="42"/>
        <v>0</v>
      </c>
      <c r="Q212" s="160">
        <f t="shared" si="43"/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SUM(R212:X212)</f>
        <v>0</v>
      </c>
      <c r="Z212" s="162">
        <f>+P212+Y212</f>
        <v>0</v>
      </c>
      <c r="AA212" s="163">
        <f>+D212-Z212</f>
        <v>0</v>
      </c>
    </row>
    <row r="213" spans="1:27" s="138" customFormat="1" ht="13.5" customHeight="1">
      <c r="A213" s="216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66"/>
      <c r="M213" s="66"/>
      <c r="N213" s="66"/>
      <c r="O213" s="66"/>
      <c r="P213" s="133">
        <f t="shared" si="42"/>
        <v>0</v>
      </c>
      <c r="Q213" s="134">
        <f t="shared" si="43"/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SUM(R213:X213)</f>
        <v>0</v>
      </c>
      <c r="Z213" s="136">
        <f>+P213+Y213</f>
        <v>0</v>
      </c>
      <c r="AA213" s="137">
        <f>+D213-Z213</f>
        <v>0</v>
      </c>
    </row>
    <row r="214" spans="1:27" s="138" customFormat="1" ht="13.5" customHeight="1">
      <c r="A214" s="216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68"/>
      <c r="M214" s="68"/>
      <c r="N214" s="68"/>
      <c r="O214" s="68"/>
      <c r="P214" s="140">
        <f t="shared" si="42"/>
        <v>0</v>
      </c>
      <c r="Q214" s="141">
        <f t="shared" si="43"/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SUM(R214:X214)</f>
        <v>0</v>
      </c>
      <c r="Z214" s="136">
        <f>+P214+Y214</f>
        <v>0</v>
      </c>
      <c r="AA214" s="137">
        <f>+D214-Z214</f>
        <v>0</v>
      </c>
    </row>
    <row r="215" spans="1:27" s="138" customFormat="1" ht="13.5" customHeight="1">
      <c r="A215" s="216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75"/>
      <c r="M215" s="75"/>
      <c r="N215" s="75"/>
      <c r="O215" s="75"/>
      <c r="P215" s="165">
        <f t="shared" si="42"/>
        <v>0</v>
      </c>
      <c r="Q215" s="166">
        <f t="shared" si="43"/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SUM(R215:X215)</f>
        <v>0</v>
      </c>
      <c r="Z215" s="162">
        <f>+P215+Y215</f>
        <v>0</v>
      </c>
      <c r="AA215" s="163">
        <f>+D215-Z215</f>
        <v>0</v>
      </c>
    </row>
    <row r="216" spans="1:27" s="138" customFormat="1" ht="13.5" customHeight="1">
      <c r="A216" s="216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66"/>
      <c r="M216" s="66"/>
      <c r="N216" s="66"/>
      <c r="O216" s="66"/>
      <c r="P216" s="133">
        <f t="shared" si="42"/>
        <v>0</v>
      </c>
      <c r="Q216" s="134">
        <f t="shared" si="43"/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SUM(R216:X216)</f>
        <v>0</v>
      </c>
      <c r="Z216" s="136">
        <f>+P216+Y216</f>
        <v>0</v>
      </c>
      <c r="AA216" s="137">
        <f>+D216-Z216</f>
        <v>0</v>
      </c>
    </row>
    <row r="217" spans="1:27" s="138" customFormat="1" ht="13.5" customHeight="1">
      <c r="A217" s="216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68"/>
      <c r="M217" s="68"/>
      <c r="N217" s="68"/>
      <c r="O217" s="68"/>
      <c r="P217" s="140">
        <f t="shared" si="42"/>
        <v>0</v>
      </c>
      <c r="Q217" s="141">
        <f t="shared" si="43"/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SUM(R217:X217)</f>
        <v>0</v>
      </c>
      <c r="Z217" s="136">
        <f>+P217+Y217</f>
        <v>0</v>
      </c>
      <c r="AA217" s="137">
        <f>+D217-Z217</f>
        <v>0</v>
      </c>
    </row>
    <row r="218" spans="1:27" s="138" customFormat="1" ht="13.5" customHeight="1">
      <c r="A218" s="216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68"/>
      <c r="M218" s="68"/>
      <c r="N218" s="68"/>
      <c r="O218" s="68"/>
      <c r="P218" s="140">
        <f t="shared" si="42"/>
        <v>0</v>
      </c>
      <c r="Q218" s="141">
        <f t="shared" si="43"/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SUM(R218:X218)</f>
        <v>0</v>
      </c>
      <c r="Z218" s="136">
        <f>+P218+Y218</f>
        <v>0</v>
      </c>
      <c r="AA218" s="137">
        <f>+D218-Z218</f>
        <v>0</v>
      </c>
    </row>
    <row r="219" spans="1:27" s="138" customFormat="1" ht="13.5" customHeight="1">
      <c r="A219" s="216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69"/>
      <c r="M219" s="69"/>
      <c r="N219" s="69"/>
      <c r="O219" s="69"/>
      <c r="P219" s="140">
        <f t="shared" si="42"/>
        <v>0</v>
      </c>
      <c r="Q219" s="141">
        <f t="shared" si="43"/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SUM(R219:X219)</f>
        <v>0</v>
      </c>
      <c r="Z219" s="136">
        <f>+P219+Y219</f>
        <v>0</v>
      </c>
      <c r="AA219" s="137">
        <f>+D219-Z219</f>
        <v>0</v>
      </c>
    </row>
    <row r="220" spans="1:27" s="138" customFormat="1" ht="13.5" customHeight="1">
      <c r="A220" s="216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69"/>
      <c r="M220" s="69"/>
      <c r="N220" s="69"/>
      <c r="O220" s="69"/>
      <c r="P220" s="140">
        <f t="shared" si="42"/>
        <v>0</v>
      </c>
      <c r="Q220" s="141">
        <f t="shared" si="43"/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SUM(R220:X220)</f>
        <v>0</v>
      </c>
      <c r="Z220" s="136">
        <f>+P220+Y220</f>
        <v>0</v>
      </c>
      <c r="AA220" s="137">
        <f>+D220-Z220</f>
        <v>0</v>
      </c>
    </row>
    <row r="221" spans="1:27" s="138" customFormat="1" ht="13.5" customHeight="1">
      <c r="A221" s="216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69"/>
      <c r="M221" s="69"/>
      <c r="N221" s="69"/>
      <c r="O221" s="69"/>
      <c r="P221" s="140">
        <f t="shared" si="42"/>
        <v>0</v>
      </c>
      <c r="Q221" s="141">
        <f t="shared" si="43"/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SUM(R221:X221)</f>
        <v>0</v>
      </c>
      <c r="Z221" s="136">
        <f>+P221+Y221</f>
        <v>0</v>
      </c>
      <c r="AA221" s="137">
        <f>+D221-Z221</f>
        <v>0</v>
      </c>
    </row>
    <row r="222" spans="1:27" s="138" customFormat="1" ht="13.5" customHeight="1">
      <c r="A222" s="216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69"/>
      <c r="M222" s="69"/>
      <c r="N222" s="69"/>
      <c r="O222" s="69"/>
      <c r="P222" s="140">
        <f t="shared" si="42"/>
        <v>0</v>
      </c>
      <c r="Q222" s="141">
        <f t="shared" si="43"/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SUM(R222:X222)</f>
        <v>0</v>
      </c>
      <c r="Z222" s="136">
        <f>+P222+Y222</f>
        <v>0</v>
      </c>
      <c r="AA222" s="137">
        <f>+D222-Z222</f>
        <v>0</v>
      </c>
    </row>
    <row r="223" spans="1:27" s="138" customFormat="1" ht="13.5" customHeight="1">
      <c r="A223" s="216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140">
        <f t="shared" si="42"/>
        <v>0</v>
      </c>
      <c r="Q223" s="141">
        <f t="shared" si="43"/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SUM(R223:X223)</f>
        <v>0</v>
      </c>
      <c r="Z223" s="136">
        <f>+P223+Y223</f>
        <v>0</v>
      </c>
      <c r="AA223" s="137">
        <f>+D223-Z223</f>
        <v>0</v>
      </c>
    </row>
    <row r="224" spans="1:27" s="138" customFormat="1" ht="13.5" customHeight="1">
      <c r="A224" s="216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69"/>
      <c r="M224" s="69"/>
      <c r="N224" s="69"/>
      <c r="O224" s="69"/>
      <c r="P224" s="140">
        <f t="shared" si="42"/>
        <v>0</v>
      </c>
      <c r="Q224" s="141">
        <f t="shared" si="43"/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SUM(R224:X224)</f>
        <v>0</v>
      </c>
      <c r="Z224" s="136">
        <f>+P224+Y224</f>
        <v>0</v>
      </c>
      <c r="AA224" s="137">
        <f>+D224-Z224</f>
        <v>0</v>
      </c>
    </row>
    <row r="225" spans="1:27" s="138" customFormat="1" ht="13.5" customHeight="1">
      <c r="A225" s="216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68"/>
      <c r="M225" s="68"/>
      <c r="N225" s="68"/>
      <c r="O225" s="68"/>
      <c r="P225" s="140">
        <f t="shared" si="42"/>
        <v>0</v>
      </c>
      <c r="Q225" s="141">
        <f t="shared" si="43"/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SUM(R225:X225)</f>
        <v>0</v>
      </c>
      <c r="Z225" s="136">
        <f>+P225+Y225</f>
        <v>0</v>
      </c>
      <c r="AA225" s="137">
        <f>+D225-Z225</f>
        <v>0</v>
      </c>
    </row>
    <row r="226" spans="1:27" s="138" customFormat="1" ht="13.5" customHeight="1">
      <c r="A226" s="216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68"/>
      <c r="M226" s="68"/>
      <c r="N226" s="68"/>
      <c r="O226" s="68"/>
      <c r="P226" s="140">
        <f t="shared" si="42"/>
        <v>0</v>
      </c>
      <c r="Q226" s="141">
        <f t="shared" si="43"/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SUM(R226:X226)</f>
        <v>0</v>
      </c>
      <c r="Z226" s="136">
        <f>+P226+Y226</f>
        <v>0</v>
      </c>
      <c r="AA226" s="137">
        <f>+D226-Z226</f>
        <v>0</v>
      </c>
    </row>
    <row r="227" spans="1:27" s="138" customFormat="1" ht="13.5" customHeight="1">
      <c r="A227" s="216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71"/>
      <c r="M227" s="71"/>
      <c r="N227" s="71"/>
      <c r="O227" s="71"/>
      <c r="P227" s="144">
        <f t="shared" si="42"/>
        <v>0</v>
      </c>
      <c r="Q227" s="145">
        <f t="shared" si="43"/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SUM(R227:X227)</f>
        <v>0</v>
      </c>
      <c r="Z227" s="136">
        <f>+P227+Y227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O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M228" si="48">SUBTOTAL(9,H229:H235)</f>
        <v>0</v>
      </c>
      <c r="I228" s="130">
        <f t="shared" si="48"/>
        <v>0</v>
      </c>
      <c r="J228" s="130">
        <f t="shared" si="48"/>
        <v>0</v>
      </c>
      <c r="K228" s="130">
        <f t="shared" si="48"/>
        <v>0</v>
      </c>
      <c r="L228" s="130">
        <f t="shared" si="48"/>
        <v>0</v>
      </c>
      <c r="M228" s="130">
        <f t="shared" si="48"/>
        <v>0</v>
      </c>
      <c r="N228" s="125">
        <f t="shared" si="47"/>
        <v>0</v>
      </c>
      <c r="O228" s="125">
        <f t="shared" si="47"/>
        <v>0</v>
      </c>
      <c r="P228" s="148">
        <f t="shared" si="42"/>
        <v>0</v>
      </c>
      <c r="Q228" s="148">
        <f t="shared" si="43"/>
        <v>0</v>
      </c>
      <c r="R228" s="125">
        <f t="shared" ref="R228:X228" si="49">SUBTOTAL(9,R229:R235)</f>
        <v>0</v>
      </c>
      <c r="S228" s="125">
        <f t="shared" si="49"/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SUM(R228:X228)</f>
        <v>0</v>
      </c>
      <c r="Z228" s="126">
        <f>+P228+Y228</f>
        <v>0</v>
      </c>
      <c r="AA228" s="127">
        <f>+D228-Z228</f>
        <v>0</v>
      </c>
    </row>
    <row r="229" spans="1:27" s="138" customFormat="1" ht="13.5" customHeight="1">
      <c r="A229" s="194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66"/>
      <c r="M229" s="66"/>
      <c r="N229" s="66"/>
      <c r="O229" s="66"/>
      <c r="P229" s="133">
        <f t="shared" si="42"/>
        <v>0</v>
      </c>
      <c r="Q229" s="134">
        <f t="shared" si="43"/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SUM(R229:X229)</f>
        <v>0</v>
      </c>
      <c r="Z229" s="136">
        <f>+P229+Y229</f>
        <v>0</v>
      </c>
      <c r="AA229" s="137">
        <f>+D229-Z229</f>
        <v>0</v>
      </c>
    </row>
    <row r="230" spans="1:27" s="138" customFormat="1" ht="13.5" customHeight="1">
      <c r="A230" s="194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68"/>
      <c r="M230" s="68"/>
      <c r="N230" s="68"/>
      <c r="O230" s="68"/>
      <c r="P230" s="140">
        <f t="shared" si="42"/>
        <v>0</v>
      </c>
      <c r="Q230" s="141">
        <f t="shared" si="43"/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SUM(R230:X230)</f>
        <v>0</v>
      </c>
      <c r="Z230" s="136">
        <f>+P230+Y230</f>
        <v>0</v>
      </c>
      <c r="AA230" s="137">
        <f>+D230-Z230</f>
        <v>0</v>
      </c>
    </row>
    <row r="231" spans="1:27" s="138" customFormat="1" ht="13.5" customHeight="1">
      <c r="A231" s="194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68"/>
      <c r="M231" s="68"/>
      <c r="N231" s="68"/>
      <c r="O231" s="68"/>
      <c r="P231" s="140">
        <f t="shared" si="42"/>
        <v>0</v>
      </c>
      <c r="Q231" s="141">
        <f t="shared" si="43"/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SUM(R231:X231)</f>
        <v>0</v>
      </c>
      <c r="Z231" s="136">
        <f>+P231+Y231</f>
        <v>0</v>
      </c>
      <c r="AA231" s="137">
        <f>+D231-Z231</f>
        <v>0</v>
      </c>
    </row>
    <row r="232" spans="1:27" s="138" customFormat="1" ht="13.5" customHeight="1">
      <c r="A232" s="194" t="s">
        <v>75</v>
      </c>
      <c r="B232" s="195" t="s">
        <v>45</v>
      </c>
      <c r="C232" s="196" t="s">
        <v>46</v>
      </c>
      <c r="D232" s="67"/>
      <c r="E232" s="139"/>
      <c r="F232" s="139"/>
      <c r="G232" s="69"/>
      <c r="H232" s="69"/>
      <c r="I232" s="69"/>
      <c r="J232" s="69"/>
      <c r="K232" s="69"/>
      <c r="L232" s="69"/>
      <c r="M232" s="69"/>
      <c r="N232" s="69"/>
      <c r="O232" s="69"/>
      <c r="P232" s="140">
        <f t="shared" si="42"/>
        <v>0</v>
      </c>
      <c r="Q232" s="141">
        <f t="shared" si="43"/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SUM(R232:X232)</f>
        <v>0</v>
      </c>
      <c r="Z232" s="136">
        <f>+P232+Y232</f>
        <v>0</v>
      </c>
      <c r="AA232" s="137">
        <f>+D232-Z232</f>
        <v>0</v>
      </c>
    </row>
    <row r="233" spans="1:27" s="138" customFormat="1" ht="13.5" customHeight="1">
      <c r="A233" s="194" t="s">
        <v>75</v>
      </c>
      <c r="B233" s="195" t="s">
        <v>47</v>
      </c>
      <c r="C233" s="196" t="s">
        <v>48</v>
      </c>
      <c r="D233" s="67"/>
      <c r="E233" s="139"/>
      <c r="F233" s="139"/>
      <c r="G233" s="68"/>
      <c r="H233" s="69"/>
      <c r="I233" s="69"/>
      <c r="J233" s="69"/>
      <c r="K233" s="69"/>
      <c r="L233" s="69"/>
      <c r="M233" s="69"/>
      <c r="N233" s="69"/>
      <c r="O233" s="69"/>
      <c r="P233" s="140">
        <f t="shared" si="42"/>
        <v>0</v>
      </c>
      <c r="Q233" s="141">
        <f t="shared" si="43"/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SUM(R233:X233)</f>
        <v>0</v>
      </c>
      <c r="Z233" s="136">
        <f>+P233+Y233</f>
        <v>0</v>
      </c>
      <c r="AA233" s="137">
        <f>+D233-Z233</f>
        <v>0</v>
      </c>
    </row>
    <row r="234" spans="1:27" s="138" customFormat="1" ht="13.5" customHeight="1">
      <c r="A234" s="194" t="s">
        <v>75</v>
      </c>
      <c r="B234" s="195" t="s">
        <v>55</v>
      </c>
      <c r="C234" s="196" t="s">
        <v>56</v>
      </c>
      <c r="D234" s="67"/>
      <c r="E234" s="139"/>
      <c r="F234" s="139"/>
      <c r="G234" s="68"/>
      <c r="H234" s="68"/>
      <c r="I234" s="68"/>
      <c r="J234" s="68"/>
      <c r="K234" s="68"/>
      <c r="L234" s="68"/>
      <c r="M234" s="68"/>
      <c r="N234" s="68"/>
      <c r="O234" s="68"/>
      <c r="P234" s="140">
        <f t="shared" si="42"/>
        <v>0</v>
      </c>
      <c r="Q234" s="141">
        <f t="shared" si="43"/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SUM(R234:X234)</f>
        <v>0</v>
      </c>
      <c r="Z234" s="136">
        <f>+P234+Y234</f>
        <v>0</v>
      </c>
      <c r="AA234" s="137">
        <f>+D234-Z234</f>
        <v>0</v>
      </c>
    </row>
    <row r="235" spans="1:27" s="138" customFormat="1" ht="13.5" customHeight="1">
      <c r="A235" s="194" t="s">
        <v>75</v>
      </c>
      <c r="B235" s="197" t="s">
        <v>59</v>
      </c>
      <c r="C235" s="198" t="s">
        <v>60</v>
      </c>
      <c r="D235" s="70"/>
      <c r="E235" s="143"/>
      <c r="F235" s="143"/>
      <c r="G235" s="71"/>
      <c r="H235" s="71"/>
      <c r="I235" s="71"/>
      <c r="J235" s="71"/>
      <c r="K235" s="71"/>
      <c r="L235" s="71"/>
      <c r="M235" s="71"/>
      <c r="N235" s="71"/>
      <c r="O235" s="71"/>
      <c r="P235" s="144">
        <f t="shared" si="42"/>
        <v>0</v>
      </c>
      <c r="Q235" s="145">
        <f t="shared" si="43"/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SUM(R235:X235)</f>
        <v>0</v>
      </c>
      <c r="Z235" s="136">
        <f>+P235+Y235</f>
        <v>0</v>
      </c>
      <c r="AA235" s="137">
        <f>+D235-Z235</f>
        <v>0</v>
      </c>
    </row>
    <row r="236" spans="1:27" s="108" customFormat="1" ht="13.5" customHeight="1">
      <c r="A236" s="193" t="s">
        <v>76</v>
      </c>
      <c r="B236" s="199"/>
      <c r="C236" s="200"/>
      <c r="D236" s="129">
        <f t="shared" ref="D236:O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M236" si="51">SUBTOTAL(9,H237:H252)</f>
        <v>0</v>
      </c>
      <c r="I236" s="130">
        <f t="shared" si="51"/>
        <v>0</v>
      </c>
      <c r="J236" s="130">
        <f t="shared" si="51"/>
        <v>0</v>
      </c>
      <c r="K236" s="130">
        <f t="shared" si="51"/>
        <v>0</v>
      </c>
      <c r="L236" s="130">
        <f t="shared" si="51"/>
        <v>0</v>
      </c>
      <c r="M236" s="130">
        <f t="shared" si="51"/>
        <v>0</v>
      </c>
      <c r="N236" s="130">
        <f t="shared" si="50"/>
        <v>0</v>
      </c>
      <c r="O236" s="130">
        <f t="shared" si="50"/>
        <v>0</v>
      </c>
      <c r="P236" s="107">
        <f t="shared" si="42"/>
        <v>0</v>
      </c>
      <c r="Q236" s="107">
        <f t="shared" si="43"/>
        <v>0</v>
      </c>
      <c r="R236" s="130">
        <f t="shared" ref="R236:X236" si="52">SUBTOTAL(9,R237:R252)</f>
        <v>0</v>
      </c>
      <c r="S236" s="130">
        <f t="shared" si="52"/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SUM(R236:X236)</f>
        <v>0</v>
      </c>
      <c r="Z236" s="56">
        <f>+P236+Y236</f>
        <v>0</v>
      </c>
      <c r="AA236" s="131">
        <f>+D236-Z236</f>
        <v>0</v>
      </c>
    </row>
    <row r="237" spans="1:27" s="138" customFormat="1" ht="13.5" customHeight="1">
      <c r="A237" s="201" t="s">
        <v>76</v>
      </c>
      <c r="B237" s="202" t="s">
        <v>29</v>
      </c>
      <c r="C237" s="203" t="s">
        <v>30</v>
      </c>
      <c r="D237" s="65"/>
      <c r="E237" s="132"/>
      <c r="F237" s="132"/>
      <c r="G237" s="66"/>
      <c r="H237" s="66"/>
      <c r="I237" s="66"/>
      <c r="J237" s="66"/>
      <c r="K237" s="66"/>
      <c r="L237" s="66"/>
      <c r="M237" s="66"/>
      <c r="N237" s="66"/>
      <c r="O237" s="66"/>
      <c r="P237" s="133">
        <f t="shared" si="42"/>
        <v>0</v>
      </c>
      <c r="Q237" s="134">
        <f t="shared" si="43"/>
        <v>0</v>
      </c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>SUM(R237:X237)</f>
        <v>0</v>
      </c>
      <c r="Z237" s="136">
        <f>+P237+Y237</f>
        <v>0</v>
      </c>
      <c r="AA237" s="137">
        <f>+D237-Z237</f>
        <v>0</v>
      </c>
    </row>
    <row r="238" spans="1:27" s="138" customFormat="1" ht="13.5" customHeight="1">
      <c r="A238" s="201" t="s">
        <v>76</v>
      </c>
      <c r="B238" s="204" t="s">
        <v>31</v>
      </c>
      <c r="C238" s="196" t="s">
        <v>32</v>
      </c>
      <c r="D238" s="67"/>
      <c r="E238" s="139"/>
      <c r="F238" s="139"/>
      <c r="G238" s="68"/>
      <c r="H238" s="68"/>
      <c r="I238" s="68"/>
      <c r="J238" s="68"/>
      <c r="K238" s="68"/>
      <c r="L238" s="68"/>
      <c r="M238" s="68"/>
      <c r="N238" s="68"/>
      <c r="O238" s="68"/>
      <c r="P238" s="140">
        <f t="shared" si="42"/>
        <v>0</v>
      </c>
      <c r="Q238" s="141">
        <f t="shared" si="43"/>
        <v>0</v>
      </c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>SUM(R238:X238)</f>
        <v>0</v>
      </c>
      <c r="Z238" s="136">
        <f>+P238+Y238</f>
        <v>0</v>
      </c>
      <c r="AA238" s="137">
        <f>+D238-Z238</f>
        <v>0</v>
      </c>
    </row>
    <row r="239" spans="1:27" s="138" customFormat="1" ht="13.5" customHeight="1">
      <c r="A239" s="201" t="s">
        <v>76</v>
      </c>
      <c r="B239" s="204" t="s">
        <v>33</v>
      </c>
      <c r="C239" s="196" t="s">
        <v>34</v>
      </c>
      <c r="D239" s="67"/>
      <c r="E239" s="139"/>
      <c r="F239" s="139"/>
      <c r="G239" s="68"/>
      <c r="H239" s="68"/>
      <c r="I239" s="68"/>
      <c r="J239" s="68"/>
      <c r="K239" s="68"/>
      <c r="L239" s="68"/>
      <c r="M239" s="68"/>
      <c r="N239" s="68"/>
      <c r="O239" s="68"/>
      <c r="P239" s="140">
        <f t="shared" si="42"/>
        <v>0</v>
      </c>
      <c r="Q239" s="141">
        <f t="shared" si="43"/>
        <v>0</v>
      </c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>SUM(R239:X239)</f>
        <v>0</v>
      </c>
      <c r="Z239" s="136">
        <f>+P239+Y239</f>
        <v>0</v>
      </c>
      <c r="AA239" s="137">
        <f>+D239-Z239</f>
        <v>0</v>
      </c>
    </row>
    <row r="240" spans="1:27" s="138" customFormat="1" ht="13.5" customHeight="1">
      <c r="A240" s="201" t="s">
        <v>76</v>
      </c>
      <c r="B240" s="204" t="s">
        <v>35</v>
      </c>
      <c r="C240" s="196" t="s">
        <v>36</v>
      </c>
      <c r="D240" s="67"/>
      <c r="E240" s="139"/>
      <c r="F240" s="139"/>
      <c r="G240" s="68"/>
      <c r="H240" s="68"/>
      <c r="I240" s="68"/>
      <c r="J240" s="68"/>
      <c r="K240" s="68"/>
      <c r="L240" s="68"/>
      <c r="M240" s="68"/>
      <c r="N240" s="68"/>
      <c r="O240" s="68"/>
      <c r="P240" s="140">
        <f t="shared" si="42"/>
        <v>0</v>
      </c>
      <c r="Q240" s="141">
        <f t="shared" si="43"/>
        <v>0</v>
      </c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>SUM(R240:X240)</f>
        <v>0</v>
      </c>
      <c r="Z240" s="136">
        <f>+P240+Y240</f>
        <v>0</v>
      </c>
      <c r="AA240" s="137">
        <f>+D240-Z240</f>
        <v>0</v>
      </c>
    </row>
    <row r="241" spans="1:27" s="138" customFormat="1" ht="13.5" customHeight="1">
      <c r="A241" s="201" t="s">
        <v>76</v>
      </c>
      <c r="B241" s="204" t="s">
        <v>37</v>
      </c>
      <c r="C241" s="196" t="s">
        <v>38</v>
      </c>
      <c r="D241" s="67"/>
      <c r="E241" s="139"/>
      <c r="F241" s="139"/>
      <c r="G241" s="68"/>
      <c r="H241" s="68"/>
      <c r="I241" s="68"/>
      <c r="J241" s="68"/>
      <c r="K241" s="68"/>
      <c r="L241" s="68"/>
      <c r="M241" s="68"/>
      <c r="N241" s="68"/>
      <c r="O241" s="68"/>
      <c r="P241" s="140">
        <f t="shared" si="42"/>
        <v>0</v>
      </c>
      <c r="Q241" s="141">
        <f t="shared" si="43"/>
        <v>0</v>
      </c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>SUM(R241:X241)</f>
        <v>0</v>
      </c>
      <c r="Z241" s="136">
        <f>+P241+Y241</f>
        <v>0</v>
      </c>
      <c r="AA241" s="137">
        <f>+D241-Z241</f>
        <v>0</v>
      </c>
    </row>
    <row r="242" spans="1:27" s="138" customFormat="1" ht="13.5" customHeight="1">
      <c r="A242" s="201" t="s">
        <v>76</v>
      </c>
      <c r="B242" s="204" t="s">
        <v>39</v>
      </c>
      <c r="C242" s="196" t="s">
        <v>40</v>
      </c>
      <c r="D242" s="67"/>
      <c r="E242" s="139"/>
      <c r="F242" s="139"/>
      <c r="G242" s="68"/>
      <c r="H242" s="68"/>
      <c r="I242" s="68"/>
      <c r="J242" s="68"/>
      <c r="K242" s="68"/>
      <c r="L242" s="68"/>
      <c r="M242" s="68"/>
      <c r="N242" s="68"/>
      <c r="O242" s="68"/>
      <c r="P242" s="140">
        <f t="shared" si="42"/>
        <v>0</v>
      </c>
      <c r="Q242" s="141">
        <f t="shared" si="43"/>
        <v>0</v>
      </c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>SUM(R242:X242)</f>
        <v>0</v>
      </c>
      <c r="Z242" s="136">
        <f>+P242+Y242</f>
        <v>0</v>
      </c>
      <c r="AA242" s="137">
        <f>+D242-Z242</f>
        <v>0</v>
      </c>
    </row>
    <row r="243" spans="1:27" s="138" customFormat="1" ht="13.5" customHeight="1">
      <c r="A243" s="201" t="s">
        <v>76</v>
      </c>
      <c r="B243" s="204" t="s">
        <v>41</v>
      </c>
      <c r="C243" s="196" t="s">
        <v>42</v>
      </c>
      <c r="D243" s="67"/>
      <c r="E243" s="139"/>
      <c r="F243" s="139"/>
      <c r="G243" s="68"/>
      <c r="H243" s="68"/>
      <c r="I243" s="68"/>
      <c r="J243" s="68"/>
      <c r="K243" s="68"/>
      <c r="L243" s="68"/>
      <c r="M243" s="68"/>
      <c r="N243" s="68"/>
      <c r="O243" s="68"/>
      <c r="P243" s="140">
        <f t="shared" si="42"/>
        <v>0</v>
      </c>
      <c r="Q243" s="141">
        <f t="shared" si="43"/>
        <v>0</v>
      </c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>SUM(R243:X243)</f>
        <v>0</v>
      </c>
      <c r="Z243" s="136">
        <f>+P243+Y243</f>
        <v>0</v>
      </c>
      <c r="AA243" s="137">
        <f>+D243-Z243</f>
        <v>0</v>
      </c>
    </row>
    <row r="244" spans="1:27" s="138" customFormat="1" ht="13.5" customHeight="1">
      <c r="A244" s="201" t="s">
        <v>76</v>
      </c>
      <c r="B244" s="204" t="s">
        <v>43</v>
      </c>
      <c r="C244" s="196" t="s">
        <v>44</v>
      </c>
      <c r="D244" s="67"/>
      <c r="E244" s="139"/>
      <c r="F244" s="139"/>
      <c r="G244" s="69"/>
      <c r="H244" s="69"/>
      <c r="I244" s="69"/>
      <c r="J244" s="69"/>
      <c r="K244" s="69"/>
      <c r="L244" s="69"/>
      <c r="M244" s="69"/>
      <c r="N244" s="69"/>
      <c r="O244" s="69"/>
      <c r="P244" s="140">
        <f t="shared" si="42"/>
        <v>0</v>
      </c>
      <c r="Q244" s="141">
        <f t="shared" si="43"/>
        <v>0</v>
      </c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>SUM(R244:X244)</f>
        <v>0</v>
      </c>
      <c r="Z244" s="136">
        <f>+P244+Y244</f>
        <v>0</v>
      </c>
      <c r="AA244" s="137">
        <f>+D244-Z244</f>
        <v>0</v>
      </c>
    </row>
    <row r="245" spans="1:27" s="138" customFormat="1" ht="13.5" customHeight="1">
      <c r="A245" s="201" t="s">
        <v>76</v>
      </c>
      <c r="B245" s="204" t="s">
        <v>45</v>
      </c>
      <c r="C245" s="196" t="s">
        <v>46</v>
      </c>
      <c r="D245" s="67"/>
      <c r="E245" s="139"/>
      <c r="F245" s="139"/>
      <c r="G245" s="69"/>
      <c r="H245" s="69"/>
      <c r="I245" s="69"/>
      <c r="J245" s="69"/>
      <c r="K245" s="69"/>
      <c r="L245" s="69"/>
      <c r="M245" s="69"/>
      <c r="N245" s="69"/>
      <c r="O245" s="69"/>
      <c r="P245" s="140">
        <f t="shared" si="42"/>
        <v>0</v>
      </c>
      <c r="Q245" s="141">
        <f t="shared" si="43"/>
        <v>0</v>
      </c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>SUM(R245:X245)</f>
        <v>0</v>
      </c>
      <c r="Z245" s="136">
        <f>+P245+Y245</f>
        <v>0</v>
      </c>
      <c r="AA245" s="137">
        <f>+D245-Z245</f>
        <v>0</v>
      </c>
    </row>
    <row r="246" spans="1:27" s="138" customFormat="1" ht="13.5" customHeight="1">
      <c r="A246" s="201" t="s">
        <v>76</v>
      </c>
      <c r="B246" s="204" t="s">
        <v>47</v>
      </c>
      <c r="C246" s="196" t="s">
        <v>48</v>
      </c>
      <c r="D246" s="67"/>
      <c r="E246" s="139"/>
      <c r="F246" s="139"/>
      <c r="G246" s="68"/>
      <c r="H246" s="69"/>
      <c r="I246" s="69"/>
      <c r="J246" s="69"/>
      <c r="K246" s="69"/>
      <c r="L246" s="69"/>
      <c r="M246" s="69"/>
      <c r="N246" s="69"/>
      <c r="O246" s="69"/>
      <c r="P246" s="140">
        <f t="shared" si="42"/>
        <v>0</v>
      </c>
      <c r="Q246" s="141">
        <f t="shared" si="43"/>
        <v>0</v>
      </c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>SUM(R246:X246)</f>
        <v>0</v>
      </c>
      <c r="Z246" s="136">
        <f>+P246+Y246</f>
        <v>0</v>
      </c>
      <c r="AA246" s="137">
        <f>+D246-Z246</f>
        <v>0</v>
      </c>
    </row>
    <row r="247" spans="1:27" s="138" customFormat="1" ht="13.5" customHeight="1">
      <c r="A247" s="201" t="s">
        <v>76</v>
      </c>
      <c r="B247" s="204" t="s">
        <v>49</v>
      </c>
      <c r="C247" s="196" t="s">
        <v>50</v>
      </c>
      <c r="D247" s="67"/>
      <c r="E247" s="139"/>
      <c r="F247" s="139"/>
      <c r="G247" s="69"/>
      <c r="H247" s="69"/>
      <c r="I247" s="69"/>
      <c r="J247" s="69"/>
      <c r="K247" s="69"/>
      <c r="L247" s="69"/>
      <c r="M247" s="69"/>
      <c r="N247" s="69"/>
      <c r="O247" s="69"/>
      <c r="P247" s="140">
        <f t="shared" si="42"/>
        <v>0</v>
      </c>
      <c r="Q247" s="141">
        <f t="shared" si="43"/>
        <v>0</v>
      </c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>SUM(R247:X247)</f>
        <v>0</v>
      </c>
      <c r="Z247" s="136">
        <f>+P247+Y247</f>
        <v>0</v>
      </c>
      <c r="AA247" s="137">
        <f>+D247-Z247</f>
        <v>0</v>
      </c>
    </row>
    <row r="248" spans="1:27" s="138" customFormat="1" ht="13.5" customHeight="1">
      <c r="A248" s="201" t="s">
        <v>76</v>
      </c>
      <c r="B248" s="204" t="s">
        <v>51</v>
      </c>
      <c r="C248" s="196" t="s">
        <v>52</v>
      </c>
      <c r="D248" s="67"/>
      <c r="E248" s="139"/>
      <c r="F248" s="139"/>
      <c r="G248" s="69"/>
      <c r="H248" s="69"/>
      <c r="I248" s="69"/>
      <c r="J248" s="69"/>
      <c r="K248" s="69"/>
      <c r="L248" s="69"/>
      <c r="M248" s="69"/>
      <c r="N248" s="69"/>
      <c r="O248" s="69"/>
      <c r="P248" s="140">
        <f t="shared" si="42"/>
        <v>0</v>
      </c>
      <c r="Q248" s="141">
        <f t="shared" si="43"/>
        <v>0</v>
      </c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>SUM(R248:X248)</f>
        <v>0</v>
      </c>
      <c r="Z248" s="136">
        <f>+P248+Y248</f>
        <v>0</v>
      </c>
      <c r="AA248" s="137">
        <f>+D248-Z248</f>
        <v>0</v>
      </c>
    </row>
    <row r="249" spans="1:27" s="138" customFormat="1" ht="13.5" customHeight="1">
      <c r="A249" s="201" t="s">
        <v>76</v>
      </c>
      <c r="B249" s="204" t="s">
        <v>53</v>
      </c>
      <c r="C249" s="196" t="s">
        <v>54</v>
      </c>
      <c r="D249" s="67"/>
      <c r="E249" s="139"/>
      <c r="F249" s="139"/>
      <c r="G249" s="69"/>
      <c r="H249" s="69"/>
      <c r="I249" s="69"/>
      <c r="J249" s="69"/>
      <c r="K249" s="69"/>
      <c r="L249" s="69"/>
      <c r="M249" s="69"/>
      <c r="N249" s="69"/>
      <c r="O249" s="69"/>
      <c r="P249" s="140">
        <f t="shared" si="42"/>
        <v>0</v>
      </c>
      <c r="Q249" s="141">
        <f t="shared" si="43"/>
        <v>0</v>
      </c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>SUM(R249:X249)</f>
        <v>0</v>
      </c>
      <c r="Z249" s="136">
        <f>+P249+Y249</f>
        <v>0</v>
      </c>
      <c r="AA249" s="137">
        <f>+D249-Z249</f>
        <v>0</v>
      </c>
    </row>
    <row r="250" spans="1:27" s="138" customFormat="1" ht="13.5" customHeight="1">
      <c r="A250" s="201" t="s">
        <v>76</v>
      </c>
      <c r="B250" s="204" t="s">
        <v>55</v>
      </c>
      <c r="C250" s="196" t="s">
        <v>56</v>
      </c>
      <c r="D250" s="67"/>
      <c r="E250" s="139"/>
      <c r="F250" s="139"/>
      <c r="G250" s="68"/>
      <c r="H250" s="68"/>
      <c r="I250" s="68"/>
      <c r="J250" s="68"/>
      <c r="K250" s="68"/>
      <c r="L250" s="68"/>
      <c r="M250" s="68"/>
      <c r="N250" s="68"/>
      <c r="O250" s="68"/>
      <c r="P250" s="140">
        <f t="shared" si="42"/>
        <v>0</v>
      </c>
      <c r="Q250" s="141">
        <f t="shared" si="43"/>
        <v>0</v>
      </c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>SUM(R250:X250)</f>
        <v>0</v>
      </c>
      <c r="Z250" s="136">
        <f>+P250+Y250</f>
        <v>0</v>
      </c>
      <c r="AA250" s="137">
        <f>+D250-Z250</f>
        <v>0</v>
      </c>
    </row>
    <row r="251" spans="1:27" s="138" customFormat="1" ht="13.5" customHeight="1">
      <c r="A251" s="201" t="s">
        <v>76</v>
      </c>
      <c r="B251" s="204" t="s">
        <v>57</v>
      </c>
      <c r="C251" s="196" t="s">
        <v>58</v>
      </c>
      <c r="D251" s="67"/>
      <c r="E251" s="139"/>
      <c r="F251" s="139"/>
      <c r="G251" s="68"/>
      <c r="H251" s="68"/>
      <c r="I251" s="68"/>
      <c r="J251" s="68"/>
      <c r="K251" s="68"/>
      <c r="L251" s="68"/>
      <c r="M251" s="68"/>
      <c r="N251" s="68"/>
      <c r="O251" s="68"/>
      <c r="P251" s="140">
        <f t="shared" si="42"/>
        <v>0</v>
      </c>
      <c r="Q251" s="141">
        <f t="shared" si="43"/>
        <v>0</v>
      </c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>SUM(R251:X251)</f>
        <v>0</v>
      </c>
      <c r="Z251" s="136">
        <f>+P251+Y251</f>
        <v>0</v>
      </c>
      <c r="AA251" s="137">
        <f>+D251-Z251</f>
        <v>0</v>
      </c>
    </row>
    <row r="252" spans="1:27" s="138" customFormat="1" ht="13.5" customHeight="1">
      <c r="A252" s="201" t="s">
        <v>76</v>
      </c>
      <c r="B252" s="205" t="s">
        <v>59</v>
      </c>
      <c r="C252" s="198" t="s">
        <v>60</v>
      </c>
      <c r="D252" s="70"/>
      <c r="E252" s="143"/>
      <c r="F252" s="143"/>
      <c r="G252" s="71"/>
      <c r="H252" s="71"/>
      <c r="I252" s="71"/>
      <c r="J252" s="71"/>
      <c r="K252" s="71"/>
      <c r="L252" s="71"/>
      <c r="M252" s="71"/>
      <c r="N252" s="71"/>
      <c r="O252" s="71"/>
      <c r="P252" s="144">
        <f t="shared" si="42"/>
        <v>0</v>
      </c>
      <c r="Q252" s="145">
        <f t="shared" si="43"/>
        <v>0</v>
      </c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>SUM(R252:X252)</f>
        <v>0</v>
      </c>
      <c r="Z252" s="136">
        <f>+P252+Y252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6"/>
      <c r="C253" s="174"/>
      <c r="D253" s="129">
        <f t="shared" ref="D253:O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M253" si="54">SUBTOTAL(9,H254:H269)</f>
        <v>0</v>
      </c>
      <c r="I253" s="130">
        <f t="shared" si="54"/>
        <v>0</v>
      </c>
      <c r="J253" s="130">
        <f t="shared" si="54"/>
        <v>0</v>
      </c>
      <c r="K253" s="130">
        <f t="shared" si="54"/>
        <v>0</v>
      </c>
      <c r="L253" s="130">
        <f t="shared" si="54"/>
        <v>0</v>
      </c>
      <c r="M253" s="130">
        <f t="shared" si="54"/>
        <v>0</v>
      </c>
      <c r="N253" s="130">
        <f t="shared" si="53"/>
        <v>0</v>
      </c>
      <c r="O253" s="130">
        <f t="shared" si="53"/>
        <v>0</v>
      </c>
      <c r="P253" s="107">
        <f t="shared" si="42"/>
        <v>0</v>
      </c>
      <c r="Q253" s="107">
        <f t="shared" si="43"/>
        <v>0</v>
      </c>
      <c r="R253" s="130">
        <f t="shared" ref="R253:X253" si="55">SUBTOTAL(9,R254:R269)</f>
        <v>0</v>
      </c>
      <c r="S253" s="130">
        <f t="shared" si="55"/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SUM(R253:X253)</f>
        <v>0</v>
      </c>
      <c r="Z253" s="56">
        <f>+P253+Y253</f>
        <v>0</v>
      </c>
      <c r="AA253" s="131">
        <f>+D253-Z253</f>
        <v>0</v>
      </c>
    </row>
    <row r="254" spans="1:27" s="138" customFormat="1" ht="13.5" customHeight="1">
      <c r="A254" s="194" t="s">
        <v>77</v>
      </c>
      <c r="B254" s="207" t="s">
        <v>29</v>
      </c>
      <c r="C254" s="203" t="s">
        <v>30</v>
      </c>
      <c r="D254" s="65"/>
      <c r="E254" s="132"/>
      <c r="F254" s="132"/>
      <c r="G254" s="66"/>
      <c r="H254" s="66"/>
      <c r="I254" s="66"/>
      <c r="J254" s="66"/>
      <c r="K254" s="66"/>
      <c r="L254" s="66"/>
      <c r="M254" s="66"/>
      <c r="N254" s="66"/>
      <c r="O254" s="66"/>
      <c r="P254" s="133">
        <f t="shared" si="42"/>
        <v>0</v>
      </c>
      <c r="Q254" s="134">
        <f t="shared" si="43"/>
        <v>0</v>
      </c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>SUM(R254:X254)</f>
        <v>0</v>
      </c>
      <c r="Z254" s="136">
        <f>+P254+Y254</f>
        <v>0</v>
      </c>
      <c r="AA254" s="137">
        <f>+D254-Z254</f>
        <v>0</v>
      </c>
    </row>
    <row r="255" spans="1:27" s="138" customFormat="1" ht="13.5" customHeight="1">
      <c r="A255" s="194" t="s">
        <v>77</v>
      </c>
      <c r="B255" s="195" t="s">
        <v>31</v>
      </c>
      <c r="C255" s="196" t="s">
        <v>32</v>
      </c>
      <c r="D255" s="67"/>
      <c r="E255" s="139"/>
      <c r="F255" s="139"/>
      <c r="G255" s="68"/>
      <c r="H255" s="68"/>
      <c r="I255" s="68"/>
      <c r="J255" s="68"/>
      <c r="K255" s="68"/>
      <c r="L255" s="68"/>
      <c r="M255" s="68"/>
      <c r="N255" s="68"/>
      <c r="O255" s="68"/>
      <c r="P255" s="140">
        <f t="shared" si="42"/>
        <v>0</v>
      </c>
      <c r="Q255" s="141">
        <f t="shared" si="43"/>
        <v>0</v>
      </c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>SUM(R255:X255)</f>
        <v>0</v>
      </c>
      <c r="Z255" s="136">
        <f>+P255+Y255</f>
        <v>0</v>
      </c>
      <c r="AA255" s="137">
        <f>+D255-Z255</f>
        <v>0</v>
      </c>
    </row>
    <row r="256" spans="1:27" s="138" customFormat="1" ht="13.5" customHeight="1">
      <c r="A256" s="194" t="s">
        <v>77</v>
      </c>
      <c r="B256" s="195" t="s">
        <v>33</v>
      </c>
      <c r="C256" s="196" t="s">
        <v>34</v>
      </c>
      <c r="D256" s="67"/>
      <c r="E256" s="139"/>
      <c r="F256" s="139"/>
      <c r="G256" s="68"/>
      <c r="H256" s="68"/>
      <c r="I256" s="68"/>
      <c r="J256" s="68"/>
      <c r="K256" s="68"/>
      <c r="L256" s="68"/>
      <c r="M256" s="68"/>
      <c r="N256" s="68"/>
      <c r="O256" s="68"/>
      <c r="P256" s="140">
        <f t="shared" si="42"/>
        <v>0</v>
      </c>
      <c r="Q256" s="141">
        <f t="shared" si="43"/>
        <v>0</v>
      </c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>SUM(R256:X256)</f>
        <v>0</v>
      </c>
      <c r="Z256" s="136">
        <f>+P256+Y256</f>
        <v>0</v>
      </c>
      <c r="AA256" s="137">
        <f>+D256-Z256</f>
        <v>0</v>
      </c>
    </row>
    <row r="257" spans="1:27" s="138" customFormat="1" ht="13.5" customHeight="1">
      <c r="A257" s="194" t="s">
        <v>77</v>
      </c>
      <c r="B257" s="195" t="s">
        <v>35</v>
      </c>
      <c r="C257" s="196" t="s">
        <v>36</v>
      </c>
      <c r="D257" s="67"/>
      <c r="E257" s="139"/>
      <c r="F257" s="139"/>
      <c r="G257" s="68"/>
      <c r="H257" s="68"/>
      <c r="I257" s="68"/>
      <c r="J257" s="68"/>
      <c r="K257" s="68"/>
      <c r="L257" s="68"/>
      <c r="M257" s="68"/>
      <c r="N257" s="68"/>
      <c r="O257" s="68"/>
      <c r="P257" s="140">
        <f t="shared" si="42"/>
        <v>0</v>
      </c>
      <c r="Q257" s="141">
        <f t="shared" si="43"/>
        <v>0</v>
      </c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>SUM(R257:X257)</f>
        <v>0</v>
      </c>
      <c r="Z257" s="136">
        <f>+P257+Y257</f>
        <v>0</v>
      </c>
      <c r="AA257" s="137">
        <f>+D257-Z257</f>
        <v>0</v>
      </c>
    </row>
    <row r="258" spans="1:27" s="138" customFormat="1" ht="13.5" customHeight="1">
      <c r="A258" s="194" t="s">
        <v>77</v>
      </c>
      <c r="B258" s="195" t="s">
        <v>37</v>
      </c>
      <c r="C258" s="196" t="s">
        <v>38</v>
      </c>
      <c r="D258" s="67"/>
      <c r="E258" s="139"/>
      <c r="F258" s="139"/>
      <c r="G258" s="68"/>
      <c r="H258" s="68"/>
      <c r="I258" s="68"/>
      <c r="J258" s="68"/>
      <c r="K258" s="68"/>
      <c r="L258" s="68"/>
      <c r="M258" s="68"/>
      <c r="N258" s="68"/>
      <c r="O258" s="68"/>
      <c r="P258" s="140">
        <f t="shared" si="42"/>
        <v>0</v>
      </c>
      <c r="Q258" s="141">
        <f t="shared" si="43"/>
        <v>0</v>
      </c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>SUM(R258:X258)</f>
        <v>0</v>
      </c>
      <c r="Z258" s="136">
        <f>+P258+Y258</f>
        <v>0</v>
      </c>
      <c r="AA258" s="137">
        <f>+D258-Z258</f>
        <v>0</v>
      </c>
    </row>
    <row r="259" spans="1:27" s="138" customFormat="1" ht="13.5" customHeight="1">
      <c r="A259" s="194" t="s">
        <v>77</v>
      </c>
      <c r="B259" s="195" t="s">
        <v>39</v>
      </c>
      <c r="C259" s="196" t="s">
        <v>40</v>
      </c>
      <c r="D259" s="67"/>
      <c r="E259" s="139"/>
      <c r="F259" s="139"/>
      <c r="G259" s="68"/>
      <c r="H259" s="68"/>
      <c r="I259" s="68"/>
      <c r="J259" s="68"/>
      <c r="K259" s="68"/>
      <c r="L259" s="68"/>
      <c r="M259" s="68"/>
      <c r="N259" s="68"/>
      <c r="O259" s="68"/>
      <c r="P259" s="140">
        <f t="shared" si="42"/>
        <v>0</v>
      </c>
      <c r="Q259" s="141">
        <f t="shared" si="43"/>
        <v>0</v>
      </c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>SUM(R259:X259)</f>
        <v>0</v>
      </c>
      <c r="Z259" s="136">
        <f>+P259+Y259</f>
        <v>0</v>
      </c>
      <c r="AA259" s="137">
        <f>+D259-Z259</f>
        <v>0</v>
      </c>
    </row>
    <row r="260" spans="1:27" s="138" customFormat="1" ht="13.5" customHeight="1">
      <c r="A260" s="194" t="s">
        <v>77</v>
      </c>
      <c r="B260" s="195" t="s">
        <v>41</v>
      </c>
      <c r="C260" s="196" t="s">
        <v>42</v>
      </c>
      <c r="D260" s="67"/>
      <c r="E260" s="139"/>
      <c r="F260" s="139"/>
      <c r="G260" s="68"/>
      <c r="H260" s="68"/>
      <c r="I260" s="68"/>
      <c r="J260" s="68"/>
      <c r="K260" s="68"/>
      <c r="L260" s="68"/>
      <c r="M260" s="68"/>
      <c r="N260" s="68"/>
      <c r="O260" s="68"/>
      <c r="P260" s="140">
        <f t="shared" si="42"/>
        <v>0</v>
      </c>
      <c r="Q260" s="141">
        <f t="shared" si="43"/>
        <v>0</v>
      </c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>SUM(R260:X260)</f>
        <v>0</v>
      </c>
      <c r="Z260" s="136">
        <f>+P260+Y260</f>
        <v>0</v>
      </c>
      <c r="AA260" s="137">
        <f>+D260-Z260</f>
        <v>0</v>
      </c>
    </row>
    <row r="261" spans="1:27" s="138" customFormat="1" ht="13.5" customHeight="1">
      <c r="A261" s="194" t="s">
        <v>77</v>
      </c>
      <c r="B261" s="195" t="s">
        <v>43</v>
      </c>
      <c r="C261" s="196" t="s">
        <v>44</v>
      </c>
      <c r="D261" s="67"/>
      <c r="E261" s="139"/>
      <c r="F261" s="139"/>
      <c r="G261" s="69"/>
      <c r="H261" s="69"/>
      <c r="I261" s="69"/>
      <c r="J261" s="69"/>
      <c r="K261" s="69"/>
      <c r="L261" s="69"/>
      <c r="M261" s="69"/>
      <c r="N261" s="69"/>
      <c r="O261" s="69"/>
      <c r="P261" s="140">
        <f t="shared" si="42"/>
        <v>0</v>
      </c>
      <c r="Q261" s="141">
        <f t="shared" si="43"/>
        <v>0</v>
      </c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>SUM(R261:X261)</f>
        <v>0</v>
      </c>
      <c r="Z261" s="136">
        <f>+P261+Y261</f>
        <v>0</v>
      </c>
      <c r="AA261" s="137">
        <f>+D261-Z261</f>
        <v>0</v>
      </c>
    </row>
    <row r="262" spans="1:27" s="138" customFormat="1" ht="13.5" customHeight="1">
      <c r="A262" s="194" t="s">
        <v>77</v>
      </c>
      <c r="B262" s="195" t="s">
        <v>45</v>
      </c>
      <c r="C262" s="196" t="s">
        <v>46</v>
      </c>
      <c r="D262" s="67"/>
      <c r="E262" s="139"/>
      <c r="F262" s="139"/>
      <c r="G262" s="69"/>
      <c r="H262" s="69"/>
      <c r="I262" s="69"/>
      <c r="J262" s="69"/>
      <c r="K262" s="69"/>
      <c r="L262" s="69"/>
      <c r="M262" s="69"/>
      <c r="N262" s="69"/>
      <c r="O262" s="69"/>
      <c r="P262" s="140">
        <f t="shared" ref="P262:P325" si="56">SUM(G262:O262)</f>
        <v>0</v>
      </c>
      <c r="Q262" s="141">
        <f t="shared" ref="Q262:Q325" si="57">D262-P262</f>
        <v>0</v>
      </c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>SUM(R262:X262)</f>
        <v>0</v>
      </c>
      <c r="Z262" s="136">
        <f>+P262+Y262</f>
        <v>0</v>
      </c>
      <c r="AA262" s="137">
        <f>+D262-Z262</f>
        <v>0</v>
      </c>
    </row>
    <row r="263" spans="1:27" s="138" customFormat="1" ht="13.5" customHeight="1">
      <c r="A263" s="194" t="s">
        <v>77</v>
      </c>
      <c r="B263" s="195" t="s">
        <v>47</v>
      </c>
      <c r="C263" s="196" t="s">
        <v>48</v>
      </c>
      <c r="D263" s="67"/>
      <c r="E263" s="139"/>
      <c r="F263" s="139"/>
      <c r="G263" s="68"/>
      <c r="H263" s="69"/>
      <c r="I263" s="69"/>
      <c r="J263" s="69"/>
      <c r="K263" s="69"/>
      <c r="L263" s="69"/>
      <c r="M263" s="69"/>
      <c r="N263" s="69"/>
      <c r="O263" s="69"/>
      <c r="P263" s="140">
        <f t="shared" si="56"/>
        <v>0</v>
      </c>
      <c r="Q263" s="141">
        <f t="shared" si="57"/>
        <v>0</v>
      </c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>SUM(R263:X263)</f>
        <v>0</v>
      </c>
      <c r="Z263" s="136">
        <f>+P263+Y263</f>
        <v>0</v>
      </c>
      <c r="AA263" s="137">
        <f>+D263-Z263</f>
        <v>0</v>
      </c>
    </row>
    <row r="264" spans="1:27" s="138" customFormat="1" ht="13.5" customHeight="1">
      <c r="A264" s="194" t="s">
        <v>77</v>
      </c>
      <c r="B264" s="195" t="s">
        <v>49</v>
      </c>
      <c r="C264" s="196" t="s">
        <v>50</v>
      </c>
      <c r="D264" s="67"/>
      <c r="E264" s="139"/>
      <c r="F264" s="139"/>
      <c r="G264" s="69"/>
      <c r="H264" s="69"/>
      <c r="I264" s="69"/>
      <c r="J264" s="69"/>
      <c r="K264" s="69"/>
      <c r="L264" s="69"/>
      <c r="M264" s="69"/>
      <c r="N264" s="69"/>
      <c r="O264" s="69"/>
      <c r="P264" s="140">
        <f t="shared" si="56"/>
        <v>0</v>
      </c>
      <c r="Q264" s="141">
        <f t="shared" si="57"/>
        <v>0</v>
      </c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>SUM(R264:X264)</f>
        <v>0</v>
      </c>
      <c r="Z264" s="136">
        <f>+P264+Y264</f>
        <v>0</v>
      </c>
      <c r="AA264" s="137">
        <f>+D264-Z264</f>
        <v>0</v>
      </c>
    </row>
    <row r="265" spans="1:27" s="138" customFormat="1" ht="13.5" customHeight="1">
      <c r="A265" s="194" t="s">
        <v>77</v>
      </c>
      <c r="B265" s="204" t="s">
        <v>51</v>
      </c>
      <c r="C265" s="196" t="s">
        <v>52</v>
      </c>
      <c r="D265" s="67"/>
      <c r="E265" s="139"/>
      <c r="F265" s="139"/>
      <c r="G265" s="69"/>
      <c r="H265" s="69"/>
      <c r="I265" s="69"/>
      <c r="J265" s="69"/>
      <c r="K265" s="69"/>
      <c r="L265" s="69"/>
      <c r="M265" s="69"/>
      <c r="N265" s="69"/>
      <c r="O265" s="69"/>
      <c r="P265" s="140">
        <f t="shared" si="56"/>
        <v>0</v>
      </c>
      <c r="Q265" s="141">
        <f t="shared" si="57"/>
        <v>0</v>
      </c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>SUM(R265:X265)</f>
        <v>0</v>
      </c>
      <c r="Z265" s="136">
        <f>+P265+Y265</f>
        <v>0</v>
      </c>
      <c r="AA265" s="137">
        <f>+D265-Z265</f>
        <v>0</v>
      </c>
    </row>
    <row r="266" spans="1:27" s="138" customFormat="1" ht="13.5" customHeight="1">
      <c r="A266" s="194" t="s">
        <v>77</v>
      </c>
      <c r="B266" s="195" t="s">
        <v>53</v>
      </c>
      <c r="C266" s="196" t="s">
        <v>54</v>
      </c>
      <c r="D266" s="67"/>
      <c r="E266" s="139"/>
      <c r="F266" s="139"/>
      <c r="G266" s="69"/>
      <c r="H266" s="69"/>
      <c r="I266" s="69"/>
      <c r="J266" s="69"/>
      <c r="K266" s="69"/>
      <c r="L266" s="69"/>
      <c r="M266" s="69"/>
      <c r="N266" s="69"/>
      <c r="O266" s="69"/>
      <c r="P266" s="140">
        <f t="shared" si="56"/>
        <v>0</v>
      </c>
      <c r="Q266" s="141">
        <f t="shared" si="57"/>
        <v>0</v>
      </c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>SUM(R266:X266)</f>
        <v>0</v>
      </c>
      <c r="Z266" s="136">
        <f>+P266+Y266</f>
        <v>0</v>
      </c>
      <c r="AA266" s="137">
        <f>+D266-Z266</f>
        <v>0</v>
      </c>
    </row>
    <row r="267" spans="1:27" s="138" customFormat="1" ht="13.5" customHeight="1">
      <c r="A267" s="194" t="s">
        <v>77</v>
      </c>
      <c r="B267" s="195" t="s">
        <v>55</v>
      </c>
      <c r="C267" s="196" t="s">
        <v>56</v>
      </c>
      <c r="D267" s="67"/>
      <c r="E267" s="139"/>
      <c r="F267" s="139"/>
      <c r="G267" s="68"/>
      <c r="H267" s="68"/>
      <c r="I267" s="68"/>
      <c r="J267" s="68"/>
      <c r="K267" s="68"/>
      <c r="L267" s="68"/>
      <c r="M267" s="68"/>
      <c r="N267" s="68"/>
      <c r="O267" s="68"/>
      <c r="P267" s="140">
        <f t="shared" si="56"/>
        <v>0</v>
      </c>
      <c r="Q267" s="141">
        <f t="shared" si="57"/>
        <v>0</v>
      </c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>SUM(R267:X267)</f>
        <v>0</v>
      </c>
      <c r="Z267" s="136">
        <f>+P267+Y267</f>
        <v>0</v>
      </c>
      <c r="AA267" s="137">
        <f>+D267-Z267</f>
        <v>0</v>
      </c>
    </row>
    <row r="268" spans="1:27" s="138" customFormat="1" ht="13.5" customHeight="1">
      <c r="A268" s="194" t="s">
        <v>77</v>
      </c>
      <c r="B268" s="204" t="s">
        <v>57</v>
      </c>
      <c r="C268" s="196" t="s">
        <v>58</v>
      </c>
      <c r="D268" s="67"/>
      <c r="E268" s="139"/>
      <c r="F268" s="139"/>
      <c r="G268" s="68"/>
      <c r="H268" s="68"/>
      <c r="I268" s="68"/>
      <c r="J268" s="68"/>
      <c r="K268" s="68"/>
      <c r="L268" s="68"/>
      <c r="M268" s="68"/>
      <c r="N268" s="68"/>
      <c r="O268" s="68"/>
      <c r="P268" s="140">
        <f t="shared" si="56"/>
        <v>0</v>
      </c>
      <c r="Q268" s="141">
        <f t="shared" si="57"/>
        <v>0</v>
      </c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>SUM(R268:X268)</f>
        <v>0</v>
      </c>
      <c r="Z268" s="136">
        <f>+P268+Y268</f>
        <v>0</v>
      </c>
      <c r="AA268" s="137">
        <f>+D268-Z268</f>
        <v>0</v>
      </c>
    </row>
    <row r="269" spans="1:27" s="138" customFormat="1" ht="13.5" customHeight="1">
      <c r="A269" s="194" t="s">
        <v>77</v>
      </c>
      <c r="B269" s="197" t="s">
        <v>59</v>
      </c>
      <c r="C269" s="198" t="s">
        <v>60</v>
      </c>
      <c r="D269" s="70"/>
      <c r="E269" s="143"/>
      <c r="F269" s="143"/>
      <c r="G269" s="71"/>
      <c r="H269" s="71"/>
      <c r="I269" s="71"/>
      <c r="J269" s="71"/>
      <c r="K269" s="71"/>
      <c r="L269" s="71"/>
      <c r="M269" s="71"/>
      <c r="N269" s="71"/>
      <c r="O269" s="71"/>
      <c r="P269" s="144">
        <f t="shared" si="56"/>
        <v>0</v>
      </c>
      <c r="Q269" s="145">
        <f t="shared" si="57"/>
        <v>0</v>
      </c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>SUM(R269:X269)</f>
        <v>0</v>
      </c>
      <c r="Z269" s="136">
        <f>+P269+Y269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6"/>
      <c r="C270" s="174"/>
      <c r="D270" s="129">
        <f t="shared" ref="D270:O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M270" si="59">SUBTOTAL(9,H271:H286)</f>
        <v>0</v>
      </c>
      <c r="I270" s="130">
        <f t="shared" si="59"/>
        <v>0</v>
      </c>
      <c r="J270" s="130">
        <f t="shared" si="59"/>
        <v>0</v>
      </c>
      <c r="K270" s="130">
        <f t="shared" si="59"/>
        <v>0</v>
      </c>
      <c r="L270" s="130">
        <f t="shared" si="59"/>
        <v>0</v>
      </c>
      <c r="M270" s="130">
        <f t="shared" si="59"/>
        <v>0</v>
      </c>
      <c r="N270" s="130">
        <f t="shared" si="58"/>
        <v>0</v>
      </c>
      <c r="O270" s="130">
        <f t="shared" si="58"/>
        <v>0</v>
      </c>
      <c r="P270" s="107">
        <f t="shared" si="56"/>
        <v>0</v>
      </c>
      <c r="Q270" s="107">
        <f t="shared" si="57"/>
        <v>0</v>
      </c>
      <c r="R270" s="130">
        <f t="shared" ref="R270:X270" si="60">SUBTOTAL(9,R271:R286)</f>
        <v>0</v>
      </c>
      <c r="S270" s="130">
        <f t="shared" si="60"/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SUM(R270:X270)</f>
        <v>0</v>
      </c>
      <c r="Z270" s="56">
        <f>+P270+Y270</f>
        <v>0</v>
      </c>
      <c r="AA270" s="131">
        <f>+D270-Z270</f>
        <v>0</v>
      </c>
    </row>
    <row r="271" spans="1:27" s="138" customFormat="1" ht="13.5" customHeight="1">
      <c r="A271" s="208" t="s">
        <v>78</v>
      </c>
      <c r="B271" s="207" t="s">
        <v>29</v>
      </c>
      <c r="C271" s="203" t="s">
        <v>30</v>
      </c>
      <c r="D271" s="65"/>
      <c r="E271" s="132"/>
      <c r="F271" s="132"/>
      <c r="G271" s="66"/>
      <c r="H271" s="66"/>
      <c r="I271" s="66"/>
      <c r="J271" s="66"/>
      <c r="K271" s="66"/>
      <c r="L271" s="66"/>
      <c r="M271" s="66"/>
      <c r="N271" s="66"/>
      <c r="O271" s="66"/>
      <c r="P271" s="133">
        <f t="shared" si="56"/>
        <v>0</v>
      </c>
      <c r="Q271" s="134">
        <f t="shared" si="57"/>
        <v>0</v>
      </c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>SUM(R271:X271)</f>
        <v>0</v>
      </c>
      <c r="Z271" s="136">
        <f>+P271+Y271</f>
        <v>0</v>
      </c>
      <c r="AA271" s="137">
        <f>+D271-Z271</f>
        <v>0</v>
      </c>
    </row>
    <row r="272" spans="1:27" s="138" customFormat="1" ht="13.5" customHeight="1">
      <c r="A272" s="208" t="s">
        <v>78</v>
      </c>
      <c r="B272" s="209" t="s">
        <v>31</v>
      </c>
      <c r="C272" s="210" t="s">
        <v>32</v>
      </c>
      <c r="D272" s="72"/>
      <c r="E272" s="158"/>
      <c r="F272" s="158"/>
      <c r="G272" s="73"/>
      <c r="H272" s="73"/>
      <c r="I272" s="73"/>
      <c r="J272" s="73"/>
      <c r="K272" s="73"/>
      <c r="L272" s="73"/>
      <c r="M272" s="73"/>
      <c r="N272" s="73"/>
      <c r="O272" s="73"/>
      <c r="P272" s="159">
        <f t="shared" si="56"/>
        <v>0</v>
      </c>
      <c r="Q272" s="160">
        <f t="shared" si="57"/>
        <v>0</v>
      </c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>SUM(R272:X272)</f>
        <v>0</v>
      </c>
      <c r="Z272" s="162">
        <f>+P272+Y272</f>
        <v>0</v>
      </c>
      <c r="AA272" s="163">
        <f>+D272-Z272</f>
        <v>0</v>
      </c>
    </row>
    <row r="273" spans="1:27" s="138" customFormat="1" ht="13.5" customHeight="1">
      <c r="A273" s="208" t="s">
        <v>78</v>
      </c>
      <c r="B273" s="195" t="s">
        <v>33</v>
      </c>
      <c r="C273" s="196" t="s">
        <v>34</v>
      </c>
      <c r="D273" s="67"/>
      <c r="E273" s="139"/>
      <c r="F273" s="139"/>
      <c r="G273" s="68"/>
      <c r="H273" s="68"/>
      <c r="I273" s="68"/>
      <c r="J273" s="68"/>
      <c r="K273" s="68"/>
      <c r="L273" s="68"/>
      <c r="M273" s="68"/>
      <c r="N273" s="68"/>
      <c r="O273" s="68"/>
      <c r="P273" s="140">
        <f t="shared" si="56"/>
        <v>0</v>
      </c>
      <c r="Q273" s="141">
        <f t="shared" si="57"/>
        <v>0</v>
      </c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>SUM(R273:X273)</f>
        <v>0</v>
      </c>
      <c r="Z273" s="136">
        <f>+P273+Y273</f>
        <v>0</v>
      </c>
      <c r="AA273" s="137">
        <f>+D273-Z273</f>
        <v>0</v>
      </c>
    </row>
    <row r="274" spans="1:27" s="138" customFormat="1" ht="13.5" customHeight="1">
      <c r="A274" s="208" t="s">
        <v>78</v>
      </c>
      <c r="B274" s="195" t="s">
        <v>35</v>
      </c>
      <c r="C274" s="196" t="s">
        <v>36</v>
      </c>
      <c r="D274" s="67"/>
      <c r="E274" s="139"/>
      <c r="F274" s="139"/>
      <c r="G274" s="68"/>
      <c r="H274" s="68"/>
      <c r="I274" s="68"/>
      <c r="J274" s="68"/>
      <c r="K274" s="68"/>
      <c r="L274" s="68"/>
      <c r="M274" s="68"/>
      <c r="N274" s="68"/>
      <c r="O274" s="68"/>
      <c r="P274" s="140">
        <f t="shared" si="56"/>
        <v>0</v>
      </c>
      <c r="Q274" s="141">
        <f t="shared" si="57"/>
        <v>0</v>
      </c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>SUM(R274:X274)</f>
        <v>0</v>
      </c>
      <c r="Z274" s="136">
        <f>+P274+Y274</f>
        <v>0</v>
      </c>
      <c r="AA274" s="137">
        <f>+D274-Z274</f>
        <v>0</v>
      </c>
    </row>
    <row r="275" spans="1:27" s="138" customFormat="1" ht="13.5" customHeight="1">
      <c r="A275" s="208" t="s">
        <v>78</v>
      </c>
      <c r="B275" s="211" t="s">
        <v>37</v>
      </c>
      <c r="C275" s="212" t="s">
        <v>38</v>
      </c>
      <c r="D275" s="74"/>
      <c r="E275" s="164"/>
      <c r="F275" s="164"/>
      <c r="G275" s="75"/>
      <c r="H275" s="75"/>
      <c r="I275" s="75"/>
      <c r="J275" s="75"/>
      <c r="K275" s="75"/>
      <c r="L275" s="75"/>
      <c r="M275" s="75"/>
      <c r="N275" s="75"/>
      <c r="O275" s="75"/>
      <c r="P275" s="159">
        <f t="shared" si="56"/>
        <v>0</v>
      </c>
      <c r="Q275" s="166">
        <f t="shared" si="57"/>
        <v>0</v>
      </c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>SUM(R275:X275)</f>
        <v>0</v>
      </c>
      <c r="Z275" s="162">
        <f>+P275+Y275</f>
        <v>0</v>
      </c>
      <c r="AA275" s="175">
        <f>+D275-Z275</f>
        <v>0</v>
      </c>
    </row>
    <row r="276" spans="1:27" s="138" customFormat="1" ht="13.5" customHeight="1">
      <c r="A276" s="208" t="s">
        <v>78</v>
      </c>
      <c r="B276" s="211" t="s">
        <v>39</v>
      </c>
      <c r="C276" s="212" t="s">
        <v>40</v>
      </c>
      <c r="D276" s="74"/>
      <c r="E276" s="164"/>
      <c r="F276" s="164"/>
      <c r="G276" s="75"/>
      <c r="H276" s="75"/>
      <c r="I276" s="75"/>
      <c r="J276" s="75"/>
      <c r="K276" s="75"/>
      <c r="L276" s="75"/>
      <c r="M276" s="75"/>
      <c r="N276" s="75"/>
      <c r="O276" s="75"/>
      <c r="P276" s="159">
        <f t="shared" si="56"/>
        <v>0</v>
      </c>
      <c r="Q276" s="166">
        <f t="shared" si="57"/>
        <v>0</v>
      </c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>SUM(R276:X276)</f>
        <v>0</v>
      </c>
      <c r="Z276" s="162">
        <f>+P276+Y276</f>
        <v>0</v>
      </c>
      <c r="AA276" s="175">
        <f>+D276-Z276</f>
        <v>0</v>
      </c>
    </row>
    <row r="277" spans="1:27" s="138" customFormat="1" ht="13.5" customHeight="1">
      <c r="A277" s="208" t="s">
        <v>78</v>
      </c>
      <c r="B277" s="211" t="s">
        <v>41</v>
      </c>
      <c r="C277" s="212" t="s">
        <v>42</v>
      </c>
      <c r="D277" s="74"/>
      <c r="E277" s="164"/>
      <c r="F277" s="164"/>
      <c r="G277" s="75"/>
      <c r="H277" s="75"/>
      <c r="I277" s="75"/>
      <c r="J277" s="75"/>
      <c r="K277" s="75"/>
      <c r="L277" s="75"/>
      <c r="M277" s="75"/>
      <c r="N277" s="75"/>
      <c r="O277" s="75"/>
      <c r="P277" s="159">
        <f t="shared" si="56"/>
        <v>0</v>
      </c>
      <c r="Q277" s="166">
        <f t="shared" si="57"/>
        <v>0</v>
      </c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>SUM(R277:X277)</f>
        <v>0</v>
      </c>
      <c r="Z277" s="162">
        <f>+P277+Y277</f>
        <v>0</v>
      </c>
      <c r="AA277" s="175">
        <f>+D277-Z277</f>
        <v>0</v>
      </c>
    </row>
    <row r="278" spans="1:27" s="138" customFormat="1" ht="13.5" customHeight="1">
      <c r="A278" s="208" t="s">
        <v>78</v>
      </c>
      <c r="B278" s="211" t="s">
        <v>43</v>
      </c>
      <c r="C278" s="212" t="s">
        <v>44</v>
      </c>
      <c r="D278" s="74"/>
      <c r="E278" s="164"/>
      <c r="F278" s="164"/>
      <c r="G278" s="76"/>
      <c r="H278" s="76"/>
      <c r="I278" s="76"/>
      <c r="J278" s="76"/>
      <c r="K278" s="76"/>
      <c r="L278" s="76"/>
      <c r="M278" s="76"/>
      <c r="N278" s="76"/>
      <c r="O278" s="76"/>
      <c r="P278" s="159">
        <f t="shared" si="56"/>
        <v>0</v>
      </c>
      <c r="Q278" s="166">
        <f t="shared" si="57"/>
        <v>0</v>
      </c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>SUM(R278:X278)</f>
        <v>0</v>
      </c>
      <c r="Z278" s="162">
        <f>+P278+Y278</f>
        <v>0</v>
      </c>
      <c r="AA278" s="175">
        <f>+D278-Z278</f>
        <v>0</v>
      </c>
    </row>
    <row r="279" spans="1:27" s="138" customFormat="1" ht="13.5" customHeight="1">
      <c r="A279" s="208" t="s">
        <v>78</v>
      </c>
      <c r="B279" s="211" t="s">
        <v>45</v>
      </c>
      <c r="C279" s="212" t="s">
        <v>46</v>
      </c>
      <c r="D279" s="74"/>
      <c r="E279" s="164"/>
      <c r="F279" s="164"/>
      <c r="G279" s="76"/>
      <c r="H279" s="76"/>
      <c r="I279" s="76"/>
      <c r="J279" s="76"/>
      <c r="K279" s="76"/>
      <c r="L279" s="76"/>
      <c r="M279" s="76"/>
      <c r="N279" s="76"/>
      <c r="O279" s="76"/>
      <c r="P279" s="159">
        <f t="shared" si="56"/>
        <v>0</v>
      </c>
      <c r="Q279" s="166">
        <f t="shared" si="57"/>
        <v>0</v>
      </c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>SUM(R279:X279)</f>
        <v>0</v>
      </c>
      <c r="Z279" s="162">
        <f>+P279+Y279</f>
        <v>0</v>
      </c>
      <c r="AA279" s="175">
        <f>+D279-Z279</f>
        <v>0</v>
      </c>
    </row>
    <row r="280" spans="1:27" s="138" customFormat="1" ht="13.5" customHeight="1">
      <c r="A280" s="208" t="s">
        <v>78</v>
      </c>
      <c r="B280" s="211" t="s">
        <v>47</v>
      </c>
      <c r="C280" s="212" t="s">
        <v>48</v>
      </c>
      <c r="D280" s="74"/>
      <c r="E280" s="164"/>
      <c r="F280" s="164"/>
      <c r="G280" s="75"/>
      <c r="H280" s="76"/>
      <c r="I280" s="76"/>
      <c r="J280" s="76"/>
      <c r="K280" s="76"/>
      <c r="L280" s="76"/>
      <c r="M280" s="76"/>
      <c r="N280" s="76"/>
      <c r="O280" s="76"/>
      <c r="P280" s="159">
        <f t="shared" si="56"/>
        <v>0</v>
      </c>
      <c r="Q280" s="166">
        <f t="shared" si="57"/>
        <v>0</v>
      </c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>SUM(R280:X280)</f>
        <v>0</v>
      </c>
      <c r="Z280" s="162">
        <f>+P280+Y280</f>
        <v>0</v>
      </c>
      <c r="AA280" s="175">
        <f>+D280-Z280</f>
        <v>0</v>
      </c>
    </row>
    <row r="281" spans="1:27" s="138" customFormat="1" ht="13.5" customHeight="1">
      <c r="A281" s="208" t="s">
        <v>78</v>
      </c>
      <c r="B281" s="211" t="s">
        <v>49</v>
      </c>
      <c r="C281" s="212" t="s">
        <v>50</v>
      </c>
      <c r="D281" s="74"/>
      <c r="E281" s="164"/>
      <c r="F281" s="164"/>
      <c r="G281" s="76"/>
      <c r="H281" s="76"/>
      <c r="I281" s="76"/>
      <c r="J281" s="76"/>
      <c r="K281" s="76"/>
      <c r="L281" s="76"/>
      <c r="M281" s="76"/>
      <c r="N281" s="76"/>
      <c r="O281" s="76"/>
      <c r="P281" s="159">
        <f t="shared" si="56"/>
        <v>0</v>
      </c>
      <c r="Q281" s="166">
        <f t="shared" si="57"/>
        <v>0</v>
      </c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>SUM(R281:X281)</f>
        <v>0</v>
      </c>
      <c r="Z281" s="162">
        <f>+P281+Y281</f>
        <v>0</v>
      </c>
      <c r="AA281" s="175">
        <f>+D281-Z281</f>
        <v>0</v>
      </c>
    </row>
    <row r="282" spans="1:27" s="138" customFormat="1" ht="13.5" customHeight="1">
      <c r="A282" s="208" t="s">
        <v>78</v>
      </c>
      <c r="B282" s="204" t="s">
        <v>51</v>
      </c>
      <c r="C282" s="196" t="s">
        <v>52</v>
      </c>
      <c r="D282" s="67"/>
      <c r="E282" s="139"/>
      <c r="F282" s="139"/>
      <c r="G282" s="69"/>
      <c r="H282" s="69"/>
      <c r="I282" s="69"/>
      <c r="J282" s="69"/>
      <c r="K282" s="69"/>
      <c r="L282" s="69"/>
      <c r="M282" s="69"/>
      <c r="N282" s="69"/>
      <c r="O282" s="69"/>
      <c r="P282" s="140">
        <f t="shared" si="56"/>
        <v>0</v>
      </c>
      <c r="Q282" s="141">
        <f t="shared" si="57"/>
        <v>0</v>
      </c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>SUM(R282:X282)</f>
        <v>0</v>
      </c>
      <c r="Z282" s="136">
        <f>+P282+Y282</f>
        <v>0</v>
      </c>
      <c r="AA282" s="137">
        <f>+D282-Z282</f>
        <v>0</v>
      </c>
    </row>
    <row r="283" spans="1:27" s="138" customFormat="1" ht="13.5" customHeight="1">
      <c r="A283" s="208" t="s">
        <v>78</v>
      </c>
      <c r="B283" s="211" t="s">
        <v>53</v>
      </c>
      <c r="C283" s="212" t="s">
        <v>54</v>
      </c>
      <c r="D283" s="74"/>
      <c r="E283" s="164"/>
      <c r="F283" s="164"/>
      <c r="G283" s="76"/>
      <c r="H283" s="76"/>
      <c r="I283" s="76"/>
      <c r="J283" s="76"/>
      <c r="K283" s="76"/>
      <c r="L283" s="76"/>
      <c r="M283" s="76"/>
      <c r="N283" s="76"/>
      <c r="O283" s="76"/>
      <c r="P283" s="159">
        <f t="shared" si="56"/>
        <v>0</v>
      </c>
      <c r="Q283" s="166">
        <f t="shared" si="57"/>
        <v>0</v>
      </c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>SUM(R283:X283)</f>
        <v>0</v>
      </c>
      <c r="Z283" s="162">
        <f>+P283+Y283</f>
        <v>0</v>
      </c>
      <c r="AA283" s="175">
        <f>+D283-Z283</f>
        <v>0</v>
      </c>
    </row>
    <row r="284" spans="1:27" s="138" customFormat="1" ht="13.5" customHeight="1">
      <c r="A284" s="208" t="s">
        <v>78</v>
      </c>
      <c r="B284" s="211" t="s">
        <v>55</v>
      </c>
      <c r="C284" s="212" t="s">
        <v>56</v>
      </c>
      <c r="D284" s="74"/>
      <c r="E284" s="164"/>
      <c r="F284" s="164"/>
      <c r="G284" s="75"/>
      <c r="H284" s="75"/>
      <c r="I284" s="75"/>
      <c r="J284" s="75"/>
      <c r="K284" s="75"/>
      <c r="L284" s="75"/>
      <c r="M284" s="75"/>
      <c r="N284" s="75"/>
      <c r="O284" s="75"/>
      <c r="P284" s="159">
        <f t="shared" si="56"/>
        <v>0</v>
      </c>
      <c r="Q284" s="166">
        <f t="shared" si="57"/>
        <v>0</v>
      </c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>SUM(R284:X284)</f>
        <v>0</v>
      </c>
      <c r="Z284" s="162">
        <f>+P284+Y284</f>
        <v>0</v>
      </c>
      <c r="AA284" s="175">
        <f>+D284-Z284</f>
        <v>0</v>
      </c>
    </row>
    <row r="285" spans="1:27" s="138" customFormat="1" ht="13.5" customHeight="1">
      <c r="A285" s="208" t="s">
        <v>78</v>
      </c>
      <c r="B285" s="204" t="s">
        <v>57</v>
      </c>
      <c r="C285" s="196" t="s">
        <v>58</v>
      </c>
      <c r="D285" s="67"/>
      <c r="E285" s="139"/>
      <c r="F285" s="139"/>
      <c r="G285" s="68"/>
      <c r="H285" s="68"/>
      <c r="I285" s="68"/>
      <c r="J285" s="68"/>
      <c r="K285" s="68"/>
      <c r="L285" s="68"/>
      <c r="M285" s="68"/>
      <c r="N285" s="68"/>
      <c r="O285" s="68"/>
      <c r="P285" s="140">
        <f t="shared" si="56"/>
        <v>0</v>
      </c>
      <c r="Q285" s="141">
        <f t="shared" si="57"/>
        <v>0</v>
      </c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>SUM(R285:X285)</f>
        <v>0</v>
      </c>
      <c r="Z285" s="136">
        <f>+P285+Y285</f>
        <v>0</v>
      </c>
      <c r="AA285" s="137">
        <f>+D285-Z285</f>
        <v>0</v>
      </c>
    </row>
    <row r="286" spans="1:27" s="138" customFormat="1" ht="13.5" customHeight="1">
      <c r="A286" s="208" t="s">
        <v>78</v>
      </c>
      <c r="B286" s="213" t="s">
        <v>59</v>
      </c>
      <c r="C286" s="214" t="s">
        <v>60</v>
      </c>
      <c r="D286" s="77"/>
      <c r="E286" s="168"/>
      <c r="F286" s="168"/>
      <c r="G286" s="78"/>
      <c r="H286" s="78"/>
      <c r="I286" s="78"/>
      <c r="J286" s="78"/>
      <c r="K286" s="78"/>
      <c r="L286" s="78"/>
      <c r="M286" s="78"/>
      <c r="N286" s="78"/>
      <c r="O286" s="78"/>
      <c r="P286" s="159">
        <f t="shared" si="56"/>
        <v>0</v>
      </c>
      <c r="Q286" s="170">
        <f t="shared" si="57"/>
        <v>0</v>
      </c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>SUM(R286:X286)</f>
        <v>0</v>
      </c>
      <c r="Z286" s="162">
        <f>+P286+Y286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6"/>
      <c r="C287" s="174"/>
      <c r="D287" s="129">
        <f t="shared" ref="D287:O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M287" si="62">SUBTOTAL(9,H288:H303)</f>
        <v>0</v>
      </c>
      <c r="I287" s="130">
        <f t="shared" si="62"/>
        <v>0</v>
      </c>
      <c r="J287" s="130">
        <f t="shared" si="62"/>
        <v>0</v>
      </c>
      <c r="K287" s="130">
        <f t="shared" si="62"/>
        <v>0</v>
      </c>
      <c r="L287" s="130">
        <f t="shared" si="62"/>
        <v>0</v>
      </c>
      <c r="M287" s="130">
        <f t="shared" si="62"/>
        <v>0</v>
      </c>
      <c r="N287" s="130">
        <f t="shared" si="61"/>
        <v>0</v>
      </c>
      <c r="O287" s="130">
        <f t="shared" si="61"/>
        <v>0</v>
      </c>
      <c r="P287" s="107">
        <f t="shared" si="56"/>
        <v>0</v>
      </c>
      <c r="Q287" s="107">
        <f t="shared" si="57"/>
        <v>0</v>
      </c>
      <c r="R287" s="130">
        <f t="shared" ref="R287:X287" si="63">SUBTOTAL(9,R288:R303)</f>
        <v>0</v>
      </c>
      <c r="S287" s="130">
        <f t="shared" si="63"/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SUM(R287:X287)</f>
        <v>0</v>
      </c>
      <c r="Z287" s="56">
        <f>+P287+Y287</f>
        <v>0</v>
      </c>
      <c r="AA287" s="131">
        <f>+D287-Z287</f>
        <v>0</v>
      </c>
    </row>
    <row r="288" spans="1:27" s="138" customFormat="1" ht="13.5" customHeight="1">
      <c r="A288" s="208" t="s">
        <v>79</v>
      </c>
      <c r="B288" s="207" t="s">
        <v>29</v>
      </c>
      <c r="C288" s="203" t="s">
        <v>30</v>
      </c>
      <c r="D288" s="65"/>
      <c r="E288" s="132"/>
      <c r="F288" s="132"/>
      <c r="G288" s="66"/>
      <c r="H288" s="66"/>
      <c r="I288" s="66"/>
      <c r="J288" s="66"/>
      <c r="K288" s="66"/>
      <c r="L288" s="66"/>
      <c r="M288" s="66"/>
      <c r="N288" s="66"/>
      <c r="O288" s="66"/>
      <c r="P288" s="133">
        <f t="shared" si="56"/>
        <v>0</v>
      </c>
      <c r="Q288" s="134">
        <f t="shared" si="57"/>
        <v>0</v>
      </c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>SUM(R288:X288)</f>
        <v>0</v>
      </c>
      <c r="Z288" s="136">
        <f>+P288+Y288</f>
        <v>0</v>
      </c>
      <c r="AA288" s="137">
        <f>+D288-Z288</f>
        <v>0</v>
      </c>
    </row>
    <row r="289" spans="1:27" s="138" customFormat="1" ht="13.5" customHeight="1">
      <c r="A289" s="208" t="s">
        <v>79</v>
      </c>
      <c r="B289" s="209" t="s">
        <v>31</v>
      </c>
      <c r="C289" s="210" t="s">
        <v>32</v>
      </c>
      <c r="D289" s="72"/>
      <c r="E289" s="158"/>
      <c r="F289" s="158"/>
      <c r="G289" s="73"/>
      <c r="H289" s="73"/>
      <c r="I289" s="73"/>
      <c r="J289" s="73"/>
      <c r="K289" s="73"/>
      <c r="L289" s="73"/>
      <c r="M289" s="73"/>
      <c r="N289" s="73"/>
      <c r="O289" s="73"/>
      <c r="P289" s="159">
        <f t="shared" si="56"/>
        <v>0</v>
      </c>
      <c r="Q289" s="160">
        <f t="shared" si="57"/>
        <v>0</v>
      </c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>SUM(R289:X289)</f>
        <v>0</v>
      </c>
      <c r="Z289" s="162">
        <f>+P289+Y289</f>
        <v>0</v>
      </c>
      <c r="AA289" s="163">
        <f>+D289-Z289</f>
        <v>0</v>
      </c>
    </row>
    <row r="290" spans="1:27" s="138" customFormat="1" ht="13.5" customHeight="1">
      <c r="A290" s="208" t="s">
        <v>79</v>
      </c>
      <c r="B290" s="209" t="s">
        <v>33</v>
      </c>
      <c r="C290" s="210" t="s">
        <v>34</v>
      </c>
      <c r="D290" s="72"/>
      <c r="E290" s="158"/>
      <c r="F290" s="158"/>
      <c r="G290" s="73"/>
      <c r="H290" s="73"/>
      <c r="I290" s="73"/>
      <c r="J290" s="73"/>
      <c r="K290" s="73"/>
      <c r="L290" s="73"/>
      <c r="M290" s="73"/>
      <c r="N290" s="73"/>
      <c r="O290" s="73"/>
      <c r="P290" s="159">
        <f t="shared" si="56"/>
        <v>0</v>
      </c>
      <c r="Q290" s="160">
        <f t="shared" si="57"/>
        <v>0</v>
      </c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>SUM(R290:X290)</f>
        <v>0</v>
      </c>
      <c r="Z290" s="162">
        <f>+P290+Y290</f>
        <v>0</v>
      </c>
      <c r="AA290" s="163">
        <f>+D290-Z290</f>
        <v>0</v>
      </c>
    </row>
    <row r="291" spans="1:27" s="138" customFormat="1" ht="13.5" customHeight="1">
      <c r="A291" s="208" t="s">
        <v>79</v>
      </c>
      <c r="B291" s="195" t="s">
        <v>35</v>
      </c>
      <c r="C291" s="196" t="s">
        <v>36</v>
      </c>
      <c r="D291" s="67"/>
      <c r="E291" s="139"/>
      <c r="F291" s="139"/>
      <c r="G291" s="68"/>
      <c r="H291" s="68"/>
      <c r="I291" s="68"/>
      <c r="J291" s="68"/>
      <c r="K291" s="68"/>
      <c r="L291" s="68"/>
      <c r="M291" s="68"/>
      <c r="N291" s="68"/>
      <c r="O291" s="68"/>
      <c r="P291" s="140">
        <f t="shared" si="56"/>
        <v>0</v>
      </c>
      <c r="Q291" s="141">
        <f t="shared" si="57"/>
        <v>0</v>
      </c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>SUM(R291:X291)</f>
        <v>0</v>
      </c>
      <c r="Z291" s="136">
        <f>+P291+Y291</f>
        <v>0</v>
      </c>
      <c r="AA291" s="137">
        <f>+D291-Z291</f>
        <v>0</v>
      </c>
    </row>
    <row r="292" spans="1:27" s="138" customFormat="1" ht="13.5" customHeight="1">
      <c r="A292" s="208" t="s">
        <v>79</v>
      </c>
      <c r="B292" s="211" t="s">
        <v>37</v>
      </c>
      <c r="C292" s="212" t="s">
        <v>38</v>
      </c>
      <c r="D292" s="74"/>
      <c r="E292" s="164"/>
      <c r="F292" s="164"/>
      <c r="G292" s="75"/>
      <c r="H292" s="75"/>
      <c r="I292" s="75"/>
      <c r="J292" s="75"/>
      <c r="K292" s="75"/>
      <c r="L292" s="75"/>
      <c r="M292" s="75"/>
      <c r="N292" s="75"/>
      <c r="O292" s="75"/>
      <c r="P292" s="165">
        <f t="shared" si="56"/>
        <v>0</v>
      </c>
      <c r="Q292" s="166">
        <f t="shared" si="57"/>
        <v>0</v>
      </c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>SUM(R292:X292)</f>
        <v>0</v>
      </c>
      <c r="Z292" s="162">
        <f>+P292+Y292</f>
        <v>0</v>
      </c>
      <c r="AA292" s="175">
        <f>+D292-Z292</f>
        <v>0</v>
      </c>
    </row>
    <row r="293" spans="1:27" s="138" customFormat="1" ht="13.5" customHeight="1">
      <c r="A293" s="208" t="s">
        <v>79</v>
      </c>
      <c r="B293" s="211" t="s">
        <v>39</v>
      </c>
      <c r="C293" s="212" t="s">
        <v>40</v>
      </c>
      <c r="D293" s="74"/>
      <c r="E293" s="164"/>
      <c r="F293" s="164"/>
      <c r="G293" s="75"/>
      <c r="H293" s="75"/>
      <c r="I293" s="75"/>
      <c r="J293" s="75"/>
      <c r="K293" s="75"/>
      <c r="L293" s="75"/>
      <c r="M293" s="75"/>
      <c r="N293" s="75"/>
      <c r="O293" s="75"/>
      <c r="P293" s="165">
        <f t="shared" si="56"/>
        <v>0</v>
      </c>
      <c r="Q293" s="166">
        <f t="shared" si="57"/>
        <v>0</v>
      </c>
      <c r="R293" s="177"/>
      <c r="S293" s="177"/>
      <c r="T293" s="177"/>
      <c r="U293" s="178"/>
      <c r="V293" s="178"/>
      <c r="W293" s="178"/>
      <c r="X293" s="177"/>
      <c r="Y293" s="162">
        <f>SUM(R293:X293)</f>
        <v>0</v>
      </c>
      <c r="Z293" s="162">
        <f>+P293+Y293</f>
        <v>0</v>
      </c>
      <c r="AA293" s="175">
        <f>+D293-Z293</f>
        <v>0</v>
      </c>
    </row>
    <row r="294" spans="1:27" s="138" customFormat="1" ht="13.5" customHeight="1">
      <c r="A294" s="208" t="s">
        <v>79</v>
      </c>
      <c r="B294" s="211" t="s">
        <v>41</v>
      </c>
      <c r="C294" s="212" t="s">
        <v>42</v>
      </c>
      <c r="D294" s="74"/>
      <c r="E294" s="164"/>
      <c r="F294" s="164"/>
      <c r="G294" s="75"/>
      <c r="H294" s="75"/>
      <c r="I294" s="75"/>
      <c r="J294" s="75"/>
      <c r="K294" s="75"/>
      <c r="L294" s="75"/>
      <c r="M294" s="75"/>
      <c r="N294" s="75"/>
      <c r="O294" s="75"/>
      <c r="P294" s="165">
        <f t="shared" si="56"/>
        <v>0</v>
      </c>
      <c r="Q294" s="166">
        <f t="shared" si="57"/>
        <v>0</v>
      </c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>SUM(R294:X294)</f>
        <v>0</v>
      </c>
      <c r="Z294" s="162">
        <f>+P294+Y294</f>
        <v>0</v>
      </c>
      <c r="AA294" s="175">
        <f>+D294-Z294</f>
        <v>0</v>
      </c>
    </row>
    <row r="295" spans="1:27" s="138" customFormat="1" ht="13.5" customHeight="1">
      <c r="A295" s="208" t="s">
        <v>79</v>
      </c>
      <c r="B295" s="211" t="s">
        <v>43</v>
      </c>
      <c r="C295" s="212" t="s">
        <v>44</v>
      </c>
      <c r="D295" s="74"/>
      <c r="E295" s="164"/>
      <c r="F295" s="164"/>
      <c r="G295" s="76"/>
      <c r="H295" s="76"/>
      <c r="I295" s="76"/>
      <c r="J295" s="76"/>
      <c r="K295" s="76"/>
      <c r="L295" s="76"/>
      <c r="M295" s="76"/>
      <c r="N295" s="76"/>
      <c r="O295" s="76"/>
      <c r="P295" s="165">
        <f t="shared" si="56"/>
        <v>0</v>
      </c>
      <c r="Q295" s="166">
        <f t="shared" si="57"/>
        <v>0</v>
      </c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>SUM(R295:X295)</f>
        <v>0</v>
      </c>
      <c r="Z295" s="162">
        <f>+P295+Y295</f>
        <v>0</v>
      </c>
      <c r="AA295" s="175">
        <f>+D295-Z295</f>
        <v>0</v>
      </c>
    </row>
    <row r="296" spans="1:27" s="138" customFormat="1" ht="13.5" customHeight="1">
      <c r="A296" s="208" t="s">
        <v>79</v>
      </c>
      <c r="B296" s="211" t="s">
        <v>45</v>
      </c>
      <c r="C296" s="212" t="s">
        <v>46</v>
      </c>
      <c r="D296" s="74"/>
      <c r="E296" s="164"/>
      <c r="F296" s="164"/>
      <c r="G296" s="76"/>
      <c r="H296" s="76"/>
      <c r="I296" s="76"/>
      <c r="J296" s="76"/>
      <c r="K296" s="76"/>
      <c r="L296" s="76"/>
      <c r="M296" s="76"/>
      <c r="N296" s="76"/>
      <c r="O296" s="76"/>
      <c r="P296" s="165">
        <f t="shared" si="56"/>
        <v>0</v>
      </c>
      <c r="Q296" s="166">
        <f t="shared" si="57"/>
        <v>0</v>
      </c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>SUM(R296:X296)</f>
        <v>0</v>
      </c>
      <c r="Z296" s="162">
        <f>+P296+Y296</f>
        <v>0</v>
      </c>
      <c r="AA296" s="175">
        <f>+D296-Z296</f>
        <v>0</v>
      </c>
    </row>
    <row r="297" spans="1:27" s="138" customFormat="1" ht="13.5" customHeight="1">
      <c r="A297" s="208" t="s">
        <v>79</v>
      </c>
      <c r="B297" s="211" t="s">
        <v>47</v>
      </c>
      <c r="C297" s="212" t="s">
        <v>48</v>
      </c>
      <c r="D297" s="74"/>
      <c r="E297" s="164"/>
      <c r="F297" s="164"/>
      <c r="G297" s="75"/>
      <c r="H297" s="76"/>
      <c r="I297" s="76"/>
      <c r="J297" s="76"/>
      <c r="K297" s="76"/>
      <c r="L297" s="76"/>
      <c r="M297" s="76"/>
      <c r="N297" s="76"/>
      <c r="O297" s="76"/>
      <c r="P297" s="165">
        <f t="shared" si="56"/>
        <v>0</v>
      </c>
      <c r="Q297" s="166">
        <f t="shared" si="57"/>
        <v>0</v>
      </c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>SUM(R297:X297)</f>
        <v>0</v>
      </c>
      <c r="Z297" s="162">
        <f>+P297+Y297</f>
        <v>0</v>
      </c>
      <c r="AA297" s="175">
        <f>+D297-Z297</f>
        <v>0</v>
      </c>
    </row>
    <row r="298" spans="1:27" s="138" customFormat="1" ht="13.5" customHeight="1">
      <c r="A298" s="208" t="s">
        <v>79</v>
      </c>
      <c r="B298" s="211" t="s">
        <v>49</v>
      </c>
      <c r="C298" s="212" t="s">
        <v>50</v>
      </c>
      <c r="D298" s="74"/>
      <c r="E298" s="164"/>
      <c r="F298" s="164"/>
      <c r="G298" s="76"/>
      <c r="H298" s="76"/>
      <c r="I298" s="76"/>
      <c r="J298" s="76"/>
      <c r="K298" s="76"/>
      <c r="L298" s="76"/>
      <c r="M298" s="76"/>
      <c r="N298" s="76"/>
      <c r="O298" s="76"/>
      <c r="P298" s="165">
        <f t="shared" si="56"/>
        <v>0</v>
      </c>
      <c r="Q298" s="166">
        <f t="shared" si="57"/>
        <v>0</v>
      </c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>SUM(R298:X298)</f>
        <v>0</v>
      </c>
      <c r="Z298" s="162">
        <f>+P298+Y298</f>
        <v>0</v>
      </c>
      <c r="AA298" s="175">
        <f>+D298-Z298</f>
        <v>0</v>
      </c>
    </row>
    <row r="299" spans="1:27" s="138" customFormat="1" ht="13.5" customHeight="1">
      <c r="A299" s="208" t="s">
        <v>79</v>
      </c>
      <c r="B299" s="204" t="s">
        <v>51</v>
      </c>
      <c r="C299" s="196" t="s">
        <v>52</v>
      </c>
      <c r="D299" s="67"/>
      <c r="E299" s="139"/>
      <c r="F299" s="139"/>
      <c r="G299" s="69"/>
      <c r="H299" s="69"/>
      <c r="I299" s="69"/>
      <c r="J299" s="69"/>
      <c r="K299" s="69"/>
      <c r="L299" s="69"/>
      <c r="M299" s="69"/>
      <c r="N299" s="69"/>
      <c r="O299" s="69"/>
      <c r="P299" s="140">
        <f t="shared" si="56"/>
        <v>0</v>
      </c>
      <c r="Q299" s="141">
        <f t="shared" si="57"/>
        <v>0</v>
      </c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>SUM(R299:X299)</f>
        <v>0</v>
      </c>
      <c r="Z299" s="136">
        <f>+P299+Y299</f>
        <v>0</v>
      </c>
      <c r="AA299" s="137">
        <f>+D299-Z299</f>
        <v>0</v>
      </c>
    </row>
    <row r="300" spans="1:27" s="138" customFormat="1" ht="13.5" customHeight="1">
      <c r="A300" s="208" t="s">
        <v>79</v>
      </c>
      <c r="B300" s="211" t="s">
        <v>53</v>
      </c>
      <c r="C300" s="212" t="s">
        <v>54</v>
      </c>
      <c r="D300" s="74"/>
      <c r="E300" s="164"/>
      <c r="F300" s="164"/>
      <c r="G300" s="76"/>
      <c r="H300" s="76"/>
      <c r="I300" s="76"/>
      <c r="J300" s="76"/>
      <c r="K300" s="76"/>
      <c r="L300" s="76"/>
      <c r="M300" s="76"/>
      <c r="N300" s="76"/>
      <c r="O300" s="76"/>
      <c r="P300" s="165">
        <f t="shared" si="56"/>
        <v>0</v>
      </c>
      <c r="Q300" s="166">
        <f t="shared" si="57"/>
        <v>0</v>
      </c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>SUM(R300:X300)</f>
        <v>0</v>
      </c>
      <c r="Z300" s="162">
        <f>+P300+Y300</f>
        <v>0</v>
      </c>
      <c r="AA300" s="175">
        <f>+D300-Z300</f>
        <v>0</v>
      </c>
    </row>
    <row r="301" spans="1:27" s="138" customFormat="1" ht="13.5" customHeight="1">
      <c r="A301" s="208" t="s">
        <v>79</v>
      </c>
      <c r="B301" s="211" t="s">
        <v>55</v>
      </c>
      <c r="C301" s="212" t="s">
        <v>56</v>
      </c>
      <c r="D301" s="74"/>
      <c r="E301" s="164"/>
      <c r="F301" s="164"/>
      <c r="G301" s="75"/>
      <c r="H301" s="75"/>
      <c r="I301" s="75"/>
      <c r="J301" s="75"/>
      <c r="K301" s="75"/>
      <c r="L301" s="75"/>
      <c r="M301" s="75"/>
      <c r="N301" s="75"/>
      <c r="O301" s="75"/>
      <c r="P301" s="165">
        <f t="shared" si="56"/>
        <v>0</v>
      </c>
      <c r="Q301" s="166">
        <f t="shared" si="57"/>
        <v>0</v>
      </c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>SUM(R301:X301)</f>
        <v>0</v>
      </c>
      <c r="Z301" s="162">
        <f>+P301+Y301</f>
        <v>0</v>
      </c>
      <c r="AA301" s="175">
        <f>+D301-Z301</f>
        <v>0</v>
      </c>
    </row>
    <row r="302" spans="1:27" s="138" customFormat="1" ht="13.5" customHeight="1">
      <c r="A302" s="208" t="s">
        <v>79</v>
      </c>
      <c r="B302" s="204" t="s">
        <v>57</v>
      </c>
      <c r="C302" s="196" t="s">
        <v>58</v>
      </c>
      <c r="D302" s="67"/>
      <c r="E302" s="139"/>
      <c r="F302" s="139"/>
      <c r="G302" s="68"/>
      <c r="H302" s="68"/>
      <c r="I302" s="68"/>
      <c r="J302" s="68"/>
      <c r="K302" s="68"/>
      <c r="L302" s="68"/>
      <c r="M302" s="68"/>
      <c r="N302" s="68"/>
      <c r="O302" s="68"/>
      <c r="P302" s="140">
        <f t="shared" si="56"/>
        <v>0</v>
      </c>
      <c r="Q302" s="141">
        <f t="shared" si="57"/>
        <v>0</v>
      </c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>SUM(R302:X302)</f>
        <v>0</v>
      </c>
      <c r="Z302" s="136">
        <f>+P302+Y302</f>
        <v>0</v>
      </c>
      <c r="AA302" s="137">
        <f>+D302-Z302</f>
        <v>0</v>
      </c>
    </row>
    <row r="303" spans="1:27" s="138" customFormat="1" ht="13.5" customHeight="1">
      <c r="A303" s="208" t="s">
        <v>79</v>
      </c>
      <c r="B303" s="213" t="s">
        <v>59</v>
      </c>
      <c r="C303" s="214" t="s">
        <v>60</v>
      </c>
      <c r="D303" s="77"/>
      <c r="E303" s="168"/>
      <c r="F303" s="168"/>
      <c r="G303" s="78"/>
      <c r="H303" s="78"/>
      <c r="I303" s="78"/>
      <c r="J303" s="78"/>
      <c r="K303" s="78"/>
      <c r="L303" s="78"/>
      <c r="M303" s="78"/>
      <c r="N303" s="78"/>
      <c r="O303" s="78"/>
      <c r="P303" s="169">
        <f t="shared" si="56"/>
        <v>0</v>
      </c>
      <c r="Q303" s="170">
        <f t="shared" si="57"/>
        <v>0</v>
      </c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>SUM(R303:X303)</f>
        <v>0</v>
      </c>
      <c r="Z303" s="162">
        <f>+P303+Y303</f>
        <v>0</v>
      </c>
      <c r="AA303" s="176">
        <f>+D303-Z303</f>
        <v>0</v>
      </c>
    </row>
    <row r="304" spans="1:27" s="108" customFormat="1" ht="13.5" customHeight="1">
      <c r="A304" s="193" t="s">
        <v>80</v>
      </c>
      <c r="B304" s="199"/>
      <c r="C304" s="200"/>
      <c r="D304" s="129">
        <f t="shared" ref="D304:O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M304" si="65">SUBTOTAL(9,H305:H320)</f>
        <v>0</v>
      </c>
      <c r="I304" s="130">
        <f t="shared" si="65"/>
        <v>0</v>
      </c>
      <c r="J304" s="130">
        <f t="shared" si="65"/>
        <v>0</v>
      </c>
      <c r="K304" s="130">
        <f t="shared" si="65"/>
        <v>0</v>
      </c>
      <c r="L304" s="130">
        <f t="shared" si="65"/>
        <v>0</v>
      </c>
      <c r="M304" s="130">
        <f t="shared" si="65"/>
        <v>0</v>
      </c>
      <c r="N304" s="130">
        <f t="shared" si="64"/>
        <v>0</v>
      </c>
      <c r="O304" s="130">
        <f t="shared" si="64"/>
        <v>0</v>
      </c>
      <c r="P304" s="107">
        <f t="shared" si="56"/>
        <v>0</v>
      </c>
      <c r="Q304" s="107">
        <f t="shared" si="57"/>
        <v>0</v>
      </c>
      <c r="R304" s="130">
        <f t="shared" ref="R304:X304" si="66">SUBTOTAL(9,R305:R320)</f>
        <v>0</v>
      </c>
      <c r="S304" s="130">
        <f t="shared" si="66"/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SUM(R304:X304)</f>
        <v>0</v>
      </c>
      <c r="Z304" s="56">
        <f>+P304+Y304</f>
        <v>0</v>
      </c>
      <c r="AA304" s="131">
        <f>+D304-Z304</f>
        <v>0</v>
      </c>
    </row>
    <row r="305" spans="1:27" s="138" customFormat="1" ht="13.5" customHeight="1">
      <c r="A305" s="201" t="s">
        <v>80</v>
      </c>
      <c r="B305" s="202" t="s">
        <v>29</v>
      </c>
      <c r="C305" s="203" t="s">
        <v>30</v>
      </c>
      <c r="D305" s="65"/>
      <c r="E305" s="132"/>
      <c r="F305" s="132"/>
      <c r="G305" s="66"/>
      <c r="H305" s="66"/>
      <c r="I305" s="66"/>
      <c r="J305" s="66"/>
      <c r="K305" s="66"/>
      <c r="L305" s="66"/>
      <c r="M305" s="66"/>
      <c r="N305" s="66"/>
      <c r="O305" s="66"/>
      <c r="P305" s="133">
        <f t="shared" si="56"/>
        <v>0</v>
      </c>
      <c r="Q305" s="134">
        <f t="shared" si="57"/>
        <v>0</v>
      </c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>SUM(R305:X305)</f>
        <v>0</v>
      </c>
      <c r="Z305" s="136">
        <f>+P305+Y305</f>
        <v>0</v>
      </c>
      <c r="AA305" s="137">
        <f>+D305-Z305</f>
        <v>0</v>
      </c>
    </row>
    <row r="306" spans="1:27" s="138" customFormat="1" ht="13.5" customHeight="1">
      <c r="A306" s="201" t="s">
        <v>80</v>
      </c>
      <c r="B306" s="204" t="s">
        <v>31</v>
      </c>
      <c r="C306" s="196" t="s">
        <v>32</v>
      </c>
      <c r="D306" s="67"/>
      <c r="E306" s="139"/>
      <c r="F306" s="139"/>
      <c r="G306" s="68"/>
      <c r="H306" s="68"/>
      <c r="I306" s="68"/>
      <c r="J306" s="68"/>
      <c r="K306" s="68"/>
      <c r="L306" s="68"/>
      <c r="M306" s="68"/>
      <c r="N306" s="68"/>
      <c r="O306" s="68"/>
      <c r="P306" s="140">
        <f t="shared" si="56"/>
        <v>0</v>
      </c>
      <c r="Q306" s="141">
        <f t="shared" si="57"/>
        <v>0</v>
      </c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>SUM(R306:X306)</f>
        <v>0</v>
      </c>
      <c r="Z306" s="136">
        <f>+P306+Y306</f>
        <v>0</v>
      </c>
      <c r="AA306" s="137">
        <f>+D306-Z306</f>
        <v>0</v>
      </c>
    </row>
    <row r="307" spans="1:27" s="138" customFormat="1" ht="13.5" customHeight="1">
      <c r="A307" s="201" t="s">
        <v>80</v>
      </c>
      <c r="B307" s="204" t="s">
        <v>33</v>
      </c>
      <c r="C307" s="196" t="s">
        <v>34</v>
      </c>
      <c r="D307" s="67"/>
      <c r="E307" s="139"/>
      <c r="F307" s="139"/>
      <c r="G307" s="68"/>
      <c r="H307" s="68"/>
      <c r="I307" s="68"/>
      <c r="J307" s="68"/>
      <c r="K307" s="68"/>
      <c r="L307" s="68"/>
      <c r="M307" s="68"/>
      <c r="N307" s="68"/>
      <c r="O307" s="68"/>
      <c r="P307" s="140">
        <f t="shared" si="56"/>
        <v>0</v>
      </c>
      <c r="Q307" s="141">
        <f t="shared" si="57"/>
        <v>0</v>
      </c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>SUM(R307:X307)</f>
        <v>0</v>
      </c>
      <c r="Z307" s="136">
        <f>+P307+Y307</f>
        <v>0</v>
      </c>
      <c r="AA307" s="137">
        <f>+D307-Z307</f>
        <v>0</v>
      </c>
    </row>
    <row r="308" spans="1:27" s="138" customFormat="1" ht="13.5" customHeight="1">
      <c r="A308" s="201" t="s">
        <v>80</v>
      </c>
      <c r="B308" s="204" t="s">
        <v>35</v>
      </c>
      <c r="C308" s="196" t="s">
        <v>36</v>
      </c>
      <c r="D308" s="67"/>
      <c r="E308" s="139"/>
      <c r="F308" s="139"/>
      <c r="G308" s="68"/>
      <c r="H308" s="68"/>
      <c r="I308" s="68"/>
      <c r="J308" s="68"/>
      <c r="K308" s="68"/>
      <c r="L308" s="68"/>
      <c r="M308" s="68"/>
      <c r="N308" s="68"/>
      <c r="O308" s="68"/>
      <c r="P308" s="140">
        <f t="shared" si="56"/>
        <v>0</v>
      </c>
      <c r="Q308" s="141">
        <f t="shared" si="57"/>
        <v>0</v>
      </c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>SUM(R308:X308)</f>
        <v>0</v>
      </c>
      <c r="Z308" s="136">
        <f>+P308+Y308</f>
        <v>0</v>
      </c>
      <c r="AA308" s="137">
        <f>+D308-Z308</f>
        <v>0</v>
      </c>
    </row>
    <row r="309" spans="1:27" s="138" customFormat="1" ht="13.5" customHeight="1">
      <c r="A309" s="201" t="s">
        <v>80</v>
      </c>
      <c r="B309" s="204" t="s">
        <v>37</v>
      </c>
      <c r="C309" s="196" t="s">
        <v>38</v>
      </c>
      <c r="D309" s="67"/>
      <c r="E309" s="139"/>
      <c r="F309" s="139"/>
      <c r="G309" s="68"/>
      <c r="H309" s="68"/>
      <c r="I309" s="68"/>
      <c r="J309" s="68"/>
      <c r="K309" s="68"/>
      <c r="L309" s="68"/>
      <c r="M309" s="68"/>
      <c r="N309" s="68"/>
      <c r="O309" s="68"/>
      <c r="P309" s="140">
        <f t="shared" si="56"/>
        <v>0</v>
      </c>
      <c r="Q309" s="141">
        <f t="shared" si="57"/>
        <v>0</v>
      </c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>SUM(R309:X309)</f>
        <v>0</v>
      </c>
      <c r="Z309" s="136">
        <f>+P309+Y309</f>
        <v>0</v>
      </c>
      <c r="AA309" s="137">
        <f>+D309-Z309</f>
        <v>0</v>
      </c>
    </row>
    <row r="310" spans="1:27" s="138" customFormat="1" ht="13.5" customHeight="1">
      <c r="A310" s="201" t="s">
        <v>80</v>
      </c>
      <c r="B310" s="204" t="s">
        <v>39</v>
      </c>
      <c r="C310" s="196" t="s">
        <v>40</v>
      </c>
      <c r="D310" s="67"/>
      <c r="E310" s="139"/>
      <c r="F310" s="139"/>
      <c r="G310" s="68"/>
      <c r="H310" s="68"/>
      <c r="I310" s="68"/>
      <c r="J310" s="68"/>
      <c r="K310" s="68"/>
      <c r="L310" s="68"/>
      <c r="M310" s="68"/>
      <c r="N310" s="68"/>
      <c r="O310" s="68"/>
      <c r="P310" s="140">
        <f t="shared" si="56"/>
        <v>0</v>
      </c>
      <c r="Q310" s="141">
        <f t="shared" si="57"/>
        <v>0</v>
      </c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>SUM(R310:X310)</f>
        <v>0</v>
      </c>
      <c r="Z310" s="136">
        <f>+P310+Y310</f>
        <v>0</v>
      </c>
      <c r="AA310" s="137">
        <f>+D310-Z310</f>
        <v>0</v>
      </c>
    </row>
    <row r="311" spans="1:27" s="138" customFormat="1" ht="13.5" customHeight="1">
      <c r="A311" s="201" t="s">
        <v>80</v>
      </c>
      <c r="B311" s="204" t="s">
        <v>41</v>
      </c>
      <c r="C311" s="196" t="s">
        <v>42</v>
      </c>
      <c r="D311" s="67"/>
      <c r="E311" s="139"/>
      <c r="F311" s="139"/>
      <c r="G311" s="68"/>
      <c r="H311" s="68"/>
      <c r="I311" s="68"/>
      <c r="J311" s="68"/>
      <c r="K311" s="68"/>
      <c r="L311" s="68"/>
      <c r="M311" s="68"/>
      <c r="N311" s="68"/>
      <c r="O311" s="68"/>
      <c r="P311" s="140">
        <f t="shared" si="56"/>
        <v>0</v>
      </c>
      <c r="Q311" s="141">
        <f t="shared" si="57"/>
        <v>0</v>
      </c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>SUM(R311:X311)</f>
        <v>0</v>
      </c>
      <c r="Z311" s="136">
        <f>+P311+Y311</f>
        <v>0</v>
      </c>
      <c r="AA311" s="137">
        <f>+D311-Z311</f>
        <v>0</v>
      </c>
    </row>
    <row r="312" spans="1:27" s="138" customFormat="1" ht="13.5" customHeight="1">
      <c r="A312" s="201" t="s">
        <v>80</v>
      </c>
      <c r="B312" s="204" t="s">
        <v>43</v>
      </c>
      <c r="C312" s="196" t="s">
        <v>44</v>
      </c>
      <c r="D312" s="67"/>
      <c r="E312" s="139"/>
      <c r="F312" s="139"/>
      <c r="G312" s="69"/>
      <c r="H312" s="69"/>
      <c r="I312" s="69"/>
      <c r="J312" s="69"/>
      <c r="K312" s="69"/>
      <c r="L312" s="69"/>
      <c r="M312" s="69"/>
      <c r="N312" s="69"/>
      <c r="O312" s="69"/>
      <c r="P312" s="140">
        <f t="shared" si="56"/>
        <v>0</v>
      </c>
      <c r="Q312" s="141">
        <f t="shared" si="57"/>
        <v>0</v>
      </c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>SUM(R312:X312)</f>
        <v>0</v>
      </c>
      <c r="Z312" s="136">
        <f>+P312+Y312</f>
        <v>0</v>
      </c>
      <c r="AA312" s="137">
        <f>+D312-Z312</f>
        <v>0</v>
      </c>
    </row>
    <row r="313" spans="1:27" s="138" customFormat="1" ht="13.5" customHeight="1">
      <c r="A313" s="201" t="s">
        <v>80</v>
      </c>
      <c r="B313" s="204" t="s">
        <v>45</v>
      </c>
      <c r="C313" s="196" t="s">
        <v>46</v>
      </c>
      <c r="D313" s="67"/>
      <c r="E313" s="139"/>
      <c r="F313" s="139"/>
      <c r="G313" s="69"/>
      <c r="H313" s="69"/>
      <c r="I313" s="69"/>
      <c r="J313" s="69"/>
      <c r="K313" s="69"/>
      <c r="L313" s="69"/>
      <c r="M313" s="69"/>
      <c r="N313" s="69"/>
      <c r="O313" s="69"/>
      <c r="P313" s="140">
        <f t="shared" si="56"/>
        <v>0</v>
      </c>
      <c r="Q313" s="141">
        <f t="shared" si="57"/>
        <v>0</v>
      </c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>SUM(R313:X313)</f>
        <v>0</v>
      </c>
      <c r="Z313" s="136">
        <f>+P313+Y313</f>
        <v>0</v>
      </c>
      <c r="AA313" s="137">
        <f>+D313-Z313</f>
        <v>0</v>
      </c>
    </row>
    <row r="314" spans="1:27" s="138" customFormat="1" ht="13.5" customHeight="1">
      <c r="A314" s="201" t="s">
        <v>80</v>
      </c>
      <c r="B314" s="204" t="s">
        <v>47</v>
      </c>
      <c r="C314" s="196" t="s">
        <v>48</v>
      </c>
      <c r="D314" s="67"/>
      <c r="E314" s="139"/>
      <c r="F314" s="139"/>
      <c r="G314" s="68"/>
      <c r="H314" s="69"/>
      <c r="I314" s="69"/>
      <c r="J314" s="69"/>
      <c r="K314" s="69"/>
      <c r="L314" s="69"/>
      <c r="M314" s="69"/>
      <c r="N314" s="69"/>
      <c r="O314" s="69"/>
      <c r="P314" s="140">
        <f t="shared" si="56"/>
        <v>0</v>
      </c>
      <c r="Q314" s="141">
        <f t="shared" si="57"/>
        <v>0</v>
      </c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>SUM(R314:X314)</f>
        <v>0</v>
      </c>
      <c r="Z314" s="136">
        <f>+P314+Y314</f>
        <v>0</v>
      </c>
      <c r="AA314" s="137">
        <f>+D314-Z314</f>
        <v>0</v>
      </c>
    </row>
    <row r="315" spans="1:27" s="138" customFormat="1" ht="13.5" customHeight="1">
      <c r="A315" s="201" t="s">
        <v>80</v>
      </c>
      <c r="B315" s="204" t="s">
        <v>49</v>
      </c>
      <c r="C315" s="196" t="s">
        <v>50</v>
      </c>
      <c r="D315" s="67"/>
      <c r="E315" s="139"/>
      <c r="F315" s="139"/>
      <c r="G315" s="69"/>
      <c r="H315" s="69"/>
      <c r="I315" s="69"/>
      <c r="J315" s="69"/>
      <c r="K315" s="69"/>
      <c r="L315" s="69"/>
      <c r="M315" s="69"/>
      <c r="N315" s="69"/>
      <c r="O315" s="69"/>
      <c r="P315" s="140">
        <f t="shared" si="56"/>
        <v>0</v>
      </c>
      <c r="Q315" s="141">
        <f t="shared" si="57"/>
        <v>0</v>
      </c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>SUM(R315:X315)</f>
        <v>0</v>
      </c>
      <c r="Z315" s="136">
        <f>+P315+Y315</f>
        <v>0</v>
      </c>
      <c r="AA315" s="137">
        <f>+D315-Z315</f>
        <v>0</v>
      </c>
    </row>
    <row r="316" spans="1:27" s="138" customFormat="1" ht="13.5" customHeight="1">
      <c r="A316" s="201" t="s">
        <v>80</v>
      </c>
      <c r="B316" s="204" t="s">
        <v>51</v>
      </c>
      <c r="C316" s="196" t="s">
        <v>52</v>
      </c>
      <c r="D316" s="67"/>
      <c r="E316" s="139"/>
      <c r="F316" s="139"/>
      <c r="G316" s="69"/>
      <c r="H316" s="69"/>
      <c r="I316" s="69"/>
      <c r="J316" s="69"/>
      <c r="K316" s="69"/>
      <c r="L316" s="69"/>
      <c r="M316" s="69"/>
      <c r="N316" s="69"/>
      <c r="O316" s="69"/>
      <c r="P316" s="140">
        <f t="shared" si="56"/>
        <v>0</v>
      </c>
      <c r="Q316" s="141">
        <f t="shared" si="57"/>
        <v>0</v>
      </c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>SUM(R316:X316)</f>
        <v>0</v>
      </c>
      <c r="Z316" s="136">
        <f>+P316+Y316</f>
        <v>0</v>
      </c>
      <c r="AA316" s="137">
        <f>+D316-Z316</f>
        <v>0</v>
      </c>
    </row>
    <row r="317" spans="1:27" s="138" customFormat="1" ht="13.5" customHeight="1">
      <c r="A317" s="201" t="s">
        <v>80</v>
      </c>
      <c r="B317" s="204" t="s">
        <v>53</v>
      </c>
      <c r="C317" s="196" t="s">
        <v>54</v>
      </c>
      <c r="D317" s="67"/>
      <c r="E317" s="139"/>
      <c r="F317" s="139"/>
      <c r="G317" s="69"/>
      <c r="H317" s="69"/>
      <c r="I317" s="69"/>
      <c r="J317" s="69"/>
      <c r="K317" s="69"/>
      <c r="L317" s="69"/>
      <c r="M317" s="69"/>
      <c r="N317" s="69"/>
      <c r="O317" s="69"/>
      <c r="P317" s="140">
        <f t="shared" si="56"/>
        <v>0</v>
      </c>
      <c r="Q317" s="141">
        <f t="shared" si="57"/>
        <v>0</v>
      </c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>SUM(R317:X317)</f>
        <v>0</v>
      </c>
      <c r="Z317" s="136">
        <f>+P317+Y317</f>
        <v>0</v>
      </c>
      <c r="AA317" s="137">
        <f>+D317-Z317</f>
        <v>0</v>
      </c>
    </row>
    <row r="318" spans="1:27" s="138" customFormat="1" ht="13.5" customHeight="1">
      <c r="A318" s="201" t="s">
        <v>80</v>
      </c>
      <c r="B318" s="204" t="s">
        <v>55</v>
      </c>
      <c r="C318" s="196" t="s">
        <v>56</v>
      </c>
      <c r="D318" s="67"/>
      <c r="E318" s="139"/>
      <c r="F318" s="139"/>
      <c r="G318" s="68"/>
      <c r="H318" s="68"/>
      <c r="I318" s="68"/>
      <c r="J318" s="68"/>
      <c r="K318" s="68"/>
      <c r="L318" s="68"/>
      <c r="M318" s="68"/>
      <c r="N318" s="68"/>
      <c r="O318" s="68"/>
      <c r="P318" s="140">
        <f t="shared" si="56"/>
        <v>0</v>
      </c>
      <c r="Q318" s="141">
        <f t="shared" si="57"/>
        <v>0</v>
      </c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>SUM(R318:X318)</f>
        <v>0</v>
      </c>
      <c r="Z318" s="136">
        <f>+P318+Y318</f>
        <v>0</v>
      </c>
      <c r="AA318" s="137">
        <f>+D318-Z318</f>
        <v>0</v>
      </c>
    </row>
    <row r="319" spans="1:27" s="138" customFormat="1" ht="13.5" customHeight="1">
      <c r="A319" s="201" t="s">
        <v>80</v>
      </c>
      <c r="B319" s="204" t="s">
        <v>57</v>
      </c>
      <c r="C319" s="196" t="s">
        <v>58</v>
      </c>
      <c r="D319" s="67"/>
      <c r="E319" s="139"/>
      <c r="F319" s="139"/>
      <c r="G319" s="68"/>
      <c r="H319" s="68"/>
      <c r="I319" s="68"/>
      <c r="J319" s="68"/>
      <c r="K319" s="68"/>
      <c r="L319" s="68"/>
      <c r="M319" s="68"/>
      <c r="N319" s="68"/>
      <c r="O319" s="68"/>
      <c r="P319" s="140">
        <f t="shared" si="56"/>
        <v>0</v>
      </c>
      <c r="Q319" s="141">
        <f t="shared" si="57"/>
        <v>0</v>
      </c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>SUM(R319:X319)</f>
        <v>0</v>
      </c>
      <c r="Z319" s="136">
        <f>+P319+Y319</f>
        <v>0</v>
      </c>
      <c r="AA319" s="137">
        <f>+D319-Z319</f>
        <v>0</v>
      </c>
    </row>
    <row r="320" spans="1:27" s="138" customFormat="1" ht="13.5" customHeight="1">
      <c r="A320" s="201" t="s">
        <v>80</v>
      </c>
      <c r="B320" s="205" t="s">
        <v>59</v>
      </c>
      <c r="C320" s="198" t="s">
        <v>60</v>
      </c>
      <c r="D320" s="70"/>
      <c r="E320" s="143"/>
      <c r="F320" s="143"/>
      <c r="G320" s="71"/>
      <c r="H320" s="71"/>
      <c r="I320" s="71"/>
      <c r="J320" s="71"/>
      <c r="K320" s="71"/>
      <c r="L320" s="71"/>
      <c r="M320" s="71"/>
      <c r="N320" s="71"/>
      <c r="O320" s="71"/>
      <c r="P320" s="144">
        <f t="shared" si="56"/>
        <v>0</v>
      </c>
      <c r="Q320" s="145">
        <f t="shared" si="57"/>
        <v>0</v>
      </c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>SUM(R320:X320)</f>
        <v>0</v>
      </c>
      <c r="Z320" s="136">
        <f>+P320+Y320</f>
        <v>0</v>
      </c>
      <c r="AA320" s="137">
        <f>+D320-Z320</f>
        <v>0</v>
      </c>
    </row>
    <row r="321" spans="1:27" s="108" customFormat="1" ht="13.5" customHeight="1">
      <c r="A321" s="193" t="s">
        <v>81</v>
      </c>
      <c r="B321" s="199"/>
      <c r="C321" s="200"/>
      <c r="D321" s="129">
        <f t="shared" ref="D321:O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M321" si="68">SUBTOTAL(9,H322:H337)</f>
        <v>0</v>
      </c>
      <c r="I321" s="130">
        <f t="shared" si="68"/>
        <v>0</v>
      </c>
      <c r="J321" s="130">
        <f t="shared" si="68"/>
        <v>0</v>
      </c>
      <c r="K321" s="130">
        <f t="shared" si="68"/>
        <v>0</v>
      </c>
      <c r="L321" s="130">
        <f t="shared" si="68"/>
        <v>0</v>
      </c>
      <c r="M321" s="130">
        <f t="shared" si="68"/>
        <v>0</v>
      </c>
      <c r="N321" s="130">
        <f t="shared" si="67"/>
        <v>0</v>
      </c>
      <c r="O321" s="130">
        <f t="shared" si="67"/>
        <v>0</v>
      </c>
      <c r="P321" s="107">
        <f t="shared" si="56"/>
        <v>0</v>
      </c>
      <c r="Q321" s="107">
        <f t="shared" si="57"/>
        <v>0</v>
      </c>
      <c r="R321" s="130">
        <f t="shared" ref="R321:X321" si="69">SUBTOTAL(9,R322:R337)</f>
        <v>0</v>
      </c>
      <c r="S321" s="130">
        <f t="shared" si="69"/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SUM(R321:X321)</f>
        <v>0</v>
      </c>
      <c r="Z321" s="56">
        <f>+P321+Y321</f>
        <v>0</v>
      </c>
      <c r="AA321" s="131">
        <f>+D321-Z321</f>
        <v>0</v>
      </c>
    </row>
    <row r="322" spans="1:27" s="138" customFormat="1" ht="13.5" customHeight="1">
      <c r="A322" s="201" t="s">
        <v>81</v>
      </c>
      <c r="B322" s="202" t="s">
        <v>29</v>
      </c>
      <c r="C322" s="203" t="s">
        <v>30</v>
      </c>
      <c r="D322" s="65"/>
      <c r="E322" s="132"/>
      <c r="F322" s="132"/>
      <c r="G322" s="66"/>
      <c r="H322" s="66"/>
      <c r="I322" s="66"/>
      <c r="J322" s="66"/>
      <c r="K322" s="66"/>
      <c r="L322" s="66"/>
      <c r="M322" s="66"/>
      <c r="N322" s="66"/>
      <c r="O322" s="66"/>
      <c r="P322" s="133">
        <f t="shared" si="56"/>
        <v>0</v>
      </c>
      <c r="Q322" s="134">
        <f t="shared" si="57"/>
        <v>0</v>
      </c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>SUM(R322:X322)</f>
        <v>0</v>
      </c>
      <c r="Z322" s="136">
        <f>+P322+Y322</f>
        <v>0</v>
      </c>
      <c r="AA322" s="137">
        <f>+D322-Z322</f>
        <v>0</v>
      </c>
    </row>
    <row r="323" spans="1:27" s="138" customFormat="1" ht="13.5" customHeight="1">
      <c r="A323" s="201" t="s">
        <v>81</v>
      </c>
      <c r="B323" s="204" t="s">
        <v>31</v>
      </c>
      <c r="C323" s="196" t="s">
        <v>32</v>
      </c>
      <c r="D323" s="67"/>
      <c r="E323" s="139"/>
      <c r="F323" s="139"/>
      <c r="G323" s="68"/>
      <c r="H323" s="68"/>
      <c r="I323" s="68"/>
      <c r="J323" s="68"/>
      <c r="K323" s="68"/>
      <c r="L323" s="68"/>
      <c r="M323" s="68"/>
      <c r="N323" s="68"/>
      <c r="O323" s="68"/>
      <c r="P323" s="140">
        <f t="shared" si="56"/>
        <v>0</v>
      </c>
      <c r="Q323" s="141">
        <f t="shared" si="57"/>
        <v>0</v>
      </c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>SUM(R323:X323)</f>
        <v>0</v>
      </c>
      <c r="Z323" s="136">
        <f>+P323+Y323</f>
        <v>0</v>
      </c>
      <c r="AA323" s="137">
        <f>+D323-Z323</f>
        <v>0</v>
      </c>
    </row>
    <row r="324" spans="1:27" s="138" customFormat="1" ht="13.5" customHeight="1">
      <c r="A324" s="201" t="s">
        <v>81</v>
      </c>
      <c r="B324" s="204" t="s">
        <v>33</v>
      </c>
      <c r="C324" s="196" t="s">
        <v>34</v>
      </c>
      <c r="D324" s="67"/>
      <c r="E324" s="139"/>
      <c r="F324" s="139"/>
      <c r="G324" s="68"/>
      <c r="H324" s="68"/>
      <c r="I324" s="68"/>
      <c r="J324" s="68"/>
      <c r="K324" s="68"/>
      <c r="L324" s="68"/>
      <c r="M324" s="68"/>
      <c r="N324" s="68"/>
      <c r="O324" s="68"/>
      <c r="P324" s="140">
        <f t="shared" si="56"/>
        <v>0</v>
      </c>
      <c r="Q324" s="141">
        <f t="shared" si="57"/>
        <v>0</v>
      </c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>SUM(R324:X324)</f>
        <v>0</v>
      </c>
      <c r="Z324" s="136">
        <f>+P324+Y324</f>
        <v>0</v>
      </c>
      <c r="AA324" s="137">
        <f>+D324-Z324</f>
        <v>0</v>
      </c>
    </row>
    <row r="325" spans="1:27" s="138" customFormat="1" ht="13.5" customHeight="1">
      <c r="A325" s="201" t="s">
        <v>81</v>
      </c>
      <c r="B325" s="204" t="s">
        <v>35</v>
      </c>
      <c r="C325" s="196" t="s">
        <v>36</v>
      </c>
      <c r="D325" s="67"/>
      <c r="E325" s="139"/>
      <c r="F325" s="139"/>
      <c r="G325" s="68"/>
      <c r="H325" s="68"/>
      <c r="I325" s="68"/>
      <c r="J325" s="68"/>
      <c r="K325" s="68"/>
      <c r="L325" s="68"/>
      <c r="M325" s="68"/>
      <c r="N325" s="68"/>
      <c r="O325" s="68"/>
      <c r="P325" s="140">
        <f t="shared" si="56"/>
        <v>0</v>
      </c>
      <c r="Q325" s="141">
        <f t="shared" si="57"/>
        <v>0</v>
      </c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>SUM(R325:X325)</f>
        <v>0</v>
      </c>
      <c r="Z325" s="136">
        <f>+P325+Y325</f>
        <v>0</v>
      </c>
      <c r="AA325" s="137">
        <f>+D325-Z325</f>
        <v>0</v>
      </c>
    </row>
    <row r="326" spans="1:27" s="138" customFormat="1" ht="13.5" customHeight="1">
      <c r="A326" s="201" t="s">
        <v>81</v>
      </c>
      <c r="B326" s="204" t="s">
        <v>37</v>
      </c>
      <c r="C326" s="196" t="s">
        <v>38</v>
      </c>
      <c r="D326" s="67"/>
      <c r="E326" s="139"/>
      <c r="F326" s="139"/>
      <c r="G326" s="68"/>
      <c r="H326" s="68"/>
      <c r="I326" s="68"/>
      <c r="J326" s="68"/>
      <c r="K326" s="68"/>
      <c r="L326" s="68"/>
      <c r="M326" s="68"/>
      <c r="N326" s="68"/>
      <c r="O326" s="68"/>
      <c r="P326" s="140">
        <f t="shared" ref="P326:P338" si="70">SUM(G326:O326)</f>
        <v>0</v>
      </c>
      <c r="Q326" s="141">
        <f t="shared" ref="Q326:Q337" si="71">D326-P326</f>
        <v>0</v>
      </c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>SUM(R326:X326)</f>
        <v>0</v>
      </c>
      <c r="Z326" s="136">
        <f>+P326+Y326</f>
        <v>0</v>
      </c>
      <c r="AA326" s="137">
        <f>+D326-Z326</f>
        <v>0</v>
      </c>
    </row>
    <row r="327" spans="1:27" s="138" customFormat="1" ht="13.5" customHeight="1">
      <c r="A327" s="201" t="s">
        <v>81</v>
      </c>
      <c r="B327" s="204" t="s">
        <v>39</v>
      </c>
      <c r="C327" s="196" t="s">
        <v>40</v>
      </c>
      <c r="D327" s="67"/>
      <c r="E327" s="139"/>
      <c r="F327" s="139"/>
      <c r="G327" s="68"/>
      <c r="H327" s="68"/>
      <c r="I327" s="68"/>
      <c r="J327" s="68"/>
      <c r="K327" s="68"/>
      <c r="L327" s="68"/>
      <c r="M327" s="68"/>
      <c r="N327" s="68"/>
      <c r="O327" s="68"/>
      <c r="P327" s="140">
        <f t="shared" si="70"/>
        <v>0</v>
      </c>
      <c r="Q327" s="141">
        <f t="shared" si="71"/>
        <v>0</v>
      </c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>SUM(R327:X327)</f>
        <v>0</v>
      </c>
      <c r="Z327" s="136">
        <f>+P327+Y327</f>
        <v>0</v>
      </c>
      <c r="AA327" s="137">
        <f>+D327-Z327</f>
        <v>0</v>
      </c>
    </row>
    <row r="328" spans="1:27" s="138" customFormat="1" ht="13.5" customHeight="1">
      <c r="A328" s="201" t="s">
        <v>81</v>
      </c>
      <c r="B328" s="204" t="s">
        <v>41</v>
      </c>
      <c r="C328" s="196" t="s">
        <v>42</v>
      </c>
      <c r="D328" s="67"/>
      <c r="E328" s="139"/>
      <c r="F328" s="139"/>
      <c r="G328" s="68"/>
      <c r="H328" s="68"/>
      <c r="I328" s="68"/>
      <c r="J328" s="68"/>
      <c r="K328" s="68"/>
      <c r="L328" s="68"/>
      <c r="M328" s="68"/>
      <c r="N328" s="68"/>
      <c r="O328" s="68"/>
      <c r="P328" s="140">
        <f t="shared" si="70"/>
        <v>0</v>
      </c>
      <c r="Q328" s="141">
        <f t="shared" si="71"/>
        <v>0</v>
      </c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>SUM(R328:X328)</f>
        <v>0</v>
      </c>
      <c r="Z328" s="136">
        <f>+P328+Y328</f>
        <v>0</v>
      </c>
      <c r="AA328" s="137">
        <f>+D328-Z328</f>
        <v>0</v>
      </c>
    </row>
    <row r="329" spans="1:27" s="138" customFormat="1" ht="13.5" customHeight="1">
      <c r="A329" s="201" t="s">
        <v>81</v>
      </c>
      <c r="B329" s="204" t="s">
        <v>43</v>
      </c>
      <c r="C329" s="196" t="s">
        <v>44</v>
      </c>
      <c r="D329" s="67"/>
      <c r="E329" s="139"/>
      <c r="F329" s="139"/>
      <c r="G329" s="69"/>
      <c r="H329" s="69"/>
      <c r="I329" s="69"/>
      <c r="J329" s="69"/>
      <c r="K329" s="69"/>
      <c r="L329" s="69"/>
      <c r="M329" s="69"/>
      <c r="N329" s="69"/>
      <c r="O329" s="69"/>
      <c r="P329" s="140">
        <f t="shared" si="70"/>
        <v>0</v>
      </c>
      <c r="Q329" s="141">
        <f t="shared" si="71"/>
        <v>0</v>
      </c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>SUM(R329:X329)</f>
        <v>0</v>
      </c>
      <c r="Z329" s="136">
        <f>+P329+Y329</f>
        <v>0</v>
      </c>
      <c r="AA329" s="137">
        <f>+D329-Z329</f>
        <v>0</v>
      </c>
    </row>
    <row r="330" spans="1:27" s="138" customFormat="1" ht="13.5" customHeight="1">
      <c r="A330" s="201" t="s">
        <v>81</v>
      </c>
      <c r="B330" s="204" t="s">
        <v>45</v>
      </c>
      <c r="C330" s="196" t="s">
        <v>46</v>
      </c>
      <c r="D330" s="67"/>
      <c r="E330" s="139"/>
      <c r="F330" s="139"/>
      <c r="G330" s="69"/>
      <c r="H330" s="69"/>
      <c r="I330" s="69"/>
      <c r="J330" s="69"/>
      <c r="K330" s="69"/>
      <c r="L330" s="69"/>
      <c r="M330" s="69"/>
      <c r="N330" s="69"/>
      <c r="O330" s="69"/>
      <c r="P330" s="140">
        <f t="shared" si="70"/>
        <v>0</v>
      </c>
      <c r="Q330" s="141">
        <f t="shared" si="71"/>
        <v>0</v>
      </c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>SUM(R330:X330)</f>
        <v>0</v>
      </c>
      <c r="Z330" s="136">
        <f>+P330+Y330</f>
        <v>0</v>
      </c>
      <c r="AA330" s="137">
        <f>+D330-Z330</f>
        <v>0</v>
      </c>
    </row>
    <row r="331" spans="1:27" s="138" customFormat="1" ht="13.5" customHeight="1">
      <c r="A331" s="201" t="s">
        <v>81</v>
      </c>
      <c r="B331" s="204" t="s">
        <v>47</v>
      </c>
      <c r="C331" s="196" t="s">
        <v>48</v>
      </c>
      <c r="D331" s="67"/>
      <c r="E331" s="139"/>
      <c r="F331" s="139"/>
      <c r="G331" s="68"/>
      <c r="H331" s="69"/>
      <c r="I331" s="69"/>
      <c r="J331" s="69"/>
      <c r="K331" s="69"/>
      <c r="L331" s="69"/>
      <c r="M331" s="69"/>
      <c r="N331" s="69"/>
      <c r="O331" s="69"/>
      <c r="P331" s="140">
        <f t="shared" si="70"/>
        <v>0</v>
      </c>
      <c r="Q331" s="141">
        <f t="shared" si="71"/>
        <v>0</v>
      </c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>SUM(R331:X331)</f>
        <v>0</v>
      </c>
      <c r="Z331" s="136">
        <f>+P331+Y331</f>
        <v>0</v>
      </c>
      <c r="AA331" s="137">
        <f>+D331-Z331</f>
        <v>0</v>
      </c>
    </row>
    <row r="332" spans="1:27" s="138" customFormat="1" ht="13.5" customHeight="1">
      <c r="A332" s="201" t="s">
        <v>81</v>
      </c>
      <c r="B332" s="204" t="s">
        <v>49</v>
      </c>
      <c r="C332" s="196" t="s">
        <v>50</v>
      </c>
      <c r="D332" s="67"/>
      <c r="E332" s="139"/>
      <c r="F332" s="139"/>
      <c r="G332" s="69"/>
      <c r="H332" s="69"/>
      <c r="I332" s="69"/>
      <c r="J332" s="69"/>
      <c r="K332" s="69"/>
      <c r="L332" s="69"/>
      <c r="M332" s="69"/>
      <c r="N332" s="69"/>
      <c r="O332" s="69"/>
      <c r="P332" s="140">
        <f t="shared" si="70"/>
        <v>0</v>
      </c>
      <c r="Q332" s="141">
        <f t="shared" si="71"/>
        <v>0</v>
      </c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>SUM(R332:X332)</f>
        <v>0</v>
      </c>
      <c r="Z332" s="136">
        <f>+P332+Y332</f>
        <v>0</v>
      </c>
      <c r="AA332" s="137">
        <f>+D332-Z332</f>
        <v>0</v>
      </c>
    </row>
    <row r="333" spans="1:27" s="138" customFormat="1" ht="13.5" customHeight="1">
      <c r="A333" s="201" t="s">
        <v>81</v>
      </c>
      <c r="B333" s="204" t="s">
        <v>51</v>
      </c>
      <c r="C333" s="196" t="s">
        <v>52</v>
      </c>
      <c r="D333" s="67"/>
      <c r="E333" s="139"/>
      <c r="F333" s="139"/>
      <c r="G333" s="69"/>
      <c r="H333" s="69"/>
      <c r="I333" s="69"/>
      <c r="J333" s="69"/>
      <c r="K333" s="69"/>
      <c r="L333" s="69"/>
      <c r="M333" s="69"/>
      <c r="N333" s="69"/>
      <c r="O333" s="69"/>
      <c r="P333" s="140">
        <f t="shared" si="70"/>
        <v>0</v>
      </c>
      <c r="Q333" s="141">
        <f t="shared" si="71"/>
        <v>0</v>
      </c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>SUM(R333:X333)</f>
        <v>0</v>
      </c>
      <c r="Z333" s="136">
        <f>+P333+Y333</f>
        <v>0</v>
      </c>
      <c r="AA333" s="137">
        <f>+D333-Z333</f>
        <v>0</v>
      </c>
    </row>
    <row r="334" spans="1:27" s="138" customFormat="1" ht="13.5" customHeight="1">
      <c r="A334" s="201" t="s">
        <v>81</v>
      </c>
      <c r="B334" s="204" t="s">
        <v>53</v>
      </c>
      <c r="C334" s="196" t="s">
        <v>54</v>
      </c>
      <c r="D334" s="67"/>
      <c r="E334" s="139"/>
      <c r="F334" s="139"/>
      <c r="G334" s="69"/>
      <c r="H334" s="69"/>
      <c r="I334" s="69"/>
      <c r="J334" s="69"/>
      <c r="K334" s="69"/>
      <c r="L334" s="69"/>
      <c r="M334" s="69"/>
      <c r="N334" s="69"/>
      <c r="O334" s="69"/>
      <c r="P334" s="140">
        <f t="shared" si="70"/>
        <v>0</v>
      </c>
      <c r="Q334" s="141">
        <f t="shared" si="71"/>
        <v>0</v>
      </c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>SUM(R334:X334)</f>
        <v>0</v>
      </c>
      <c r="Z334" s="136">
        <f>+P334+Y334</f>
        <v>0</v>
      </c>
      <c r="AA334" s="137">
        <f>+D334-Z334</f>
        <v>0</v>
      </c>
    </row>
    <row r="335" spans="1:27" s="138" customFormat="1" ht="13.5" customHeight="1">
      <c r="A335" s="201" t="s">
        <v>81</v>
      </c>
      <c r="B335" s="204" t="s">
        <v>55</v>
      </c>
      <c r="C335" s="196" t="s">
        <v>56</v>
      </c>
      <c r="D335" s="67"/>
      <c r="E335" s="139"/>
      <c r="F335" s="139"/>
      <c r="G335" s="68"/>
      <c r="H335" s="68"/>
      <c r="I335" s="68"/>
      <c r="J335" s="68"/>
      <c r="K335" s="68"/>
      <c r="L335" s="68"/>
      <c r="M335" s="68"/>
      <c r="N335" s="68"/>
      <c r="O335" s="68"/>
      <c r="P335" s="140">
        <f t="shared" si="70"/>
        <v>0</v>
      </c>
      <c r="Q335" s="141">
        <f t="shared" si="71"/>
        <v>0</v>
      </c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>SUM(R335:X335)</f>
        <v>0</v>
      </c>
      <c r="Z335" s="136">
        <f>+P335+Y335</f>
        <v>0</v>
      </c>
      <c r="AA335" s="137">
        <f>+D335-Z335</f>
        <v>0</v>
      </c>
    </row>
    <row r="336" spans="1:27" s="138" customFormat="1" ht="13.5" customHeight="1">
      <c r="A336" s="201" t="s">
        <v>81</v>
      </c>
      <c r="B336" s="204" t="s">
        <v>57</v>
      </c>
      <c r="C336" s="196" t="s">
        <v>58</v>
      </c>
      <c r="D336" s="67"/>
      <c r="E336" s="139"/>
      <c r="F336" s="139"/>
      <c r="G336" s="68"/>
      <c r="H336" s="68"/>
      <c r="I336" s="68"/>
      <c r="J336" s="68"/>
      <c r="K336" s="68"/>
      <c r="L336" s="68"/>
      <c r="M336" s="68"/>
      <c r="N336" s="68"/>
      <c r="O336" s="68"/>
      <c r="P336" s="140">
        <f t="shared" si="70"/>
        <v>0</v>
      </c>
      <c r="Q336" s="141">
        <f t="shared" si="71"/>
        <v>0</v>
      </c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>SUM(R336:X336)</f>
        <v>0</v>
      </c>
      <c r="Z336" s="136">
        <f>+P336+Y336</f>
        <v>0</v>
      </c>
      <c r="AA336" s="137">
        <f>+D336-Z336</f>
        <v>0</v>
      </c>
    </row>
    <row r="337" spans="1:27" s="138" customFormat="1" ht="13.5" customHeight="1">
      <c r="A337" s="201" t="s">
        <v>81</v>
      </c>
      <c r="B337" s="205" t="s">
        <v>59</v>
      </c>
      <c r="C337" s="198" t="s">
        <v>60</v>
      </c>
      <c r="D337" s="70"/>
      <c r="E337" s="143"/>
      <c r="F337" s="143"/>
      <c r="G337" s="71"/>
      <c r="H337" s="71"/>
      <c r="I337" s="71"/>
      <c r="J337" s="71"/>
      <c r="K337" s="71"/>
      <c r="L337" s="71"/>
      <c r="M337" s="71"/>
      <c r="N337" s="71"/>
      <c r="O337" s="71"/>
      <c r="P337" s="144">
        <f t="shared" si="70"/>
        <v>0</v>
      </c>
      <c r="Q337" s="145">
        <f t="shared" si="71"/>
        <v>0</v>
      </c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>SUM(R337:X337)</f>
        <v>0</v>
      </c>
      <c r="Z337" s="136">
        <f>+P337+Y337</f>
        <v>0</v>
      </c>
      <c r="AA337" s="137">
        <f>+D337-Z337</f>
        <v>0</v>
      </c>
    </row>
    <row r="338" spans="1:27" s="58" customFormat="1" ht="13.5" customHeight="1">
      <c r="A338" s="219" t="s">
        <v>82</v>
      </c>
      <c r="B338" s="220"/>
      <c r="C338" s="221"/>
      <c r="D338" s="54">
        <f t="shared" ref="D338:O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M338" si="73">SUBTOTAL(9,H6:H337)</f>
        <v>0</v>
      </c>
      <c r="I338" s="54">
        <f t="shared" si="73"/>
        <v>0</v>
      </c>
      <c r="J338" s="54">
        <f t="shared" si="73"/>
        <v>0</v>
      </c>
      <c r="K338" s="54">
        <f t="shared" si="73"/>
        <v>0</v>
      </c>
      <c r="L338" s="54">
        <f t="shared" si="73"/>
        <v>0</v>
      </c>
      <c r="M338" s="54">
        <f t="shared" si="73"/>
        <v>0</v>
      </c>
      <c r="N338" s="54">
        <f t="shared" si="72"/>
        <v>0</v>
      </c>
      <c r="O338" s="54">
        <f t="shared" si="72"/>
        <v>0</v>
      </c>
      <c r="P338" s="55">
        <f t="shared" si="70"/>
        <v>0</v>
      </c>
      <c r="Q338" s="55"/>
      <c r="R338" s="54">
        <f t="shared" ref="R338:X338" si="74">SUBTOTAL(9,R6:R337)</f>
        <v>0</v>
      </c>
      <c r="S338" s="54">
        <f t="shared" si="74"/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SUM(R338:X338)</f>
        <v>0</v>
      </c>
      <c r="Z338" s="126">
        <f>+P338+Y338</f>
        <v>0</v>
      </c>
      <c r="AA338" s="127">
        <f>+D338-Z338</f>
        <v>0</v>
      </c>
    </row>
    <row r="340" spans="1:27">
      <c r="D340" s="29"/>
      <c r="E340" s="30"/>
      <c r="F340" s="31"/>
      <c r="P340" s="32"/>
      <c r="Q340" s="33"/>
      <c r="AA340" s="32"/>
    </row>
    <row r="341" spans="1:27">
      <c r="D341" s="34"/>
      <c r="Q341" s="35"/>
    </row>
    <row r="342" spans="1:27">
      <c r="D342" s="62"/>
      <c r="G342" s="63"/>
      <c r="H342" s="63"/>
      <c r="I342" s="63"/>
      <c r="J342" s="63"/>
      <c r="K342" s="63"/>
      <c r="L342" s="63"/>
      <c r="M342" s="63"/>
      <c r="N342" s="63"/>
      <c r="O342" s="63"/>
      <c r="P342" s="63"/>
    </row>
    <row r="343" spans="1:27">
      <c r="D343" s="34"/>
      <c r="G343" s="32"/>
      <c r="H343" s="32"/>
      <c r="I343" s="32"/>
      <c r="J343" s="32"/>
      <c r="K343" s="32"/>
      <c r="L343" s="32"/>
      <c r="M343" s="32"/>
      <c r="N343" s="32"/>
      <c r="O343" s="32"/>
      <c r="P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Q4:Q5"/>
    <mergeCell ref="Z4:Z5"/>
    <mergeCell ref="AA4:AA5"/>
    <mergeCell ref="A4:A5"/>
    <mergeCell ref="B4:B5"/>
    <mergeCell ref="C4:C5"/>
    <mergeCell ref="D4:D5"/>
    <mergeCell ref="E4:E5"/>
    <mergeCell ref="F4:F5"/>
    <mergeCell ref="R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N6" sqref="N6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4" max="14" width="10" customWidth="1"/>
    <col min="16" max="16" width="0" hidden="1" customWidth="1"/>
    <col min="17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O1" s="1"/>
      <c r="P1" s="1"/>
      <c r="Z1" s="1"/>
    </row>
    <row r="2" spans="1:26">
      <c r="O2" s="1"/>
      <c r="P2" s="1"/>
      <c r="Z2" s="1"/>
    </row>
    <row r="3" spans="1:26" ht="33" customHeight="1">
      <c r="A3" s="228" t="s">
        <v>84</v>
      </c>
      <c r="B3" s="240"/>
      <c r="C3" s="232" t="s">
        <v>85</v>
      </c>
      <c r="D3" s="232" t="s">
        <v>5</v>
      </c>
      <c r="E3" s="232" t="s">
        <v>6</v>
      </c>
      <c r="F3" s="248" t="s">
        <v>7</v>
      </c>
      <c r="G3" s="244"/>
      <c r="H3" s="244"/>
      <c r="I3" s="244"/>
      <c r="J3" s="244"/>
      <c r="K3" s="244"/>
      <c r="L3" s="244"/>
      <c r="M3" s="244"/>
      <c r="N3" s="244"/>
      <c r="O3" s="232" t="s">
        <v>82</v>
      </c>
      <c r="P3" s="224" t="s">
        <v>8</v>
      </c>
      <c r="Q3" s="244"/>
      <c r="R3" s="244"/>
      <c r="S3" s="245"/>
      <c r="T3" s="236" t="s">
        <v>9</v>
      </c>
      <c r="U3" s="235"/>
      <c r="V3" s="238" t="s">
        <v>10</v>
      </c>
      <c r="W3" s="246" t="s">
        <v>11</v>
      </c>
      <c r="X3" s="232" t="s">
        <v>86</v>
      </c>
      <c r="Y3" s="232" t="s">
        <v>87</v>
      </c>
      <c r="Z3" s="232" t="s">
        <v>88</v>
      </c>
    </row>
    <row r="4" spans="1:26" ht="33" customHeight="1">
      <c r="A4" s="241"/>
      <c r="B4" s="242"/>
      <c r="C4" s="233"/>
      <c r="D4" s="233"/>
      <c r="E4" s="233"/>
      <c r="F4" s="83" t="s">
        <v>89</v>
      </c>
      <c r="G4" s="83" t="s">
        <v>90</v>
      </c>
      <c r="H4" s="218" t="s">
        <v>91</v>
      </c>
      <c r="I4" s="218" t="s">
        <v>92</v>
      </c>
      <c r="J4" s="218" t="s">
        <v>93</v>
      </c>
      <c r="K4" s="218" t="s">
        <v>94</v>
      </c>
      <c r="L4" s="218" t="s">
        <v>95</v>
      </c>
      <c r="M4" s="218" t="s">
        <v>96</v>
      </c>
      <c r="N4" s="218" t="s">
        <v>97</v>
      </c>
      <c r="O4" s="243"/>
      <c r="P4" s="225"/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39"/>
      <c r="W4" s="247"/>
      <c r="X4" s="243"/>
      <c r="Y4" s="243"/>
      <c r="Z4" s="243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O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L5" si="1">SUBTOTAL(9,G6:G22)</f>
        <v>0</v>
      </c>
      <c r="H5" s="85">
        <f t="shared" si="1"/>
        <v>0</v>
      </c>
      <c r="I5" s="85">
        <f t="shared" si="1"/>
        <v>0</v>
      </c>
      <c r="J5" s="85">
        <f t="shared" si="1"/>
        <v>0</v>
      </c>
      <c r="K5" s="85">
        <f t="shared" si="1"/>
        <v>0</v>
      </c>
      <c r="L5" s="85">
        <f t="shared" si="1"/>
        <v>0</v>
      </c>
      <c r="M5" s="85">
        <f t="shared" si="0"/>
        <v>0</v>
      </c>
      <c r="N5" s="85">
        <f t="shared" si="0"/>
        <v>0</v>
      </c>
      <c r="O5" s="85">
        <f t="shared" si="0"/>
        <v>0</v>
      </c>
      <c r="P5" s="64">
        <f t="shared" ref="P5:P36" si="2">C5-O5</f>
        <v>0</v>
      </c>
      <c r="Q5" s="85">
        <f t="shared" ref="Q5:Z5" si="3">SUBTOTAL(9,Q6:Q22)</f>
        <v>0</v>
      </c>
      <c r="R5" s="85">
        <f t="shared" si="3"/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9">
        <f t="shared" ref="O6:O22" si="4">SUM(F6:N6)</f>
        <v>0</v>
      </c>
      <c r="P6" s="111">
        <f>C6-O6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SUM(Q6:W6)</f>
        <v>0</v>
      </c>
      <c r="Y6" s="91">
        <f>O6+X6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9">
        <f t="shared" si="4"/>
        <v>0</v>
      </c>
      <c r="P7" s="111">
        <f t="shared" si="2"/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SUM(Q7:W7)</f>
        <v>0</v>
      </c>
      <c r="Y7" s="91">
        <f>O7+X7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9">
        <f t="shared" si="4"/>
        <v>0</v>
      </c>
      <c r="P8" s="111">
        <f t="shared" si="2"/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SUM(Q8:W8)</f>
        <v>0</v>
      </c>
      <c r="Y8" s="91">
        <f>O8+X8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9">
        <f t="shared" si="4"/>
        <v>0</v>
      </c>
      <c r="P9" s="111">
        <f t="shared" si="2"/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SUM(Q9:W9)</f>
        <v>0</v>
      </c>
      <c r="Y9" s="91">
        <f>O9+X9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8">
        <f>'2.1meta'!L62</f>
        <v>0</v>
      </c>
      <c r="L10" s="88">
        <f>'2.1meta'!M62</f>
        <v>0</v>
      </c>
      <c r="M10" s="88">
        <f>'2.1meta'!N62</f>
        <v>0</v>
      </c>
      <c r="N10" s="88">
        <f>'2.1meta'!O62</f>
        <v>0</v>
      </c>
      <c r="O10" s="89">
        <f t="shared" si="4"/>
        <v>0</v>
      </c>
      <c r="P10" s="111">
        <f t="shared" si="2"/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SUM(Q10:W10)</f>
        <v>0</v>
      </c>
      <c r="Y10" s="91">
        <f>O10+X10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9">
        <f t="shared" si="4"/>
        <v>0</v>
      </c>
      <c r="P11" s="111">
        <f t="shared" si="2"/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SUM(Q11:W11)</f>
        <v>0</v>
      </c>
      <c r="Y11" s="91">
        <f>O11+X11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9">
        <f t="shared" si="4"/>
        <v>0</v>
      </c>
      <c r="P12" s="111">
        <f t="shared" si="2"/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SUM(Q12:W12)</f>
        <v>0</v>
      </c>
      <c r="Y12" s="91">
        <f>O12+X12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9">
        <f t="shared" si="4"/>
        <v>0</v>
      </c>
      <c r="P13" s="111">
        <f t="shared" si="2"/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SUM(Q13:W13)</f>
        <v>0</v>
      </c>
      <c r="Y13" s="91">
        <f>O13+X13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9">
        <f t="shared" si="4"/>
        <v>0</v>
      </c>
      <c r="P14" s="111">
        <f t="shared" si="2"/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SUM(Q14:W14)</f>
        <v>0</v>
      </c>
      <c r="Y14" s="91">
        <f>O14+X14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9">
        <f t="shared" si="4"/>
        <v>0</v>
      </c>
      <c r="P15" s="111">
        <f t="shared" si="2"/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SUM(Q15:W15)</f>
        <v>0</v>
      </c>
      <c r="Y15" s="91">
        <f>O15+X15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9">
        <f t="shared" si="4"/>
        <v>0</v>
      </c>
      <c r="P16" s="111">
        <f t="shared" si="2"/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SUM(Q16:W16)</f>
        <v>0</v>
      </c>
      <c r="Y16" s="91">
        <f>O16+X16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9">
        <f t="shared" si="4"/>
        <v>0</v>
      </c>
      <c r="P17" s="111">
        <f t="shared" si="2"/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SUM(Q17:W17)</f>
        <v>0</v>
      </c>
      <c r="Y17" s="91">
        <f>O17+X17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9">
        <f t="shared" si="4"/>
        <v>0</v>
      </c>
      <c r="P18" s="111">
        <f t="shared" si="2"/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SUM(Q18:W18)</f>
        <v>0</v>
      </c>
      <c r="Y18" s="91">
        <f>O18+X18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9">
        <f t="shared" si="4"/>
        <v>0</v>
      </c>
      <c r="P19" s="111">
        <f t="shared" si="2"/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SUM(Q19:W19)</f>
        <v>0</v>
      </c>
      <c r="Y19" s="91">
        <f>O19+X19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9">
        <f t="shared" si="4"/>
        <v>0</v>
      </c>
      <c r="P20" s="111">
        <f t="shared" si="2"/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SUM(Q20:W20)</f>
        <v>0</v>
      </c>
      <c r="Y20" s="91">
        <f>O20+X20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9">
        <f t="shared" si="4"/>
        <v>0</v>
      </c>
      <c r="P21" s="111">
        <f t="shared" si="2"/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SUM(Q21:W21)</f>
        <v>0</v>
      </c>
      <c r="Y21" s="91">
        <f>O21+X21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9">
        <f t="shared" si="4"/>
        <v>0</v>
      </c>
      <c r="P22" s="111">
        <f t="shared" si="2"/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SUM(Q22:W22)</f>
        <v>0</v>
      </c>
      <c r="Y22" s="91">
        <f>O22+X22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 t="shared" ref="F23:O23" si="5">SUBTOTAL(9,F24:F37)</f>
        <v>0</v>
      </c>
      <c r="G23" s="85">
        <f t="shared" si="5"/>
        <v>0</v>
      </c>
      <c r="H23" s="85">
        <f t="shared" si="5"/>
        <v>0</v>
      </c>
      <c r="I23" s="85">
        <f t="shared" si="5"/>
        <v>0</v>
      </c>
      <c r="J23" s="85">
        <f t="shared" ref="J23:L23" si="6">SUBTOTAL(9,J24:J37)</f>
        <v>0</v>
      </c>
      <c r="K23" s="85">
        <f t="shared" si="6"/>
        <v>0</v>
      </c>
      <c r="L23" s="85">
        <f t="shared" si="6"/>
        <v>0</v>
      </c>
      <c r="M23" s="85">
        <f t="shared" si="5"/>
        <v>0</v>
      </c>
      <c r="N23" s="85">
        <f t="shared" si="5"/>
        <v>0</v>
      </c>
      <c r="O23" s="85">
        <f t="shared" si="5"/>
        <v>0</v>
      </c>
      <c r="P23" s="64">
        <f t="shared" si="2"/>
        <v>0</v>
      </c>
      <c r="Q23" s="85">
        <f t="shared" ref="Q23:Z23" si="7">SUBTOTAL(9,Q24:Q37)</f>
        <v>0</v>
      </c>
      <c r="R23" s="85">
        <f t="shared" si="7"/>
        <v>0</v>
      </c>
      <c r="S23" s="85">
        <f t="shared" si="7"/>
        <v>0</v>
      </c>
      <c r="T23" s="85">
        <f t="shared" si="7"/>
        <v>0</v>
      </c>
      <c r="U23" s="85">
        <f t="shared" si="7"/>
        <v>0</v>
      </c>
      <c r="V23" s="85">
        <f t="shared" si="7"/>
        <v>0</v>
      </c>
      <c r="W23" s="85">
        <f t="shared" si="7"/>
        <v>0</v>
      </c>
      <c r="X23" s="85">
        <f t="shared" si="7"/>
        <v>0</v>
      </c>
      <c r="Y23" s="85">
        <f t="shared" si="7"/>
        <v>0</v>
      </c>
      <c r="Z23" s="99">
        <f t="shared" si="7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8">
        <f>'2.1meta'!L271</f>
        <v>0</v>
      </c>
      <c r="L24" s="88">
        <f>'2.1meta'!M271</f>
        <v>0</v>
      </c>
      <c r="M24" s="88">
        <f>'2.1meta'!N271</f>
        <v>0</v>
      </c>
      <c r="N24" s="88">
        <f>'2.1meta'!O271</f>
        <v>0</v>
      </c>
      <c r="O24" s="89">
        <f t="shared" ref="O24:O37" si="8">SUM(F24:N24)</f>
        <v>0</v>
      </c>
      <c r="P24" s="111">
        <f t="shared" si="2"/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SUM(Q24:W24)</f>
        <v>0</v>
      </c>
      <c r="Y24" s="94">
        <f>O24+X24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8">
        <f>'2.1meta'!L272</f>
        <v>0</v>
      </c>
      <c r="L25" s="88">
        <f>'2.1meta'!M272</f>
        <v>0</v>
      </c>
      <c r="M25" s="88">
        <f>'2.1meta'!N272</f>
        <v>0</v>
      </c>
      <c r="N25" s="88">
        <f>'2.1meta'!O272</f>
        <v>0</v>
      </c>
      <c r="O25" s="89">
        <f t="shared" si="8"/>
        <v>0</v>
      </c>
      <c r="P25" s="111">
        <f t="shared" si="2"/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SUM(Q25:W25)</f>
        <v>0</v>
      </c>
      <c r="Y25" s="94">
        <f>O25+X25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8">
        <f>'2.1meta'!L273</f>
        <v>0</v>
      </c>
      <c r="L26" s="88">
        <f>'2.1meta'!M273</f>
        <v>0</v>
      </c>
      <c r="M26" s="88">
        <f>'2.1meta'!N273</f>
        <v>0</v>
      </c>
      <c r="N26" s="88">
        <f>'2.1meta'!O273</f>
        <v>0</v>
      </c>
      <c r="O26" s="89">
        <f t="shared" si="8"/>
        <v>0</v>
      </c>
      <c r="P26" s="111">
        <f t="shared" si="2"/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SUM(Q26:W26)</f>
        <v>0</v>
      </c>
      <c r="Y26" s="94">
        <f>O26+X26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8">
        <f>'2.1meta'!L274</f>
        <v>0</v>
      </c>
      <c r="L27" s="88">
        <f>'2.1meta'!M274</f>
        <v>0</v>
      </c>
      <c r="M27" s="88">
        <f>'2.1meta'!N274</f>
        <v>0</v>
      </c>
      <c r="N27" s="88">
        <f>'2.1meta'!O274</f>
        <v>0</v>
      </c>
      <c r="O27" s="89">
        <f t="shared" si="8"/>
        <v>0</v>
      </c>
      <c r="P27" s="111">
        <f t="shared" si="2"/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SUM(Q27:W27)</f>
        <v>0</v>
      </c>
      <c r="Y27" s="94">
        <f>O27+X27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8">
        <f>'2.1meta'!L275</f>
        <v>0</v>
      </c>
      <c r="L28" s="88">
        <f>'2.1meta'!M275</f>
        <v>0</v>
      </c>
      <c r="M28" s="88">
        <f>'2.1meta'!N275</f>
        <v>0</v>
      </c>
      <c r="N28" s="88">
        <f>'2.1meta'!O275</f>
        <v>0</v>
      </c>
      <c r="O28" s="89">
        <f t="shared" si="8"/>
        <v>0</v>
      </c>
      <c r="P28" s="111">
        <f t="shared" si="2"/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SUM(Q28:W28)</f>
        <v>0</v>
      </c>
      <c r="Y28" s="94">
        <f>O28+X28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8">
        <f>'2.1meta'!L276</f>
        <v>0</v>
      </c>
      <c r="L29" s="88">
        <f>'2.1meta'!M276</f>
        <v>0</v>
      </c>
      <c r="M29" s="88">
        <f>'2.1meta'!N276</f>
        <v>0</v>
      </c>
      <c r="N29" s="88">
        <f>'2.1meta'!O276</f>
        <v>0</v>
      </c>
      <c r="O29" s="89">
        <f t="shared" si="8"/>
        <v>0</v>
      </c>
      <c r="P29" s="111">
        <f t="shared" si="2"/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SUM(Q29:W29)</f>
        <v>0</v>
      </c>
      <c r="Y29" s="94">
        <f>O29+X29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8">
        <f>'2.1meta'!L277</f>
        <v>0</v>
      </c>
      <c r="L30" s="88">
        <f>'2.1meta'!M277</f>
        <v>0</v>
      </c>
      <c r="M30" s="88">
        <f>'2.1meta'!N277</f>
        <v>0</v>
      </c>
      <c r="N30" s="88">
        <f>'2.1meta'!O277</f>
        <v>0</v>
      </c>
      <c r="O30" s="89">
        <f t="shared" si="8"/>
        <v>0</v>
      </c>
      <c r="P30" s="111">
        <f t="shared" si="2"/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SUM(Q30:W30)</f>
        <v>0</v>
      </c>
      <c r="Y30" s="94">
        <f>O30+X30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8">
        <f>'2.1meta'!L278</f>
        <v>0</v>
      </c>
      <c r="L31" s="88">
        <f>'2.1meta'!M278</f>
        <v>0</v>
      </c>
      <c r="M31" s="88">
        <f>'2.1meta'!N278</f>
        <v>0</v>
      </c>
      <c r="N31" s="88">
        <f>'2.1meta'!O278</f>
        <v>0</v>
      </c>
      <c r="O31" s="89">
        <f t="shared" si="8"/>
        <v>0</v>
      </c>
      <c r="P31" s="111">
        <f t="shared" si="2"/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SUM(Q31:W31)</f>
        <v>0</v>
      </c>
      <c r="Y31" s="94">
        <f>O31+X31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8">
        <f>'2.1meta'!L279</f>
        <v>0</v>
      </c>
      <c r="L32" s="88">
        <f>'2.1meta'!M279</f>
        <v>0</v>
      </c>
      <c r="M32" s="88">
        <f>'2.1meta'!N279</f>
        <v>0</v>
      </c>
      <c r="N32" s="88">
        <f>'2.1meta'!O279</f>
        <v>0</v>
      </c>
      <c r="O32" s="89">
        <f t="shared" si="8"/>
        <v>0</v>
      </c>
      <c r="P32" s="111">
        <f t="shared" si="2"/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SUM(Q32:W32)</f>
        <v>0</v>
      </c>
      <c r="Y32" s="94">
        <f>O32+X32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8">
        <f>'2.1meta'!L280</f>
        <v>0</v>
      </c>
      <c r="L33" s="88">
        <f>'2.1meta'!M280</f>
        <v>0</v>
      </c>
      <c r="M33" s="88">
        <f>'2.1meta'!N280</f>
        <v>0</v>
      </c>
      <c r="N33" s="88">
        <f>'2.1meta'!O280</f>
        <v>0</v>
      </c>
      <c r="O33" s="89">
        <f t="shared" si="8"/>
        <v>0</v>
      </c>
      <c r="P33" s="111">
        <f t="shared" si="2"/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SUM(Q33:W33)</f>
        <v>0</v>
      </c>
      <c r="Y33" s="94">
        <f>O33+X33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8">
        <f>'2.1meta'!L281</f>
        <v>0</v>
      </c>
      <c r="L34" s="88">
        <f>'2.1meta'!M281</f>
        <v>0</v>
      </c>
      <c r="M34" s="88">
        <f>'2.1meta'!N281</f>
        <v>0</v>
      </c>
      <c r="N34" s="88">
        <f>'2.1meta'!O281</f>
        <v>0</v>
      </c>
      <c r="O34" s="89">
        <f t="shared" si="8"/>
        <v>0</v>
      </c>
      <c r="P34" s="111">
        <f t="shared" si="2"/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SUM(Q34:W34)</f>
        <v>0</v>
      </c>
      <c r="Y34" s="94">
        <f>O34+X34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8">
        <f>'2.1meta'!L283</f>
        <v>0</v>
      </c>
      <c r="L35" s="88">
        <f>'2.1meta'!M283</f>
        <v>0</v>
      </c>
      <c r="M35" s="88">
        <f>'2.1meta'!N283</f>
        <v>0</v>
      </c>
      <c r="N35" s="88">
        <f>'2.1meta'!O283</f>
        <v>0</v>
      </c>
      <c r="O35" s="89">
        <f t="shared" si="8"/>
        <v>0</v>
      </c>
      <c r="P35" s="111">
        <f t="shared" si="2"/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SUM(Q35:W35)</f>
        <v>0</v>
      </c>
      <c r="Y35" s="94">
        <f>O35+X35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8">
        <f>'2.1meta'!L284</f>
        <v>0</v>
      </c>
      <c r="L36" s="88">
        <f>'2.1meta'!M284</f>
        <v>0</v>
      </c>
      <c r="M36" s="88">
        <f>'2.1meta'!N284</f>
        <v>0</v>
      </c>
      <c r="N36" s="88">
        <f>'2.1meta'!O284</f>
        <v>0</v>
      </c>
      <c r="O36" s="89">
        <f t="shared" si="8"/>
        <v>0</v>
      </c>
      <c r="P36" s="111">
        <f t="shared" si="2"/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SUM(Q36:W36)</f>
        <v>0</v>
      </c>
      <c r="Y36" s="94">
        <f>O36+X36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8">
        <f>'2.1meta'!L286</f>
        <v>0</v>
      </c>
      <c r="L37" s="88">
        <f>'2.1meta'!M286</f>
        <v>0</v>
      </c>
      <c r="M37" s="88">
        <f>'2.1meta'!N286</f>
        <v>0</v>
      </c>
      <c r="N37" s="88">
        <f>'2.1meta'!O286</f>
        <v>0</v>
      </c>
      <c r="O37" s="89">
        <f t="shared" si="8"/>
        <v>0</v>
      </c>
      <c r="P37" s="111">
        <f t="shared" ref="P37:P67" si="9">C37-O37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SUM(Q37:W37)</f>
        <v>0</v>
      </c>
      <c r="Y37" s="94">
        <f>O37+X37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 t="shared" ref="F38:O38" si="10">SUBTOTAL(9,F39:F50)</f>
        <v>0</v>
      </c>
      <c r="G38" s="85">
        <f t="shared" si="10"/>
        <v>0</v>
      </c>
      <c r="H38" s="85">
        <f t="shared" si="10"/>
        <v>0</v>
      </c>
      <c r="I38" s="85">
        <f t="shared" si="10"/>
        <v>0</v>
      </c>
      <c r="J38" s="85">
        <f t="shared" ref="J38:L38" si="11">SUBTOTAL(9,J39:J50)</f>
        <v>0</v>
      </c>
      <c r="K38" s="85">
        <f t="shared" si="11"/>
        <v>0</v>
      </c>
      <c r="L38" s="85">
        <f t="shared" si="11"/>
        <v>0</v>
      </c>
      <c r="M38" s="85">
        <f t="shared" si="10"/>
        <v>0</v>
      </c>
      <c r="N38" s="85">
        <f t="shared" si="10"/>
        <v>0</v>
      </c>
      <c r="O38" s="85">
        <f t="shared" si="10"/>
        <v>0</v>
      </c>
      <c r="P38" s="64">
        <f t="shared" si="9"/>
        <v>0</v>
      </c>
      <c r="Q38" s="85">
        <f t="shared" ref="Q38:Z38" si="12">SUBTOTAL(9,Q39:Q50)</f>
        <v>0</v>
      </c>
      <c r="R38" s="85">
        <f t="shared" si="12"/>
        <v>0</v>
      </c>
      <c r="S38" s="85">
        <f t="shared" si="12"/>
        <v>0</v>
      </c>
      <c r="T38" s="85">
        <f t="shared" si="12"/>
        <v>0</v>
      </c>
      <c r="U38" s="85">
        <f t="shared" si="12"/>
        <v>0</v>
      </c>
      <c r="V38" s="85">
        <f t="shared" si="12"/>
        <v>0</v>
      </c>
      <c r="W38" s="85">
        <f t="shared" si="12"/>
        <v>0</v>
      </c>
      <c r="X38" s="85">
        <f t="shared" si="12"/>
        <v>0</v>
      </c>
      <c r="Y38" s="85">
        <f t="shared" si="12"/>
        <v>0</v>
      </c>
      <c r="Z38" s="99">
        <f t="shared" si="12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8">
        <f>'2.1meta'!L195+'2.1meta'!L212</f>
        <v>0</v>
      </c>
      <c r="L39" s="88">
        <f>'2.1meta'!M195+'2.1meta'!M212</f>
        <v>0</v>
      </c>
      <c r="M39" s="88">
        <f>'2.1meta'!N195+'2.1meta'!N212</f>
        <v>0</v>
      </c>
      <c r="N39" s="88">
        <f>'2.1meta'!O195+'2.1meta'!O212</f>
        <v>0</v>
      </c>
      <c r="O39" s="89">
        <f t="shared" ref="O39:O50" si="13">SUM(F39:N39)</f>
        <v>0</v>
      </c>
      <c r="P39" s="111">
        <f t="shared" si="9"/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SUM(Q39:W39)</f>
        <v>0</v>
      </c>
      <c r="Y39" s="94">
        <f>O39+X39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8">
        <f>'2.1meta'!L196+'2.1meta'!L213</f>
        <v>0</v>
      </c>
      <c r="L40" s="88">
        <f>'2.1meta'!M196+'2.1meta'!M213</f>
        <v>0</v>
      </c>
      <c r="M40" s="88">
        <f>'2.1meta'!N196+'2.1meta'!N213</f>
        <v>0</v>
      </c>
      <c r="N40" s="88">
        <f>'2.1meta'!O196+'2.1meta'!O213</f>
        <v>0</v>
      </c>
      <c r="O40" s="89">
        <f t="shared" si="13"/>
        <v>0</v>
      </c>
      <c r="P40" s="111">
        <f t="shared" si="9"/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SUM(Q40:W40)</f>
        <v>0</v>
      </c>
      <c r="Y40" s="94">
        <f>O40+X40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8">
        <f>'2.1meta'!L197+'2.1meta'!L214</f>
        <v>0</v>
      </c>
      <c r="L41" s="88">
        <f>'2.1meta'!M197+'2.1meta'!M214</f>
        <v>0</v>
      </c>
      <c r="M41" s="88">
        <f>'2.1meta'!N197+'2.1meta'!N214</f>
        <v>0</v>
      </c>
      <c r="N41" s="88">
        <f>'2.1meta'!O197+'2.1meta'!O214</f>
        <v>0</v>
      </c>
      <c r="O41" s="89">
        <f t="shared" si="13"/>
        <v>0</v>
      </c>
      <c r="P41" s="111">
        <f t="shared" si="9"/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SUM(Q41:W41)</f>
        <v>0</v>
      </c>
      <c r="Y41" s="94">
        <f>O41+X41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8">
        <f>'2.1meta'!L198+'2.1meta'!L215</f>
        <v>0</v>
      </c>
      <c r="L42" s="88">
        <f>'2.1meta'!M198+'2.1meta'!M215</f>
        <v>0</v>
      </c>
      <c r="M42" s="88">
        <f>'2.1meta'!N198+'2.1meta'!N215</f>
        <v>0</v>
      </c>
      <c r="N42" s="88">
        <f>'2.1meta'!O198+'2.1meta'!O215</f>
        <v>0</v>
      </c>
      <c r="O42" s="89">
        <f t="shared" si="13"/>
        <v>0</v>
      </c>
      <c r="P42" s="111">
        <f t="shared" si="9"/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SUM(Q42:W42)</f>
        <v>0</v>
      </c>
      <c r="Y42" s="94">
        <f>O42+X42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8">
        <f>'2.1meta'!L202+'2.1meta'!L219</f>
        <v>0</v>
      </c>
      <c r="L43" s="88">
        <f>'2.1meta'!M202+'2.1meta'!M219</f>
        <v>0</v>
      </c>
      <c r="M43" s="88">
        <f>'2.1meta'!N202+'2.1meta'!N219</f>
        <v>0</v>
      </c>
      <c r="N43" s="88">
        <f>'2.1meta'!O202+'2.1meta'!O219</f>
        <v>0</v>
      </c>
      <c r="O43" s="89">
        <f t="shared" si="13"/>
        <v>0</v>
      </c>
      <c r="P43" s="111">
        <f t="shared" si="9"/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SUM(Q43:W43)</f>
        <v>0</v>
      </c>
      <c r="Y43" s="94">
        <f>O43+X43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8">
        <f>'2.1meta'!L203+'2.1meta'!L220</f>
        <v>0</v>
      </c>
      <c r="L44" s="88">
        <f>'2.1meta'!M203+'2.1meta'!M220</f>
        <v>0</v>
      </c>
      <c r="M44" s="88">
        <f>'2.1meta'!N203+'2.1meta'!N220</f>
        <v>0</v>
      </c>
      <c r="N44" s="88">
        <f>'2.1meta'!O203+'2.1meta'!O220</f>
        <v>0</v>
      </c>
      <c r="O44" s="89">
        <f t="shared" si="13"/>
        <v>0</v>
      </c>
      <c r="P44" s="111">
        <f t="shared" si="9"/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SUM(Q44:W44)</f>
        <v>0</v>
      </c>
      <c r="Y44" s="94">
        <f>O44+X44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8">
        <f>'2.1meta'!L204+'2.1meta'!L221</f>
        <v>0</v>
      </c>
      <c r="L45" s="88">
        <f>'2.1meta'!M204+'2.1meta'!M221</f>
        <v>0</v>
      </c>
      <c r="M45" s="88">
        <f>'2.1meta'!N204+'2.1meta'!N221</f>
        <v>0</v>
      </c>
      <c r="N45" s="88">
        <f>'2.1meta'!O204+'2.1meta'!O221</f>
        <v>0</v>
      </c>
      <c r="O45" s="89">
        <f t="shared" si="13"/>
        <v>0</v>
      </c>
      <c r="P45" s="111">
        <f t="shared" si="9"/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SUM(Q45:W45)</f>
        <v>0</v>
      </c>
      <c r="Y45" s="94">
        <f>O45+X45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8">
        <f>'2.1meta'!L205+'2.1meta'!L222</f>
        <v>0</v>
      </c>
      <c r="L46" s="88">
        <f>'2.1meta'!M205+'2.1meta'!M222</f>
        <v>0</v>
      </c>
      <c r="M46" s="88">
        <f>'2.1meta'!N205+'2.1meta'!N222</f>
        <v>0</v>
      </c>
      <c r="N46" s="88">
        <f>'2.1meta'!O205+'2.1meta'!O222</f>
        <v>0</v>
      </c>
      <c r="O46" s="89">
        <f t="shared" si="13"/>
        <v>0</v>
      </c>
      <c r="P46" s="111">
        <f t="shared" si="9"/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SUM(Q46:W46)</f>
        <v>0</v>
      </c>
      <c r="Y46" s="94">
        <f>O46+X46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8">
        <f>'2.1meta'!L206+'2.1meta'!L223</f>
        <v>0</v>
      </c>
      <c r="L47" s="88">
        <f>'2.1meta'!M206+'2.1meta'!M223</f>
        <v>0</v>
      </c>
      <c r="M47" s="88">
        <f>'2.1meta'!N206+'2.1meta'!N223</f>
        <v>0</v>
      </c>
      <c r="N47" s="88">
        <f>'2.1meta'!O206+'2.1meta'!O223</f>
        <v>0</v>
      </c>
      <c r="O47" s="89">
        <f t="shared" si="13"/>
        <v>0</v>
      </c>
      <c r="P47" s="111">
        <f t="shared" si="9"/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SUM(Q47:W47)</f>
        <v>0</v>
      </c>
      <c r="Y47" s="94">
        <f>O47+X47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8">
        <f>'2.1meta'!L207+'2.1meta'!L224</f>
        <v>0</v>
      </c>
      <c r="L48" s="88">
        <f>'2.1meta'!M207+'2.1meta'!M224</f>
        <v>0</v>
      </c>
      <c r="M48" s="88">
        <f>'2.1meta'!N207+'2.1meta'!N224</f>
        <v>0</v>
      </c>
      <c r="N48" s="88">
        <f>'2.1meta'!O207+'2.1meta'!O224</f>
        <v>0</v>
      </c>
      <c r="O48" s="89">
        <f t="shared" si="13"/>
        <v>0</v>
      </c>
      <c r="P48" s="111">
        <f t="shared" si="9"/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SUM(Q48:W48)</f>
        <v>0</v>
      </c>
      <c r="Y48" s="94">
        <f>O48+X48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8">
        <f>'2.1meta'!L208+'2.1meta'!L225</f>
        <v>0</v>
      </c>
      <c r="L49" s="88">
        <f>'2.1meta'!M208+'2.1meta'!M225</f>
        <v>0</v>
      </c>
      <c r="M49" s="88">
        <f>'2.1meta'!N208+'2.1meta'!N225</f>
        <v>0</v>
      </c>
      <c r="N49" s="88">
        <f>'2.1meta'!O208+'2.1meta'!O225</f>
        <v>0</v>
      </c>
      <c r="O49" s="89">
        <f t="shared" si="13"/>
        <v>0</v>
      </c>
      <c r="P49" s="111">
        <f t="shared" si="9"/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SUM(Q49:W49)</f>
        <v>0</v>
      </c>
      <c r="Y49" s="94">
        <f>O49+X49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8">
        <f>'2.1meta'!L210+'2.1meta'!L227</f>
        <v>0</v>
      </c>
      <c r="L50" s="88">
        <f>'2.1meta'!M210+'2.1meta'!M227</f>
        <v>0</v>
      </c>
      <c r="M50" s="88">
        <f>'2.1meta'!N210+'2.1meta'!N227</f>
        <v>0</v>
      </c>
      <c r="N50" s="88">
        <f>'2.1meta'!O210+'2.1meta'!O227</f>
        <v>0</v>
      </c>
      <c r="O50" s="89">
        <f t="shared" si="13"/>
        <v>0</v>
      </c>
      <c r="P50" s="111">
        <f t="shared" si="9"/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SUM(Q50:W50)</f>
        <v>0</v>
      </c>
      <c r="Y50" s="94">
        <f>O50+X50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 t="shared" ref="F51:O51" si="14">SUBTOTAL(9,F52:F66)</f>
        <v>0</v>
      </c>
      <c r="G51" s="85">
        <f t="shared" si="14"/>
        <v>0</v>
      </c>
      <c r="H51" s="85">
        <f t="shared" si="14"/>
        <v>0</v>
      </c>
      <c r="I51" s="85">
        <f t="shared" si="14"/>
        <v>0</v>
      </c>
      <c r="J51" s="85">
        <f t="shared" ref="J51:L51" si="15">SUBTOTAL(9,J52:J66)</f>
        <v>0</v>
      </c>
      <c r="K51" s="85">
        <f t="shared" si="15"/>
        <v>0</v>
      </c>
      <c r="L51" s="85">
        <f t="shared" si="15"/>
        <v>0</v>
      </c>
      <c r="M51" s="85">
        <f t="shared" si="14"/>
        <v>0</v>
      </c>
      <c r="N51" s="85">
        <f t="shared" si="14"/>
        <v>0</v>
      </c>
      <c r="O51" s="85">
        <f t="shared" si="14"/>
        <v>0</v>
      </c>
      <c r="P51" s="64">
        <f t="shared" si="9"/>
        <v>0</v>
      </c>
      <c r="Q51" s="85">
        <f t="shared" ref="Q51:Z51" si="16">SUBTOTAL(9,Q52:Q66)</f>
        <v>0</v>
      </c>
      <c r="R51" s="85">
        <f t="shared" si="16"/>
        <v>0</v>
      </c>
      <c r="S51" s="85">
        <f t="shared" si="16"/>
        <v>0</v>
      </c>
      <c r="T51" s="85">
        <f t="shared" si="16"/>
        <v>0</v>
      </c>
      <c r="U51" s="85">
        <f t="shared" si="16"/>
        <v>0</v>
      </c>
      <c r="V51" s="85">
        <f t="shared" si="16"/>
        <v>0</v>
      </c>
      <c r="W51" s="85">
        <f t="shared" si="16"/>
        <v>0</v>
      </c>
      <c r="X51" s="85">
        <f t="shared" si="16"/>
        <v>0</v>
      </c>
      <c r="Y51" s="85">
        <f t="shared" si="16"/>
        <v>0</v>
      </c>
      <c r="Z51" s="99">
        <f t="shared" si="16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8">
        <f>'2.1meta'!L237+'2.1meta'!L254</f>
        <v>0</v>
      </c>
      <c r="L52" s="88">
        <f>'2.1meta'!M237+'2.1meta'!M254</f>
        <v>0</v>
      </c>
      <c r="M52" s="88">
        <f>'2.1meta'!N237+'2.1meta'!N254</f>
        <v>0</v>
      </c>
      <c r="N52" s="88">
        <f>'2.1meta'!O237+'2.1meta'!O254</f>
        <v>0</v>
      </c>
      <c r="O52" s="89">
        <f t="shared" ref="O52:O66" si="17">SUM(F52:N52)</f>
        <v>0</v>
      </c>
      <c r="P52" s="111">
        <f t="shared" si="9"/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SUM(Q52:W52)</f>
        <v>0</v>
      </c>
      <c r="Y52" s="94">
        <f>O52+X52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8">
        <f>'2.1meta'!L238+'2.1meta'!L255</f>
        <v>0</v>
      </c>
      <c r="L53" s="88">
        <f>'2.1meta'!M238+'2.1meta'!M255</f>
        <v>0</v>
      </c>
      <c r="M53" s="88">
        <f>'2.1meta'!N238+'2.1meta'!N255</f>
        <v>0</v>
      </c>
      <c r="N53" s="88">
        <f>'2.1meta'!O238+'2.1meta'!O255</f>
        <v>0</v>
      </c>
      <c r="O53" s="89">
        <f t="shared" si="17"/>
        <v>0</v>
      </c>
      <c r="P53" s="111">
        <f t="shared" si="9"/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SUM(Q53:W53)</f>
        <v>0</v>
      </c>
      <c r="Y53" s="94">
        <f>O53+X53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8">
        <f>'2.1meta'!L239+'2.1meta'!L256</f>
        <v>0</v>
      </c>
      <c r="L54" s="88">
        <f>'2.1meta'!M239+'2.1meta'!M256</f>
        <v>0</v>
      </c>
      <c r="M54" s="88">
        <f>'2.1meta'!N239+'2.1meta'!N256</f>
        <v>0</v>
      </c>
      <c r="N54" s="88">
        <f>'2.1meta'!O239+'2.1meta'!O256</f>
        <v>0</v>
      </c>
      <c r="O54" s="89">
        <f t="shared" si="17"/>
        <v>0</v>
      </c>
      <c r="P54" s="111">
        <f t="shared" si="9"/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SUM(Q54:W54)</f>
        <v>0</v>
      </c>
      <c r="Y54" s="94">
        <f>O54+X54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8">
        <f>'2.1meta'!L240+'2.1meta'!L257</f>
        <v>0</v>
      </c>
      <c r="L55" s="88">
        <f>'2.1meta'!M240+'2.1meta'!M257</f>
        <v>0</v>
      </c>
      <c r="M55" s="88">
        <f>'2.1meta'!N240+'2.1meta'!N257</f>
        <v>0</v>
      </c>
      <c r="N55" s="88">
        <f>'2.1meta'!O240+'2.1meta'!O257</f>
        <v>0</v>
      </c>
      <c r="O55" s="89">
        <f t="shared" si="17"/>
        <v>0</v>
      </c>
      <c r="P55" s="111">
        <f t="shared" si="9"/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SUM(Q55:W55)</f>
        <v>0</v>
      </c>
      <c r="Y55" s="94">
        <f>O55+X55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8">
        <f>'2.1meta'!L229+'2.1meta'!L241+'2.1meta'!L258</f>
        <v>0</v>
      </c>
      <c r="L56" s="88">
        <f>'2.1meta'!M229+'2.1meta'!M241+'2.1meta'!M258</f>
        <v>0</v>
      </c>
      <c r="M56" s="88">
        <f>'2.1meta'!N229+'2.1meta'!N241+'2.1meta'!N258</f>
        <v>0</v>
      </c>
      <c r="N56" s="88">
        <f>'2.1meta'!O229+'2.1meta'!O241+'2.1meta'!O258</f>
        <v>0</v>
      </c>
      <c r="O56" s="89">
        <f t="shared" si="17"/>
        <v>0</v>
      </c>
      <c r="P56" s="111">
        <f t="shared" si="9"/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SUM(Q56:W56)</f>
        <v>0</v>
      </c>
      <c r="Y56" s="94">
        <f>O56+X56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8">
        <f>'2.1meta'!L230+'2.1meta'!L242+'2.1meta'!L259</f>
        <v>0</v>
      </c>
      <c r="L57" s="88">
        <f>'2.1meta'!M230+'2.1meta'!M242+'2.1meta'!M259</f>
        <v>0</v>
      </c>
      <c r="M57" s="88">
        <f>'2.1meta'!N230+'2.1meta'!N242+'2.1meta'!N259</f>
        <v>0</v>
      </c>
      <c r="N57" s="88">
        <f>'2.1meta'!O230+'2.1meta'!O242+'2.1meta'!O259</f>
        <v>0</v>
      </c>
      <c r="O57" s="89">
        <f t="shared" si="17"/>
        <v>0</v>
      </c>
      <c r="P57" s="111">
        <f t="shared" si="9"/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SUM(Q57:W57)</f>
        <v>0</v>
      </c>
      <c r="Y57" s="94">
        <f>O57+X57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8">
        <f>'2.1meta'!L231+'2.1meta'!L243+'2.1meta'!L260</f>
        <v>0</v>
      </c>
      <c r="L58" s="88">
        <f>'2.1meta'!M231+'2.1meta'!M243+'2.1meta'!M260</f>
        <v>0</v>
      </c>
      <c r="M58" s="88">
        <f>'2.1meta'!N231+'2.1meta'!N243+'2.1meta'!N260</f>
        <v>0</v>
      </c>
      <c r="N58" s="88">
        <f>'2.1meta'!O231+'2.1meta'!O243+'2.1meta'!O260</f>
        <v>0</v>
      </c>
      <c r="O58" s="89">
        <f t="shared" si="17"/>
        <v>0</v>
      </c>
      <c r="P58" s="111">
        <f t="shared" si="9"/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SUM(Q58:W58)</f>
        <v>0</v>
      </c>
      <c r="Y58" s="94">
        <f>O58+X58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8">
        <f>'2.1meta'!L244+'2.1meta'!L261</f>
        <v>0</v>
      </c>
      <c r="L59" s="88">
        <f>'2.1meta'!M244+'2.1meta'!M261</f>
        <v>0</v>
      </c>
      <c r="M59" s="88">
        <f>'2.1meta'!N244+'2.1meta'!N261</f>
        <v>0</v>
      </c>
      <c r="N59" s="88">
        <f>'2.1meta'!O244+'2.1meta'!O261</f>
        <v>0</v>
      </c>
      <c r="O59" s="89">
        <f t="shared" si="17"/>
        <v>0</v>
      </c>
      <c r="P59" s="111">
        <f t="shared" si="9"/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SUM(Q59:W59)</f>
        <v>0</v>
      </c>
      <c r="Y59" s="94">
        <f>O59+X59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8">
        <f>'2.1meta'!L232+'2.1meta'!L245+'2.1meta'!L262</f>
        <v>0</v>
      </c>
      <c r="L60" s="88">
        <f>'2.1meta'!M232+'2.1meta'!M245+'2.1meta'!M262</f>
        <v>0</v>
      </c>
      <c r="M60" s="88">
        <f>'2.1meta'!N232+'2.1meta'!N245+'2.1meta'!N262</f>
        <v>0</v>
      </c>
      <c r="N60" s="88">
        <f>'2.1meta'!O232+'2.1meta'!O245+'2.1meta'!O262</f>
        <v>0</v>
      </c>
      <c r="O60" s="89">
        <f t="shared" si="17"/>
        <v>0</v>
      </c>
      <c r="P60" s="111">
        <f t="shared" si="9"/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SUM(Q60:W60)</f>
        <v>0</v>
      </c>
      <c r="Y60" s="94">
        <f>O60+X60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8">
        <f>'2.1meta'!L233+'2.1meta'!L246+'2.1meta'!L263</f>
        <v>0</v>
      </c>
      <c r="L61" s="88">
        <f>'2.1meta'!M233+'2.1meta'!M246+'2.1meta'!M263</f>
        <v>0</v>
      </c>
      <c r="M61" s="88">
        <f>'2.1meta'!N233+'2.1meta'!N246+'2.1meta'!N263</f>
        <v>0</v>
      </c>
      <c r="N61" s="88">
        <f>'2.1meta'!O233+'2.1meta'!O246+'2.1meta'!O263</f>
        <v>0</v>
      </c>
      <c r="O61" s="89">
        <f t="shared" si="17"/>
        <v>0</v>
      </c>
      <c r="P61" s="111">
        <f t="shared" si="9"/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SUM(Q61:W61)</f>
        <v>0</v>
      </c>
      <c r="Y61" s="94">
        <f>O61+X61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8">
        <f>'2.1meta'!L247+'2.1meta'!L264</f>
        <v>0</v>
      </c>
      <c r="L62" s="88">
        <f>'2.1meta'!M247+'2.1meta'!M264</f>
        <v>0</v>
      </c>
      <c r="M62" s="88">
        <f>'2.1meta'!N247+'2.1meta'!N264</f>
        <v>0</v>
      </c>
      <c r="N62" s="88">
        <f>'2.1meta'!O247+'2.1meta'!O264</f>
        <v>0</v>
      </c>
      <c r="O62" s="89">
        <f t="shared" si="17"/>
        <v>0</v>
      </c>
      <c r="P62" s="111">
        <f t="shared" si="9"/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SUM(Q62:W62)</f>
        <v>0</v>
      </c>
      <c r="Y62" s="94">
        <f>O62+X62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8">
        <f>'2.1meta'!L249+'2.1meta'!L266</f>
        <v>0</v>
      </c>
      <c r="L63" s="88">
        <f>'2.1meta'!M249+'2.1meta'!M266</f>
        <v>0</v>
      </c>
      <c r="M63" s="88">
        <f>'2.1meta'!N249+'2.1meta'!N266</f>
        <v>0</v>
      </c>
      <c r="N63" s="88">
        <f>'2.1meta'!O249+'2.1meta'!O266</f>
        <v>0</v>
      </c>
      <c r="O63" s="89">
        <f t="shared" si="17"/>
        <v>0</v>
      </c>
      <c r="P63" s="111">
        <f t="shared" si="9"/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SUM(Q63:W63)</f>
        <v>0</v>
      </c>
      <c r="Y63" s="94">
        <f>O63+X63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8">
        <f>'2.1meta'!L234+'2.1meta'!L250+'2.1meta'!L267</f>
        <v>0</v>
      </c>
      <c r="L64" s="88">
        <f>'2.1meta'!M234+'2.1meta'!M250+'2.1meta'!M267</f>
        <v>0</v>
      </c>
      <c r="M64" s="88">
        <f>'2.1meta'!N234+'2.1meta'!N250+'2.1meta'!N267</f>
        <v>0</v>
      </c>
      <c r="N64" s="88">
        <f>'2.1meta'!O234+'2.1meta'!O250+'2.1meta'!O267</f>
        <v>0</v>
      </c>
      <c r="O64" s="89">
        <f t="shared" si="17"/>
        <v>0</v>
      </c>
      <c r="P64" s="111">
        <f t="shared" si="9"/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SUM(Q64:W64)</f>
        <v>0</v>
      </c>
      <c r="Y64" s="94">
        <f>O64+X64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8">
        <f>'2.1meta'!L251+'2.1meta'!L268</f>
        <v>0</v>
      </c>
      <c r="L65" s="88">
        <f>'2.1meta'!M251+'2.1meta'!M268</f>
        <v>0</v>
      </c>
      <c r="M65" s="88">
        <f>'2.1meta'!N251+'2.1meta'!N268</f>
        <v>0</v>
      </c>
      <c r="N65" s="88">
        <f>'2.1meta'!O251+'2.1meta'!O268</f>
        <v>0</v>
      </c>
      <c r="O65" s="89">
        <f t="shared" si="17"/>
        <v>0</v>
      </c>
      <c r="P65" s="111">
        <f t="shared" si="9"/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SUM(Q65:W65)</f>
        <v>0</v>
      </c>
      <c r="Y65" s="94">
        <f>O65+X65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8">
        <f>'2.1meta'!L235+'2.1meta'!L252+'2.1meta'!L269</f>
        <v>0</v>
      </c>
      <c r="L66" s="88">
        <f>'2.1meta'!M235+'2.1meta'!M252+'2.1meta'!M269</f>
        <v>0</v>
      </c>
      <c r="M66" s="88">
        <f>'2.1meta'!N235+'2.1meta'!N252+'2.1meta'!N269</f>
        <v>0</v>
      </c>
      <c r="N66" s="88">
        <f>'2.1meta'!O235+'2.1meta'!O252+'2.1meta'!O269</f>
        <v>0</v>
      </c>
      <c r="O66" s="89">
        <f t="shared" si="17"/>
        <v>0</v>
      </c>
      <c r="P66" s="111">
        <f t="shared" si="9"/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SUM(Q66:W66)</f>
        <v>0</v>
      </c>
      <c r="Y66" s="94">
        <f>O66+X66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 t="shared" ref="F67:O67" si="18">SUBTOTAL(9,F5:F66)</f>
        <v>0</v>
      </c>
      <c r="G67" s="103">
        <f t="shared" si="18"/>
        <v>0</v>
      </c>
      <c r="H67" s="103">
        <f t="shared" si="18"/>
        <v>0</v>
      </c>
      <c r="I67" s="103">
        <f t="shared" si="18"/>
        <v>0</v>
      </c>
      <c r="J67" s="103">
        <f t="shared" ref="J67:L67" si="19">SUBTOTAL(9,J5:J66)</f>
        <v>0</v>
      </c>
      <c r="K67" s="103">
        <f t="shared" si="19"/>
        <v>0</v>
      </c>
      <c r="L67" s="103">
        <f t="shared" si="19"/>
        <v>0</v>
      </c>
      <c r="M67" s="103">
        <f t="shared" si="18"/>
        <v>0</v>
      </c>
      <c r="N67" s="103">
        <f t="shared" si="18"/>
        <v>0</v>
      </c>
      <c r="O67" s="103">
        <f t="shared" si="18"/>
        <v>0</v>
      </c>
      <c r="P67" s="64">
        <f t="shared" si="9"/>
        <v>0</v>
      </c>
      <c r="Q67" s="103">
        <f t="shared" ref="Q67:Z67" si="20">SUBTOTAL(9,Q5:Q66)</f>
        <v>0</v>
      </c>
      <c r="R67" s="103">
        <f t="shared" si="20"/>
        <v>0</v>
      </c>
      <c r="S67" s="103">
        <f t="shared" si="20"/>
        <v>0</v>
      </c>
      <c r="T67" s="103">
        <f t="shared" si="20"/>
        <v>0</v>
      </c>
      <c r="U67" s="103">
        <f t="shared" si="20"/>
        <v>0</v>
      </c>
      <c r="V67" s="103">
        <f t="shared" si="20"/>
        <v>0</v>
      </c>
      <c r="W67" s="103">
        <f t="shared" si="20"/>
        <v>0</v>
      </c>
      <c r="X67" s="103">
        <f t="shared" si="20"/>
        <v>0</v>
      </c>
      <c r="Y67" s="104">
        <f t="shared" si="20"/>
        <v>0</v>
      </c>
      <c r="Z67" s="105">
        <f t="shared" si="20"/>
        <v>0</v>
      </c>
    </row>
    <row r="69" spans="1:26">
      <c r="C69" s="106"/>
      <c r="D69" s="106"/>
      <c r="E69" s="106"/>
      <c r="O69" s="32"/>
      <c r="P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Z3:Z4"/>
    <mergeCell ref="D3:D4"/>
    <mergeCell ref="E3:E4"/>
    <mergeCell ref="Q3:S3"/>
    <mergeCell ref="T3:U3"/>
    <mergeCell ref="V3:V4"/>
    <mergeCell ref="W3:W4"/>
    <mergeCell ref="F3:N3"/>
    <mergeCell ref="P3:P4"/>
    <mergeCell ref="A3:B4"/>
    <mergeCell ref="C3:C4"/>
    <mergeCell ref="O3:O4"/>
    <mergeCell ref="X3:X4"/>
    <mergeCell ref="Y3:Y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N4" sqref="N4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13" width="11.140625" customWidth="1"/>
    <col min="14" max="14" width="10.42578125" customWidth="1"/>
    <col min="16" max="16" width="0" hidden="1" customWidth="1"/>
    <col min="17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O1" s="1"/>
      <c r="P1" s="1"/>
      <c r="Z1" s="1"/>
    </row>
    <row r="2" spans="1:26">
      <c r="O2" s="1"/>
      <c r="P2" s="1"/>
      <c r="Z2" s="1"/>
    </row>
    <row r="3" spans="1:26" ht="27.75" customHeight="1">
      <c r="A3" s="228" t="s">
        <v>84</v>
      </c>
      <c r="B3" s="240"/>
      <c r="C3" s="232" t="s">
        <v>85</v>
      </c>
      <c r="D3" s="232" t="s">
        <v>5</v>
      </c>
      <c r="E3" s="232" t="s">
        <v>6</v>
      </c>
      <c r="F3" s="248" t="s">
        <v>7</v>
      </c>
      <c r="G3" s="244"/>
      <c r="H3" s="244"/>
      <c r="I3" s="244"/>
      <c r="J3" s="244"/>
      <c r="K3" s="244"/>
      <c r="L3" s="244"/>
      <c r="M3" s="244"/>
      <c r="N3" s="244"/>
      <c r="O3" s="232" t="s">
        <v>82</v>
      </c>
      <c r="P3" s="224" t="s">
        <v>8</v>
      </c>
      <c r="Q3" s="244"/>
      <c r="R3" s="244"/>
      <c r="S3" s="245"/>
      <c r="T3" s="236" t="s">
        <v>9</v>
      </c>
      <c r="U3" s="235"/>
      <c r="V3" s="238" t="s">
        <v>10</v>
      </c>
      <c r="W3" s="237" t="s">
        <v>11</v>
      </c>
      <c r="X3" s="232" t="s">
        <v>86</v>
      </c>
      <c r="Y3" s="232" t="s">
        <v>87</v>
      </c>
      <c r="Z3" s="232" t="s">
        <v>88</v>
      </c>
    </row>
    <row r="4" spans="1:26" ht="33" customHeight="1">
      <c r="A4" s="241"/>
      <c r="B4" s="242"/>
      <c r="C4" s="233"/>
      <c r="D4" s="233"/>
      <c r="E4" s="233"/>
      <c r="F4" s="83" t="s">
        <v>89</v>
      </c>
      <c r="G4" s="83" t="s">
        <v>90</v>
      </c>
      <c r="H4" s="218" t="s">
        <v>91</v>
      </c>
      <c r="I4" s="218" t="s">
        <v>92</v>
      </c>
      <c r="J4" s="218" t="s">
        <v>93</v>
      </c>
      <c r="K4" s="218" t="s">
        <v>94</v>
      </c>
      <c r="L4" s="218" t="s">
        <v>95</v>
      </c>
      <c r="M4" s="218" t="s">
        <v>96</v>
      </c>
      <c r="N4" s="218" t="s">
        <v>97</v>
      </c>
      <c r="O4" s="243"/>
      <c r="P4" s="225"/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39"/>
      <c r="W4" s="237"/>
      <c r="X4" s="243"/>
      <c r="Y4" s="243"/>
      <c r="Z4" s="243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9">
        <f t="shared" ref="O5:O21" si="0">SUM(F5:N5)</f>
        <v>0</v>
      </c>
      <c r="P5" s="111">
        <f t="shared" ref="P5:P22" si="1">C5-O5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SUM(Q5:W5)</f>
        <v>0</v>
      </c>
      <c r="Y5" s="91">
        <f>O5+X5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9">
        <f t="shared" si="0"/>
        <v>0</v>
      </c>
      <c r="P6" s="111">
        <f t="shared" si="1"/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SUM(Q6:W6)</f>
        <v>0</v>
      </c>
      <c r="Y6" s="91">
        <f>O6+X6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9">
        <f t="shared" si="0"/>
        <v>0</v>
      </c>
      <c r="P7" s="111">
        <f t="shared" si="1"/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SUM(Q7:W7)</f>
        <v>0</v>
      </c>
      <c r="Y7" s="91">
        <f>O7+X7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9">
        <f t="shared" si="0"/>
        <v>0</v>
      </c>
      <c r="P8" s="111">
        <f t="shared" si="1"/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SUM(Q8:W8)</f>
        <v>0</v>
      </c>
      <c r="Y8" s="91">
        <f>O8+X8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8">
        <f>'2.1meta'!L62</f>
        <v>0</v>
      </c>
      <c r="L9" s="88">
        <f>'2.1meta'!M62</f>
        <v>0</v>
      </c>
      <c r="M9" s="88">
        <f>'2.1meta'!N62</f>
        <v>0</v>
      </c>
      <c r="N9" s="88">
        <f>'2.1meta'!O62</f>
        <v>0</v>
      </c>
      <c r="O9" s="89">
        <f t="shared" si="0"/>
        <v>0</v>
      </c>
      <c r="P9" s="111">
        <f t="shared" si="1"/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SUM(Q9:W9)</f>
        <v>0</v>
      </c>
      <c r="Y9" s="91">
        <f>O9+X9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9">
        <f t="shared" si="0"/>
        <v>0</v>
      </c>
      <c r="P10" s="111">
        <f t="shared" si="1"/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SUM(Q10:W10)</f>
        <v>0</v>
      </c>
      <c r="Y10" s="91">
        <f>O10+X10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9">
        <f t="shared" si="0"/>
        <v>0</v>
      </c>
      <c r="P11" s="111">
        <f t="shared" si="1"/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SUM(Q11:W11)</f>
        <v>0</v>
      </c>
      <c r="Y11" s="91">
        <f>O11+X11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9">
        <f t="shared" si="0"/>
        <v>0</v>
      </c>
      <c r="P12" s="111">
        <f t="shared" si="1"/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SUM(Q12:W12)</f>
        <v>0</v>
      </c>
      <c r="Y12" s="91">
        <f>O12+X12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9">
        <f t="shared" si="0"/>
        <v>0</v>
      </c>
      <c r="P13" s="111">
        <f t="shared" si="1"/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SUM(Q13:W13)</f>
        <v>0</v>
      </c>
      <c r="Y13" s="91">
        <f>O13+X13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9">
        <f t="shared" si="0"/>
        <v>0</v>
      </c>
      <c r="P14" s="111">
        <f t="shared" si="1"/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SUM(Q14:W14)</f>
        <v>0</v>
      </c>
      <c r="Y14" s="91">
        <f>O14+X14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9">
        <f t="shared" si="0"/>
        <v>0</v>
      </c>
      <c r="P15" s="111">
        <f t="shared" si="1"/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SUM(Q15:W15)</f>
        <v>0</v>
      </c>
      <c r="Y15" s="91">
        <f>O15+X15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9">
        <f t="shared" si="0"/>
        <v>0</v>
      </c>
      <c r="P16" s="111">
        <f t="shared" si="1"/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SUM(Q16:W16)</f>
        <v>0</v>
      </c>
      <c r="Y16" s="91">
        <f>O16+X16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9">
        <f t="shared" si="0"/>
        <v>0</v>
      </c>
      <c r="P17" s="111">
        <f t="shared" si="1"/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SUM(Q17:W17)</f>
        <v>0</v>
      </c>
      <c r="Y17" s="91">
        <f>O17+X17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9">
        <f t="shared" si="0"/>
        <v>0</v>
      </c>
      <c r="P18" s="111">
        <f t="shared" si="1"/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SUM(Q18:W18)</f>
        <v>0</v>
      </c>
      <c r="Y18" s="91">
        <f>O18+X18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9">
        <f t="shared" si="0"/>
        <v>0</v>
      </c>
      <c r="P19" s="111">
        <f t="shared" si="1"/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SUM(Q19:W19)</f>
        <v>0</v>
      </c>
      <c r="Y19" s="91">
        <f>O19+X19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9">
        <f t="shared" si="0"/>
        <v>0</v>
      </c>
      <c r="P20" s="111">
        <f t="shared" si="1"/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SUM(Q20:W20)</f>
        <v>0</v>
      </c>
      <c r="Y20" s="91">
        <f>O20+X20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9">
        <f t="shared" si="0"/>
        <v>0</v>
      </c>
      <c r="P21" s="111">
        <f t="shared" si="1"/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SUM(Q21:W21)</f>
        <v>0</v>
      </c>
      <c r="Y21" s="91">
        <f>O21+X21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O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L22" si="3">SUBTOTAL(9,G5:G21)</f>
        <v>0</v>
      </c>
      <c r="H22" s="103">
        <f t="shared" si="3"/>
        <v>0</v>
      </c>
      <c r="I22" s="103">
        <f t="shared" si="3"/>
        <v>0</v>
      </c>
      <c r="J22" s="103">
        <f t="shared" si="3"/>
        <v>0</v>
      </c>
      <c r="K22" s="103">
        <f t="shared" si="3"/>
        <v>0</v>
      </c>
      <c r="L22" s="103">
        <f t="shared" si="3"/>
        <v>0</v>
      </c>
      <c r="M22" s="103">
        <f t="shared" si="2"/>
        <v>0</v>
      </c>
      <c r="N22" s="103">
        <f t="shared" si="2"/>
        <v>0</v>
      </c>
      <c r="O22" s="103">
        <f t="shared" si="2"/>
        <v>0</v>
      </c>
      <c r="P22" s="64">
        <f t="shared" si="1"/>
        <v>0</v>
      </c>
      <c r="Q22" s="103">
        <f t="shared" ref="Q22:Z22" si="4">SUBTOTAL(9,Q5:Q21)</f>
        <v>0</v>
      </c>
      <c r="R22" s="103">
        <f t="shared" si="4"/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O24" s="32"/>
      <c r="P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Y3:Y4"/>
    <mergeCell ref="Z3:Z4"/>
    <mergeCell ref="P3:P4"/>
    <mergeCell ref="Q3:S3"/>
    <mergeCell ref="T3:U3"/>
    <mergeCell ref="V3:V4"/>
    <mergeCell ref="W3:W4"/>
    <mergeCell ref="X3:X4"/>
    <mergeCell ref="O3:O4"/>
    <mergeCell ref="A3:B4"/>
    <mergeCell ref="C3:C4"/>
    <mergeCell ref="D3:D4"/>
    <mergeCell ref="E3:E4"/>
    <mergeCell ref="F3:N3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49" t="s">
        <v>84</v>
      </c>
      <c r="B3" s="250"/>
      <c r="C3" s="232" t="s">
        <v>4</v>
      </c>
      <c r="D3" s="2" t="s">
        <v>7</v>
      </c>
      <c r="E3" s="2"/>
      <c r="F3" s="2"/>
      <c r="G3" s="2"/>
      <c r="H3" s="2"/>
      <c r="I3" s="2"/>
      <c r="J3" s="2"/>
      <c r="K3" s="224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2" t="s">
        <v>13</v>
      </c>
      <c r="U3" s="226" t="s">
        <v>14</v>
      </c>
    </row>
    <row r="4" spans="1:21" ht="33" customHeight="1">
      <c r="A4" s="251"/>
      <c r="B4" s="252"/>
      <c r="C4" s="233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5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3"/>
      <c r="U4" s="227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49" t="s">
        <v>84</v>
      </c>
      <c r="B26" s="250"/>
      <c r="C26" s="232" t="s">
        <v>4</v>
      </c>
      <c r="D26" s="2" t="s">
        <v>7</v>
      </c>
      <c r="E26" s="2"/>
      <c r="F26" s="2"/>
      <c r="G26" s="2"/>
      <c r="H26" s="2"/>
      <c r="I26" s="2"/>
      <c r="J26" s="2"/>
      <c r="K26" s="224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2" t="s">
        <v>13</v>
      </c>
      <c r="U26" s="226" t="s">
        <v>14</v>
      </c>
    </row>
    <row r="27" spans="1:21" ht="33" customHeight="1">
      <c r="A27" s="251"/>
      <c r="B27" s="252"/>
      <c r="C27" s="233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5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3"/>
      <c r="U27" s="227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49" t="s">
        <v>84</v>
      </c>
      <c r="B44" s="250"/>
      <c r="C44" s="232" t="s">
        <v>4</v>
      </c>
      <c r="D44" s="2" t="s">
        <v>7</v>
      </c>
      <c r="E44" s="2"/>
      <c r="F44" s="2"/>
      <c r="G44" s="2"/>
      <c r="H44" s="2"/>
      <c r="I44" s="2"/>
      <c r="J44" s="2"/>
      <c r="K44" s="224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2" t="s">
        <v>13</v>
      </c>
      <c r="U44" s="226" t="s">
        <v>14</v>
      </c>
    </row>
    <row r="45" spans="1:21" ht="25.5" customHeight="1">
      <c r="A45" s="251"/>
      <c r="B45" s="252"/>
      <c r="C45" s="233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5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3"/>
      <c r="U45" s="227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49" t="s">
        <v>84</v>
      </c>
      <c r="B51" s="250"/>
      <c r="C51" s="232" t="s">
        <v>4</v>
      </c>
      <c r="D51" s="2" t="s">
        <v>7</v>
      </c>
      <c r="E51" s="2"/>
      <c r="F51" s="2"/>
      <c r="G51" s="2"/>
      <c r="H51" s="2"/>
      <c r="I51" s="2"/>
      <c r="J51" s="2"/>
      <c r="K51" s="224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2" t="s">
        <v>13</v>
      </c>
      <c r="U51" s="226" t="s">
        <v>14</v>
      </c>
    </row>
    <row r="52" spans="1:21" ht="25.5" customHeight="1">
      <c r="A52" s="251"/>
      <c r="B52" s="252"/>
      <c r="C52" s="233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5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3"/>
      <c r="U52" s="227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51:B52"/>
    <mergeCell ref="C51:C52"/>
    <mergeCell ref="K51:K52"/>
    <mergeCell ref="T51:T52"/>
    <mergeCell ref="U51:U52"/>
    <mergeCell ref="A3:B4"/>
    <mergeCell ref="C3:C4"/>
    <mergeCell ref="K3:K4"/>
    <mergeCell ref="T3:T4"/>
    <mergeCell ref="U3:U4"/>
    <mergeCell ref="A44:B45"/>
    <mergeCell ref="C44:C45"/>
    <mergeCell ref="K44:K45"/>
    <mergeCell ref="T44:T45"/>
    <mergeCell ref="U44:U45"/>
    <mergeCell ref="A26:B27"/>
    <mergeCell ref="C26:C27"/>
    <mergeCell ref="K26:K27"/>
    <mergeCell ref="T26:T27"/>
    <mergeCell ref="U26:U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49" t="s">
        <v>84</v>
      </c>
      <c r="B2" s="250"/>
      <c r="C2" s="232" t="s">
        <v>4</v>
      </c>
      <c r="D2" s="2" t="s">
        <v>7</v>
      </c>
      <c r="E2" s="2"/>
      <c r="F2" s="2"/>
      <c r="G2" s="2"/>
      <c r="H2" s="2"/>
      <c r="I2" s="2"/>
      <c r="J2" s="2"/>
      <c r="K2" s="224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2" t="s">
        <v>13</v>
      </c>
      <c r="U2" s="226" t="s">
        <v>14</v>
      </c>
    </row>
    <row r="3" spans="1:21" ht="33" customHeight="1">
      <c r="A3" s="251"/>
      <c r="B3" s="252"/>
      <c r="C3" s="233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5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3"/>
      <c r="U3" s="227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2022-04-11T15:38:32Z</dcterms:modified>
  <cp:category/>
</cp:coreProperties>
</file>