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LDO\"/>
    </mc:Choice>
  </mc:AlternateContent>
  <xr:revisionPtr revIDLastSave="0" documentId="8_{99A12709-4AC2-43CC-A053-A86FC8DEC44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ardex valorizado" sheetId="1" r:id="rId1"/>
    <sheet name="Almacen 1" sheetId="5" r:id="rId2"/>
    <sheet name="Almacen 2" sheetId="6" r:id="rId3"/>
    <sheet name="HERRAMIENTAS DANIEL" sheetId="7" r:id="rId4"/>
    <sheet name="HERRAMIENTAS HUGO" sheetId="8" r:id="rId5"/>
  </sheets>
  <definedNames>
    <definedName name="_xlnm._FilterDatabase" localSheetId="1" hidden="1">'Almacen 1'!$A$1:$U$274</definedName>
    <definedName name="_xlnm._FilterDatabase" localSheetId="2" hidden="1">'Almacen 2'!$A$3:$U$263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9" i="6" l="1"/>
  <c r="L251" i="6"/>
  <c r="L252" i="6"/>
  <c r="L253" i="6"/>
  <c r="L254" i="6"/>
  <c r="L255" i="6"/>
  <c r="L256" i="6"/>
  <c r="L257" i="6"/>
  <c r="L258" i="6"/>
  <c r="L250" i="6"/>
  <c r="L249" i="6"/>
  <c r="P250" i="6"/>
  <c r="P251" i="6"/>
  <c r="P252" i="6"/>
  <c r="P253" i="6"/>
  <c r="P254" i="6"/>
  <c r="P255" i="6"/>
  <c r="P256" i="6"/>
  <c r="P257" i="6"/>
  <c r="P258" i="6"/>
  <c r="P259" i="6"/>
  <c r="P249" i="6"/>
  <c r="L248" i="6"/>
  <c r="P248" i="6"/>
  <c r="L247" i="6"/>
  <c r="P247" i="6"/>
  <c r="P246" i="6"/>
  <c r="P245" i="6"/>
  <c r="P244" i="6"/>
  <c r="P243" i="6"/>
  <c r="P242" i="6"/>
  <c r="L240" i="6"/>
  <c r="P241" i="6"/>
  <c r="P240" i="6"/>
  <c r="L239" i="6"/>
  <c r="L241" i="6"/>
  <c r="L242" i="6"/>
  <c r="L243" i="6"/>
  <c r="L244" i="6"/>
  <c r="L245" i="6"/>
  <c r="L246" i="6"/>
  <c r="P239" i="6"/>
  <c r="L238" i="6"/>
  <c r="P238" i="6"/>
  <c r="R249" i="6"/>
  <c r="R250" i="6"/>
  <c r="R251" i="6"/>
  <c r="R252" i="6"/>
  <c r="R253" i="6"/>
  <c r="R254" i="6"/>
  <c r="R255" i="6"/>
  <c r="R256" i="6"/>
  <c r="S256" i="6" s="1"/>
  <c r="R257" i="6"/>
  <c r="S257" i="6" s="1"/>
  <c r="R258" i="6"/>
  <c r="S258" i="6" s="1"/>
  <c r="R259" i="6"/>
  <c r="S259" i="6" s="1"/>
  <c r="R238" i="6"/>
  <c r="R239" i="6"/>
  <c r="R240" i="6"/>
  <c r="R241" i="6"/>
  <c r="R242" i="6"/>
  <c r="R243" i="6"/>
  <c r="R244" i="6"/>
  <c r="R245" i="6"/>
  <c r="R246" i="6"/>
  <c r="R247" i="6"/>
  <c r="R248" i="6"/>
  <c r="Q244" i="6"/>
  <c r="Q245" i="6"/>
  <c r="Q258" i="6"/>
  <c r="Q259" i="6"/>
  <c r="Q246" i="6"/>
  <c r="Q247" i="6"/>
  <c r="Q248" i="6"/>
  <c r="Q249" i="6"/>
  <c r="S249" i="6" s="1"/>
  <c r="Q250" i="6"/>
  <c r="S250" i="6" s="1"/>
  <c r="Q251" i="6"/>
  <c r="S251" i="6" s="1"/>
  <c r="Q252" i="6"/>
  <c r="S252" i="6" s="1"/>
  <c r="Q253" i="6"/>
  <c r="S253" i="6" s="1"/>
  <c r="Q254" i="6"/>
  <c r="S254" i="6" s="1"/>
  <c r="Q255" i="6"/>
  <c r="S255" i="6" s="1"/>
  <c r="Q256" i="6"/>
  <c r="Q257" i="6"/>
  <c r="Q243" i="6"/>
  <c r="Q242" i="6"/>
  <c r="Q241" i="6"/>
  <c r="Q240" i="6"/>
  <c r="S240" i="6" s="1"/>
  <c r="Q239" i="6"/>
  <c r="S239" i="6" s="1"/>
  <c r="Q238" i="6"/>
  <c r="S238" i="6" s="1"/>
  <c r="P232" i="6"/>
  <c r="P233" i="6"/>
  <c r="P234" i="6"/>
  <c r="P235" i="6"/>
  <c r="P236" i="6"/>
  <c r="P237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Q235" i="6"/>
  <c r="Q236" i="6"/>
  <c r="Q237" i="6"/>
  <c r="R232" i="6"/>
  <c r="R233" i="6"/>
  <c r="R234" i="6"/>
  <c r="R235" i="6"/>
  <c r="S235" i="6" s="1"/>
  <c r="R236" i="6"/>
  <c r="S236" i="6" s="1"/>
  <c r="R237" i="6"/>
  <c r="S237" i="6" s="1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P202" i="6"/>
  <c r="R202" i="6"/>
  <c r="P201" i="6"/>
  <c r="R201" i="6"/>
  <c r="P200" i="6"/>
  <c r="R200" i="6"/>
  <c r="L237" i="6"/>
  <c r="L236" i="6"/>
  <c r="L235" i="6"/>
  <c r="L234" i="6"/>
  <c r="Q234" i="6"/>
  <c r="S234" i="6" s="1"/>
  <c r="L233" i="6"/>
  <c r="Q233" i="6"/>
  <c r="S233" i="6" s="1"/>
  <c r="L232" i="6"/>
  <c r="Q232" i="6"/>
  <c r="S232" i="6" s="1"/>
  <c r="L228" i="6"/>
  <c r="Q228" i="6"/>
  <c r="L227" i="6"/>
  <c r="Q227" i="6"/>
  <c r="L226" i="6"/>
  <c r="Q226" i="6"/>
  <c r="L225" i="6"/>
  <c r="Q225" i="6"/>
  <c r="L224" i="6"/>
  <c r="Q224" i="6"/>
  <c r="L223" i="6"/>
  <c r="Q223" i="6"/>
  <c r="L221" i="6"/>
  <c r="Q221" i="6"/>
  <c r="L220" i="6"/>
  <c r="Q220" i="6"/>
  <c r="L219" i="6"/>
  <c r="Q219" i="6"/>
  <c r="L218" i="6"/>
  <c r="Q218" i="6"/>
  <c r="L217" i="6"/>
  <c r="Q217" i="6"/>
  <c r="L216" i="6"/>
  <c r="Q216" i="6"/>
  <c r="L214" i="6"/>
  <c r="Q214" i="6"/>
  <c r="L213" i="6"/>
  <c r="Q213" i="6"/>
  <c r="L212" i="6"/>
  <c r="Q212" i="6"/>
  <c r="Q222" i="6"/>
  <c r="L222" i="6"/>
  <c r="Q229" i="6"/>
  <c r="L229" i="6"/>
  <c r="L215" i="6"/>
  <c r="Q215" i="6"/>
  <c r="L211" i="6"/>
  <c r="Q211" i="6"/>
  <c r="L210" i="6"/>
  <c r="Q210" i="6"/>
  <c r="L209" i="6"/>
  <c r="Q209" i="6"/>
  <c r="L208" i="6"/>
  <c r="Q208" i="6"/>
  <c r="L207" i="6"/>
  <c r="Q207" i="6"/>
  <c r="L206" i="6"/>
  <c r="Q206" i="6"/>
  <c r="L204" i="6"/>
  <c r="Q204" i="6"/>
  <c r="L203" i="6"/>
  <c r="Q203" i="6"/>
  <c r="L202" i="6"/>
  <c r="Q202" i="6"/>
  <c r="L205" i="6"/>
  <c r="Q205" i="6"/>
  <c r="L201" i="6"/>
  <c r="Q201" i="6"/>
  <c r="L200" i="6"/>
  <c r="Q200" i="6"/>
  <c r="L188" i="6"/>
  <c r="Q188" i="6"/>
  <c r="Q263" i="5"/>
  <c r="Q204" i="5"/>
  <c r="L43" i="6"/>
  <c r="L262" i="5"/>
  <c r="P262" i="5"/>
  <c r="R262" i="5"/>
  <c r="Q262" i="5"/>
  <c r="S262" i="5" s="1"/>
  <c r="L33" i="6"/>
  <c r="L65" i="6"/>
  <c r="L143" i="6"/>
  <c r="R273" i="5"/>
  <c r="P273" i="5"/>
  <c r="R271" i="5"/>
  <c r="R272" i="5"/>
  <c r="L273" i="5"/>
  <c r="Q273" i="5"/>
  <c r="S273" i="5" s="1"/>
  <c r="L272" i="5"/>
  <c r="Q272" i="5"/>
  <c r="Q271" i="5"/>
  <c r="S271" i="5"/>
  <c r="S272" i="5"/>
  <c r="L265" i="5"/>
  <c r="L266" i="5"/>
  <c r="L267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4" i="5"/>
  <c r="P265" i="5"/>
  <c r="P266" i="5"/>
  <c r="P267" i="5"/>
  <c r="P268" i="5"/>
  <c r="P269" i="5"/>
  <c r="P270" i="5"/>
  <c r="P271" i="5"/>
  <c r="P272" i="5"/>
  <c r="R266" i="5"/>
  <c r="L268" i="5"/>
  <c r="L269" i="5"/>
  <c r="L270" i="5"/>
  <c r="L271" i="5"/>
  <c r="R267" i="5"/>
  <c r="R268" i="5"/>
  <c r="R269" i="5"/>
  <c r="R270" i="5"/>
  <c r="Q266" i="5"/>
  <c r="S266" i="5" s="1"/>
  <c r="Q267" i="5"/>
  <c r="S267" i="5" s="1"/>
  <c r="Q268" i="5"/>
  <c r="S268" i="5" s="1"/>
  <c r="Q269" i="5"/>
  <c r="S269" i="5" s="1"/>
  <c r="Q270" i="5"/>
  <c r="S270" i="5" s="1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4" i="5"/>
  <c r="R265" i="5"/>
  <c r="Q223" i="5"/>
  <c r="S223" i="5" s="1"/>
  <c r="Q224" i="5"/>
  <c r="S224" i="5" s="1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4" i="5"/>
  <c r="Q265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P208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4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102" i="6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S176" i="5" s="1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5" i="5"/>
  <c r="R206" i="5"/>
  <c r="R207" i="5"/>
  <c r="R4" i="5"/>
  <c r="R231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S170" i="6" s="1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9" i="6"/>
  <c r="R190" i="6"/>
  <c r="R191" i="6"/>
  <c r="R192" i="6"/>
  <c r="R193" i="6"/>
  <c r="R194" i="6"/>
  <c r="R195" i="6"/>
  <c r="R196" i="6"/>
  <c r="R197" i="6"/>
  <c r="R198" i="6"/>
  <c r="R199" i="6"/>
  <c r="R230" i="6"/>
  <c r="R4" i="6"/>
  <c r="Q231" i="6"/>
  <c r="S231" i="6" s="1"/>
  <c r="P231" i="6"/>
  <c r="L231" i="6"/>
  <c r="P230" i="6"/>
  <c r="L230" i="6"/>
  <c r="L260" i="6" s="1"/>
  <c r="Q199" i="6"/>
  <c r="S199" i="6" s="1"/>
  <c r="P199" i="6"/>
  <c r="L199" i="6"/>
  <c r="Q198" i="6"/>
  <c r="S198" i="6" s="1"/>
  <c r="P198" i="6"/>
  <c r="L198" i="6"/>
  <c r="Q197" i="6"/>
  <c r="S197" i="6" s="1"/>
  <c r="P197" i="6"/>
  <c r="L197" i="6"/>
  <c r="Q196" i="6"/>
  <c r="P196" i="6"/>
  <c r="L196" i="6"/>
  <c r="Q195" i="6"/>
  <c r="S195" i="6" s="1"/>
  <c r="P195" i="6"/>
  <c r="L195" i="6"/>
  <c r="Q194" i="6"/>
  <c r="S194" i="6" s="1"/>
  <c r="P194" i="6"/>
  <c r="L194" i="6"/>
  <c r="Q193" i="6"/>
  <c r="P193" i="6"/>
  <c r="L193" i="6"/>
  <c r="Q192" i="6"/>
  <c r="S192" i="6" s="1"/>
  <c r="P192" i="6"/>
  <c r="L192" i="6"/>
  <c r="Q191" i="6"/>
  <c r="S191" i="6" s="1"/>
  <c r="P191" i="6"/>
  <c r="L191" i="6"/>
  <c r="Q190" i="6"/>
  <c r="S190" i="6" s="1"/>
  <c r="P190" i="6"/>
  <c r="L190" i="6"/>
  <c r="Q189" i="6"/>
  <c r="S189" i="6" s="1"/>
  <c r="P189" i="6"/>
  <c r="L189" i="6"/>
  <c r="Q187" i="6"/>
  <c r="S187" i="6" s="1"/>
  <c r="P187" i="6"/>
  <c r="L187" i="6"/>
  <c r="Q186" i="6"/>
  <c r="S186" i="6" s="1"/>
  <c r="P186" i="6"/>
  <c r="L186" i="6"/>
  <c r="Q185" i="6"/>
  <c r="S185" i="6" s="1"/>
  <c r="P185" i="6"/>
  <c r="L185" i="6"/>
  <c r="Q184" i="6"/>
  <c r="S184" i="6" s="1"/>
  <c r="P184" i="6"/>
  <c r="L184" i="6"/>
  <c r="Q183" i="6"/>
  <c r="P183" i="6"/>
  <c r="L183" i="6"/>
  <c r="Q182" i="6"/>
  <c r="S182" i="6" s="1"/>
  <c r="P182" i="6"/>
  <c r="L182" i="6"/>
  <c r="Q181" i="6"/>
  <c r="P181" i="6"/>
  <c r="L181" i="6"/>
  <c r="Q180" i="6"/>
  <c r="S180" i="6" s="1"/>
  <c r="P180" i="6"/>
  <c r="L180" i="6"/>
  <c r="Q179" i="6"/>
  <c r="S179" i="6" s="1"/>
  <c r="P179" i="6"/>
  <c r="L179" i="6"/>
  <c r="Q178" i="6"/>
  <c r="S178" i="6" s="1"/>
  <c r="P178" i="6"/>
  <c r="L178" i="6"/>
  <c r="Q177" i="6"/>
  <c r="S177" i="6" s="1"/>
  <c r="P177" i="6"/>
  <c r="L177" i="6"/>
  <c r="Q176" i="6"/>
  <c r="P176" i="6"/>
  <c r="L176" i="6"/>
  <c r="Q175" i="6"/>
  <c r="S175" i="6" s="1"/>
  <c r="P175" i="6"/>
  <c r="L175" i="6"/>
  <c r="Q174" i="6"/>
  <c r="S174" i="6" s="1"/>
  <c r="P174" i="6"/>
  <c r="L174" i="6"/>
  <c r="Q173" i="6"/>
  <c r="P173" i="6"/>
  <c r="L173" i="6"/>
  <c r="Q172" i="6"/>
  <c r="P172" i="6"/>
  <c r="L172" i="6"/>
  <c r="Q171" i="6"/>
  <c r="P171" i="6"/>
  <c r="L171" i="6"/>
  <c r="P170" i="6"/>
  <c r="L170" i="6"/>
  <c r="Q169" i="6"/>
  <c r="P169" i="6"/>
  <c r="L169" i="6"/>
  <c r="Q168" i="6"/>
  <c r="P168" i="6"/>
  <c r="L168" i="6"/>
  <c r="Q167" i="6"/>
  <c r="P167" i="6"/>
  <c r="L167" i="6"/>
  <c r="Q166" i="6"/>
  <c r="S166" i="6" s="1"/>
  <c r="P166" i="6"/>
  <c r="L166" i="6"/>
  <c r="Q165" i="6"/>
  <c r="S165" i="6" s="1"/>
  <c r="P165" i="6"/>
  <c r="L165" i="6"/>
  <c r="Q164" i="6"/>
  <c r="S164" i="6" s="1"/>
  <c r="P164" i="6"/>
  <c r="L164" i="6"/>
  <c r="Q163" i="6"/>
  <c r="S163" i="6" s="1"/>
  <c r="P163" i="6"/>
  <c r="L163" i="6"/>
  <c r="Q162" i="6"/>
  <c r="S162" i="6" s="1"/>
  <c r="P162" i="6"/>
  <c r="L162" i="6"/>
  <c r="Q161" i="6"/>
  <c r="S161" i="6" s="1"/>
  <c r="P161" i="6"/>
  <c r="L161" i="6"/>
  <c r="Q160" i="6"/>
  <c r="S160" i="6" s="1"/>
  <c r="P160" i="6"/>
  <c r="L160" i="6"/>
  <c r="Q159" i="6"/>
  <c r="S159" i="6" s="1"/>
  <c r="P159" i="6"/>
  <c r="L159" i="6"/>
  <c r="Q158" i="6"/>
  <c r="S158" i="6" s="1"/>
  <c r="P158" i="6"/>
  <c r="L158" i="6"/>
  <c r="Q157" i="6"/>
  <c r="S157" i="6" s="1"/>
  <c r="P157" i="6"/>
  <c r="L157" i="6"/>
  <c r="Q156" i="6"/>
  <c r="S156" i="6" s="1"/>
  <c r="P156" i="6"/>
  <c r="L156" i="6"/>
  <c r="Q155" i="6"/>
  <c r="S155" i="6" s="1"/>
  <c r="P155" i="6"/>
  <c r="L155" i="6"/>
  <c r="Q154" i="6"/>
  <c r="S154" i="6" s="1"/>
  <c r="P154" i="6"/>
  <c r="L154" i="6"/>
  <c r="Q153" i="6"/>
  <c r="P153" i="6"/>
  <c r="L153" i="6"/>
  <c r="Q152" i="6"/>
  <c r="P152" i="6"/>
  <c r="L152" i="6"/>
  <c r="Q151" i="6"/>
  <c r="P151" i="6"/>
  <c r="L151" i="6"/>
  <c r="Q150" i="6"/>
  <c r="P150" i="6"/>
  <c r="L150" i="6"/>
  <c r="Q149" i="6"/>
  <c r="P149" i="6"/>
  <c r="L149" i="6"/>
  <c r="Q148" i="6"/>
  <c r="P148" i="6"/>
  <c r="L148" i="6"/>
  <c r="Q147" i="6"/>
  <c r="P147" i="6"/>
  <c r="L147" i="6"/>
  <c r="Q146" i="6"/>
  <c r="P146" i="6"/>
  <c r="L146" i="6"/>
  <c r="Q145" i="6"/>
  <c r="P145" i="6"/>
  <c r="L145" i="6"/>
  <c r="Q144" i="6"/>
  <c r="P144" i="6"/>
  <c r="L144" i="6"/>
  <c r="Q143" i="6"/>
  <c r="P143" i="6"/>
  <c r="Q142" i="6"/>
  <c r="P142" i="6"/>
  <c r="L142" i="6"/>
  <c r="Q141" i="6"/>
  <c r="P141" i="6"/>
  <c r="L141" i="6"/>
  <c r="Q140" i="6"/>
  <c r="P140" i="6"/>
  <c r="L140" i="6"/>
  <c r="Q139" i="6"/>
  <c r="P139" i="6"/>
  <c r="L139" i="6"/>
  <c r="Q138" i="6"/>
  <c r="P138" i="6"/>
  <c r="L138" i="6"/>
  <c r="Q137" i="6"/>
  <c r="P137" i="6"/>
  <c r="L137" i="6"/>
  <c r="Q136" i="6"/>
  <c r="P136" i="6"/>
  <c r="L136" i="6"/>
  <c r="Q135" i="6"/>
  <c r="P135" i="6"/>
  <c r="L135" i="6"/>
  <c r="Q134" i="6"/>
  <c r="P134" i="6"/>
  <c r="L134" i="6"/>
  <c r="Q133" i="6"/>
  <c r="P133" i="6"/>
  <c r="L133" i="6"/>
  <c r="Q132" i="6"/>
  <c r="P132" i="6"/>
  <c r="L132" i="6"/>
  <c r="Q131" i="6"/>
  <c r="P131" i="6"/>
  <c r="L131" i="6"/>
  <c r="Q130" i="6"/>
  <c r="P130" i="6"/>
  <c r="L130" i="6"/>
  <c r="Q129" i="6"/>
  <c r="P129" i="6"/>
  <c r="L129" i="6"/>
  <c r="Q128" i="6"/>
  <c r="P128" i="6"/>
  <c r="L128" i="6"/>
  <c r="Q127" i="6"/>
  <c r="P127" i="6"/>
  <c r="L127" i="6"/>
  <c r="Q126" i="6"/>
  <c r="P126" i="6"/>
  <c r="L126" i="6"/>
  <c r="Q125" i="6"/>
  <c r="P125" i="6"/>
  <c r="L125" i="6"/>
  <c r="Q124" i="6"/>
  <c r="P124" i="6"/>
  <c r="Q123" i="6"/>
  <c r="P123" i="6"/>
  <c r="L123" i="6"/>
  <c r="Q122" i="6"/>
  <c r="P122" i="6"/>
  <c r="L122" i="6"/>
  <c r="Q121" i="6"/>
  <c r="P121" i="6"/>
  <c r="L121" i="6"/>
  <c r="Q120" i="6"/>
  <c r="P120" i="6"/>
  <c r="L120" i="6"/>
  <c r="Q119" i="6"/>
  <c r="P119" i="6"/>
  <c r="L119" i="6"/>
  <c r="Q118" i="6"/>
  <c r="P118" i="6"/>
  <c r="L118" i="6"/>
  <c r="Q117" i="6"/>
  <c r="P117" i="6"/>
  <c r="L117" i="6"/>
  <c r="Q116" i="6"/>
  <c r="P116" i="6"/>
  <c r="L116" i="6"/>
  <c r="Q115" i="6"/>
  <c r="P115" i="6"/>
  <c r="L115" i="6"/>
  <c r="Q114" i="6"/>
  <c r="P114" i="6"/>
  <c r="L114" i="6"/>
  <c r="Q113" i="6"/>
  <c r="P113" i="6"/>
  <c r="L113" i="6"/>
  <c r="Q112" i="6"/>
  <c r="P112" i="6"/>
  <c r="L112" i="6"/>
  <c r="Q111" i="6"/>
  <c r="P111" i="6"/>
  <c r="L111" i="6"/>
  <c r="Q110" i="6"/>
  <c r="P110" i="6"/>
  <c r="L110" i="6"/>
  <c r="Q109" i="6"/>
  <c r="P109" i="6"/>
  <c r="L109" i="6"/>
  <c r="Q108" i="6"/>
  <c r="P108" i="6"/>
  <c r="L108" i="6"/>
  <c r="Q107" i="6"/>
  <c r="P107" i="6"/>
  <c r="L107" i="6"/>
  <c r="Q106" i="6"/>
  <c r="P106" i="6"/>
  <c r="L106" i="6"/>
  <c r="Q105" i="6"/>
  <c r="P105" i="6"/>
  <c r="L105" i="6"/>
  <c r="Q104" i="6"/>
  <c r="P104" i="6"/>
  <c r="L104" i="6"/>
  <c r="Q103" i="6"/>
  <c r="P103" i="6"/>
  <c r="L103" i="6"/>
  <c r="Q102" i="6"/>
  <c r="P102" i="6"/>
  <c r="Q101" i="6"/>
  <c r="P101" i="6"/>
  <c r="L101" i="6"/>
  <c r="Q100" i="6"/>
  <c r="P100" i="6"/>
  <c r="L100" i="6"/>
  <c r="Q99" i="6"/>
  <c r="P99" i="6"/>
  <c r="L99" i="6"/>
  <c r="Q98" i="6"/>
  <c r="P98" i="6"/>
  <c r="L98" i="6"/>
  <c r="Q97" i="6"/>
  <c r="P97" i="6"/>
  <c r="L97" i="6"/>
  <c r="Q96" i="6"/>
  <c r="P96" i="6"/>
  <c r="L96" i="6"/>
  <c r="Q95" i="6"/>
  <c r="P95" i="6"/>
  <c r="L95" i="6"/>
  <c r="Q94" i="6"/>
  <c r="P94" i="6"/>
  <c r="L94" i="6"/>
  <c r="Q93" i="6"/>
  <c r="P93" i="6"/>
  <c r="L93" i="6"/>
  <c r="Q92" i="6"/>
  <c r="P92" i="6"/>
  <c r="L92" i="6"/>
  <c r="Q91" i="6"/>
  <c r="P91" i="6"/>
  <c r="L91" i="6"/>
  <c r="Q90" i="6"/>
  <c r="P90" i="6"/>
  <c r="L90" i="6"/>
  <c r="Q89" i="6"/>
  <c r="P89" i="6"/>
  <c r="L89" i="6"/>
  <c r="Q88" i="6"/>
  <c r="P88" i="6"/>
  <c r="L88" i="6"/>
  <c r="Q87" i="6"/>
  <c r="P87" i="6"/>
  <c r="L87" i="6"/>
  <c r="Q86" i="6"/>
  <c r="P86" i="6"/>
  <c r="L86" i="6"/>
  <c r="Q85" i="6"/>
  <c r="P85" i="6"/>
  <c r="L85" i="6"/>
  <c r="Q84" i="6"/>
  <c r="P84" i="6"/>
  <c r="L84" i="6"/>
  <c r="Q83" i="6"/>
  <c r="P83" i="6"/>
  <c r="L83" i="6"/>
  <c r="Q82" i="6"/>
  <c r="P82" i="6"/>
  <c r="L82" i="6"/>
  <c r="Q81" i="6"/>
  <c r="P81" i="6"/>
  <c r="L81" i="6"/>
  <c r="Q80" i="6"/>
  <c r="P80" i="6"/>
  <c r="L80" i="6"/>
  <c r="Q79" i="6"/>
  <c r="P79" i="6"/>
  <c r="L79" i="6"/>
  <c r="Q78" i="6"/>
  <c r="P78" i="6"/>
  <c r="L78" i="6"/>
  <c r="Q77" i="6"/>
  <c r="P77" i="6"/>
  <c r="L77" i="6"/>
  <c r="Q76" i="6"/>
  <c r="P76" i="6"/>
  <c r="L76" i="6"/>
  <c r="Q75" i="6"/>
  <c r="P75" i="6"/>
  <c r="L75" i="6"/>
  <c r="Q74" i="6"/>
  <c r="P74" i="6"/>
  <c r="L74" i="6"/>
  <c r="Q73" i="6"/>
  <c r="P73" i="6"/>
  <c r="L73" i="6"/>
  <c r="Q72" i="6"/>
  <c r="P72" i="6"/>
  <c r="L72" i="6"/>
  <c r="Q71" i="6"/>
  <c r="P71" i="6"/>
  <c r="L71" i="6"/>
  <c r="Q70" i="6"/>
  <c r="P70" i="6"/>
  <c r="L70" i="6"/>
  <c r="Q69" i="6"/>
  <c r="P69" i="6"/>
  <c r="L69" i="6"/>
  <c r="Q68" i="6"/>
  <c r="P68" i="6"/>
  <c r="L68" i="6"/>
  <c r="Q67" i="6"/>
  <c r="P67" i="6"/>
  <c r="L67" i="6"/>
  <c r="Q66" i="6"/>
  <c r="P66" i="6"/>
  <c r="L66" i="6"/>
  <c r="P65" i="6"/>
  <c r="Q64" i="6"/>
  <c r="P64" i="6"/>
  <c r="L64" i="6"/>
  <c r="Q63" i="6"/>
  <c r="P63" i="6"/>
  <c r="L63" i="6"/>
  <c r="Q62" i="6"/>
  <c r="P62" i="6"/>
  <c r="L62" i="6"/>
  <c r="Q61" i="6"/>
  <c r="P61" i="6"/>
  <c r="L61" i="6"/>
  <c r="Q60" i="6"/>
  <c r="P60" i="6"/>
  <c r="L60" i="6"/>
  <c r="Q59" i="6"/>
  <c r="P59" i="6"/>
  <c r="L59" i="6"/>
  <c r="Q58" i="6"/>
  <c r="P58" i="6"/>
  <c r="L58" i="6"/>
  <c r="Q57" i="6"/>
  <c r="P57" i="6"/>
  <c r="L57" i="6"/>
  <c r="Q56" i="6"/>
  <c r="P56" i="6"/>
  <c r="L56" i="6"/>
  <c r="Q55" i="6"/>
  <c r="P55" i="6"/>
  <c r="L55" i="6"/>
  <c r="Q54" i="6"/>
  <c r="P54" i="6"/>
  <c r="L54" i="6"/>
  <c r="Q53" i="6"/>
  <c r="P53" i="6"/>
  <c r="L53" i="6"/>
  <c r="Q52" i="6"/>
  <c r="P52" i="6"/>
  <c r="L52" i="6"/>
  <c r="Q51" i="6"/>
  <c r="P51" i="6"/>
  <c r="L51" i="6"/>
  <c r="Q50" i="6"/>
  <c r="P50" i="6"/>
  <c r="L50" i="6"/>
  <c r="Q49" i="6"/>
  <c r="P49" i="6"/>
  <c r="L49" i="6"/>
  <c r="Q48" i="6"/>
  <c r="P48" i="6"/>
  <c r="L48" i="6"/>
  <c r="Q47" i="6"/>
  <c r="P47" i="6"/>
  <c r="L47" i="6"/>
  <c r="Q46" i="6"/>
  <c r="P46" i="6"/>
  <c r="L46" i="6"/>
  <c r="Q45" i="6"/>
  <c r="P45" i="6"/>
  <c r="L45" i="6"/>
  <c r="Q44" i="6"/>
  <c r="P44" i="6"/>
  <c r="L44" i="6"/>
  <c r="Q43" i="6"/>
  <c r="P43" i="6"/>
  <c r="Q42" i="6"/>
  <c r="P42" i="6"/>
  <c r="L42" i="6"/>
  <c r="Q41" i="6"/>
  <c r="P41" i="6"/>
  <c r="L41" i="6"/>
  <c r="Q40" i="6"/>
  <c r="P40" i="6"/>
  <c r="L40" i="6"/>
  <c r="Q39" i="6"/>
  <c r="P39" i="6"/>
  <c r="L39" i="6"/>
  <c r="Q38" i="6"/>
  <c r="P38" i="6"/>
  <c r="L38" i="6"/>
  <c r="Q37" i="6"/>
  <c r="P37" i="6"/>
  <c r="L37" i="6"/>
  <c r="Q36" i="6"/>
  <c r="P36" i="6"/>
  <c r="L36" i="6"/>
  <c r="Q35" i="6"/>
  <c r="P35" i="6"/>
  <c r="L35" i="6"/>
  <c r="Q34" i="6"/>
  <c r="P34" i="6"/>
  <c r="L34" i="6"/>
  <c r="Q33" i="6"/>
  <c r="P33" i="6"/>
  <c r="Q32" i="6"/>
  <c r="P32" i="6"/>
  <c r="L32" i="6"/>
  <c r="Q31" i="6"/>
  <c r="P31" i="6"/>
  <c r="L31" i="6"/>
  <c r="Q30" i="6"/>
  <c r="P30" i="6"/>
  <c r="L30" i="6"/>
  <c r="Q29" i="6"/>
  <c r="P29" i="6"/>
  <c r="L29" i="6"/>
  <c r="Q28" i="6"/>
  <c r="P28" i="6"/>
  <c r="L28" i="6"/>
  <c r="Q27" i="6"/>
  <c r="P27" i="6"/>
  <c r="L27" i="6"/>
  <c r="Q26" i="6"/>
  <c r="P26" i="6"/>
  <c r="L26" i="6"/>
  <c r="Q25" i="6"/>
  <c r="P25" i="6"/>
  <c r="L25" i="6"/>
  <c r="Q24" i="6"/>
  <c r="P24" i="6"/>
  <c r="L24" i="6"/>
  <c r="Q23" i="6"/>
  <c r="P23" i="6"/>
  <c r="L23" i="6"/>
  <c r="Q22" i="6"/>
  <c r="P22" i="6"/>
  <c r="L22" i="6"/>
  <c r="Q21" i="6"/>
  <c r="P21" i="6"/>
  <c r="L21" i="6"/>
  <c r="Q20" i="6"/>
  <c r="P20" i="6"/>
  <c r="L20" i="6"/>
  <c r="Q19" i="6"/>
  <c r="P19" i="6"/>
  <c r="L19" i="6"/>
  <c r="Q18" i="6"/>
  <c r="P18" i="6"/>
  <c r="L18" i="6"/>
  <c r="Q17" i="6"/>
  <c r="P17" i="6"/>
  <c r="L17" i="6"/>
  <c r="Q16" i="6"/>
  <c r="P16" i="6"/>
  <c r="L16" i="6"/>
  <c r="Q15" i="6"/>
  <c r="P15" i="6"/>
  <c r="Q14" i="6"/>
  <c r="P14" i="6"/>
  <c r="L14" i="6"/>
  <c r="Q13" i="6"/>
  <c r="P13" i="6"/>
  <c r="L13" i="6"/>
  <c r="Q12" i="6"/>
  <c r="P12" i="6"/>
  <c r="L12" i="6"/>
  <c r="Q11" i="6"/>
  <c r="P11" i="6"/>
  <c r="L11" i="6"/>
  <c r="Q10" i="6"/>
  <c r="P10" i="6"/>
  <c r="L10" i="6"/>
  <c r="Q9" i="6"/>
  <c r="P9" i="6"/>
  <c r="L9" i="6"/>
  <c r="Q8" i="6"/>
  <c r="P8" i="6"/>
  <c r="L8" i="6"/>
  <c r="Q7" i="6"/>
  <c r="P7" i="6"/>
  <c r="L7" i="6"/>
  <c r="Q6" i="6"/>
  <c r="P6" i="6"/>
  <c r="L6" i="6"/>
  <c r="Q5" i="6"/>
  <c r="P5" i="6"/>
  <c r="L5" i="6"/>
  <c r="Q4" i="6"/>
  <c r="P4" i="6"/>
  <c r="L4" i="6"/>
  <c r="F1" i="6"/>
  <c r="F1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5" i="5"/>
  <c r="L206" i="5"/>
  <c r="L207" i="5"/>
  <c r="L4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9" i="5"/>
  <c r="Q170" i="5"/>
  <c r="Q171" i="5"/>
  <c r="Q172" i="5"/>
  <c r="Q173" i="5"/>
  <c r="Q174" i="5"/>
  <c r="Q175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5" i="5"/>
  <c r="Q206" i="5"/>
  <c r="Q207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S90" i="5" s="1"/>
  <c r="Q91" i="5"/>
  <c r="Q92" i="5"/>
  <c r="S92" i="5" s="1"/>
  <c r="Q93" i="5"/>
  <c r="S93" i="5" s="1"/>
  <c r="Q94" i="5"/>
  <c r="Q95" i="5"/>
  <c r="S95" i="5" s="1"/>
  <c r="Q96" i="5"/>
  <c r="S96" i="5" s="1"/>
  <c r="Q97" i="5"/>
  <c r="S97" i="5" s="1"/>
  <c r="Q98" i="5"/>
  <c r="S98" i="5" s="1"/>
  <c r="Q99" i="5"/>
  <c r="S99" i="5" s="1"/>
  <c r="Q100" i="5"/>
  <c r="Q101" i="5"/>
  <c r="S101" i="5" s="1"/>
  <c r="Q102" i="5"/>
  <c r="S102" i="5" s="1"/>
  <c r="Q103" i="5"/>
  <c r="S103" i="5" s="1"/>
  <c r="S10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S38" i="5" s="1"/>
  <c r="Q39" i="5"/>
  <c r="S39" i="5" s="1"/>
  <c r="Q40" i="5"/>
  <c r="S40" i="5" s="1"/>
  <c r="Q41" i="5"/>
  <c r="S41" i="5" s="1"/>
  <c r="Q42" i="5"/>
  <c r="S42" i="5" s="1"/>
  <c r="Q43" i="5"/>
  <c r="S43" i="5" s="1"/>
  <c r="Q44" i="5"/>
  <c r="S44" i="5" s="1"/>
  <c r="Q45" i="5"/>
  <c r="S45" i="5" s="1"/>
  <c r="Q46" i="5"/>
  <c r="S46" i="5" s="1"/>
  <c r="Q47" i="5"/>
  <c r="S47" i="5" s="1"/>
  <c r="Q48" i="5"/>
  <c r="S48" i="5" s="1"/>
  <c r="Q49" i="5"/>
  <c r="S49" i="5" s="1"/>
  <c r="Q50" i="5"/>
  <c r="S50" i="5" s="1"/>
  <c r="Q51" i="5"/>
  <c r="S51" i="5" s="1"/>
  <c r="Q52" i="5"/>
  <c r="S52" i="5" s="1"/>
  <c r="Q53" i="5"/>
  <c r="S53" i="5" s="1"/>
  <c r="Q54" i="5"/>
  <c r="S54" i="5" s="1"/>
  <c r="Q55" i="5"/>
  <c r="S55" i="5" s="1"/>
  <c r="Q56" i="5"/>
  <c r="S56" i="5" s="1"/>
  <c r="Q57" i="5"/>
  <c r="S57" i="5" s="1"/>
  <c r="Q58" i="5"/>
  <c r="S58" i="5" s="1"/>
  <c r="Q59" i="5"/>
  <c r="S59" i="5" s="1"/>
  <c r="Q60" i="5"/>
  <c r="S60" i="5" s="1"/>
  <c r="Q61" i="5"/>
  <c r="S61" i="5" s="1"/>
  <c r="Q62" i="5"/>
  <c r="S62" i="5" s="1"/>
  <c r="Q63" i="5"/>
  <c r="S63" i="5" s="1"/>
  <c r="Q64" i="5"/>
  <c r="S64" i="5" s="1"/>
  <c r="Q65" i="5"/>
  <c r="S65" i="5" s="1"/>
  <c r="Q66" i="5"/>
  <c r="S66" i="5" s="1"/>
  <c r="Q67" i="5"/>
  <c r="S67" i="5" s="1"/>
  <c r="Q68" i="5"/>
  <c r="S68" i="5" s="1"/>
  <c r="Q69" i="5"/>
  <c r="S69" i="5" s="1"/>
  <c r="Q70" i="5"/>
  <c r="S70" i="5" s="1"/>
  <c r="Q71" i="5"/>
  <c r="S71" i="5" s="1"/>
  <c r="Q72" i="5"/>
  <c r="S72" i="5" s="1"/>
  <c r="Q4" i="5"/>
  <c r="P173" i="5"/>
  <c r="P174" i="5"/>
  <c r="P175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5" i="5"/>
  <c r="P206" i="5"/>
  <c r="P207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65" i="5"/>
  <c r="P66" i="5"/>
  <c r="P67" i="5"/>
  <c r="P68" i="5"/>
  <c r="P69" i="5"/>
  <c r="P70" i="5"/>
  <c r="P71" i="5"/>
  <c r="P72" i="5"/>
  <c r="P73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43" i="5"/>
  <c r="P44" i="5"/>
  <c r="P45" i="5"/>
  <c r="P46" i="5"/>
  <c r="P47" i="5"/>
  <c r="P31" i="5"/>
  <c r="P32" i="5"/>
  <c r="P33" i="5"/>
  <c r="P34" i="5"/>
  <c r="P35" i="5"/>
  <c r="P36" i="5"/>
  <c r="P37" i="5"/>
  <c r="P38" i="5"/>
  <c r="P39" i="5"/>
  <c r="P40" i="5"/>
  <c r="P41" i="5"/>
  <c r="P42" i="5"/>
  <c r="P25" i="5"/>
  <c r="P26" i="5"/>
  <c r="P27" i="5"/>
  <c r="P28" i="5"/>
  <c r="P29" i="5"/>
  <c r="P30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5" i="5"/>
  <c r="P6" i="5"/>
  <c r="P7" i="5"/>
  <c r="P4" i="5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O11" i="1"/>
  <c r="F11" i="1"/>
  <c r="F10" i="1"/>
  <c r="O9" i="1"/>
  <c r="J9" i="1"/>
  <c r="H9" i="1"/>
  <c r="I9" i="1" s="1"/>
  <c r="F9" i="1"/>
  <c r="O8" i="1"/>
  <c r="L8" i="1"/>
  <c r="S228" i="6" l="1"/>
  <c r="S227" i="6"/>
  <c r="S226" i="6"/>
  <c r="S225" i="6"/>
  <c r="S224" i="6"/>
  <c r="S223" i="6"/>
  <c r="S221" i="6"/>
  <c r="S220" i="6"/>
  <c r="S219" i="6"/>
  <c r="S218" i="6"/>
  <c r="S217" i="6"/>
  <c r="S216" i="6"/>
  <c r="S214" i="6"/>
  <c r="S213" i="6"/>
  <c r="S212" i="6"/>
  <c r="S222" i="6"/>
  <c r="S229" i="6"/>
  <c r="S215" i="6"/>
  <c r="S211" i="6"/>
  <c r="S210" i="6"/>
  <c r="S209" i="6"/>
  <c r="S208" i="6"/>
  <c r="S207" i="6"/>
  <c r="S206" i="6"/>
  <c r="S241" i="6"/>
  <c r="S242" i="6"/>
  <c r="S243" i="6"/>
  <c r="S246" i="6"/>
  <c r="S247" i="6"/>
  <c r="S248" i="6"/>
  <c r="S245" i="6"/>
  <c r="S244" i="6"/>
  <c r="S204" i="6"/>
  <c r="S203" i="6"/>
  <c r="S205" i="6"/>
  <c r="S201" i="6"/>
  <c r="S200" i="6"/>
  <c r="S202" i="6"/>
  <c r="S230" i="6"/>
  <c r="S196" i="6"/>
  <c r="S193" i="6"/>
  <c r="S183" i="6"/>
  <c r="S176" i="6"/>
  <c r="S181" i="6"/>
  <c r="S225" i="5"/>
  <c r="S226" i="5"/>
  <c r="S227" i="5"/>
  <c r="S228" i="5"/>
  <c r="S229" i="5"/>
  <c r="S100" i="5"/>
  <c r="S230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4" i="5"/>
  <c r="S265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L274" i="5"/>
  <c r="S231" i="5"/>
  <c r="S249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76" i="5"/>
  <c r="S79" i="5"/>
  <c r="S86" i="5"/>
  <c r="S94" i="5"/>
  <c r="S75" i="5"/>
  <c r="S77" i="5"/>
  <c r="S82" i="5"/>
  <c r="S85" i="5"/>
  <c r="S89" i="5"/>
  <c r="S74" i="5"/>
  <c r="S78" i="5"/>
  <c r="S81" i="5"/>
  <c r="S84" i="5"/>
  <c r="S88" i="5"/>
  <c r="S91" i="5"/>
  <c r="S73" i="5"/>
  <c r="S80" i="5"/>
  <c r="S83" i="5"/>
  <c r="S87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5" i="5"/>
  <c r="S206" i="5"/>
  <c r="S207" i="5"/>
  <c r="S4" i="5"/>
  <c r="S69" i="6"/>
  <c r="S64" i="6"/>
  <c r="S173" i="6"/>
  <c r="S172" i="6"/>
  <c r="S171" i="6"/>
  <c r="S169" i="6"/>
  <c r="S168" i="6"/>
  <c r="S167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98" i="6"/>
  <c r="S97" i="6"/>
  <c r="S96" i="6"/>
  <c r="S94" i="6"/>
  <c r="S92" i="6"/>
  <c r="S91" i="6"/>
  <c r="S89" i="6"/>
  <c r="S88" i="6"/>
  <c r="S87" i="6"/>
  <c r="S86" i="6"/>
  <c r="S85" i="6"/>
  <c r="S84" i="6"/>
  <c r="S82" i="6"/>
  <c r="S81" i="6"/>
  <c r="S80" i="6"/>
  <c r="S78" i="6"/>
  <c r="S77" i="6"/>
  <c r="S76" i="6"/>
  <c r="S74" i="6"/>
  <c r="S73" i="6"/>
  <c r="S72" i="6"/>
  <c r="S70" i="6"/>
  <c r="S100" i="6"/>
  <c r="S99" i="6"/>
  <c r="S95" i="6"/>
  <c r="S93" i="6"/>
  <c r="S90" i="6"/>
  <c r="S83" i="6"/>
  <c r="S79" i="6"/>
  <c r="S75" i="6"/>
  <c r="S71" i="6"/>
  <c r="S68" i="6"/>
  <c r="S67" i="6"/>
  <c r="S66" i="6"/>
  <c r="S65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J10" i="1"/>
  <c r="L9" i="1"/>
  <c r="K9" i="1" s="1"/>
  <c r="H10" i="1" s="1"/>
  <c r="I10" i="1" s="1"/>
  <c r="L10" i="1" s="1"/>
  <c r="J11" i="1"/>
  <c r="S260" i="6" l="1"/>
  <c r="S274" i="5"/>
  <c r="K10" i="1"/>
  <c r="H11" i="1" s="1"/>
  <c r="I11" i="1" s="1"/>
  <c r="L11" i="1" s="1"/>
  <c r="J12" i="1"/>
  <c r="K11" i="1" l="1"/>
  <c r="H12" i="1" s="1"/>
  <c r="I12" i="1" s="1"/>
  <c r="L12" i="1" s="1"/>
  <c r="J13" i="1"/>
  <c r="K12" i="1" l="1"/>
  <c r="H13" i="1" s="1"/>
  <c r="I13" i="1" s="1"/>
  <c r="L13" i="1" s="1"/>
  <c r="J14" i="1"/>
  <c r="K13" i="1" l="1"/>
  <c r="H14" i="1" s="1"/>
  <c r="I14" i="1" s="1"/>
  <c r="L14" i="1" s="1"/>
  <c r="J15" i="1"/>
  <c r="K14" i="1" l="1"/>
  <c r="H15" i="1" s="1"/>
  <c r="I15" i="1" s="1"/>
  <c r="L15" i="1" s="1"/>
  <c r="J16" i="1"/>
  <c r="K15" i="1" l="1"/>
  <c r="H16" i="1" s="1"/>
  <c r="I16" i="1" s="1"/>
  <c r="L16" i="1" s="1"/>
  <c r="J17" i="1"/>
  <c r="K16" i="1" l="1"/>
  <c r="H17" i="1" s="1"/>
  <c r="I17" i="1" s="1"/>
  <c r="L17" i="1" s="1"/>
  <c r="J18" i="1"/>
  <c r="K17" i="1" l="1"/>
  <c r="H18" i="1" s="1"/>
  <c r="I18" i="1" s="1"/>
  <c r="L18" i="1" s="1"/>
  <c r="J19" i="1"/>
  <c r="K18" i="1" l="1"/>
  <c r="H19" i="1" s="1"/>
  <c r="I19" i="1" s="1"/>
  <c r="L19" i="1" s="1"/>
  <c r="J20" i="1"/>
  <c r="K19" i="1" l="1"/>
  <c r="H20" i="1" s="1"/>
  <c r="I20" i="1" s="1"/>
  <c r="L20" i="1" s="1"/>
  <c r="J21" i="1"/>
  <c r="K20" i="1" l="1"/>
  <c r="H21" i="1" s="1"/>
  <c r="I21" i="1" s="1"/>
  <c r="L21" i="1" s="1"/>
  <c r="J22" i="1"/>
  <c r="K21" i="1" l="1"/>
  <c r="H22" i="1" s="1"/>
  <c r="I22" i="1" s="1"/>
  <c r="L22" i="1" s="1"/>
  <c r="J23" i="1"/>
  <c r="K22" i="1" l="1"/>
  <c r="H23" i="1" s="1"/>
  <c r="I23" i="1" s="1"/>
  <c r="L23" i="1" s="1"/>
  <c r="J24" i="1"/>
  <c r="K23" i="1" l="1"/>
  <c r="H24" i="1" s="1"/>
  <c r="I24" i="1" s="1"/>
  <c r="L24" i="1" s="1"/>
  <c r="J25" i="1"/>
  <c r="K24" i="1" l="1"/>
  <c r="H25" i="1" s="1"/>
  <c r="I25" i="1" s="1"/>
  <c r="L25" i="1" s="1"/>
  <c r="J26" i="1"/>
  <c r="K25" i="1" l="1"/>
  <c r="H26" i="1" s="1"/>
  <c r="I26" i="1" s="1"/>
  <c r="L26" i="1" s="1"/>
  <c r="J27" i="1"/>
  <c r="K26" i="1" l="1"/>
  <c r="H27" i="1" s="1"/>
  <c r="I27" i="1" s="1"/>
  <c r="L27" i="1" s="1"/>
  <c r="J28" i="1"/>
  <c r="K27" i="1" l="1"/>
  <c r="H28" i="1" s="1"/>
  <c r="I28" i="1" s="1"/>
  <c r="L28" i="1" s="1"/>
  <c r="J29" i="1"/>
  <c r="K28" i="1" l="1"/>
  <c r="H29" i="1" s="1"/>
  <c r="I29" i="1" s="1"/>
  <c r="L29" i="1" s="1"/>
  <c r="J30" i="1"/>
  <c r="K29" i="1" l="1"/>
  <c r="H30" i="1" s="1"/>
  <c r="I30" i="1" s="1"/>
  <c r="L30" i="1" s="1"/>
  <c r="K30" i="1" s="1"/>
  <c r="O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Q248" authorId="0" shapeId="0" xr:uid="{F26A583E-D86D-4E6A-8FC9-8304A3AE180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<sst xmlns="http://schemas.openxmlformats.org/spreadsheetml/2006/main" count="2375" uniqueCount="1089">
  <si>
    <t>ENTIDAD:</t>
  </si>
  <si>
    <t>BIEN:</t>
  </si>
  <si>
    <t>ALMACÉN:</t>
  </si>
  <si>
    <t>MÉTODO:</t>
  </si>
  <si>
    <t>Costo Promedio Móvil</t>
  </si>
  <si>
    <t>Fecha</t>
  </si>
  <si>
    <t>Documento (NEA/PECOSA)</t>
  </si>
  <si>
    <t>Detalle/Concepto</t>
  </si>
  <si>
    <t>ENTRADAS</t>
  </si>
  <si>
    <t>SALIDAS</t>
  </si>
  <si>
    <t>SALDO ACTUAL</t>
  </si>
  <si>
    <t>PANEL DE CONTROL LOGÍSTICO</t>
  </si>
  <si>
    <t>Cant.</t>
  </si>
  <si>
    <t>P.U.</t>
  </si>
  <si>
    <t>Total</t>
  </si>
  <si>
    <t>Indicador</t>
  </si>
  <si>
    <t>Resultado</t>
  </si>
  <si>
    <t>2026-05-01</t>
  </si>
  <si>
    <t>-</t>
  </si>
  <si>
    <t>SALDO INICIAL</t>
  </si>
  <si>
    <t>Total de PECOSAS (Salidas)</t>
  </si>
  <si>
    <t>Total de NEAs (Ingresos)</t>
  </si>
  <si>
    <t>Alertas de Stock Crítico (&lt;20)</t>
  </si>
  <si>
    <t>Operaciones del Día</t>
  </si>
  <si>
    <t>KARDEX DE ALMACÉN - VALORIZADO</t>
  </si>
  <si>
    <t>Ministerio Público - Gerencia Administrativa de Arequipa</t>
  </si>
  <si>
    <t>STOCK</t>
  </si>
  <si>
    <t>DESCRIPCION</t>
  </si>
  <si>
    <t>INGRESO</t>
  </si>
  <si>
    <t>VENCIDO</t>
  </si>
  <si>
    <t>CODIGO</t>
  </si>
  <si>
    <t>TAPA DE ASIENTO ELONGADO BLANCO 516 AV</t>
  </si>
  <si>
    <t>SALIDA</t>
  </si>
  <si>
    <t xml:space="preserve">MARCA </t>
  </si>
  <si>
    <t>FRATELLI</t>
  </si>
  <si>
    <t>SIKA</t>
  </si>
  <si>
    <t>ASIENTO PARA INODORO MODELO SIFON-JET FLAMIGO</t>
  </si>
  <si>
    <t>MELAMINEX</t>
  </si>
  <si>
    <t>ITALGRIF</t>
  </si>
  <si>
    <t xml:space="preserve">PEDESTAL BLANCO  MODELO VALLARTA </t>
  </si>
  <si>
    <t>ASIENTO PARA INODORO LIVIANO PP</t>
  </si>
  <si>
    <t>FIORI</t>
  </si>
  <si>
    <t>ASIENTO PARA BAÑO BLANCO</t>
  </si>
  <si>
    <t>GO GREEN</t>
  </si>
  <si>
    <t>EBRIEL</t>
  </si>
  <si>
    <t>DISPENSADOR HIGIENICO JUMBO- BLANCO</t>
  </si>
  <si>
    <t>DISPENSADOR DE TOALLA PALANCA - BLANCO</t>
  </si>
  <si>
    <t>DISPENSADOR DE JABON</t>
  </si>
  <si>
    <t>TRUPER</t>
  </si>
  <si>
    <t>FUMIGADOR PROFESIONALX 5 L - USO AGRICOLA</t>
  </si>
  <si>
    <t>ACUSTIC REY</t>
  </si>
  <si>
    <t>BASA</t>
  </si>
  <si>
    <t>ORANGE</t>
  </si>
  <si>
    <t>ONE PIECE MODELO ARTICO - BLANCO</t>
  </si>
  <si>
    <t>PARANTES</t>
  </si>
  <si>
    <t>HARDMAN</t>
  </si>
  <si>
    <t>00487</t>
  </si>
  <si>
    <t>PITBULL PROFESIONAL</t>
  </si>
  <si>
    <t>COMPRENSORA DE AIRE MODELO BYV-O.17/8A-SHIPSOL</t>
  </si>
  <si>
    <t>FIBRA FILL</t>
  </si>
  <si>
    <t xml:space="preserve">BARRAS DE SEGURIDAD </t>
  </si>
  <si>
    <t>CONOS DE SEGURIDAD</t>
  </si>
  <si>
    <t>CODO 45° DE 1/2" bls x50 UND</t>
  </si>
  <si>
    <t>IPS-AR</t>
  </si>
  <si>
    <t>TIGRE</t>
  </si>
  <si>
    <t xml:space="preserve">UNION UNIVERSAL CON ROSCA DE 1/2" </t>
  </si>
  <si>
    <t>CODO DE 90 DE 1/2" X 50 UND</t>
  </si>
  <si>
    <t>UNION UNIVERSAL CON ROSCA DE 3/4"</t>
  </si>
  <si>
    <t>T DE 3/4" CON ROSCA</t>
  </si>
  <si>
    <t>T DE 1/2" CON ROSCA</t>
  </si>
  <si>
    <t>NIPLE ADAPTADOR 1/2"</t>
  </si>
  <si>
    <t>METUSA</t>
  </si>
  <si>
    <t>TUBO DE ABASTO DE HILO TRENZADO DE 1/2"X1/2"AC</t>
  </si>
  <si>
    <t>TUBO DE ABASTO DE HILO TRENZADO DE 1/2"X7/8"AC</t>
  </si>
  <si>
    <t xml:space="preserve">JUEGO DE ACCESORIOS DE PLASTICO DE INODORO </t>
  </si>
  <si>
    <t>SANI</t>
  </si>
  <si>
    <t>VALVULA DE DESCARGA DE INODORO -ONE PIECE</t>
  </si>
  <si>
    <t>ROTOPLAST</t>
  </si>
  <si>
    <t>FLUXOMETRO PARA INODORO MODELO GS8105-2</t>
  </si>
  <si>
    <t>PARA MANTENIMIENTO</t>
  </si>
  <si>
    <t>ELECTRONIVEL PARA TANQUES Y CISTERNAS 220V</t>
  </si>
  <si>
    <t>C&amp;A</t>
  </si>
  <si>
    <t>ANILLO DE CERA CON GUIA REFORZADA PARA INODORO</t>
  </si>
  <si>
    <t>VALVULA PVC 1/2"</t>
  </si>
  <si>
    <t>SANKING</t>
  </si>
  <si>
    <t>TREBOL</t>
  </si>
  <si>
    <t>CUELLO DE ERA PARA INODORO SIN GUIA</t>
  </si>
  <si>
    <t>LLAVE PARA URINARIO TEMPORIZADO</t>
  </si>
  <si>
    <t xml:space="preserve">LLAVE DE 1/2" PARA URINARIO </t>
  </si>
  <si>
    <t>VAINSA</t>
  </si>
  <si>
    <t>FLUXOMETRO INDERECTO URINARIO 1.9 LT</t>
  </si>
  <si>
    <t>SISTEMA DUAL PARA ONE PIECE CON BOTONERA SUPERIOR CROMADA</t>
  </si>
  <si>
    <t>DESAGUE LARGO BRONCE CROMADO CON REJILLA 1 1/4X8</t>
  </si>
  <si>
    <t>DESAGUE LARGO BRONCE CROMADO  1 1/4X8</t>
  </si>
  <si>
    <t>HYDRA</t>
  </si>
  <si>
    <t>LLAVE DE LAVATORIO A PRESION SUPERIOR TEMPORIZADA VSI CON AEREADOR ANTIVANDALICO CROMO</t>
  </si>
  <si>
    <t>LLAVE TEMPORIZADA PARA LAVATORIO</t>
  </si>
  <si>
    <t>FORTALY PREMIUM</t>
  </si>
  <si>
    <t>CAÑO LAVATORIO X 2 UND</t>
  </si>
  <si>
    <t>BOLLA DE TANQUE DE AGUA DE 2" USADA</t>
  </si>
  <si>
    <t xml:space="preserve">REMOVEDORES DE POLVO </t>
  </si>
  <si>
    <t>ABRO</t>
  </si>
  <si>
    <t xml:space="preserve">FORMADOR DE EMPAQUE </t>
  </si>
  <si>
    <t>ADEX</t>
  </si>
  <si>
    <t>REGULADOR ESPECIAL CEMENTO TRANSPARANTE</t>
  </si>
  <si>
    <t>OATEY</t>
  </si>
  <si>
    <t>VALMAX</t>
  </si>
  <si>
    <t>VALVULAS PREMIUM CHECK SWING HORIZONTAL DE 1/2"</t>
  </si>
  <si>
    <t>VALVULAS PREMIUM CHECK SWING HORIZONTAL DE 3/4"</t>
  </si>
  <si>
    <t>LLAVE ESFERICA JARDIN CLASICO DE 1/2"</t>
  </si>
  <si>
    <t>SELLADOR DE SILICONA DE CURADO ACETICO CON FUNGICIDAS- NEGRO</t>
  </si>
  <si>
    <t>SELLADOR DE SILICONA DE CURADO ACETICO CON FUNGICIDAS- BLANCO</t>
  </si>
  <si>
    <t>SELLADOR DE SILICONA DE CURADO ACETICO CON FUNGICIDAS- TRANSPARENTE</t>
  </si>
  <si>
    <t xml:space="preserve">CINTA TEFLON </t>
  </si>
  <si>
    <t>SHURPTAPE</t>
  </si>
  <si>
    <t xml:space="preserve">ACEITE USOS MULTIPLES 3 EN 1 </t>
  </si>
  <si>
    <t>3 EN 1</t>
  </si>
  <si>
    <t>COA</t>
  </si>
  <si>
    <t>SANIFER</t>
  </si>
  <si>
    <t>IVALSA</t>
  </si>
  <si>
    <t>GRIFERIA PARA COCINA TIPO GANZO DE 1/2"</t>
  </si>
  <si>
    <t>JUEGO DE TRAMPA BOTELLA Y DESAGUE PLASTICO LAVATORIO DE 1 1/4" Y ACOPLE A 2"</t>
  </si>
  <si>
    <t>CAÑO DE LAVADERO DE 1/2"</t>
  </si>
  <si>
    <t>TEKNI CENTRO</t>
  </si>
  <si>
    <t>GRIFERIA NT</t>
  </si>
  <si>
    <t>TRAVEX</t>
  </si>
  <si>
    <t>VENEZIA</t>
  </si>
  <si>
    <t>CANTOL</t>
  </si>
  <si>
    <t>CERRADURA DE MANIJA  LINEA BRISA - BRONCE ANTIGUO</t>
  </si>
  <si>
    <t xml:space="preserve">BROCA PARA CEMENTO 1/18" </t>
  </si>
  <si>
    <t>BOSCH</t>
  </si>
  <si>
    <t>BROCA PARA CEMENTO 5/16"</t>
  </si>
  <si>
    <t xml:space="preserve">TUBO DE PVC SAL 3IN 3M </t>
  </si>
  <si>
    <t>INYECTOPLAST</t>
  </si>
  <si>
    <t>CANDADO X50MM SERIE Y110-50</t>
  </si>
  <si>
    <t>YALE</t>
  </si>
  <si>
    <t>CANDADO 114-70MM CORTINA ANTIPALANCA</t>
  </si>
  <si>
    <t>CERRADURA MECÁNICA CON TRAMPA FRONTAL PARA CAJONERA</t>
  </si>
  <si>
    <t>RODILLO PARA PINTAR DE 9"</t>
  </si>
  <si>
    <t>TORO</t>
  </si>
  <si>
    <t>ASTARA</t>
  </si>
  <si>
    <t>LIJA DE METAL N° 100 X50 UND</t>
  </si>
  <si>
    <t>LIJA DE METAL N° 80 X50 UND</t>
  </si>
  <si>
    <t>ABRALIT</t>
  </si>
  <si>
    <t>LIJA DE METAL N° 120 X50 UND</t>
  </si>
  <si>
    <t>LIJA AL AGUA DE 220X50 UND</t>
  </si>
  <si>
    <t>UTUSTOOLS</t>
  </si>
  <si>
    <t>BROCHA  DE 1"</t>
  </si>
  <si>
    <t>BROCHA  DE 2"</t>
  </si>
  <si>
    <t>AGUILA</t>
  </si>
  <si>
    <t>TUMI</t>
  </si>
  <si>
    <t>BROCHA DE 3"</t>
  </si>
  <si>
    <t>BROCHA DE 4"</t>
  </si>
  <si>
    <t>ATLAS</t>
  </si>
  <si>
    <t>RODILLO PARA PINTAR DE 3"</t>
  </si>
  <si>
    <t>KINTI</t>
  </si>
  <si>
    <t>RODILLO PARA PINTAR DE 4"</t>
  </si>
  <si>
    <t>RODILLO PARA PINTAR DE 7"</t>
  </si>
  <si>
    <t>ORDEN DE COMPRA</t>
  </si>
  <si>
    <t>FECHA</t>
  </si>
  <si>
    <t>OBSERVACIONES</t>
  </si>
  <si>
    <t>MATERIAL DEL ING DE SEGURIDAD</t>
  </si>
  <si>
    <t>USADO PARA DAR DE BAJA</t>
  </si>
  <si>
    <t>ITEM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</si>
  <si>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</si>
  <si>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</si>
  <si>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</si>
  <si>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</si>
  <si>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</si>
  <si>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</si>
  <si>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</si>
  <si>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</si>
  <si>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</si>
  <si>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</si>
  <si>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</si>
  <si>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</si>
  <si>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</si>
  <si>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</si>
  <si>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</si>
  <si>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</si>
  <si>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</si>
  <si>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</si>
  <si>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</si>
  <si>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</si>
  <si>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</si>
  <si>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</si>
  <si>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</si>
  <si>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</si>
  <si>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</si>
  <si>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</si>
  <si>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</si>
  <si>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</si>
  <si>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</si>
  <si>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</si>
  <si>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</si>
  <si>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</si>
  <si>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</si>
  <si>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</si>
  <si>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</si>
  <si>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</si>
  <si>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</si>
  <si>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</si>
  <si>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</si>
  <si>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</si>
  <si>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</si>
  <si>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</si>
  <si>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</si>
  <si>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</si>
  <si>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</si>
  <si>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</si>
  <si>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</si>
  <si>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</si>
  <si>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</si>
  <si>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</si>
  <si>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</si>
  <si>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</si>
  <si>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</si>
  <si>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</si>
  <si>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</si>
  <si>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</si>
  <si>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</si>
  <si>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</si>
  <si>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</si>
  <si>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</si>
  <si>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</si>
  <si>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</si>
  <si>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</si>
  <si>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</si>
  <si>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</si>
  <si>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</si>
  <si>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</si>
  <si>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</si>
  <si>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</si>
  <si>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</si>
  <si>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</si>
  <si>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</si>
  <si>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</si>
  <si>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</si>
  <si>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</si>
  <si>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</si>
  <si>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</si>
  <si>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</si>
  <si>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</si>
  <si>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</si>
  <si>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</si>
  <si>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</si>
  <si>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</si>
  <si>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</si>
  <si>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</si>
  <si>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</si>
  <si>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</si>
  <si>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</si>
  <si>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</si>
  <si>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</si>
  <si>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</si>
  <si>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</si>
  <si>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</si>
  <si>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</si>
  <si>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</si>
  <si>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</si>
  <si>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</si>
  <si>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</si>
  <si>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</si>
  <si>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</si>
  <si>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</si>
  <si>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</si>
  <si>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</si>
  <si>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</si>
  <si>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</si>
  <si>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</si>
  <si>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</si>
  <si>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</si>
  <si>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</si>
  <si>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</si>
  <si>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CUERINA SINTÉTICA X50m (ROLLO)</t>
  </si>
  <si>
    <t>BALDOSAS CIELO RAZO 603X603X7mm -  10 UNID(CAJA)</t>
  </si>
  <si>
    <t>CANALETAS CON PEGAMENTO 14mmX24mm X 25 UND</t>
  </si>
  <si>
    <t>UNIONES UNIVERSALES DE 1"</t>
  </si>
  <si>
    <t>T DE 1" SIN ROSCA</t>
  </si>
  <si>
    <t>T DE 1/2" SIN ROSCA</t>
  </si>
  <si>
    <t>CODO 90° DE 3/4" bls x30 UND</t>
  </si>
  <si>
    <t>PERNOS CON TUERCAS bls x2500 UND</t>
  </si>
  <si>
    <t>UNION UNIVERSAL CON ROSCA DE 1/2" bls X20</t>
  </si>
  <si>
    <t>CODO 45° DE 3/4" bls X30</t>
  </si>
  <si>
    <t>CINTA MASKINGTAPE DE 2" X 40 yds</t>
  </si>
  <si>
    <t>CINTA DE MONTAJE DOBLE CARA 19mmX10m</t>
  </si>
  <si>
    <t>CINTA DE MONTAJE DOBLE CARA 19mmX5m</t>
  </si>
  <si>
    <t>CERRADURAS PARA ESCRITORIOS 19XL 22mm</t>
  </si>
  <si>
    <t>SIKAFLEX  11FC PURFORM  20X600m L/790G</t>
  </si>
  <si>
    <t>SISTEMA DE LLENADO DE 19,05mm DE 3/4" (FLOTADOR)</t>
  </si>
  <si>
    <t>SISTEMA DE LLENADO DE 19,05mmDE 3/4" (FLOTADOR)</t>
  </si>
  <si>
    <t>CERRADURA MECANICA 3 GOLPES  911 - PIVOTES DE 19mm</t>
  </si>
  <si>
    <t>CINTA ADHESIA ANTIDESLIZANTE DE 5cm X 18m</t>
  </si>
  <si>
    <t>ESPATULA  M MADERA  4"  100mm</t>
  </si>
  <si>
    <t>NACIONAL</t>
  </si>
  <si>
    <t>CHEMA</t>
  </si>
  <si>
    <t>SOLQUIN</t>
  </si>
  <si>
    <t>PARACAS</t>
  </si>
  <si>
    <t>PINTURA EN SPRAY COLOR GRIS</t>
  </si>
  <si>
    <t>PINTURA EN SPRAY ANTICORROSIVO COLOR GRIS</t>
  </si>
  <si>
    <t>KNAUF</t>
  </si>
  <si>
    <t xml:space="preserve">ULTRACRAFT  </t>
  </si>
  <si>
    <t>PINTURA EN SPRAY COLOR BLANCO MATE</t>
  </si>
  <si>
    <t>PINTURA EN SPRAY COLOR BLANCO BRILLANTE</t>
  </si>
  <si>
    <t>PINTURA EN SPRAY COLOR NEGRO MATE</t>
  </si>
  <si>
    <t>SCHUBERT</t>
  </si>
  <si>
    <t>ESMALTE ACRILICO EN AEROSOL TRANSPARENTE</t>
  </si>
  <si>
    <t>ESMALTE ACRILICO EN AEROSOL NEGRO MATE</t>
  </si>
  <si>
    <t>PINTURA EN SPRAY COLOR NEGRO BRILLANTE</t>
  </si>
  <si>
    <t>CPP</t>
  </si>
  <si>
    <t>PINTURA LATEX DE ACABADO SATINADO COLOR AZUL X  (1 GALON)</t>
  </si>
  <si>
    <t>PINTURA LATEX DE ACABADO SATINADO COLOR BLANCO X  (4 GALON)</t>
  </si>
  <si>
    <t>PINTURA LATEX DE ACABADO SATINADO COLOR GRIS CLARO X  (4 GALON)</t>
  </si>
  <si>
    <t>PINTURA LATEX DE ACABADO MATE COLOR ROJO TEJA X  (1 GALON)</t>
  </si>
  <si>
    <t xml:space="preserve">CPP </t>
  </si>
  <si>
    <t>PINTURA LATEX DE ACABADO MATE COLOR MARFIL  X  (1 GALON)</t>
  </si>
  <si>
    <t>PINTURA LATEX DE ACABADO MATE COLOR COLONIAL  X  (1 GALON)</t>
  </si>
  <si>
    <t>LOSARO</t>
  </si>
  <si>
    <t>PINTURA LATEX DE ACABADO MATE COLOR GRANITO  X  (1 GALON)</t>
  </si>
  <si>
    <t>SELLADOR COLOR BLANCO</t>
  </si>
  <si>
    <t>SELLADOR ANTISALITRE X 4KG</t>
  </si>
  <si>
    <t>RECUBRIMIENTO CEMENTICIO CHEMA TOP X 4KG</t>
  </si>
  <si>
    <t>CERA EN PASTA NEUTRAL X 4LT</t>
  </si>
  <si>
    <t>TEKNO</t>
  </si>
  <si>
    <t xml:space="preserve">ESMALTE SINTETICO GRIS CLARO </t>
  </si>
  <si>
    <t>ANYPSA</t>
  </si>
  <si>
    <t xml:space="preserve">ESMALTE SINTETICO BLANCO </t>
  </si>
  <si>
    <t>ESMALTE SINTETICO NEGRO</t>
  </si>
  <si>
    <t xml:space="preserve">LACA SELLADORA PARA MADERA </t>
  </si>
  <si>
    <t xml:space="preserve">ESMALTE EPOXICO -3/4 GALON </t>
  </si>
  <si>
    <t>CATALIZADOR EPOXICO - 0.900 LT</t>
  </si>
  <si>
    <t>PINTURA LATEX DE ACABADO SATINADO COLOR BLANCO X  (1 GALON)</t>
  </si>
  <si>
    <t>PINTURA LATEX DE ACABADO MATE COLOR BLANCO X  (1 GALON)</t>
  </si>
  <si>
    <t>PINTURA LATEX DE ACABADO SATINADO COLOR BLANCO INVIERNO X  (1 GALON)</t>
  </si>
  <si>
    <t>PINTURA LATEX MATE COLOR VERDE PERMANENTE</t>
  </si>
  <si>
    <t>VENCEDOR</t>
  </si>
  <si>
    <t>PINTURA LATEX MATE COLOR ALBARICOQUE</t>
  </si>
  <si>
    <t>TRIPODE PROFESIONAL MODELO BT 150</t>
  </si>
  <si>
    <t>MULTICORTADORA A BATERIA - GOP 18V -28</t>
  </si>
  <si>
    <t>AMOLADORA ANGULAR  - GWS 2200-180</t>
  </si>
  <si>
    <t>AMOLADORA ANGULAR  A BATERIA  GWS 18V-10P</t>
  </si>
  <si>
    <t>PISTOLA DE CALOR - GHG 20-63</t>
  </si>
  <si>
    <t>LASER LIGNES 3 X 360° - GLL 3-80 G</t>
  </si>
  <si>
    <t>LIJADORA DE BANDA GBS 75 AE</t>
  </si>
  <si>
    <t xml:space="preserve">PISTOLA DE AIRE </t>
  </si>
  <si>
    <t>EINHELL</t>
  </si>
  <si>
    <t>KIT BASE CON BATERIAS DE IONES DE LITIO Y CARGADOR 2XGBA 18V 4,0Ah Y 1XGAL 1880 CV</t>
  </si>
  <si>
    <t>FRESADORA - GOF 130</t>
  </si>
  <si>
    <t>TALADRO DE PERCUSIÓN A BATERIA GBS 185-LI</t>
  </si>
  <si>
    <t>SIERRA INGLETEADORA TELESCOPICA GCM 254D</t>
  </si>
  <si>
    <t>ESMERILADORA DE BANCO GB 801 - 205mm</t>
  </si>
  <si>
    <t>MAKITA</t>
  </si>
  <si>
    <t>PRENSA DE HIERRO NODULAR DE 15CM</t>
  </si>
  <si>
    <t>PRENSA DE HIERRO NODULAR DE 20CM</t>
  </si>
  <si>
    <t>PRENSA DE HIERRO NODULAR DE 10CM</t>
  </si>
  <si>
    <t>DEBOR GERMANY</t>
  </si>
  <si>
    <t>CAJA DE BROCAS X 15 PCS HSS-Co DIN 338   1-13X0,5mm</t>
  </si>
  <si>
    <t>LLAVE AJUSTABLE  - PAVONADA 15"</t>
  </si>
  <si>
    <t>LLAVE AJUSTABLE  - PAVONADA 18"</t>
  </si>
  <si>
    <t>CAJA DE BROCAS X 6 PCS - AVELLANADOR</t>
  </si>
  <si>
    <t>ESCUADRA DE COMBINACION DE 12"</t>
  </si>
  <si>
    <t>JUEGO DE LLAVES INGLESAS X 4 PCS - 86-869</t>
  </si>
  <si>
    <t>STANLEY</t>
  </si>
  <si>
    <t>LLAVE AJUSTABLE - PAVONADA BLACK OXIDE 12"</t>
  </si>
  <si>
    <t>LLAVE AJUSTABLE - PAVONADA BLACK OXIDE 10"</t>
  </si>
  <si>
    <t>BROCAS COMBINATION DRILL &amp; TAP BIT X6 PCS</t>
  </si>
  <si>
    <t>TITANIUM</t>
  </si>
  <si>
    <t xml:space="preserve">BROCAS X 6 PCS   CYL -1 </t>
  </si>
  <si>
    <t>JUEGO DE COPLE Y CONECTORES RAPIDOS 1/4 NPT LATON SOLIDO X 5 PCS   19081 CORAL -5</t>
  </si>
  <si>
    <t>CUCHILLAS PARA CUTTER X 10 UND   18mm</t>
  </si>
  <si>
    <t>JUEGO DE BROCAS ESCALONADAS  X 3PCS  JBES-3 100988</t>
  </si>
  <si>
    <t>ESCUADRA FALSA MANGO DE ALUMINIO DE 9" - 14385</t>
  </si>
  <si>
    <t>ESCUADRA DE CARPINTERO DE ALUMINIO DE 7" - 15131</t>
  </si>
  <si>
    <t>DISCOS DE CORTE  BNA 12 -  115.0x1.0x22.2mm</t>
  </si>
  <si>
    <t>NORTON</t>
  </si>
  <si>
    <t>GANCHO DE SEGURIDAD DE DOBLE CIERRE - N-3610</t>
  </si>
  <si>
    <t xml:space="preserve">GUARDACABO DE 1/2" </t>
  </si>
  <si>
    <t>LLAVE PARA TUBO DE 48" STEILSON 1 220  - 15842</t>
  </si>
  <si>
    <t>USADOS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</si>
  <si>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</si>
  <si>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</si>
  <si>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</si>
  <si>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</si>
  <si>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</si>
  <si>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</si>
  <si>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</si>
  <si>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</si>
  <si>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</si>
  <si>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</si>
  <si>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</si>
  <si>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</si>
  <si>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</si>
  <si>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</si>
  <si>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</si>
  <si>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</si>
  <si>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</si>
  <si>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</si>
  <si>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</si>
  <si>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</si>
  <si>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</si>
  <si>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</si>
  <si>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</si>
  <si>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</si>
  <si>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</si>
  <si>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</si>
  <si>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</si>
  <si>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</si>
  <si>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</si>
  <si>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</si>
  <si>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</si>
  <si>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</si>
  <si>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</si>
  <si>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</si>
  <si>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</si>
  <si>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</si>
  <si>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</si>
  <si>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</si>
  <si>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</si>
  <si>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</si>
  <si>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</si>
  <si>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</si>
  <si>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</si>
  <si>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</si>
  <si>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</si>
  <si>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</si>
  <si>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</si>
  <si>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</si>
  <si>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</si>
  <si>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</si>
  <si>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</si>
  <si>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</si>
  <si>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</si>
  <si>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</si>
  <si>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</si>
  <si>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</si>
  <si>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</si>
  <si>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</si>
  <si>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</si>
  <si>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</si>
  <si>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</si>
  <si>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</si>
  <si>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</si>
  <si>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</si>
  <si>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</si>
  <si>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</si>
  <si>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</si>
  <si>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</si>
  <si>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</si>
  <si>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</si>
  <si>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</si>
  <si>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</si>
  <si>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</si>
  <si>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</si>
  <si>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</si>
  <si>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</si>
  <si>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</si>
  <si>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</si>
  <si>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BROCHA DE 2 1/2"</t>
  </si>
  <si>
    <t>RODILLO PARA PINTAR DE 6" (15cm)</t>
  </si>
  <si>
    <t>ADITIVO CHEMA PRIMER X 1 LT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</si>
  <si>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</si>
  <si>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</si>
  <si>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</si>
  <si>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</si>
  <si>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</si>
  <si>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</si>
  <si>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</si>
  <si>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</si>
  <si>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</si>
  <si>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UNIDAD DE MEDIDA</t>
  </si>
  <si>
    <t>METRO</t>
  </si>
  <si>
    <t>UNIDAD</t>
  </si>
  <si>
    <t>025500010176</t>
  </si>
  <si>
    <t>025500010360</t>
  </si>
  <si>
    <t>GALON</t>
  </si>
  <si>
    <t xml:space="preserve">OLEO MATE SINTETICO COLOR NEGRO  </t>
  </si>
  <si>
    <t xml:space="preserve">OLEO MATE SINTETICO COLOR GRANITO  </t>
  </si>
  <si>
    <t xml:space="preserve">OLEO MATE SINTETICO COLOR AZUL ELECTRICO </t>
  </si>
  <si>
    <t xml:space="preserve">OLEO MATE SINTETICO COLOR AMARILLO  </t>
  </si>
  <si>
    <t>CERRADURA DORMITORIO AI 2100 (PERILLA)</t>
  </si>
  <si>
    <t>DOC. SALIDA</t>
  </si>
  <si>
    <t>PECOSA</t>
  </si>
  <si>
    <t>F. CADUCIDAD</t>
  </si>
  <si>
    <t>CANTIDAD</t>
  </si>
  <si>
    <t>CERRADURA ALTA SEGURIDAD 3 GOLPES 911 - PIVOTES DE 19mm</t>
  </si>
  <si>
    <t>LOTE 2022</t>
  </si>
  <si>
    <t>LOTE 2025</t>
  </si>
  <si>
    <t>FALTA 1</t>
  </si>
  <si>
    <t>ESMALTE PARA SEÑALIZACIÓN VIAL - ALTO TRANSITO AMARILLO</t>
  </si>
  <si>
    <t>ESMALTE PARA SEÑALIZACIÓN VIAL - ALTO TRANSITO BLANCO</t>
  </si>
  <si>
    <t>ESMALTE PARA SEÑALIZACIÓN VIAL - ALTO TRANSITO NEGRO</t>
  </si>
  <si>
    <t>LLAVE MEZCLADORA PARA LAVADERO A LA PARED LINEA MARES COLECCIÓN EGEO (CUELLO GANZO)</t>
  </si>
  <si>
    <t xml:space="preserve">BARNIZ T-81 CAOBA </t>
  </si>
  <si>
    <t xml:space="preserve">BARNIZ T-81 TRANSPARENTE </t>
  </si>
  <si>
    <t>TINTE AL ALCOHOL PARA MADERA -COLOR NOGAL X 250ml</t>
  </si>
  <si>
    <t>025500010013</t>
  </si>
  <si>
    <t>ROLLO MALLA RACHEL  AL 65% X 100mt</t>
  </si>
  <si>
    <t>RECOGEDOR DE METAL TAMAÑO MEDIANO</t>
  </si>
  <si>
    <t>TRAMPA TIPO P DE 1 1/4" PARA LAVATORIO</t>
  </si>
  <si>
    <t xml:space="preserve">VALVULA DE INGRESO UNIVERSAL PARA INODORO - SISTEMA DUAL </t>
  </si>
  <si>
    <t>BALDE DE PLASTICO DE 11 Lt</t>
  </si>
  <si>
    <t>P.U</t>
  </si>
  <si>
    <t>GARRUCHAS PARA SILLAS  GIRATORIAS SET X5 UND</t>
  </si>
  <si>
    <t>LIJA AL AGUA DE 120X50 UND</t>
  </si>
  <si>
    <t>LLAVE ESFERICA JARDIN CLASICO DE 1/2" X12 PZA. C&amp;A</t>
  </si>
  <si>
    <t>THINNER ACRILICO X GALON</t>
  </si>
  <si>
    <t>TIRAFONES 1 1/2"X 1/4" (CIENTO)</t>
  </si>
  <si>
    <t>TIRAFONES 2"X 1/4" (CIENTO)</t>
  </si>
  <si>
    <t>TOTAL</t>
  </si>
  <si>
    <t>Almacén Gerencia Administrativa - La Paz</t>
  </si>
  <si>
    <t>PAQUETE</t>
  </si>
  <si>
    <t>FECHA DE ACTUALIZACIÓN</t>
  </si>
  <si>
    <t xml:space="preserve">VENCIDO </t>
  </si>
  <si>
    <t>ANAQUELES METALICOS   2X90X30 - (5 BANDEJAS)</t>
  </si>
  <si>
    <t>70 BANDEJAS NUEVAS</t>
  </si>
  <si>
    <t>76 BANDEJAS DESGASTADOS</t>
  </si>
  <si>
    <t>235 UND</t>
  </si>
  <si>
    <t>PHILIPS</t>
  </si>
  <si>
    <t>SIEMENS</t>
  </si>
  <si>
    <t>ULIXCBB</t>
  </si>
  <si>
    <t>REMA</t>
  </si>
  <si>
    <t>SOQUET -PORTA FLUORESCENTE</t>
  </si>
  <si>
    <t>BTICINO</t>
  </si>
  <si>
    <t>CONTACTOR 18 AMP</t>
  </si>
  <si>
    <t>LEGRAN</t>
  </si>
  <si>
    <t xml:space="preserve">TOMACORRIENTE UNIVERSAL 15 AMP </t>
  </si>
  <si>
    <t>KBA</t>
  </si>
  <si>
    <t>LEVITON</t>
  </si>
  <si>
    <t>ENCHUFES 15 AMP X 10 UND</t>
  </si>
  <si>
    <t>OPALUX</t>
  </si>
  <si>
    <t>BORNERAS 10AMP MODELO NR 29010 X 10 (TERMINAL BLOCK)</t>
  </si>
  <si>
    <t>ULIX</t>
  </si>
  <si>
    <t>LOTE 2021</t>
  </si>
  <si>
    <t xml:space="preserve">LED 3.5 40 WATT  MODELO E14 E27 </t>
  </si>
  <si>
    <t>LOTE 2018</t>
  </si>
  <si>
    <t>LINUX</t>
  </si>
  <si>
    <t>FOCO BOLA LED  15 WATS X 10 UND</t>
  </si>
  <si>
    <t>MACROLED</t>
  </si>
  <si>
    <t>REFLECTOR SLIM LED ALTA POTENCIA 50W - OP 50CWE271</t>
  </si>
  <si>
    <t>REFLECTOR SLIM LED ALTA POTENCIA 100W - OP 50CWE272</t>
  </si>
  <si>
    <t>YOHAD</t>
  </si>
  <si>
    <t>3M</t>
  </si>
  <si>
    <t xml:space="preserve">TEMPLEX </t>
  </si>
  <si>
    <t xml:space="preserve">CINTA AISLANTE  NEGRO </t>
  </si>
  <si>
    <t>CINTA AISLANTE  ROJO</t>
  </si>
  <si>
    <t>INDECO</t>
  </si>
  <si>
    <t>CABLE THW 90 NRO 14 AWG BLANCO X 100</t>
  </si>
  <si>
    <t>CABLE THW 90 NRO 14 AWG ROJO X 100</t>
  </si>
  <si>
    <t>CABLE THW 90 NRO 12 AWG ROJO X 100</t>
  </si>
  <si>
    <t>CABLE THW 90 NRO 12 AWG BLANCO X 100</t>
  </si>
  <si>
    <t xml:space="preserve">SALDOS 6 </t>
  </si>
  <si>
    <t>CABLE  TIERRA THW 90 NRO 12 AWG  X 100(AMARILLO/VERDE)</t>
  </si>
  <si>
    <t>CABLE  TIERRA THW 90 NRO 14 AWG  X 100(AMARILLO/VERDE)</t>
  </si>
  <si>
    <t>CABLE THW 90 NRO 10 AWG BLANCO X 100</t>
  </si>
  <si>
    <t>CABLE THW 90 NRO 10 AWG ROJO X 100</t>
  </si>
  <si>
    <t>CABLE  TIERRA THW 90 NRO 10 AWG  X 100(AMARILLO/VERDE)</t>
  </si>
  <si>
    <t>SALDO DE 70 M</t>
  </si>
  <si>
    <t xml:space="preserve">FLUORESCENTE LED 8W X 0.60  LN220V  </t>
  </si>
  <si>
    <t>FSL</t>
  </si>
  <si>
    <t>FLUORESCENTE T5 INTEGRAL 8W  LN 220V</t>
  </si>
  <si>
    <t xml:space="preserve">UNIDAD </t>
  </si>
  <si>
    <t>SUPRESOR ORIGINAL  5M X 6 SALIDAS</t>
  </si>
  <si>
    <t>FOCO TRU FORCE PRO  23W  X6UND</t>
  </si>
  <si>
    <t>FILTRO DE AIRE PARA GRUPO ELECTROGENO GB 11.54 KG</t>
  </si>
  <si>
    <t>LOTE 2024</t>
  </si>
  <si>
    <t>PERKINS</t>
  </si>
  <si>
    <t xml:space="preserve">CERRADURA DE MANIJJA LINEA BRISA </t>
  </si>
  <si>
    <t>FALTA PISTILLO</t>
  </si>
  <si>
    <t xml:space="preserve">CERRADURA DE DORMITORIO ACERO INOXIDABLE (MANIJJA) </t>
  </si>
  <si>
    <t>CERRADURA DE MANIJJA MODELO LEVER</t>
  </si>
  <si>
    <t xml:space="preserve">CERRADURA DE POMO AI07 </t>
  </si>
  <si>
    <t>FORTE</t>
  </si>
  <si>
    <t xml:space="preserve">CERRADURA CILINDRICA DE PERILLA </t>
  </si>
  <si>
    <t>DUCKE LOCK</t>
  </si>
  <si>
    <t>CERRADURA DE POMO BL60</t>
  </si>
  <si>
    <t>CERRADURA DE SEGURIDAD DE 3 GOLPES MODELO 911</t>
  </si>
  <si>
    <t>CERRADURA DE SEGURIDAD DE 3 GOLPES BUNKER 240</t>
  </si>
  <si>
    <t>CAMBIO DE CLAVE</t>
  </si>
  <si>
    <t xml:space="preserve">DICROICO LAMPARA LED 7BW </t>
  </si>
  <si>
    <t xml:space="preserve">ACCESORIO PARA  DICROICO NIQUELADO 113mm </t>
  </si>
  <si>
    <t>SOQUET PARA DICROICO ST 11</t>
  </si>
  <si>
    <t>SOQUET PARA DICROICO GU9</t>
  </si>
  <si>
    <t xml:space="preserve">PLAFON CIRCULAR SOBREPONER  36W  - OP 36FD CW </t>
  </si>
  <si>
    <t xml:space="preserve">PLAFON EMPOTRABLE </t>
  </si>
  <si>
    <t>LOTE 2023</t>
  </si>
  <si>
    <t xml:space="preserve">LAMPARA DE PANEL LED SOBREPUESTO 36W </t>
  </si>
  <si>
    <t>PLAFON DE SOBREPONER 25X10</t>
  </si>
  <si>
    <t>LAMPARA SLIM ULTRABRILLANTE (LUZ DE EMERGENCIA)</t>
  </si>
  <si>
    <t>TOMACORRIENTE DOBLE CON PUESTA A TIERRA EMPOTRADO</t>
  </si>
  <si>
    <t>EPEM</t>
  </si>
  <si>
    <t>SPOT LITGH  12 WATTS 220V X 122 mm</t>
  </si>
  <si>
    <t xml:space="preserve">FOCO LED A95 16W </t>
  </si>
  <si>
    <t>TOMACORRIENTE DE SOBREPONER MODELO OVAL</t>
  </si>
  <si>
    <t>ACCESORIO DE GRUPO ELECTROGENO SENSOR DE ACEITE</t>
  </si>
  <si>
    <t>DSE</t>
  </si>
  <si>
    <t>CAJA MODULAR 2X4" KBA</t>
  </si>
  <si>
    <t xml:space="preserve">TOMACORRIENTE SIMPLE </t>
  </si>
  <si>
    <t>GENESIS</t>
  </si>
  <si>
    <t>TAPA CIEGA REDONDA PVC BLANCO</t>
  </si>
  <si>
    <t>RIMEPLAST</t>
  </si>
  <si>
    <t xml:space="preserve">PLAFON E 27 SOQUETE </t>
  </si>
  <si>
    <t>CAJA DE PASO 6X6X4</t>
  </si>
  <si>
    <t>TABLERO DE DISTRIBUCIÓN 12 POLOS EMPOTRADO</t>
  </si>
  <si>
    <t>BALASTRO ELECTRÓNICO EB CERTALUME EB CI1-2 36W/1-4 18W</t>
  </si>
  <si>
    <t>SOLUS LED</t>
  </si>
  <si>
    <t>LAMPARA DE EMERGENCIA</t>
  </si>
  <si>
    <t>INVENTARIADA</t>
  </si>
  <si>
    <t>FULGORE</t>
  </si>
  <si>
    <t>CAJA RECTANGULAR PVC 10X5</t>
  </si>
  <si>
    <t>CAJA OCTAGONAL PVC 10X5</t>
  </si>
  <si>
    <t>GEBLER</t>
  </si>
  <si>
    <t>EQUIPO PORTA FLUORESCENTE (LUMINARIA HERMETICA)</t>
  </si>
  <si>
    <t>CHNT</t>
  </si>
  <si>
    <t>ESTABILIZADOR DE VOLTAJE 260V</t>
  </si>
  <si>
    <t>CINCHOS DE PLASTICO BLANCO FU0261 (PASADORES)15CM X 100</t>
  </si>
  <si>
    <t>022000250170</t>
  </si>
  <si>
    <t>022900050041</t>
  </si>
  <si>
    <t xml:space="preserve">GRIFERIA PARA LAVADOR CON SENSOR AUTOMÁTICO </t>
  </si>
  <si>
    <t>FOCO ECO HOME  13W  X24UND</t>
  </si>
  <si>
    <t>CAJA DE PASO 4X4X2 PULG</t>
  </si>
  <si>
    <t xml:space="preserve">PANEL LED PARA EMPOTRAR OP-6060-40W </t>
  </si>
  <si>
    <t>MARCO PARA EMPOTRAR METALICO</t>
  </si>
  <si>
    <t xml:space="preserve">PANEL LED PARA EMPOTRAR -48W  </t>
  </si>
  <si>
    <t>LUMINICA</t>
  </si>
  <si>
    <t>KULKONI</t>
  </si>
  <si>
    <t>BROCA 1/4" METAL</t>
  </si>
  <si>
    <t>STALBERT</t>
  </si>
  <si>
    <t xml:space="preserve">BROCA PARA CEMENTO 3/8" </t>
  </si>
  <si>
    <t>GERMANY</t>
  </si>
  <si>
    <t xml:space="preserve">BROCA PARA CEMENTO 1/4" </t>
  </si>
  <si>
    <t>BROCA PARA CEMENTO 5/16" STS1</t>
  </si>
  <si>
    <t xml:space="preserve">BROCA PARA CEMENTO 10mm </t>
  </si>
  <si>
    <t xml:space="preserve">BROCA PARA CEMENTO 1/2" </t>
  </si>
  <si>
    <t xml:space="preserve">BROCA PARA CEMENTO 5/32" </t>
  </si>
  <si>
    <t>ABARAZADERA GALBANIZADO ZINCADO 1/2"</t>
  </si>
  <si>
    <t>ABARAZADERA GALBANIZADO ZINCADO TIPO U  1"</t>
  </si>
  <si>
    <t>ABARAZADERA GALBANIZADO ZINCADO TIPO U  1 1/4"</t>
  </si>
  <si>
    <t>ABARAZADERA GALBANIZADO ZINCADO TIPO U  1 1/2"</t>
  </si>
  <si>
    <t>ABARAZADERA GALBANIZADO ZINCADO TIPO U  2"</t>
  </si>
  <si>
    <t>ABARAZADERA GALBANIZADO ZINCADO TIPO U  3"</t>
  </si>
  <si>
    <t>ABARAZADERA GALBANIZADO ZINCADO TIPO U  4"</t>
  </si>
  <si>
    <t>ANGULOS DE SOPORTE 4X6X90</t>
  </si>
  <si>
    <t>ANGULOS DE SOPORTE 5X7X90</t>
  </si>
  <si>
    <t xml:space="preserve">SISTEMA DUAL PARA ONE PIECE </t>
  </si>
  <si>
    <t xml:space="preserve">DESAGUE LARGO 1/4" X2 CROMADO </t>
  </si>
  <si>
    <t>TRAMPAS TIPO P CROMADA 1 1/4"</t>
  </si>
  <si>
    <t>FLUXOMETRO PARA URINARIO</t>
  </si>
  <si>
    <t>TRAMPA PARA LAVATORIO 1 1/2"</t>
  </si>
  <si>
    <t>TRAMPA TIPO BOTELLA</t>
  </si>
  <si>
    <t>NIPLES 1 1/4" X2 H3</t>
  </si>
  <si>
    <t>UNION UNIVERSAL 1 1/4"  H3</t>
  </si>
  <si>
    <t>NIPLES 1 1/4" X3 H4</t>
  </si>
  <si>
    <t>MV</t>
  </si>
  <si>
    <t>REGISTROS DE 2" CROMADOS</t>
  </si>
  <si>
    <t>OATEI</t>
  </si>
  <si>
    <t>PLASTISUR</t>
  </si>
  <si>
    <t>UNION SIMPLE DE EMBONE PVC 1/2"</t>
  </si>
  <si>
    <t>CODO DE 45" X 1/2" H3</t>
  </si>
  <si>
    <t>SHUBERT</t>
  </si>
  <si>
    <t>SIMVAL</t>
  </si>
  <si>
    <t>LLAVE DE PASO DE 1" TIPO PALANCA BRONCE</t>
  </si>
  <si>
    <t xml:space="preserve">LLAVE DE PASO DE 1/2" BRONCE </t>
  </si>
  <si>
    <t>IPS</t>
  </si>
  <si>
    <t>TEE 3/4" H3</t>
  </si>
  <si>
    <t>CODO CON INSERTO H3 DE 3/4" X 1/2" X10</t>
  </si>
  <si>
    <t>VALVULA CHECK 3/4"   BRONCE</t>
  </si>
  <si>
    <t>FV</t>
  </si>
  <si>
    <t>LLAVE DE PASO ESFERICA DE 1/2" TIPO PALANCA BRONCE</t>
  </si>
  <si>
    <t>UNION UNIVERSAL 1/2"  H3</t>
  </si>
  <si>
    <t>BUSHING 3/4" X 1/2"H3</t>
  </si>
  <si>
    <t>YEE 2X2" PVC</t>
  </si>
  <si>
    <t>TEE 2X2" PVC</t>
  </si>
  <si>
    <t>NICOLE</t>
  </si>
  <si>
    <t>SODA CAUSTICA</t>
  </si>
  <si>
    <t>KILOGRAMO</t>
  </si>
  <si>
    <t>LUMINARIA CIRCULAR CON LUZ LED PARA EMPOTRAR 20W</t>
  </si>
  <si>
    <t>SOLUX LED</t>
  </si>
  <si>
    <t>PARMAPE</t>
  </si>
  <si>
    <t>FLUXOMETRO PARA LAVATORIO DE 1/2"</t>
  </si>
  <si>
    <t xml:space="preserve">CAÑO DE LAVATORIO 1/2" </t>
  </si>
  <si>
    <t xml:space="preserve">CANDADO 50mm CON ARCO LARGO </t>
  </si>
  <si>
    <t>CERRADURA MECANICA TIPO PERILLA PARA PUERTA</t>
  </si>
  <si>
    <t>LIJA DE BANDA 120 PARA LIJADORA ELECTRICA</t>
  </si>
  <si>
    <t>025500010537</t>
  </si>
  <si>
    <t>LIJA DE BANDA 80 PARA LIJADORA ELECTRICA</t>
  </si>
  <si>
    <t>025500010089</t>
  </si>
  <si>
    <t>SOLUXLED</t>
  </si>
  <si>
    <t>PEGAMENTO LIQUIDO DE CONTACTO X1 GAL.</t>
  </si>
  <si>
    <t xml:space="preserve">MARCO DE ALUMINIO PARA LUMINARIA ADOSADO 4.3cm x60 cmx60cm </t>
  </si>
  <si>
    <t>MAPEL</t>
  </si>
  <si>
    <t>MEMBRANA LIQUIDA ACRILICA IMPERMEABILIZANTE PARA TECHOX 5GAL - GRIS</t>
  </si>
  <si>
    <t>GUANTES DE SOLDADOR</t>
  </si>
  <si>
    <t>GLUTE</t>
  </si>
  <si>
    <t>GUANTES DE BADANA</t>
  </si>
  <si>
    <t>PAR</t>
  </si>
  <si>
    <t>BLACK &amp; DECKER</t>
  </si>
  <si>
    <t xml:space="preserve">BOTAS DE JEBE </t>
  </si>
  <si>
    <t>TALLA 38: 2, TALLA 42:1</t>
  </si>
  <si>
    <t>GUANTES DE JEBE</t>
  </si>
  <si>
    <t>PROTEX</t>
  </si>
  <si>
    <t>TALLA 8</t>
  </si>
  <si>
    <t xml:space="preserve">BARBIQUEJOS </t>
  </si>
  <si>
    <t>TRIDENT</t>
  </si>
  <si>
    <t>TALLA S</t>
  </si>
  <si>
    <t xml:space="preserve">TALLA M, </t>
  </si>
  <si>
    <t>VENTILADOR DE ASPA</t>
  </si>
  <si>
    <t>COOL SELECT</t>
  </si>
  <si>
    <t>ARE 12525</t>
  </si>
  <si>
    <t>USADO</t>
  </si>
  <si>
    <t>CEPILLO MANUAL BASE DE HIERRO CPM 04U CARPINTERIA</t>
  </si>
  <si>
    <t>KAMASA</t>
  </si>
  <si>
    <t>JUEGO DE LIMA ESCOFINAS X 3PZAS</t>
  </si>
  <si>
    <t>SIERRA 24X1</t>
  </si>
  <si>
    <t>SIERRA CIRCULAR DE MANO MODELO GKS 150</t>
  </si>
  <si>
    <t>SET DE LIMAS DE 8" X 5PZAS</t>
  </si>
  <si>
    <t>ESCUADRA DE ACERO PARA CANTERO16"X24"</t>
  </si>
  <si>
    <t>TRUPPER</t>
  </si>
  <si>
    <t>MEBA</t>
  </si>
  <si>
    <t>TELA PARA TAPIZAR X50 m</t>
  </si>
  <si>
    <t>METROS</t>
  </si>
  <si>
    <t xml:space="preserve">DISCO DIAMANTADO DE MADERA  7 1/4" </t>
  </si>
  <si>
    <t xml:space="preserve">DISCO DE MADERA (MELAMINE)  6" </t>
  </si>
  <si>
    <t xml:space="preserve">DISCO DIAMANTADO DE MADERA  1 1/4" </t>
  </si>
  <si>
    <t xml:space="preserve">DISCO DIAMANTADO DE MADERA  4 1/2" </t>
  </si>
  <si>
    <t>DISCO DE FIBRA 4 1/2" MODELO RAPID</t>
  </si>
  <si>
    <t>DISCO DE DESBASTE 4 1/2" CARPINTERIA METALICA</t>
  </si>
  <si>
    <t>DISCO DE CORTE 4 1/2"  CARPINTERIA METALICA</t>
  </si>
  <si>
    <t>DISCO DE CORTE DE 7" CARPINTERIA METALICA</t>
  </si>
  <si>
    <t>DISCO DIAMANTADO CONTINUO DE 4"</t>
  </si>
  <si>
    <t>KRUPS</t>
  </si>
  <si>
    <t xml:space="preserve">DISCO ABRASIVO 4 1/2" GRANO 80 </t>
  </si>
  <si>
    <t>022900020331</t>
  </si>
  <si>
    <t xml:space="preserve">BALDOSA DE FIBRA MINERAL 60 cm x 60cm </t>
  </si>
  <si>
    <t>070400010253</t>
  </si>
  <si>
    <t>070400010249</t>
  </si>
  <si>
    <t>BALDOSA DE YESO RECUBIERTA DE VINIL 7mmx60.3cm x60.3</t>
  </si>
  <si>
    <t>CALAMINA DE ACERO GALVANIZADO 0.22 mmx80cmx3.60 m</t>
  </si>
  <si>
    <t>ACEROS AREQUIPA</t>
  </si>
  <si>
    <t>CIELO RASO 4mmx60.5 cmx1.215m</t>
  </si>
  <si>
    <t>ETERNIT</t>
  </si>
  <si>
    <t>ACCESORIO PARA TANQUE BAJO TWO PIECE</t>
  </si>
  <si>
    <t>VALVULAS DE INGRESO 7/8" O REGULABLE</t>
  </si>
  <si>
    <t>PEGAMENTO PVC AZUL (CEMENTO)</t>
  </si>
  <si>
    <t>VALVULA COMPUESTA 3/4"  BRONCE</t>
  </si>
  <si>
    <t>UÑAS DE SUJECIÓN SOLIDO /ABRAZADERA</t>
  </si>
  <si>
    <t>BOYA DE TANQUE ELEVADO (VALVULA FLOTADOR 1/2")</t>
  </si>
  <si>
    <t>CODO 45X3/4" H3</t>
  </si>
  <si>
    <t>CODO 90X3/4"</t>
  </si>
  <si>
    <t xml:space="preserve">NIPLE 3/4" X1 1/2"  H3 </t>
  </si>
  <si>
    <t>NIPLE 3/4   X2"  H3</t>
  </si>
  <si>
    <t>NIPLE 3/4   X3"  H3</t>
  </si>
  <si>
    <t>CODO CON INSERTO H3 DE 1/2" X90</t>
  </si>
  <si>
    <t>NIPLE DE 2X1/2" H3</t>
  </si>
  <si>
    <t>NIPLE DE 1 1/2" X1/2" H3</t>
  </si>
  <si>
    <t>NIPLE DE 3 X 1/2"  H3</t>
  </si>
  <si>
    <t>CODO 3" X90 PVC</t>
  </si>
  <si>
    <t>CODO 4" X90 PVC</t>
  </si>
  <si>
    <t>NIPLE 3/4 " X2"  H3</t>
  </si>
  <si>
    <t>LLAVE DE PASO DE 3/4"  BRONCE TIPO COMPUERTA</t>
  </si>
  <si>
    <t>ACARI Y CARAVELI</t>
  </si>
  <si>
    <t xml:space="preserve">CODO DE 1/2" SIN ROSCA </t>
  </si>
  <si>
    <t>CODO DE 90° SIN ROSCA DE 1"</t>
  </si>
  <si>
    <t xml:space="preserve"> BOMBA DE AGUA MOTOR SUMERGIBLE WQD10-15 7.7A</t>
  </si>
  <si>
    <t>070400190106</t>
  </si>
  <si>
    <t>CINTA AISLANTE  AZUL 3/4" X 10m</t>
  </si>
  <si>
    <t>TICINO</t>
  </si>
  <si>
    <t xml:space="preserve">INTERRUPTOR DIFERENCIAL 2X25 </t>
  </si>
  <si>
    <t>INTERRUPTOR DIFERENCIAL 2X40</t>
  </si>
  <si>
    <t>INTERRUPTOR DE 3 VIAS  LINEA DOMINO SENCIA</t>
  </si>
  <si>
    <t>INTERRUPTOR SENCILLO LINEA DOMINO SENCIA</t>
  </si>
  <si>
    <t>INTERRUPTOR TRIPLE LINEA SENCIA</t>
  </si>
  <si>
    <t>INTERRUPTOR HORARIO DIGITAL C20</t>
  </si>
  <si>
    <t>INTERRUPTOR TERMOMAGNETICO 40A X 3 X 4 UND</t>
  </si>
  <si>
    <t>INTERRUPTOR TERMOMAGNETICO 40A X  2X 3UND</t>
  </si>
  <si>
    <t>INTERRUPTOR TERMOMAGNETICO 30A X  2X 3UND</t>
  </si>
  <si>
    <t>INTERRUPTOR TERMOMAGNETICO 45A X 2X 3 UND</t>
  </si>
  <si>
    <t>INTERRUPTOR TERMOMAGNETICO 20A X 2 X 6UND</t>
  </si>
  <si>
    <t>TURBINE</t>
  </si>
  <si>
    <t>SEGPRO</t>
  </si>
  <si>
    <t>0229000020237</t>
  </si>
  <si>
    <t xml:space="preserve">LAMPARA LED TUBO LINEAL  LED 16W X 1.20  LN220V  X 20 </t>
  </si>
  <si>
    <t>PLASTICO DOBLE ANCHO 2.00m x50 m</t>
  </si>
  <si>
    <t>ADITIVO IMPERMEABILIZANTE - SIKAFILL TECHO 3 X 4 kg</t>
  </si>
  <si>
    <t>CAJA DE PLASTICO PARA HERRAMIENTAS 29cm x 47x63 cm CON RUEDAS</t>
  </si>
  <si>
    <t>CASACA DE CUERO CROMO PARA SOLDADOR</t>
  </si>
  <si>
    <t>ESCARPIN DE CUERO PARA SOLDADURA</t>
  </si>
  <si>
    <t xml:space="preserve">MANDIL DE CUERO DE SOLDADOR </t>
  </si>
  <si>
    <t>GUANTE DE CUERO REFORZADO PARA SEGURIDAD</t>
  </si>
  <si>
    <t>PANTALON DE CUERO  CROMO CONREFUERZO</t>
  </si>
  <si>
    <t>BROCHA DE CERDA 2 1/2"</t>
  </si>
  <si>
    <t>022900040032</t>
  </si>
  <si>
    <t>022900020080</t>
  </si>
  <si>
    <t>022900020300</t>
  </si>
  <si>
    <t>DISCO DIAMANTADO SEGMENTADO 4 1/2" (PULIDO)</t>
  </si>
  <si>
    <t>030800030002</t>
  </si>
  <si>
    <t>CABLE TIPO NLT VULCANIZADO 3X14  X 100</t>
  </si>
  <si>
    <t>CABLE TIPO NLT VULCANIZADO 3X12  X 100</t>
  </si>
  <si>
    <t>PLAFON CIRCULAR 30W -220V</t>
  </si>
  <si>
    <t>FOCO ECONOMY TWISTER 23W CDL 27 X12 UND</t>
  </si>
  <si>
    <t>CORREDERA TELESCOPICA 30cm x3.5 cm</t>
  </si>
  <si>
    <t>CORREDERA TELESCOPICA 45cm x3.5 cm</t>
  </si>
  <si>
    <t>CORREDERA TELESCOPICA 35cm x3.5 cm</t>
  </si>
  <si>
    <t>CORREDERA TELESCOPICA 50cm x4.5 cm</t>
  </si>
  <si>
    <t>EUROLOCKS</t>
  </si>
  <si>
    <t>INTERRUPTOR TERMOMAGNETICO BIPOLAR 32A X  2X 5</t>
  </si>
  <si>
    <t>INTERRUPTOR TERMOMAGNETICO BIPOLAR 40A X  2X 2</t>
  </si>
  <si>
    <t>INTERRUPTOR TERMOMAGNETICO 16A X  2X 5</t>
  </si>
  <si>
    <t>INTERRUPTOR TERMOMAGNETICO BIPOLAR 25A X  2X 5</t>
  </si>
  <si>
    <r>
      <t xml:space="preserve">CABLE TIERRA </t>
    </r>
    <r>
      <rPr>
        <sz val="11"/>
        <rFont val="Calibri"/>
        <family val="2"/>
        <scheme val="minor"/>
      </rPr>
      <t xml:space="preserve">16mm  </t>
    </r>
    <r>
      <rPr>
        <sz val="11"/>
        <color theme="1"/>
        <rFont val="Calibri"/>
        <family val="2"/>
        <scheme val="minor"/>
      </rPr>
      <t xml:space="preserve">- COBRE DESNUDO </t>
    </r>
  </si>
  <si>
    <t>KIMBERLY CLARK</t>
  </si>
  <si>
    <t>SANY</t>
  </si>
  <si>
    <t>C&amp;N</t>
  </si>
  <si>
    <t>SCLLES</t>
  </si>
  <si>
    <t>PRECINTOS DE SEGURIDAD AMARILLOS 40CM X16</t>
  </si>
  <si>
    <t>JABON CREMA PERFUMADO X5GL</t>
  </si>
  <si>
    <t>VENCIDO 2020</t>
  </si>
  <si>
    <t>APLICADOR DE MANGA</t>
  </si>
  <si>
    <t>DARIZA</t>
  </si>
  <si>
    <t>JAKU</t>
  </si>
  <si>
    <t>AMONIO CUATERNARIO X 4L AL 5.0</t>
  </si>
  <si>
    <t>JABON LIQUIDO X 4 L  LAVANDA</t>
  </si>
  <si>
    <t>MAFA</t>
  </si>
  <si>
    <t>TEKMISUR</t>
  </si>
  <si>
    <t>CERA LIQUIDA SILICONADA AUTOBRILLANTE</t>
  </si>
  <si>
    <t>KILO</t>
  </si>
  <si>
    <t>EXTENSIONES PARA PINTAR</t>
  </si>
  <si>
    <t>LEJIA CONCENTRADA AL 5%  X 4L</t>
  </si>
  <si>
    <t>ESTANDARTES DE MADERA</t>
  </si>
  <si>
    <t>REGISTROS ROSCADOS DE 2" CROMADOS</t>
  </si>
  <si>
    <t>REGISTRO REJILLA DE 3" BRONCE</t>
  </si>
  <si>
    <t>DISPENSADOR DE TOALLA NEGRO</t>
  </si>
  <si>
    <t>ABRAZADERAS DE 1" ZINCADAS</t>
  </si>
  <si>
    <t>USADAS</t>
  </si>
  <si>
    <t>DISPENSADOR  DE PAPEL TOALLA</t>
  </si>
  <si>
    <t>PAPEL PERIODICO A4 X 5 PQT. (5000 UND)</t>
  </si>
  <si>
    <t>VIRUTA DE ACERO N° 8X200g</t>
  </si>
  <si>
    <t>CER &amp; MOR</t>
  </si>
  <si>
    <t>CINCHOS DE PLASTICO BLANCO FU0262 (PASADORES)20CM X 100</t>
  </si>
  <si>
    <t>USADA FALTA CORDEL</t>
  </si>
  <si>
    <t>CHAPAS DE MANPARA</t>
  </si>
  <si>
    <t>PODADORA  Modelo GL350 (500W - 9")</t>
  </si>
  <si>
    <t>LATA  DE TEROKAL X 5 GAL</t>
  </si>
  <si>
    <t xml:space="preserve">ROLLO DE PLASTICO DE DOBLE CARA DE 2 X4 X 50m </t>
  </si>
  <si>
    <t>BOLSAS PARA RESIDUOS BIOCONTAMINANTES 75CM X110CM</t>
  </si>
  <si>
    <t>BOLSAS PARA RESIDUOS COLOR NEGRO 75CM X110CM</t>
  </si>
  <si>
    <t>SACO DE POLIETILENO BLANCO GRANDE</t>
  </si>
  <si>
    <t>SACO DE POLIETILENO CESLESTE GRANDE USADOS</t>
  </si>
  <si>
    <t>MASILLA DE POLIESTER</t>
  </si>
  <si>
    <t>VENCIDAS 2023</t>
  </si>
  <si>
    <t>DRIZAFORTE</t>
  </si>
  <si>
    <t>HUSQVAMA</t>
  </si>
  <si>
    <t xml:space="preserve">SOLDIMIX </t>
  </si>
  <si>
    <t xml:space="preserve"> PEGAMENTO EPOXICO X 35G</t>
  </si>
  <si>
    <t xml:space="preserve">KIT DE ABRAZADERAS Y MONTAJE </t>
  </si>
  <si>
    <t>ABB</t>
  </si>
  <si>
    <t>GANCHOS DE COLGAR DE METAL</t>
  </si>
  <si>
    <t>CASCOS DE SEGURIDAD USADOS</t>
  </si>
  <si>
    <t>LAMPA GRANDE</t>
  </si>
  <si>
    <t>LAMPA MEDIANA</t>
  </si>
  <si>
    <t>LAMPA CHICA</t>
  </si>
  <si>
    <t>USADA</t>
  </si>
  <si>
    <t>SOLO</t>
  </si>
  <si>
    <t>PULVERIZADOR MANUAL XP 20</t>
  </si>
  <si>
    <t>JACTO</t>
  </si>
  <si>
    <t>RODILLO ANTIGOTEO 9" LANA SINTETICO</t>
  </si>
  <si>
    <t>WAYPE INDUSTRIAL</t>
  </si>
  <si>
    <t>CONTENEDORES DE POLIETILENO 120 L CON RUEDAS Y PEDAL  ROJO</t>
  </si>
  <si>
    <t>64.61.0005.2151</t>
  </si>
  <si>
    <t>MILLAR</t>
  </si>
  <si>
    <t>71.72.0010.0053</t>
  </si>
  <si>
    <t>20.84.0001.0662</t>
  </si>
  <si>
    <t xml:space="preserve">PULVERIZADORA SR 430 A MOTOR 2 TIEMPOS </t>
  </si>
  <si>
    <t>ACEITE 2T  PARA MOTOR DE  2 TIEMPOS X 100ml</t>
  </si>
  <si>
    <t>17.550010.0213</t>
  </si>
  <si>
    <t>TAPA CANTO DE MELAMINA COLOR CAOBA(ROLLO)X 100mm</t>
  </si>
  <si>
    <t>TAPACANTO DE PVC DE 5x18mm  COLOR NEGRO (ROLLO)x100</t>
  </si>
  <si>
    <t>20.80.0010.0219</t>
  </si>
  <si>
    <t>ARNES DE SEGURIDAD COMPLETO CON LINEA DE VIDA</t>
  </si>
  <si>
    <t>PRECINTOS DE SEGURIDAD AMARILLOS 60CM X16 X 100</t>
  </si>
  <si>
    <t>LEJIA AL 5%  X 4 L</t>
  </si>
  <si>
    <t>BOLSA DE PLASTICO ROJO GRANDE X 50 UND</t>
  </si>
  <si>
    <t>PERFIL DE ANGULO RANURADO LIVIANO 1 1/4"X1 1/4"</t>
  </si>
  <si>
    <t>ROCIADOR CON TANQUE DE 1 GALON - 6361273</t>
  </si>
  <si>
    <t>LANDSCAPERS</t>
  </si>
  <si>
    <t>FELPA PARA SELLADO 4.8X9 (F20) GRIS X200M</t>
  </si>
  <si>
    <t>BISON</t>
  </si>
  <si>
    <t>POLYROD ESPUM</t>
  </si>
  <si>
    <t>SOGA DE NYLON TORCIDA DE 3 CORDONES 1/2" X 100M</t>
  </si>
  <si>
    <t>CAMBRE NEGRO PARA TAPICERIA 12MX1.50 X 100M</t>
  </si>
  <si>
    <t>MAPEI</t>
  </si>
  <si>
    <t>CORDON DE ESPUMA DE POLIOLEFINA 1 1/4"X122M (1 BOBINA)</t>
  </si>
  <si>
    <t>MANGUERA AZUL CORRUGADA PVC PARA DESAGUE DE BOMBA DE AGUA X  50 M</t>
  </si>
  <si>
    <t>KARSON</t>
  </si>
  <si>
    <t xml:space="preserve">BASE AISLANTE 3 EN 1/3 MM X 12M PISO LAMINADO (ROLLO) </t>
  </si>
  <si>
    <t>NOVOFILM</t>
  </si>
  <si>
    <t>LAMINA DE PROTECCIÓN SOLAR 1.52X30M (LAMINA PAVONADA 2MIC</t>
  </si>
  <si>
    <t>TUBO LED ECOFIT 16W T8 220-240V</t>
  </si>
  <si>
    <t>BISAGRA DE CAZOLETA (TIPO CANGREJO)</t>
  </si>
  <si>
    <t>LECCO</t>
  </si>
  <si>
    <t>BISAGRA DE CAZOLETA (TIPO CANGREJO) 110°/ 35MM</t>
  </si>
  <si>
    <t>ALDABA GALVANIZADA 3.5 - ADG035</t>
  </si>
  <si>
    <t>PESTILLO DE EMPUJE (CERRADURA DE BOTON)</t>
  </si>
  <si>
    <t>CERRADURA DE EMBUTIR PARA MUEBLES</t>
  </si>
  <si>
    <t>KOVA</t>
  </si>
  <si>
    <t>CONECTORES DE CAMA DE ENCAJE  ACERO GALVANIZADO(BASE-SOPORTE) X4UND</t>
  </si>
  <si>
    <t>CERRADURA PARA CLOSET 25mm LATONADO</t>
  </si>
  <si>
    <t>CERRADURA ELECTRICA - PESTILLO ELECTRICO</t>
  </si>
  <si>
    <t>ARPE</t>
  </si>
  <si>
    <t>VALENCIA</t>
  </si>
  <si>
    <t>CERRADURA DE EMBUTIR PARA MUEBLE - CE101</t>
  </si>
  <si>
    <t>CERRADURA DE LEVA - HL604</t>
  </si>
  <si>
    <t>CERRADURA PARA ESCRITORIO - D19XL 22MM</t>
  </si>
  <si>
    <t>GRAPAS PARA SERVICIO LIGERO 5/16" X 1000</t>
  </si>
  <si>
    <t>SOCABAYA - LEONIDAS/CARAVELI /ACARI</t>
  </si>
  <si>
    <t>GARRUCHA DOBLE - MANPARA CORREDIZA</t>
  </si>
  <si>
    <t>LLAVE DE CONTROL (ASCENSOR)</t>
  </si>
  <si>
    <t>DUCASSE</t>
  </si>
  <si>
    <t>SISTEMA AEREO PARA PUERTAS  - DN 80 SR</t>
  </si>
  <si>
    <t>SOLDER  BAST</t>
  </si>
  <si>
    <t>CARRETE DE SOLDADURA ESTAÑO 60/40 X0.8mm X 250gr</t>
  </si>
  <si>
    <t xml:space="preserve">TAKEMA </t>
  </si>
  <si>
    <t>PASTA PARA SOLDAR X 25gr</t>
  </si>
  <si>
    <t>ARANDELAS PLANAS (ROLDANAS) 1/2"</t>
  </si>
  <si>
    <t>TUBO PARA CORTINA DE BAÑO 1.50X 1.80M</t>
  </si>
  <si>
    <t>GRACE</t>
  </si>
  <si>
    <t>SATRA</t>
  </si>
  <si>
    <t>ARANDELAS PLANAS (ROLDANAS) 1"</t>
  </si>
  <si>
    <t>CANALETA DE LUZ SIN ADHESIVO 14MMX24MM</t>
  </si>
  <si>
    <t>ESPUMAS PARA TAPICERIA DE 2"</t>
  </si>
  <si>
    <t>CANALETA DE LUZ ADHESIVA - 39MMX19MM 2M</t>
  </si>
  <si>
    <t>CANALETA DE LUZ ADHESIVA - 60MMX40MM X2M</t>
  </si>
  <si>
    <t>PORTA EXTINTOR DE FIERRO</t>
  </si>
  <si>
    <t>MANIJA DE ARCO PLASTICO MARRON</t>
  </si>
  <si>
    <t>CANALETA DE PISO - SATRA RDT-50 (2MX5CM) GRIS</t>
  </si>
  <si>
    <t>INDUSTRIAS ORDOÑEZ</t>
  </si>
  <si>
    <t>ELITE</t>
  </si>
  <si>
    <t>DISPENSADOR PAPEL HIGIENICO  - E- volutio EN ROLLO</t>
  </si>
  <si>
    <t>DISPENSADOR PAPEL HIGIENICO  EN ROLLO JUMBO</t>
  </si>
  <si>
    <t>CARAVELI, ACARI, PACHACUTEC</t>
  </si>
  <si>
    <t>PORTAPLANOS DE PLASTICO - NSYDPA44</t>
  </si>
  <si>
    <t>SCHEIDER</t>
  </si>
  <si>
    <t>TIVDIO</t>
  </si>
  <si>
    <t>LECTOR DE TARJETAS DE CONTROL DE ACCESO - T-ACO2 ID DE 125kHz</t>
  </si>
  <si>
    <t>CUERDA TRENZADA 3/16" X 50M</t>
  </si>
  <si>
    <t>SOPORTE PARA ESTANTERIA ( TIPO ANGULO RANURADO)</t>
  </si>
  <si>
    <t>MAPETEX 0.5  X 25M (TEJIDO DE POLIPROLINENO)</t>
  </si>
  <si>
    <t>SUJETADOR DE PANEL LED -GRAPAS</t>
  </si>
  <si>
    <t>CANDADOS SERIE 140 X 20mm</t>
  </si>
  <si>
    <t>TORNILLO AUTORROSCANTE (CABEZA AVELLANADA - MELAMINA) 1"</t>
  </si>
  <si>
    <t>TORNILLO AUTORROSCANTE (CABEZA AVELLANADA - MELAMINA) 1/2"</t>
  </si>
  <si>
    <t xml:space="preserve">REMACHE CIEGO 1/8" </t>
  </si>
  <si>
    <t>REMACHE CIEGO 5/32"</t>
  </si>
  <si>
    <t>REMACHE CIEGO 3/16"</t>
  </si>
  <si>
    <t>TORNILLO PARA MADERA  - TROPICALIZADO 2" CHIPBOARD</t>
  </si>
  <si>
    <t>TINKUR</t>
  </si>
  <si>
    <t>TORNILLO AUTORROSCANTE 8X3/4</t>
  </si>
  <si>
    <t>TORNILLO AUTOPERFORANTE PUNTA FINA 8X1/2"</t>
  </si>
  <si>
    <t>FABINSA</t>
  </si>
  <si>
    <t>TORNILLO AUTORROSCANTE 8X1/2" ZINCADO</t>
  </si>
  <si>
    <t>TORNILLO AUTORROSCANTE 8X1" ZINCADO</t>
  </si>
  <si>
    <t>TORNILLO TIRAFONDO  8mm</t>
  </si>
  <si>
    <t xml:space="preserve">TORNILLO TIRAFONDO  1/4"X3" </t>
  </si>
  <si>
    <t>TYR</t>
  </si>
  <si>
    <t>TORNILLO PARA DRYWALL NEGRO 1 1/4"</t>
  </si>
  <si>
    <t>PERNO DE TRACCIÓN- PESTILLO DE TIRO</t>
  </si>
  <si>
    <t>PESTILLO MAGNETICO PARA MUEBLES</t>
  </si>
  <si>
    <t>TARUGO DE PLASTICO 1/4" VERDE</t>
  </si>
  <si>
    <t>TARUGO DE PLASTICO - TACO</t>
  </si>
  <si>
    <t>TORNILLO TIRAFONDO  6mm (bolsa de 100und)</t>
  </si>
  <si>
    <t xml:space="preserve">PERNO DE MAQUINA DE ROSCA CORRIENTE 1/8" </t>
  </si>
  <si>
    <t>SACO DE RAFIA CESLESTE GRANDE 0.70X1.20m</t>
  </si>
  <si>
    <t>UN KILO CONTIENE 1000 UND  STOCK: 2 KG</t>
  </si>
  <si>
    <t>UN KILO CONTIENE 350 UND  STOCK: 3.340 KG</t>
  </si>
  <si>
    <t>UN KILO CONTIENE  750 UND   STOCK: 1.225 KG</t>
  </si>
  <si>
    <t>UN KILO CONTIENE  450 UND   STOCK: 2.120 KG</t>
  </si>
  <si>
    <t>UN KILO CONTIENE 600 UND  STOCK: 0.260</t>
  </si>
  <si>
    <t>UN KILO CONTIENE 700 UND  STOCK: 0.573</t>
  </si>
  <si>
    <t>UN KILO CONTIENE  580 UND  STOCK: 0.790</t>
  </si>
  <si>
    <t>TAREGO DE PLASTICO 5/16" -ANARANJADO(bolsa de 100 und.)</t>
  </si>
  <si>
    <t xml:space="preserve">TARUGO HELICOIDAL TIPO CARACOL (bolsa de 100 und)  </t>
  </si>
  <si>
    <t>MALLA DE ALAMBRE GALVANIZADA - 50X50mmX1.20M</t>
  </si>
  <si>
    <t>BOLSA DE 100 UND. CONTIENE 1.040 KG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</si>
  <si>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</si>
  <si>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</si>
  <si>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</si>
  <si>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</si>
  <si>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</si>
  <si>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</si>
  <si>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</si>
  <si>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</si>
  <si>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</si>
  <si>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</si>
  <si>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</si>
  <si>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</si>
  <si>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</si>
  <si>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</si>
  <si>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</si>
  <si>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</si>
  <si>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</si>
  <si>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</si>
  <si>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</si>
  <si>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</si>
  <si>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</si>
  <si>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</si>
  <si>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</si>
  <si>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</si>
  <si>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</si>
  <si>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</si>
  <si>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</si>
  <si>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</si>
  <si>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</si>
  <si>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</si>
  <si>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</si>
  <si>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</si>
  <si>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</si>
  <si>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</si>
  <si>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</si>
  <si>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</si>
  <si>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</si>
  <si>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</si>
  <si>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</si>
  <si>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</si>
  <si>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</si>
  <si>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</si>
  <si>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</si>
  <si>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</si>
  <si>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</si>
  <si>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</si>
  <si>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</si>
  <si>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</si>
  <si>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</si>
  <si>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</si>
  <si>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</si>
  <si>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</si>
  <si>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</si>
  <si>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</si>
  <si>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</si>
  <si>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</si>
  <si>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</si>
  <si>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</si>
  <si>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</si>
  <si>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</si>
  <si>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</si>
  <si>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</si>
  <si>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</si>
  <si>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</si>
  <si>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</si>
  <si>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</si>
  <si>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CODIGO PATRIMONIAL</t>
  </si>
  <si>
    <t>DESCRIPCIÓN</t>
  </si>
  <si>
    <t xml:space="preserve">FECHA DE ASIG. </t>
  </si>
  <si>
    <t>MARCA</t>
  </si>
  <si>
    <t>COLOR</t>
  </si>
  <si>
    <t>ESTADO USO</t>
  </si>
  <si>
    <t>ESTADO CONSERV.</t>
  </si>
  <si>
    <t>ESTADO                 USO</t>
  </si>
  <si>
    <t>VENTILADOR  ELECTRICO PARA TECHO</t>
  </si>
  <si>
    <t>MEDITERRANEO</t>
  </si>
  <si>
    <t>BLANCO</t>
  </si>
  <si>
    <t>NO</t>
  </si>
  <si>
    <t>MALOGRADO</t>
  </si>
  <si>
    <t xml:space="preserve">ASPIRADORA ELECTRICA </t>
  </si>
  <si>
    <t>CHASQUY</t>
  </si>
  <si>
    <t>AZUL</t>
  </si>
  <si>
    <t xml:space="preserve">ATOMIZADOR </t>
  </si>
  <si>
    <t>STIHL</t>
  </si>
  <si>
    <t>SI</t>
  </si>
  <si>
    <t>REGULAR</t>
  </si>
  <si>
    <t>MULTIMETRO -MULTITESTER DIGITAL 0.1mV - 1000V</t>
  </si>
  <si>
    <t>NEGRO</t>
  </si>
  <si>
    <t>COMPRENSORA DE AIRE</t>
  </si>
  <si>
    <t>SM</t>
  </si>
  <si>
    <t>ELECTROBOMBA DE 12.5</t>
  </si>
  <si>
    <t>HP</t>
  </si>
  <si>
    <t>AMARILLO</t>
  </si>
  <si>
    <t>ELECTOBOMBA SUMERGIBLE PARA AGUAS RESIDUALES 1.50HP -225 L/MN (3.75 LPS)</t>
  </si>
  <si>
    <t>PENTAX</t>
  </si>
  <si>
    <t>ESCALERA TELESCÓPICA DE 2.80M</t>
  </si>
  <si>
    <t>ROTOMARTILLO</t>
  </si>
  <si>
    <t>DELWALT</t>
  </si>
  <si>
    <t>VERDE</t>
  </si>
  <si>
    <t>TALADRO ELECTRICO PORTATIL</t>
  </si>
  <si>
    <t>TALADRO ELECTRICO PORTATIL ATORNILLADOR INALAMBRICO 18V</t>
  </si>
  <si>
    <t>AMOLADORA</t>
  </si>
  <si>
    <t>DECHERLS</t>
  </si>
  <si>
    <t>MAQUINA DE SOLDAR ELECTRICA</t>
  </si>
  <si>
    <t>SOLANDINA</t>
  </si>
  <si>
    <t>SIERRA CIRCULAR</t>
  </si>
  <si>
    <t>LIJADORA ELECTRICA  ORBITAL DE 310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</si>
</sst>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&quot;\ #,##0.00"/>
    <numFmt numFmtId="165" formatCode="0.000"/>
    <numFmt numFmtId="166" formatCode="#,##0.00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BDD7EE"/>
        <bgColor rgb="FFBDD7EE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5" fillId="0" borderId="5" xfId="0" applyFont="1" applyBorder="1"/>
    <xf numFmtId="0" fontId="0" fillId="0" borderId="8" xfId="0" applyBorder="1"/>
    <xf numFmtId="0" fontId="6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1" fontId="0" fillId="0" borderId="17" xfId="0" applyNumberFormat="1" applyBorder="1" applyAlignment="1">
      <alignment horizontal="right"/>
    </xf>
    <xf numFmtId="0" fontId="0" fillId="0" borderId="4" xfId="0" applyBorder="1" applyAlignment="1">
      <alignment wrapText="1"/>
    </xf>
    <xf numFmtId="0" fontId="0" fillId="0" borderId="4" xfId="0" applyBorder="1"/>
    <xf numFmtId="0" fontId="5" fillId="0" borderId="4" xfId="0" applyFont="1" applyBorder="1" applyAlignment="1">
      <alignment wrapText="1"/>
    </xf>
    <xf numFmtId="0" fontId="6" fillId="0" borderId="12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quotePrefix="1" applyAlignment="1">
      <alignment horizontal="center"/>
    </xf>
    <xf numFmtId="14" fontId="0" fillId="0" borderId="5" xfId="0" applyNumberFormat="1" applyBorder="1"/>
    <xf numFmtId="1" fontId="0" fillId="0" borderId="2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0" borderId="17" xfId="0" quotePrefix="1" applyNumberForma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6" fillId="5" borderId="2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6" fillId="4" borderId="30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 wrapText="1"/>
    </xf>
    <xf numFmtId="14" fontId="0" fillId="4" borderId="7" xfId="0" applyNumberForma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4" fontId="0" fillId="4" borderId="21" xfId="0" applyNumberFormat="1" applyFill="1" applyBorder="1" applyAlignment="1">
      <alignment horizontal="center"/>
    </xf>
    <xf numFmtId="14" fontId="0" fillId="4" borderId="21" xfId="0" applyNumberFormat="1" applyFill="1" applyBorder="1" applyAlignment="1">
      <alignment horizontal="left" vertical="center"/>
    </xf>
    <xf numFmtId="14" fontId="0" fillId="4" borderId="19" xfId="0" applyNumberFormat="1" applyFill="1" applyBorder="1" applyAlignment="1">
      <alignment horizontal="left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5" borderId="43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4" fontId="0" fillId="0" borderId="0" xfId="0" applyNumberFormat="1"/>
    <xf numFmtId="4" fontId="0" fillId="4" borderId="7" xfId="0" applyNumberFormat="1" applyFill="1" applyBorder="1"/>
    <xf numFmtId="4" fontId="0" fillId="4" borderId="21" xfId="0" applyNumberFormat="1" applyFill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4" fontId="0" fillId="4" borderId="21" xfId="0" applyNumberFormat="1" applyFill="1" applyBorder="1"/>
    <xf numFmtId="4" fontId="0" fillId="4" borderId="19" xfId="0" applyNumberFormat="1" applyFill="1" applyBorder="1"/>
    <xf numFmtId="0" fontId="0" fillId="0" borderId="0" xfId="0" applyAlignment="1">
      <alignment horizontal="right"/>
    </xf>
    <xf numFmtId="4" fontId="0" fillId="5" borderId="8" xfId="0" applyNumberFormat="1" applyFill="1" applyBorder="1" applyAlignment="1">
      <alignment horizontal="right"/>
    </xf>
    <xf numFmtId="4" fontId="6" fillId="4" borderId="12" xfId="0" applyNumberFormat="1" applyFont="1" applyFill="1" applyBorder="1" applyAlignment="1">
      <alignment horizontal="center" vertical="center"/>
    </xf>
    <xf numFmtId="4" fontId="6" fillId="4" borderId="26" xfId="0" applyNumberFormat="1" applyFont="1" applyFill="1" applyBorder="1" applyAlignment="1">
      <alignment vertical="center"/>
    </xf>
    <xf numFmtId="4" fontId="0" fillId="5" borderId="46" xfId="0" applyNumberFormat="1" applyFill="1" applyBorder="1" applyAlignment="1">
      <alignment horizontal="right"/>
    </xf>
    <xf numFmtId="0" fontId="0" fillId="4" borderId="20" xfId="0" applyFill="1" applyBorder="1" applyAlignment="1">
      <alignment horizontal="center"/>
    </xf>
    <xf numFmtId="4" fontId="0" fillId="4" borderId="0" xfId="0" applyNumberFormat="1" applyFill="1"/>
    <xf numFmtId="0" fontId="0" fillId="4" borderId="2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" fontId="0" fillId="0" borderId="0" xfId="0" applyNumberFormat="1" applyAlignment="1">
      <alignment horizontal="right"/>
    </xf>
    <xf numFmtId="0" fontId="6" fillId="6" borderId="12" xfId="0" applyFont="1" applyFill="1" applyBorder="1" applyAlignment="1">
      <alignment horizontal="center" vertical="center"/>
    </xf>
    <xf numFmtId="4" fontId="6" fillId="6" borderId="12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vertical="center"/>
    </xf>
    <xf numFmtId="0" fontId="0" fillId="6" borderId="19" xfId="0" applyFill="1" applyBorder="1" applyAlignment="1">
      <alignment horizontal="center"/>
    </xf>
    <xf numFmtId="4" fontId="0" fillId="6" borderId="7" xfId="0" applyNumberFormat="1" applyFill="1" applyBorder="1"/>
    <xf numFmtId="4" fontId="0" fillId="6" borderId="19" xfId="0" applyNumberFormat="1" applyFill="1" applyBorder="1" applyAlignment="1">
      <alignment horizontal="right"/>
    </xf>
    <xf numFmtId="0" fontId="0" fillId="6" borderId="19" xfId="0" applyFill="1" applyBorder="1"/>
    <xf numFmtId="14" fontId="0" fillId="6" borderId="20" xfId="0" applyNumberFormat="1" applyFill="1" applyBorder="1"/>
    <xf numFmtId="0" fontId="0" fillId="6" borderId="20" xfId="0" applyFill="1" applyBorder="1"/>
    <xf numFmtId="0" fontId="0" fillId="6" borderId="21" xfId="0" applyFill="1" applyBorder="1"/>
    <xf numFmtId="4" fontId="7" fillId="6" borderId="0" xfId="0" applyNumberFormat="1" applyFont="1" applyFill="1" applyAlignment="1">
      <alignment horizontal="right"/>
    </xf>
    <xf numFmtId="4" fontId="7" fillId="4" borderId="0" xfId="0" applyNumberFormat="1" applyFont="1" applyFill="1"/>
    <xf numFmtId="14" fontId="6" fillId="0" borderId="0" xfId="0" applyNumberFormat="1" applyFont="1"/>
    <xf numFmtId="14" fontId="6" fillId="0" borderId="0" xfId="0" applyNumberFormat="1" applyFont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" xfId="0" applyBorder="1"/>
    <xf numFmtId="0" fontId="0" fillId="0" borderId="1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4" borderId="17" xfId="0" applyFill="1" applyBorder="1" applyAlignment="1">
      <alignment horizontal="center"/>
    </xf>
    <xf numFmtId="4" fontId="0" fillId="4" borderId="47" xfId="0" applyNumberFormat="1" applyFill="1" applyBorder="1"/>
    <xf numFmtId="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4" borderId="39" xfId="0" applyFill="1" applyBorder="1" applyAlignment="1">
      <alignment horizontal="center"/>
    </xf>
    <xf numFmtId="4" fontId="0" fillId="4" borderId="39" xfId="0" applyNumberFormat="1" applyFill="1" applyBorder="1"/>
    <xf numFmtId="4" fontId="0" fillId="6" borderId="39" xfId="0" applyNumberFormat="1" applyFill="1" applyBorder="1"/>
    <xf numFmtId="4" fontId="0" fillId="6" borderId="38" xfId="0" applyNumberForma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1" fontId="0" fillId="0" borderId="1" xfId="0" quotePrefix="1" applyNumberFormat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4" fontId="0" fillId="5" borderId="1" xfId="0" applyNumberFormat="1" applyFill="1" applyBorder="1" applyAlignment="1">
      <alignment horizontal="right"/>
    </xf>
    <xf numFmtId="0" fontId="0" fillId="0" borderId="1" xfId="0" applyBorder="1" applyAlignment="1">
      <alignment horizontal="left" wrapText="1"/>
    </xf>
    <xf numFmtId="4" fontId="0" fillId="5" borderId="48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4" fontId="0" fillId="6" borderId="1" xfId="0" applyNumberFormat="1" applyFill="1" applyBorder="1"/>
    <xf numFmtId="4" fontId="0" fillId="6" borderId="1" xfId="0" applyNumberFormat="1" applyFill="1" applyBorder="1" applyAlignment="1">
      <alignment horizontal="right"/>
    </xf>
    <xf numFmtId="0" fontId="0" fillId="6" borderId="1" xfId="0" applyFill="1" applyBorder="1"/>
    <xf numFmtId="0" fontId="0" fillId="0" borderId="10" xfId="0" applyBorder="1" applyAlignment="1">
      <alignment vertical="center"/>
    </xf>
    <xf numFmtId="1" fontId="0" fillId="0" borderId="21" xfId="0" applyNumberFormat="1" applyBorder="1" applyAlignment="1">
      <alignment vertical="center"/>
    </xf>
    <xf numFmtId="0" fontId="0" fillId="0" borderId="49" xfId="0" applyBorder="1" applyAlignment="1">
      <alignment vertical="center"/>
    </xf>
    <xf numFmtId="0" fontId="0" fillId="4" borderId="47" xfId="0" applyFill="1" applyBorder="1" applyAlignment="1">
      <alignment horizontal="center"/>
    </xf>
    <xf numFmtId="1" fontId="0" fillId="0" borderId="2" xfId="0" quotePrefix="1" applyNumberFormat="1" applyBorder="1" applyAlignment="1">
      <alignment horizontal="right"/>
    </xf>
    <xf numFmtId="0" fontId="0" fillId="6" borderId="50" xfId="0" applyFill="1" applyBorder="1"/>
    <xf numFmtId="0" fontId="0" fillId="7" borderId="0" xfId="0" quotePrefix="1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4" fontId="7" fillId="0" borderId="0" xfId="0" applyNumberFormat="1" applyFont="1"/>
    <xf numFmtId="4" fontId="7" fillId="0" borderId="0" xfId="0" applyNumberFormat="1" applyFont="1" applyAlignment="1">
      <alignment horizontal="right"/>
    </xf>
    <xf numFmtId="1" fontId="0" fillId="0" borderId="38" xfId="0" applyNumberFormat="1" applyBorder="1" applyAlignment="1">
      <alignment vertical="center"/>
    </xf>
    <xf numFmtId="1" fontId="0" fillId="0" borderId="19" xfId="0" applyNumberFormat="1" applyBorder="1" applyAlignment="1">
      <alignment vertical="center"/>
    </xf>
    <xf numFmtId="14" fontId="0" fillId="0" borderId="14" xfId="0" applyNumberFormat="1" applyBorder="1"/>
    <xf numFmtId="14" fontId="0" fillId="0" borderId="11" xfId="0" applyNumberFormat="1" applyBorder="1"/>
    <xf numFmtId="14" fontId="0" fillId="4" borderId="1" xfId="0" applyNumberFormat="1" applyFill="1" applyBorder="1"/>
    <xf numFmtId="14" fontId="0" fillId="0" borderId="4" xfId="0" applyNumberFormat="1" applyBorder="1" applyAlignment="1">
      <alignment horizontal="center" vertical="center"/>
    </xf>
    <xf numFmtId="14" fontId="0" fillId="0" borderId="8" xfId="0" applyNumberFormat="1" applyBorder="1"/>
    <xf numFmtId="4" fontId="5" fillId="4" borderId="7" xfId="0" applyNumberFormat="1" applyFont="1" applyFill="1" applyBorder="1"/>
    <xf numFmtId="0" fontId="0" fillId="8" borderId="4" xfId="0" applyFill="1" applyBorder="1"/>
    <xf numFmtId="0" fontId="6" fillId="0" borderId="0" xfId="0" applyFont="1"/>
    <xf numFmtId="0" fontId="0" fillId="0" borderId="51" xfId="0" applyBorder="1"/>
    <xf numFmtId="1" fontId="0" fillId="4" borderId="0" xfId="0" applyNumberFormat="1" applyFill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0" borderId="52" xfId="0" applyBorder="1"/>
    <xf numFmtId="166" fontId="0" fillId="4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6" borderId="21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5" borderId="1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0" fillId="0" borderId="0" xfId="0"/>
    <xf numFmtId="0" fontId="1" fillId="0" borderId="0" xfId="0" applyFont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4" fontId="0" fillId="6" borderId="41" xfId="0" applyNumberFormat="1" applyFill="1" applyBorder="1" applyAlignment="1">
      <alignment horizontal="center"/>
    </xf>
    <xf numFmtId="14" fontId="0" fillId="6" borderId="27" xfId="0" applyNumberFormat="1" applyFill="1" applyBorder="1" applyAlignment="1">
      <alignment horizontal="center"/>
    </xf>
    <xf numFmtId="14" fontId="0" fillId="6" borderId="42" xfId="0" applyNumberFormat="1" applyFill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14" fontId="0" fillId="0" borderId="1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" fontId="0" fillId="0" borderId="1" xfId="0" applyNumberFormat="1" applyBorder="1"/>
    <xf numFmtId="1" fontId="0" fillId="0" borderId="1" xfId="0" applyNumberForma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N13" sqref="N13"/>
    </sheetView>
  </sheetViews>
  <sheetFormatPr baseColWidth="10" defaultColWidth="8.88671875" defaultRowHeight="14.4" x14ac:dyDescent="0.3"/>
  <cols>
    <col min="1" max="1" width="15" customWidth="1"/>
    <col min="2" max="2" width="25" customWidth="1"/>
    <col min="3" max="3" width="20" customWidth="1"/>
    <col min="6" max="6" width="12.88671875" customWidth="1"/>
    <col min="12" max="12" width="14.33203125" customWidth="1"/>
    <col min="14" max="14" width="30" customWidth="1"/>
    <col min="15" max="15" width="15" customWidth="1"/>
  </cols>
  <sheetData>
    <row r="1" spans="1:15" ht="18" x14ac:dyDescent="0.35">
      <c r="A1" s="191" t="s">
        <v>24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3" spans="1:15" x14ac:dyDescent="0.3">
      <c r="A3" t="s">
        <v>0</v>
      </c>
      <c r="B3" t="s">
        <v>25</v>
      </c>
      <c r="F3" t="s">
        <v>1</v>
      </c>
    </row>
    <row r="4" spans="1:15" x14ac:dyDescent="0.3">
      <c r="A4" t="s">
        <v>2</v>
      </c>
      <c r="B4" t="s">
        <v>509</v>
      </c>
      <c r="F4" t="s">
        <v>3</v>
      </c>
      <c r="G4" t="s">
        <v>4</v>
      </c>
    </row>
    <row r="6" spans="1:15" x14ac:dyDescent="0.3">
      <c r="A6" s="1" t="s">
        <v>5</v>
      </c>
      <c r="B6" s="1" t="s">
        <v>6</v>
      </c>
      <c r="C6" s="1" t="s">
        <v>7</v>
      </c>
      <c r="D6" s="186" t="s">
        <v>8</v>
      </c>
      <c r="E6" s="187"/>
      <c r="F6" s="188"/>
      <c r="G6" s="186" t="s">
        <v>9</v>
      </c>
      <c r="H6" s="187"/>
      <c r="I6" s="188"/>
      <c r="J6" s="186" t="s">
        <v>10</v>
      </c>
      <c r="K6" s="187"/>
      <c r="L6" s="188"/>
      <c r="N6" s="189" t="s">
        <v>11</v>
      </c>
      <c r="O6" s="190"/>
    </row>
    <row r="7" spans="1:15" x14ac:dyDescent="0.3">
      <c r="D7" s="2" t="s">
        <v>12</v>
      </c>
      <c r="E7" s="2" t="s">
        <v>13</v>
      </c>
      <c r="F7" s="2" t="s">
        <v>14</v>
      </c>
      <c r="G7" s="2" t="s">
        <v>12</v>
      </c>
      <c r="H7" s="2" t="s">
        <v>13</v>
      </c>
      <c r="I7" s="2" t="s">
        <v>14</v>
      </c>
      <c r="J7" s="2" t="s">
        <v>12</v>
      </c>
      <c r="K7" s="2" t="s">
        <v>13</v>
      </c>
      <c r="L7" s="2" t="s">
        <v>14</v>
      </c>
      <c r="N7" s="3" t="s">
        <v>15</v>
      </c>
      <c r="O7" s="3" t="s">
        <v>16</v>
      </c>
    </row>
    <row r="8" spans="1:15" x14ac:dyDescent="0.3">
      <c r="A8" s="4" t="s">
        <v>17</v>
      </c>
      <c r="B8" s="4" t="s">
        <v>18</v>
      </c>
      <c r="C8" s="4" t="s">
        <v>19</v>
      </c>
      <c r="D8" s="4"/>
      <c r="E8" s="5"/>
      <c r="F8" s="5"/>
      <c r="G8" s="4"/>
      <c r="H8" s="5"/>
      <c r="I8" s="5"/>
      <c r="J8" s="4">
        <v>100</v>
      </c>
      <c r="K8" s="5">
        <v>15</v>
      </c>
      <c r="L8" s="5">
        <f>J8*K8</f>
        <v>1500</v>
      </c>
      <c r="N8" s="4" t="s">
        <v>20</v>
      </c>
      <c r="O8" s="4">
        <f>COUNTIF(B8:B30, "*PECOSA*")</f>
        <v>0</v>
      </c>
    </row>
    <row r="9" spans="1:15" x14ac:dyDescent="0.3">
      <c r="A9" s="6"/>
      <c r="B9" s="4"/>
      <c r="C9" s="4"/>
      <c r="D9" s="4"/>
      <c r="E9" s="5"/>
      <c r="F9" s="5">
        <f t="shared" ref="F9:F30" si="0">D9*E9</f>
        <v>0</v>
      </c>
      <c r="G9" s="4"/>
      <c r="H9" s="5">
        <f t="shared" ref="H9:H30" si="1">K8</f>
        <v>15</v>
      </c>
      <c r="I9" s="5">
        <f t="shared" ref="I9:I30" si="2">G9*H9</f>
        <v>0</v>
      </c>
      <c r="J9" s="4">
        <f t="shared" ref="J9:J30" si="3">J8+D9-G9</f>
        <v>100</v>
      </c>
      <c r="K9" s="5">
        <f>IF(J9&gt;0, L9/J9, 0)</f>
        <v>15</v>
      </c>
      <c r="L9" s="5">
        <f t="shared" ref="L9:L30" si="4">L8+F9-I9</f>
        <v>1500</v>
      </c>
      <c r="N9" s="4" t="s">
        <v>21</v>
      </c>
      <c r="O9" s="4">
        <f>COUNTIF(B8:B30, "*NEA*")</f>
        <v>0</v>
      </c>
    </row>
    <row r="10" spans="1:15" x14ac:dyDescent="0.3">
      <c r="A10" s="4"/>
      <c r="B10" s="4"/>
      <c r="C10" s="4"/>
      <c r="D10" s="4"/>
      <c r="E10" s="5"/>
      <c r="F10" s="5">
        <f t="shared" si="0"/>
        <v>0</v>
      </c>
      <c r="G10" s="4"/>
      <c r="H10" s="5">
        <f t="shared" si="1"/>
        <v>15</v>
      </c>
      <c r="I10" s="5">
        <f t="shared" si="2"/>
        <v>0</v>
      </c>
      <c r="J10" s="4">
        <f t="shared" si="3"/>
        <v>100</v>
      </c>
      <c r="K10" s="5">
        <f t="shared" ref="K10:K30" si="5">IF(J10&gt;0, L10/J10, 0)</f>
        <v>15</v>
      </c>
      <c r="L10" s="5">
        <f t="shared" si="4"/>
        <v>1500</v>
      </c>
      <c r="N10" s="4" t="s">
        <v>22</v>
      </c>
      <c r="O10" s="4">
        <f>COUNTIF(J8:J30, "&lt;20")</f>
        <v>0</v>
      </c>
    </row>
    <row r="11" spans="1:15" x14ac:dyDescent="0.3">
      <c r="A11" s="4"/>
      <c r="B11" s="4"/>
      <c r="C11" s="4"/>
      <c r="D11" s="4"/>
      <c r="E11" s="5"/>
      <c r="F11" s="5">
        <f t="shared" si="0"/>
        <v>0</v>
      </c>
      <c r="G11" s="4"/>
      <c r="H11" s="5">
        <f t="shared" si="1"/>
        <v>15</v>
      </c>
      <c r="I11" s="5">
        <f t="shared" si="2"/>
        <v>0</v>
      </c>
      <c r="J11" s="4">
        <f t="shared" si="3"/>
        <v>100</v>
      </c>
      <c r="K11" s="5">
        <f t="shared" si="5"/>
        <v>15</v>
      </c>
      <c r="L11" s="5">
        <f t="shared" si="4"/>
        <v>1500</v>
      </c>
      <c r="N11" s="4" t="s">
        <v>23</v>
      </c>
      <c r="O11" s="4">
        <f ca="1">COUNTIF(A8:A30, TODAY())</f>
        <v>0</v>
      </c>
    </row>
    <row r="12" spans="1:15" x14ac:dyDescent="0.3">
      <c r="A12" s="4"/>
      <c r="B12" s="4"/>
      <c r="C12" s="4"/>
      <c r="D12" s="4"/>
      <c r="E12" s="5"/>
      <c r="F12" s="5">
        <f t="shared" si="0"/>
        <v>0</v>
      </c>
      <c r="G12" s="4"/>
      <c r="H12" s="5">
        <f t="shared" si="1"/>
        <v>15</v>
      </c>
      <c r="I12" s="5">
        <f t="shared" si="2"/>
        <v>0</v>
      </c>
      <c r="J12" s="4">
        <f t="shared" si="3"/>
        <v>100</v>
      </c>
      <c r="K12" s="5">
        <f t="shared" si="5"/>
        <v>15</v>
      </c>
      <c r="L12" s="5">
        <f t="shared" si="4"/>
        <v>1500</v>
      </c>
    </row>
    <row r="13" spans="1:15" x14ac:dyDescent="0.3">
      <c r="A13" s="4"/>
      <c r="B13" s="4"/>
      <c r="C13" s="4"/>
      <c r="D13" s="4"/>
      <c r="E13" s="5"/>
      <c r="F13" s="5">
        <f t="shared" si="0"/>
        <v>0</v>
      </c>
      <c r="G13" s="4"/>
      <c r="H13" s="5">
        <f t="shared" si="1"/>
        <v>15</v>
      </c>
      <c r="I13" s="5">
        <f t="shared" si="2"/>
        <v>0</v>
      </c>
      <c r="J13" s="4">
        <f t="shared" si="3"/>
        <v>100</v>
      </c>
      <c r="K13" s="5">
        <f t="shared" si="5"/>
        <v>15</v>
      </c>
      <c r="L13" s="5">
        <f t="shared" si="4"/>
        <v>1500</v>
      </c>
    </row>
    <row r="14" spans="1:15" x14ac:dyDescent="0.3">
      <c r="A14" s="4"/>
      <c r="B14" s="4"/>
      <c r="C14" s="4"/>
      <c r="D14" s="4"/>
      <c r="E14" s="5"/>
      <c r="F14" s="5">
        <f t="shared" si="0"/>
        <v>0</v>
      </c>
      <c r="G14" s="4"/>
      <c r="H14" s="5">
        <f t="shared" si="1"/>
        <v>15</v>
      </c>
      <c r="I14" s="5">
        <f t="shared" si="2"/>
        <v>0</v>
      </c>
      <c r="J14" s="4">
        <f t="shared" si="3"/>
        <v>100</v>
      </c>
      <c r="K14" s="5">
        <f t="shared" si="5"/>
        <v>15</v>
      </c>
      <c r="L14" s="5">
        <f t="shared" si="4"/>
        <v>1500</v>
      </c>
    </row>
    <row r="15" spans="1:15" x14ac:dyDescent="0.3">
      <c r="A15" s="4"/>
      <c r="B15" s="4"/>
      <c r="C15" s="4"/>
      <c r="D15" s="4"/>
      <c r="E15" s="5"/>
      <c r="F15" s="5">
        <f t="shared" si="0"/>
        <v>0</v>
      </c>
      <c r="G15" s="4"/>
      <c r="H15" s="5">
        <f t="shared" si="1"/>
        <v>15</v>
      </c>
      <c r="I15" s="5">
        <f t="shared" si="2"/>
        <v>0</v>
      </c>
      <c r="J15" s="4">
        <f t="shared" si="3"/>
        <v>100</v>
      </c>
      <c r="K15" s="5">
        <f t="shared" si="5"/>
        <v>15</v>
      </c>
      <c r="L15" s="5">
        <f t="shared" si="4"/>
        <v>1500</v>
      </c>
    </row>
    <row r="16" spans="1:15" x14ac:dyDescent="0.3">
      <c r="A16" s="4"/>
      <c r="B16" s="4"/>
      <c r="C16" s="4"/>
      <c r="D16" s="4"/>
      <c r="E16" s="5"/>
      <c r="F16" s="5">
        <f t="shared" si="0"/>
        <v>0</v>
      </c>
      <c r="G16" s="4"/>
      <c r="H16" s="5">
        <f t="shared" si="1"/>
        <v>15</v>
      </c>
      <c r="I16" s="5">
        <f t="shared" si="2"/>
        <v>0</v>
      </c>
      <c r="J16" s="4">
        <f t="shared" si="3"/>
        <v>100</v>
      </c>
      <c r="K16" s="5">
        <f t="shared" si="5"/>
        <v>15</v>
      </c>
      <c r="L16" s="5">
        <f t="shared" si="4"/>
        <v>1500</v>
      </c>
    </row>
    <row r="17" spans="1:12" x14ac:dyDescent="0.3">
      <c r="A17" s="4"/>
      <c r="B17" s="4"/>
      <c r="C17" s="4"/>
      <c r="D17" s="4"/>
      <c r="E17" s="5"/>
      <c r="F17" s="5">
        <f t="shared" si="0"/>
        <v>0</v>
      </c>
      <c r="G17" s="4"/>
      <c r="H17" s="5">
        <f t="shared" si="1"/>
        <v>15</v>
      </c>
      <c r="I17" s="5">
        <f t="shared" si="2"/>
        <v>0</v>
      </c>
      <c r="J17" s="4">
        <f t="shared" si="3"/>
        <v>100</v>
      </c>
      <c r="K17" s="5">
        <f t="shared" si="5"/>
        <v>15</v>
      </c>
      <c r="L17" s="5">
        <f t="shared" si="4"/>
        <v>1500</v>
      </c>
    </row>
    <row r="18" spans="1:12" x14ac:dyDescent="0.3">
      <c r="A18" s="4"/>
      <c r="B18" s="4"/>
      <c r="C18" s="4"/>
      <c r="D18" s="4"/>
      <c r="E18" s="5"/>
      <c r="F18" s="5">
        <f t="shared" si="0"/>
        <v>0</v>
      </c>
      <c r="G18" s="4"/>
      <c r="H18" s="5">
        <f t="shared" si="1"/>
        <v>15</v>
      </c>
      <c r="I18" s="5">
        <f t="shared" si="2"/>
        <v>0</v>
      </c>
      <c r="J18" s="4">
        <f t="shared" si="3"/>
        <v>100</v>
      </c>
      <c r="K18" s="5">
        <f t="shared" si="5"/>
        <v>15</v>
      </c>
      <c r="L18" s="5">
        <f t="shared" si="4"/>
        <v>1500</v>
      </c>
    </row>
    <row r="19" spans="1:12" x14ac:dyDescent="0.3">
      <c r="A19" s="4"/>
      <c r="B19" s="4"/>
      <c r="C19" s="4"/>
      <c r="D19" s="4"/>
      <c r="E19" s="5"/>
      <c r="F19" s="5">
        <f t="shared" si="0"/>
        <v>0</v>
      </c>
      <c r="G19" s="4"/>
      <c r="H19" s="5">
        <f t="shared" si="1"/>
        <v>15</v>
      </c>
      <c r="I19" s="5">
        <f t="shared" si="2"/>
        <v>0</v>
      </c>
      <c r="J19" s="4">
        <f t="shared" si="3"/>
        <v>100</v>
      </c>
      <c r="K19" s="5">
        <f t="shared" si="5"/>
        <v>15</v>
      </c>
      <c r="L19" s="5">
        <f t="shared" si="4"/>
        <v>1500</v>
      </c>
    </row>
    <row r="20" spans="1:12" x14ac:dyDescent="0.3">
      <c r="A20" s="4"/>
      <c r="B20" s="4"/>
      <c r="C20" s="4"/>
      <c r="D20" s="4"/>
      <c r="E20" s="5"/>
      <c r="F20" s="5">
        <f t="shared" si="0"/>
        <v>0</v>
      </c>
      <c r="G20" s="4"/>
      <c r="H20" s="5">
        <f t="shared" si="1"/>
        <v>15</v>
      </c>
      <c r="I20" s="5">
        <f t="shared" si="2"/>
        <v>0</v>
      </c>
      <c r="J20" s="4">
        <f t="shared" si="3"/>
        <v>100</v>
      </c>
      <c r="K20" s="5">
        <f t="shared" si="5"/>
        <v>15</v>
      </c>
      <c r="L20" s="5">
        <f t="shared" si="4"/>
        <v>1500</v>
      </c>
    </row>
    <row r="21" spans="1:12" x14ac:dyDescent="0.3">
      <c r="A21" s="4"/>
      <c r="B21" s="4"/>
      <c r="C21" s="4"/>
      <c r="D21" s="4"/>
      <c r="E21" s="5"/>
      <c r="F21" s="5">
        <f t="shared" si="0"/>
        <v>0</v>
      </c>
      <c r="G21" s="4"/>
      <c r="H21" s="5">
        <f t="shared" si="1"/>
        <v>15</v>
      </c>
      <c r="I21" s="5">
        <f t="shared" si="2"/>
        <v>0</v>
      </c>
      <c r="J21" s="4">
        <f t="shared" si="3"/>
        <v>100</v>
      </c>
      <c r="K21" s="5">
        <f t="shared" si="5"/>
        <v>15</v>
      </c>
      <c r="L21" s="5">
        <f t="shared" si="4"/>
        <v>1500</v>
      </c>
    </row>
    <row r="22" spans="1:12" x14ac:dyDescent="0.3">
      <c r="A22" s="4"/>
      <c r="B22" s="4"/>
      <c r="C22" s="4"/>
      <c r="D22" s="4"/>
      <c r="E22" s="5"/>
      <c r="F22" s="5">
        <f t="shared" si="0"/>
        <v>0</v>
      </c>
      <c r="G22" s="4"/>
      <c r="H22" s="5">
        <f t="shared" si="1"/>
        <v>15</v>
      </c>
      <c r="I22" s="5">
        <f t="shared" si="2"/>
        <v>0</v>
      </c>
      <c r="J22" s="4">
        <f t="shared" si="3"/>
        <v>100</v>
      </c>
      <c r="K22" s="5">
        <f t="shared" si="5"/>
        <v>15</v>
      </c>
      <c r="L22" s="5">
        <f t="shared" si="4"/>
        <v>1500</v>
      </c>
    </row>
    <row r="23" spans="1:12" x14ac:dyDescent="0.3">
      <c r="A23" s="4"/>
      <c r="B23" s="4"/>
      <c r="C23" s="4"/>
      <c r="D23" s="4"/>
      <c r="E23" s="5"/>
      <c r="F23" s="5">
        <f t="shared" si="0"/>
        <v>0</v>
      </c>
      <c r="G23" s="4"/>
      <c r="H23" s="5">
        <f t="shared" si="1"/>
        <v>15</v>
      </c>
      <c r="I23" s="5">
        <f t="shared" si="2"/>
        <v>0</v>
      </c>
      <c r="J23" s="4">
        <f t="shared" si="3"/>
        <v>100</v>
      </c>
      <c r="K23" s="5">
        <f t="shared" si="5"/>
        <v>15</v>
      </c>
      <c r="L23" s="5">
        <f t="shared" si="4"/>
        <v>1500</v>
      </c>
    </row>
    <row r="24" spans="1:12" x14ac:dyDescent="0.3">
      <c r="A24" s="4"/>
      <c r="B24" s="4"/>
      <c r="C24" s="4"/>
      <c r="D24" s="4"/>
      <c r="E24" s="5"/>
      <c r="F24" s="5">
        <f t="shared" si="0"/>
        <v>0</v>
      </c>
      <c r="G24" s="4"/>
      <c r="H24" s="5">
        <f t="shared" si="1"/>
        <v>15</v>
      </c>
      <c r="I24" s="5">
        <f t="shared" si="2"/>
        <v>0</v>
      </c>
      <c r="J24" s="4">
        <f t="shared" si="3"/>
        <v>100</v>
      </c>
      <c r="K24" s="5">
        <f t="shared" si="5"/>
        <v>15</v>
      </c>
      <c r="L24" s="5">
        <f t="shared" si="4"/>
        <v>1500</v>
      </c>
    </row>
    <row r="25" spans="1:12" x14ac:dyDescent="0.3">
      <c r="A25" s="4"/>
      <c r="B25" s="4"/>
      <c r="C25" s="4"/>
      <c r="D25" s="4"/>
      <c r="E25" s="5"/>
      <c r="F25" s="5">
        <f t="shared" si="0"/>
        <v>0</v>
      </c>
      <c r="G25" s="4"/>
      <c r="H25" s="5">
        <f t="shared" si="1"/>
        <v>15</v>
      </c>
      <c r="I25" s="5">
        <f t="shared" si="2"/>
        <v>0</v>
      </c>
      <c r="J25" s="4">
        <f t="shared" si="3"/>
        <v>100</v>
      </c>
      <c r="K25" s="5">
        <f t="shared" si="5"/>
        <v>15</v>
      </c>
      <c r="L25" s="5">
        <f t="shared" si="4"/>
        <v>1500</v>
      </c>
    </row>
    <row r="26" spans="1:12" x14ac:dyDescent="0.3">
      <c r="A26" s="4"/>
      <c r="B26" s="4"/>
      <c r="C26" s="4"/>
      <c r="D26" s="4"/>
      <c r="E26" s="5"/>
      <c r="F26" s="5">
        <f t="shared" si="0"/>
        <v>0</v>
      </c>
      <c r="G26" s="4"/>
      <c r="H26" s="5">
        <f t="shared" si="1"/>
        <v>15</v>
      </c>
      <c r="I26" s="5">
        <f t="shared" si="2"/>
        <v>0</v>
      </c>
      <c r="J26" s="4">
        <f t="shared" si="3"/>
        <v>100</v>
      </c>
      <c r="K26" s="5">
        <f t="shared" si="5"/>
        <v>15</v>
      </c>
      <c r="L26" s="5">
        <f t="shared" si="4"/>
        <v>1500</v>
      </c>
    </row>
    <row r="27" spans="1:12" x14ac:dyDescent="0.3">
      <c r="A27" s="4"/>
      <c r="B27" s="4"/>
      <c r="C27" s="4"/>
      <c r="D27" s="4"/>
      <c r="E27" s="5"/>
      <c r="F27" s="5">
        <f t="shared" si="0"/>
        <v>0</v>
      </c>
      <c r="G27" s="4"/>
      <c r="H27" s="5">
        <f t="shared" si="1"/>
        <v>15</v>
      </c>
      <c r="I27" s="5">
        <f t="shared" si="2"/>
        <v>0</v>
      </c>
      <c r="J27" s="4">
        <f t="shared" si="3"/>
        <v>100</v>
      </c>
      <c r="K27" s="5">
        <f t="shared" si="5"/>
        <v>15</v>
      </c>
      <c r="L27" s="5">
        <f t="shared" si="4"/>
        <v>1500</v>
      </c>
    </row>
    <row r="28" spans="1:12" x14ac:dyDescent="0.3">
      <c r="A28" s="4"/>
      <c r="B28" s="4"/>
      <c r="C28" s="4"/>
      <c r="D28" s="4"/>
      <c r="E28" s="5"/>
      <c r="F28" s="5">
        <f t="shared" si="0"/>
        <v>0</v>
      </c>
      <c r="G28" s="4"/>
      <c r="H28" s="5">
        <f t="shared" si="1"/>
        <v>15</v>
      </c>
      <c r="I28" s="5">
        <f t="shared" si="2"/>
        <v>0</v>
      </c>
      <c r="J28" s="4">
        <f t="shared" si="3"/>
        <v>100</v>
      </c>
      <c r="K28" s="5">
        <f t="shared" si="5"/>
        <v>15</v>
      </c>
      <c r="L28" s="5">
        <f t="shared" si="4"/>
        <v>1500</v>
      </c>
    </row>
    <row r="29" spans="1:12" x14ac:dyDescent="0.3">
      <c r="A29" s="4"/>
      <c r="B29" s="4"/>
      <c r="C29" s="4"/>
      <c r="D29" s="4"/>
      <c r="E29" s="5"/>
      <c r="F29" s="5">
        <f t="shared" si="0"/>
        <v>0</v>
      </c>
      <c r="G29" s="4"/>
      <c r="H29" s="5">
        <f t="shared" si="1"/>
        <v>15</v>
      </c>
      <c r="I29" s="5">
        <f t="shared" si="2"/>
        <v>0</v>
      </c>
      <c r="J29" s="4">
        <f t="shared" si="3"/>
        <v>100</v>
      </c>
      <c r="K29" s="5">
        <f t="shared" si="5"/>
        <v>15</v>
      </c>
      <c r="L29" s="5">
        <f t="shared" si="4"/>
        <v>1500</v>
      </c>
    </row>
    <row r="30" spans="1:12" x14ac:dyDescent="0.3">
      <c r="A30" s="4"/>
      <c r="B30" s="4"/>
      <c r="C30" s="4"/>
      <c r="D30" s="4"/>
      <c r="E30" s="5"/>
      <c r="F30" s="5">
        <f t="shared" si="0"/>
        <v>0</v>
      </c>
      <c r="G30" s="4"/>
      <c r="H30" s="5">
        <f t="shared" si="1"/>
        <v>15</v>
      </c>
      <c r="I30" s="5">
        <f t="shared" si="2"/>
        <v>0</v>
      </c>
      <c r="J30" s="4">
        <f t="shared" si="3"/>
        <v>100</v>
      </c>
      <c r="K30" s="5">
        <f t="shared" si="5"/>
        <v>15</v>
      </c>
      <c r="L30" s="5">
        <f t="shared" si="4"/>
        <v>1500</v>
      </c>
    </row>
  </sheetData>
  <mergeCells count="5">
    <mergeCell ref="J6:L6"/>
    <mergeCell ref="G6:I6"/>
    <mergeCell ref="N6:O6"/>
    <mergeCell ref="A1:L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4939-7769-4034-B8CE-DD71C9B5C288}">
  <dimension ref="A1:U274"/>
  <sheetViews>
    <sheetView topLeftCell="D245" zoomScale="80" zoomScaleNormal="80" workbookViewId="0">
      <selection activeCell="N144" sqref="N144"/>
    </sheetView>
  </sheetViews>
  <sheetFormatPr baseColWidth="10" defaultRowHeight="14.4" x14ac:dyDescent="0.3"/>
  <cols>
    <col min="1" max="1" width="6.5546875" customWidth="1"/>
    <col min="2" max="2" width="11.5546875" style="8" customWidth="1"/>
    <col min="4" max="4" width="15.21875" style="34" customWidth="1"/>
    <col min="5" max="5" width="52.77734375" customWidth="1"/>
    <col min="6" max="6" width="13.21875" style="7" customWidth="1"/>
    <col min="7" max="7" width="19.21875" customWidth="1"/>
    <col min="8" max="8" width="10.77734375" customWidth="1"/>
    <col min="9" max="9" width="11.5546875" style="7" customWidth="1"/>
    <col min="10" max="10" width="11.5546875" style="7"/>
    <col min="11" max="11" width="10.77734375" style="64" customWidth="1"/>
    <col min="12" max="12" width="13.77734375" style="64" customWidth="1"/>
    <col min="13" max="14" width="12.109375" style="7" customWidth="1"/>
    <col min="15" max="15" width="11.5546875" style="7" customWidth="1"/>
    <col min="16" max="16" width="12.77734375" style="70" customWidth="1"/>
    <col min="17" max="18" width="11.5546875" style="7"/>
    <col min="19" max="19" width="13.77734375" style="79" bestFit="1" customWidth="1"/>
    <col min="20" max="20" width="13.109375" customWidth="1"/>
    <col min="21" max="21" width="31.21875" customWidth="1"/>
  </cols>
  <sheetData>
    <row r="1" spans="1:21" ht="36" customHeight="1" thickBot="1" x14ac:dyDescent="0.35">
      <c r="E1" s="92"/>
      <c r="F1" s="93">
        <f ca="1">TODAY()</f>
        <v>46164</v>
      </c>
    </row>
    <row r="2" spans="1:21" ht="25.8" customHeight="1" thickBot="1" x14ac:dyDescent="0.35">
      <c r="A2" s="164" t="s">
        <v>163</v>
      </c>
      <c r="B2" s="166" t="s">
        <v>158</v>
      </c>
      <c r="C2" s="168" t="s">
        <v>159</v>
      </c>
      <c r="D2" s="170" t="s">
        <v>30</v>
      </c>
      <c r="E2" s="168" t="s">
        <v>27</v>
      </c>
      <c r="F2" s="172" t="s">
        <v>469</v>
      </c>
      <c r="G2" s="178" t="s">
        <v>33</v>
      </c>
      <c r="H2" s="180" t="s">
        <v>28</v>
      </c>
      <c r="I2" s="181"/>
      <c r="J2" s="181"/>
      <c r="K2" s="182"/>
      <c r="L2" s="50"/>
      <c r="M2" s="183" t="s">
        <v>32</v>
      </c>
      <c r="N2" s="184"/>
      <c r="O2" s="184"/>
      <c r="P2" s="185"/>
      <c r="Q2" s="154" t="s">
        <v>10</v>
      </c>
      <c r="R2" s="155"/>
      <c r="S2" s="155"/>
      <c r="T2" s="156"/>
      <c r="U2" s="157" t="s">
        <v>160</v>
      </c>
    </row>
    <row r="3" spans="1:21" s="13" customFormat="1" ht="15" thickBot="1" x14ac:dyDescent="0.35">
      <c r="A3" s="165"/>
      <c r="B3" s="167"/>
      <c r="C3" s="169"/>
      <c r="D3" s="171"/>
      <c r="E3" s="169"/>
      <c r="F3" s="173"/>
      <c r="G3" s="179"/>
      <c r="H3" s="25" t="s">
        <v>159</v>
      </c>
      <c r="I3" s="49" t="s">
        <v>481</v>
      </c>
      <c r="J3" s="49" t="s">
        <v>483</v>
      </c>
      <c r="K3" s="72" t="s">
        <v>501</v>
      </c>
      <c r="L3" s="73" t="s">
        <v>508</v>
      </c>
      <c r="M3" s="51" t="s">
        <v>159</v>
      </c>
      <c r="N3" s="51" t="s">
        <v>480</v>
      </c>
      <c r="O3" s="44" t="s">
        <v>483</v>
      </c>
      <c r="P3" s="45" t="s">
        <v>501</v>
      </c>
      <c r="Q3" s="80" t="s">
        <v>26</v>
      </c>
      <c r="R3" s="80" t="s">
        <v>501</v>
      </c>
      <c r="S3" s="81" t="s">
        <v>508</v>
      </c>
      <c r="T3" s="82" t="s">
        <v>482</v>
      </c>
      <c r="U3" s="158"/>
    </row>
    <row r="4" spans="1:21" x14ac:dyDescent="0.3">
      <c r="A4" s="31" t="s">
        <v>460</v>
      </c>
      <c r="B4" s="14"/>
      <c r="C4" s="12"/>
      <c r="D4" s="35"/>
      <c r="E4" s="29" t="s">
        <v>115</v>
      </c>
      <c r="F4" s="38" t="s">
        <v>471</v>
      </c>
      <c r="G4" s="12" t="s">
        <v>116</v>
      </c>
      <c r="H4" s="41"/>
      <c r="I4" s="41"/>
      <c r="J4" s="41">
        <v>14</v>
      </c>
      <c r="K4" s="65">
        <v>15</v>
      </c>
      <c r="L4" s="65">
        <f>K4*J4</f>
        <v>210</v>
      </c>
      <c r="M4" s="46"/>
      <c r="N4" s="46"/>
      <c r="O4" s="46"/>
      <c r="P4" s="71">
        <f>K4</f>
        <v>15</v>
      </c>
      <c r="Q4" s="83">
        <f>J4-O4</f>
        <v>14</v>
      </c>
      <c r="R4" s="84">
        <f>K4</f>
        <v>15</v>
      </c>
      <c r="S4" s="85">
        <f>Q4*R4</f>
        <v>210</v>
      </c>
      <c r="T4" s="86"/>
      <c r="U4" s="26"/>
    </row>
    <row r="5" spans="1:21" x14ac:dyDescent="0.3">
      <c r="A5" s="31" t="s">
        <v>461</v>
      </c>
      <c r="B5" s="15"/>
      <c r="C5" s="9"/>
      <c r="D5" s="21"/>
      <c r="E5" s="23" t="s">
        <v>459</v>
      </c>
      <c r="F5" s="38" t="s">
        <v>471</v>
      </c>
      <c r="G5" s="9" t="s">
        <v>295</v>
      </c>
      <c r="H5" s="41"/>
      <c r="I5" s="42"/>
      <c r="J5" s="42">
        <v>2</v>
      </c>
      <c r="K5" s="65">
        <v>35</v>
      </c>
      <c r="L5" s="65">
        <f t="shared" ref="L5:L68" si="0">K5*J5</f>
        <v>70</v>
      </c>
      <c r="M5" s="46"/>
      <c r="N5" s="46"/>
      <c r="O5" s="47"/>
      <c r="P5" s="71">
        <f t="shared" ref="P5:P68" si="1">K5</f>
        <v>35</v>
      </c>
      <c r="Q5" s="83">
        <f t="shared" ref="Q5:Q68" si="2">J5-O5</f>
        <v>2</v>
      </c>
      <c r="R5" s="84">
        <f t="shared" ref="R5:R68" si="3">K5</f>
        <v>35</v>
      </c>
      <c r="S5" s="85">
        <f t="shared" ref="S5:S68" si="4">Q5*R5</f>
        <v>70</v>
      </c>
      <c r="T5" s="87">
        <v>43862</v>
      </c>
      <c r="U5" s="27" t="s">
        <v>29</v>
      </c>
    </row>
    <row r="6" spans="1:21" x14ac:dyDescent="0.3">
      <c r="A6" s="31" t="s">
        <v>462</v>
      </c>
      <c r="B6" s="15"/>
      <c r="C6" s="9"/>
      <c r="D6" s="21"/>
      <c r="E6" s="22" t="s">
        <v>339</v>
      </c>
      <c r="F6" s="38" t="s">
        <v>471</v>
      </c>
      <c r="G6" s="9" t="s">
        <v>130</v>
      </c>
      <c r="H6" s="41"/>
      <c r="I6" s="42"/>
      <c r="J6" s="42">
        <v>1</v>
      </c>
      <c r="K6" s="65">
        <v>620</v>
      </c>
      <c r="L6" s="65">
        <f t="shared" si="0"/>
        <v>620</v>
      </c>
      <c r="M6" s="46"/>
      <c r="N6" s="46"/>
      <c r="O6" s="47"/>
      <c r="P6" s="71">
        <f t="shared" si="1"/>
        <v>620</v>
      </c>
      <c r="Q6" s="83">
        <f t="shared" si="2"/>
        <v>1</v>
      </c>
      <c r="R6" s="84">
        <f t="shared" si="3"/>
        <v>620</v>
      </c>
      <c r="S6" s="85">
        <f t="shared" si="4"/>
        <v>620</v>
      </c>
      <c r="T6" s="88"/>
      <c r="U6" s="27"/>
    </row>
    <row r="7" spans="1:21" x14ac:dyDescent="0.3">
      <c r="A7" s="31" t="s">
        <v>463</v>
      </c>
      <c r="B7" s="15"/>
      <c r="C7" s="9"/>
      <c r="D7" s="21"/>
      <c r="E7" s="22" t="s">
        <v>340</v>
      </c>
      <c r="F7" s="38" t="s">
        <v>471</v>
      </c>
      <c r="G7" s="9" t="s">
        <v>130</v>
      </c>
      <c r="H7" s="41"/>
      <c r="I7" s="42"/>
      <c r="J7" s="42">
        <v>1</v>
      </c>
      <c r="K7" s="65">
        <v>1300</v>
      </c>
      <c r="L7" s="65">
        <f t="shared" si="0"/>
        <v>1300</v>
      </c>
      <c r="M7" s="46"/>
      <c r="N7" s="46"/>
      <c r="O7" s="47"/>
      <c r="P7" s="71">
        <f t="shared" si="1"/>
        <v>1300</v>
      </c>
      <c r="Q7" s="83">
        <f t="shared" si="2"/>
        <v>1</v>
      </c>
      <c r="R7" s="84">
        <f t="shared" si="3"/>
        <v>1300</v>
      </c>
      <c r="S7" s="85">
        <f t="shared" si="4"/>
        <v>1300</v>
      </c>
      <c r="T7" s="88"/>
      <c r="U7" s="27"/>
    </row>
    <row r="8" spans="1:21" x14ac:dyDescent="0.3">
      <c r="A8" s="31" t="s">
        <v>464</v>
      </c>
      <c r="B8" s="15"/>
      <c r="C8" s="9"/>
      <c r="D8" s="21"/>
      <c r="E8" s="23" t="s">
        <v>513</v>
      </c>
      <c r="F8" s="38" t="s">
        <v>471</v>
      </c>
      <c r="G8" s="9" t="s">
        <v>294</v>
      </c>
      <c r="H8" s="41"/>
      <c r="I8" s="42"/>
      <c r="J8" s="42">
        <v>14</v>
      </c>
      <c r="K8" s="65">
        <v>250</v>
      </c>
      <c r="L8" s="65">
        <f t="shared" si="0"/>
        <v>3500</v>
      </c>
      <c r="M8" s="46"/>
      <c r="N8" s="46"/>
      <c r="O8" s="47"/>
      <c r="P8" s="71">
        <f t="shared" si="1"/>
        <v>250</v>
      </c>
      <c r="Q8" s="83">
        <f t="shared" si="2"/>
        <v>14</v>
      </c>
      <c r="R8" s="84">
        <f t="shared" si="3"/>
        <v>250</v>
      </c>
      <c r="S8" s="85">
        <f t="shared" si="4"/>
        <v>3500</v>
      </c>
      <c r="T8" s="88"/>
      <c r="U8" s="27" t="s">
        <v>514</v>
      </c>
    </row>
    <row r="9" spans="1:21" x14ac:dyDescent="0.3">
      <c r="A9" s="31" t="s">
        <v>465</v>
      </c>
      <c r="B9" s="15"/>
      <c r="C9" s="9"/>
      <c r="D9" s="21"/>
      <c r="E9" s="23" t="s">
        <v>513</v>
      </c>
      <c r="F9" s="38" t="s">
        <v>471</v>
      </c>
      <c r="G9" s="9" t="s">
        <v>294</v>
      </c>
      <c r="H9" s="41"/>
      <c r="I9" s="42"/>
      <c r="J9" s="42">
        <v>15</v>
      </c>
      <c r="K9" s="65">
        <v>250</v>
      </c>
      <c r="L9" s="65">
        <f t="shared" si="0"/>
        <v>3750</v>
      </c>
      <c r="M9" s="46"/>
      <c r="N9" s="46"/>
      <c r="O9" s="47"/>
      <c r="P9" s="71">
        <f t="shared" si="1"/>
        <v>250</v>
      </c>
      <c r="Q9" s="83">
        <f t="shared" si="2"/>
        <v>15</v>
      </c>
      <c r="R9" s="84">
        <f t="shared" si="3"/>
        <v>250</v>
      </c>
      <c r="S9" s="85">
        <f t="shared" si="4"/>
        <v>3750</v>
      </c>
      <c r="T9" s="88"/>
      <c r="U9" s="27" t="s">
        <v>515</v>
      </c>
    </row>
    <row r="10" spans="1:21" x14ac:dyDescent="0.3">
      <c r="A10" s="31" t="s">
        <v>466</v>
      </c>
      <c r="B10" s="15">
        <v>319</v>
      </c>
      <c r="C10" s="32">
        <v>44914</v>
      </c>
      <c r="D10" s="21">
        <v>208400040652</v>
      </c>
      <c r="E10" s="23" t="s">
        <v>82</v>
      </c>
      <c r="F10" s="38" t="s">
        <v>471</v>
      </c>
      <c r="G10" s="9" t="s">
        <v>71</v>
      </c>
      <c r="H10" s="52">
        <v>44923</v>
      </c>
      <c r="I10" s="42">
        <v>3267</v>
      </c>
      <c r="J10" s="42">
        <v>12</v>
      </c>
      <c r="K10" s="65">
        <v>12</v>
      </c>
      <c r="L10" s="65">
        <f t="shared" si="0"/>
        <v>144</v>
      </c>
      <c r="M10" s="46"/>
      <c r="N10" s="46"/>
      <c r="O10" s="47"/>
      <c r="P10" s="71">
        <f t="shared" si="1"/>
        <v>12</v>
      </c>
      <c r="Q10" s="83">
        <f t="shared" si="2"/>
        <v>12</v>
      </c>
      <c r="R10" s="84">
        <f t="shared" si="3"/>
        <v>12</v>
      </c>
      <c r="S10" s="85">
        <f t="shared" si="4"/>
        <v>144</v>
      </c>
      <c r="T10" s="88"/>
      <c r="U10" s="27"/>
    </row>
    <row r="11" spans="1:21" x14ac:dyDescent="0.3">
      <c r="A11" s="31" t="s">
        <v>467</v>
      </c>
      <c r="B11" s="15"/>
      <c r="C11" s="9"/>
      <c r="D11" s="21"/>
      <c r="E11" s="23" t="s">
        <v>42</v>
      </c>
      <c r="F11" s="38" t="s">
        <v>471</v>
      </c>
      <c r="G11" s="9" t="s">
        <v>43</v>
      </c>
      <c r="H11" s="41"/>
      <c r="I11" s="42"/>
      <c r="J11" s="42">
        <v>2</v>
      </c>
      <c r="K11" s="65">
        <v>25</v>
      </c>
      <c r="L11" s="65">
        <f t="shared" si="0"/>
        <v>50</v>
      </c>
      <c r="M11" s="46"/>
      <c r="N11" s="46"/>
      <c r="O11" s="47"/>
      <c r="P11" s="71">
        <f t="shared" si="1"/>
        <v>25</v>
      </c>
      <c r="Q11" s="83">
        <f t="shared" si="2"/>
        <v>2</v>
      </c>
      <c r="R11" s="84">
        <f t="shared" si="3"/>
        <v>25</v>
      </c>
      <c r="S11" s="85">
        <f t="shared" si="4"/>
        <v>50</v>
      </c>
      <c r="T11" s="88"/>
      <c r="U11" s="27"/>
    </row>
    <row r="12" spans="1:21" x14ac:dyDescent="0.3">
      <c r="A12" s="31" t="s">
        <v>468</v>
      </c>
      <c r="B12" s="15">
        <v>117</v>
      </c>
      <c r="C12" s="32">
        <v>45862</v>
      </c>
      <c r="D12" s="21">
        <v>208400210006</v>
      </c>
      <c r="E12" s="23" t="s">
        <v>40</v>
      </c>
      <c r="F12" s="38" t="s">
        <v>471</v>
      </c>
      <c r="G12" s="9" t="s">
        <v>41</v>
      </c>
      <c r="H12" s="52">
        <v>45862</v>
      </c>
      <c r="I12" s="42">
        <v>1858</v>
      </c>
      <c r="J12" s="42">
        <v>20</v>
      </c>
      <c r="K12" s="65">
        <v>30</v>
      </c>
      <c r="L12" s="65">
        <f t="shared" si="0"/>
        <v>600</v>
      </c>
      <c r="M12" s="46"/>
      <c r="N12" s="46"/>
      <c r="O12" s="47"/>
      <c r="P12" s="71">
        <f t="shared" si="1"/>
        <v>30</v>
      </c>
      <c r="Q12" s="83">
        <f t="shared" si="2"/>
        <v>20</v>
      </c>
      <c r="R12" s="84">
        <f t="shared" si="3"/>
        <v>30</v>
      </c>
      <c r="S12" s="85">
        <f t="shared" si="4"/>
        <v>600</v>
      </c>
      <c r="T12" s="88"/>
      <c r="U12" s="27"/>
    </row>
    <row r="13" spans="1:21" x14ac:dyDescent="0.3">
      <c r="A13" s="31" t="s">
        <v>164</v>
      </c>
      <c r="B13" s="15"/>
      <c r="C13" s="32"/>
      <c r="D13" s="21"/>
      <c r="E13" s="23" t="s">
        <v>36</v>
      </c>
      <c r="F13" s="38" t="s">
        <v>471</v>
      </c>
      <c r="G13" s="9" t="s">
        <v>37</v>
      </c>
      <c r="H13" s="41"/>
      <c r="I13" s="42"/>
      <c r="J13" s="42">
        <v>2</v>
      </c>
      <c r="K13" s="65">
        <v>120</v>
      </c>
      <c r="L13" s="65">
        <f t="shared" si="0"/>
        <v>240</v>
      </c>
      <c r="M13" s="46"/>
      <c r="N13" s="46"/>
      <c r="O13" s="47"/>
      <c r="P13" s="71">
        <f t="shared" si="1"/>
        <v>120</v>
      </c>
      <c r="Q13" s="83">
        <f t="shared" si="2"/>
        <v>2</v>
      </c>
      <c r="R13" s="84">
        <f t="shared" si="3"/>
        <v>120</v>
      </c>
      <c r="S13" s="85">
        <f t="shared" si="4"/>
        <v>240</v>
      </c>
      <c r="T13" s="88"/>
      <c r="U13" s="27"/>
    </row>
    <row r="14" spans="1:21" x14ac:dyDescent="0.3">
      <c r="A14" s="31" t="s">
        <v>165</v>
      </c>
      <c r="B14" s="15"/>
      <c r="C14" s="9"/>
      <c r="D14" s="21"/>
      <c r="E14" s="22" t="s">
        <v>500</v>
      </c>
      <c r="F14" s="38" t="s">
        <v>471</v>
      </c>
      <c r="G14" s="9" t="s">
        <v>294</v>
      </c>
      <c r="H14" s="41"/>
      <c r="I14" s="42"/>
      <c r="J14" s="42">
        <v>2</v>
      </c>
      <c r="K14" s="65">
        <v>12</v>
      </c>
      <c r="L14" s="65">
        <f t="shared" si="0"/>
        <v>24</v>
      </c>
      <c r="M14" s="46"/>
      <c r="N14" s="46"/>
      <c r="O14" s="47"/>
      <c r="P14" s="71">
        <f t="shared" si="1"/>
        <v>12</v>
      </c>
      <c r="Q14" s="83">
        <f t="shared" si="2"/>
        <v>2</v>
      </c>
      <c r="R14" s="84">
        <f t="shared" si="3"/>
        <v>12</v>
      </c>
      <c r="S14" s="85">
        <f t="shared" si="4"/>
        <v>24</v>
      </c>
      <c r="T14" s="88"/>
      <c r="U14" s="27"/>
    </row>
    <row r="15" spans="1:21" x14ac:dyDescent="0.3">
      <c r="A15" s="31" t="s">
        <v>166</v>
      </c>
      <c r="B15" s="15"/>
      <c r="C15" s="9"/>
      <c r="D15" s="21"/>
      <c r="E15" s="23" t="s">
        <v>275</v>
      </c>
      <c r="F15" s="38" t="s">
        <v>471</v>
      </c>
      <c r="G15" s="9" t="s">
        <v>50</v>
      </c>
      <c r="H15" s="41"/>
      <c r="I15" s="42"/>
      <c r="J15" s="42">
        <v>42</v>
      </c>
      <c r="K15" s="65">
        <v>11.5</v>
      </c>
      <c r="L15" s="65">
        <f t="shared" si="0"/>
        <v>483</v>
      </c>
      <c r="M15" s="46"/>
      <c r="N15" s="46"/>
      <c r="O15" s="47"/>
      <c r="P15" s="71">
        <f t="shared" si="1"/>
        <v>11.5</v>
      </c>
      <c r="Q15" s="83">
        <f t="shared" si="2"/>
        <v>42</v>
      </c>
      <c r="R15" s="84">
        <f t="shared" si="3"/>
        <v>11.5</v>
      </c>
      <c r="S15" s="85">
        <f t="shared" si="4"/>
        <v>483</v>
      </c>
      <c r="T15" s="88"/>
      <c r="U15" s="27"/>
    </row>
    <row r="16" spans="1:21" x14ac:dyDescent="0.3">
      <c r="A16" s="31" t="s">
        <v>167</v>
      </c>
      <c r="B16" s="15">
        <v>341</v>
      </c>
      <c r="C16" s="32">
        <v>44922</v>
      </c>
      <c r="D16" s="21">
        <v>731500030073</v>
      </c>
      <c r="E16" s="22" t="s">
        <v>492</v>
      </c>
      <c r="F16" s="38" t="s">
        <v>474</v>
      </c>
      <c r="G16" s="9" t="s">
        <v>323</v>
      </c>
      <c r="H16" s="52">
        <v>44924</v>
      </c>
      <c r="I16" s="42">
        <v>3302</v>
      </c>
      <c r="J16" s="42">
        <v>3</v>
      </c>
      <c r="K16" s="65">
        <v>82</v>
      </c>
      <c r="L16" s="65">
        <f t="shared" si="0"/>
        <v>246</v>
      </c>
      <c r="M16" s="46"/>
      <c r="N16" s="46"/>
      <c r="O16" s="47"/>
      <c r="P16" s="71">
        <f t="shared" si="1"/>
        <v>82</v>
      </c>
      <c r="Q16" s="83">
        <f t="shared" si="2"/>
        <v>3</v>
      </c>
      <c r="R16" s="84">
        <f t="shared" si="3"/>
        <v>82</v>
      </c>
      <c r="S16" s="85">
        <f t="shared" si="4"/>
        <v>246</v>
      </c>
      <c r="T16" s="88"/>
      <c r="U16" s="27"/>
    </row>
    <row r="17" spans="1:21" x14ac:dyDescent="0.3">
      <c r="A17" s="31" t="s">
        <v>168</v>
      </c>
      <c r="B17" s="15">
        <v>341</v>
      </c>
      <c r="C17" s="32">
        <v>44922</v>
      </c>
      <c r="D17" s="21">
        <v>731500030042</v>
      </c>
      <c r="E17" s="22" t="s">
        <v>493</v>
      </c>
      <c r="F17" s="38" t="s">
        <v>474</v>
      </c>
      <c r="G17" s="9" t="s">
        <v>323</v>
      </c>
      <c r="H17" s="52">
        <v>44924</v>
      </c>
      <c r="I17" s="42">
        <v>3302</v>
      </c>
      <c r="J17" s="42">
        <v>3</v>
      </c>
      <c r="K17" s="65">
        <v>82</v>
      </c>
      <c r="L17" s="65">
        <f t="shared" si="0"/>
        <v>246</v>
      </c>
      <c r="M17" s="46"/>
      <c r="N17" s="46"/>
      <c r="O17" s="47"/>
      <c r="P17" s="71">
        <f t="shared" si="1"/>
        <v>82</v>
      </c>
      <c r="Q17" s="83">
        <f t="shared" si="2"/>
        <v>3</v>
      </c>
      <c r="R17" s="84">
        <f t="shared" si="3"/>
        <v>82</v>
      </c>
      <c r="S17" s="85">
        <f t="shared" si="4"/>
        <v>246</v>
      </c>
      <c r="T17" s="88"/>
      <c r="U17" s="27"/>
    </row>
    <row r="18" spans="1:21" x14ac:dyDescent="0.3">
      <c r="A18" s="31" t="s">
        <v>169</v>
      </c>
      <c r="B18" s="15"/>
      <c r="C18" s="9"/>
      <c r="D18" s="21"/>
      <c r="E18" s="23" t="s">
        <v>60</v>
      </c>
      <c r="F18" s="38" t="s">
        <v>471</v>
      </c>
      <c r="G18" s="9" t="s">
        <v>294</v>
      </c>
      <c r="H18" s="41"/>
      <c r="I18" s="42"/>
      <c r="J18" s="75">
        <v>6</v>
      </c>
      <c r="K18" s="65">
        <v>85</v>
      </c>
      <c r="L18" s="65">
        <f t="shared" si="0"/>
        <v>510</v>
      </c>
      <c r="M18" s="46"/>
      <c r="N18" s="46"/>
      <c r="O18" s="47"/>
      <c r="P18" s="71">
        <f t="shared" si="1"/>
        <v>85</v>
      </c>
      <c r="Q18" s="83">
        <f t="shared" si="2"/>
        <v>6</v>
      </c>
      <c r="R18" s="84">
        <f t="shared" si="3"/>
        <v>85</v>
      </c>
      <c r="S18" s="85">
        <f t="shared" si="4"/>
        <v>510</v>
      </c>
      <c r="T18" s="88"/>
      <c r="U18" s="27"/>
    </row>
    <row r="19" spans="1:21" x14ac:dyDescent="0.3">
      <c r="A19" s="31" t="s">
        <v>170</v>
      </c>
      <c r="B19" s="15"/>
      <c r="C19" s="9"/>
      <c r="D19" s="21"/>
      <c r="E19" s="23" t="s">
        <v>99</v>
      </c>
      <c r="F19" s="38" t="s">
        <v>471</v>
      </c>
      <c r="G19" s="9" t="s">
        <v>294</v>
      </c>
      <c r="H19" s="41"/>
      <c r="I19" s="42"/>
      <c r="J19" s="75">
        <v>1</v>
      </c>
      <c r="K19" s="65">
        <v>28</v>
      </c>
      <c r="L19" s="65">
        <f t="shared" si="0"/>
        <v>28</v>
      </c>
      <c r="M19" s="46"/>
      <c r="N19" s="46"/>
      <c r="O19" s="47"/>
      <c r="P19" s="71">
        <f t="shared" si="1"/>
        <v>28</v>
      </c>
      <c r="Q19" s="83">
        <f t="shared" si="2"/>
        <v>1</v>
      </c>
      <c r="R19" s="84">
        <f t="shared" si="3"/>
        <v>28</v>
      </c>
      <c r="S19" s="85">
        <f t="shared" si="4"/>
        <v>28</v>
      </c>
      <c r="T19" s="88"/>
      <c r="U19" s="27"/>
    </row>
    <row r="20" spans="1:21" x14ac:dyDescent="0.3">
      <c r="A20" s="31" t="s">
        <v>171</v>
      </c>
      <c r="B20" s="16">
        <v>60</v>
      </c>
      <c r="C20" s="32"/>
      <c r="D20" s="36" t="s">
        <v>615</v>
      </c>
      <c r="E20" s="22" t="s">
        <v>129</v>
      </c>
      <c r="F20" s="38" t="s">
        <v>471</v>
      </c>
      <c r="G20" s="9" t="s">
        <v>130</v>
      </c>
      <c r="H20" s="41"/>
      <c r="I20" s="42"/>
      <c r="J20" s="75">
        <v>3</v>
      </c>
      <c r="K20" s="65">
        <v>2.4500000000000002</v>
      </c>
      <c r="L20" s="65">
        <f t="shared" si="0"/>
        <v>7.3500000000000005</v>
      </c>
      <c r="M20" s="46"/>
      <c r="N20" s="46"/>
      <c r="O20" s="47"/>
      <c r="P20" s="71">
        <f t="shared" si="1"/>
        <v>2.4500000000000002</v>
      </c>
      <c r="Q20" s="83">
        <f t="shared" si="2"/>
        <v>3</v>
      </c>
      <c r="R20" s="84">
        <f t="shared" si="3"/>
        <v>2.4500000000000002</v>
      </c>
      <c r="S20" s="85">
        <f t="shared" si="4"/>
        <v>7.3500000000000005</v>
      </c>
      <c r="T20" s="88"/>
      <c r="U20" s="27"/>
    </row>
    <row r="21" spans="1:21" x14ac:dyDescent="0.3">
      <c r="A21" s="31" t="s">
        <v>172</v>
      </c>
      <c r="B21" s="16">
        <v>60</v>
      </c>
      <c r="C21" s="32"/>
      <c r="D21" s="36" t="s">
        <v>616</v>
      </c>
      <c r="E21" s="22" t="s">
        <v>131</v>
      </c>
      <c r="F21" s="38" t="s">
        <v>471</v>
      </c>
      <c r="G21" s="9" t="s">
        <v>48</v>
      </c>
      <c r="H21" s="41"/>
      <c r="I21" s="42"/>
      <c r="J21" s="75">
        <v>3</v>
      </c>
      <c r="K21" s="65">
        <v>10.39</v>
      </c>
      <c r="L21" s="65">
        <f t="shared" si="0"/>
        <v>31.17</v>
      </c>
      <c r="M21" s="46"/>
      <c r="N21" s="46"/>
      <c r="O21" s="47"/>
      <c r="P21" s="71">
        <f t="shared" si="1"/>
        <v>10.39</v>
      </c>
      <c r="Q21" s="83">
        <f t="shared" si="2"/>
        <v>3</v>
      </c>
      <c r="R21" s="84">
        <f t="shared" si="3"/>
        <v>10.39</v>
      </c>
      <c r="S21" s="85">
        <f t="shared" si="4"/>
        <v>31.17</v>
      </c>
      <c r="T21" s="88"/>
      <c r="U21" s="27"/>
    </row>
    <row r="22" spans="1:21" x14ac:dyDescent="0.3">
      <c r="A22" s="31" t="s">
        <v>173</v>
      </c>
      <c r="B22" s="15"/>
      <c r="C22" s="9"/>
      <c r="D22" s="21"/>
      <c r="E22" s="22" t="s">
        <v>365</v>
      </c>
      <c r="F22" s="38" t="s">
        <v>471</v>
      </c>
      <c r="G22" s="9" t="s">
        <v>366</v>
      </c>
      <c r="H22" s="41"/>
      <c r="I22" s="42"/>
      <c r="J22" s="75">
        <v>1</v>
      </c>
      <c r="K22" s="65">
        <v>70</v>
      </c>
      <c r="L22" s="65">
        <f t="shared" si="0"/>
        <v>70</v>
      </c>
      <c r="M22" s="46"/>
      <c r="N22" s="46"/>
      <c r="O22" s="47"/>
      <c r="P22" s="71">
        <f t="shared" si="1"/>
        <v>70</v>
      </c>
      <c r="Q22" s="83">
        <f t="shared" si="2"/>
        <v>1</v>
      </c>
      <c r="R22" s="84">
        <f t="shared" si="3"/>
        <v>70</v>
      </c>
      <c r="S22" s="85">
        <f t="shared" si="4"/>
        <v>70</v>
      </c>
      <c r="T22" s="88"/>
      <c r="U22" s="27"/>
    </row>
    <row r="23" spans="1:21" x14ac:dyDescent="0.3">
      <c r="A23" s="31" t="s">
        <v>174</v>
      </c>
      <c r="B23" s="15"/>
      <c r="C23" s="9"/>
      <c r="D23" s="21"/>
      <c r="E23" s="22" t="s">
        <v>367</v>
      </c>
      <c r="F23" s="39" t="s">
        <v>471</v>
      </c>
      <c r="G23" s="9" t="s">
        <v>130</v>
      </c>
      <c r="H23" s="41"/>
      <c r="I23" s="42"/>
      <c r="J23" s="75">
        <v>1</v>
      </c>
      <c r="K23" s="65">
        <v>55</v>
      </c>
      <c r="L23" s="65">
        <f t="shared" si="0"/>
        <v>55</v>
      </c>
      <c r="M23" s="46"/>
      <c r="N23" s="46"/>
      <c r="O23" s="47"/>
      <c r="P23" s="71">
        <f t="shared" si="1"/>
        <v>55</v>
      </c>
      <c r="Q23" s="83">
        <f t="shared" si="2"/>
        <v>1</v>
      </c>
      <c r="R23" s="84">
        <f t="shared" si="3"/>
        <v>55</v>
      </c>
      <c r="S23" s="85">
        <f t="shared" si="4"/>
        <v>55</v>
      </c>
      <c r="T23" s="88"/>
      <c r="U23" s="27"/>
    </row>
    <row r="24" spans="1:21" x14ac:dyDescent="0.3">
      <c r="A24" s="31" t="s">
        <v>175</v>
      </c>
      <c r="B24" s="15">
        <v>257</v>
      </c>
      <c r="C24" s="32">
        <v>45590</v>
      </c>
      <c r="D24" s="21">
        <v>737100020008</v>
      </c>
      <c r="E24" s="22" t="s">
        <v>147</v>
      </c>
      <c r="F24" s="39" t="s">
        <v>471</v>
      </c>
      <c r="G24" s="9" t="s">
        <v>149</v>
      </c>
      <c r="H24" s="52">
        <v>45955</v>
      </c>
      <c r="I24" s="42"/>
      <c r="J24" s="42">
        <v>6</v>
      </c>
      <c r="K24" s="65">
        <v>5</v>
      </c>
      <c r="L24" s="65">
        <f t="shared" si="0"/>
        <v>30</v>
      </c>
      <c r="M24" s="46"/>
      <c r="N24" s="46"/>
      <c r="O24" s="47"/>
      <c r="P24" s="71">
        <f t="shared" si="1"/>
        <v>5</v>
      </c>
      <c r="Q24" s="83">
        <f t="shared" si="2"/>
        <v>6</v>
      </c>
      <c r="R24" s="84">
        <f t="shared" si="3"/>
        <v>5</v>
      </c>
      <c r="S24" s="85">
        <f t="shared" si="4"/>
        <v>30</v>
      </c>
      <c r="T24" s="88"/>
      <c r="U24" s="27"/>
    </row>
    <row r="25" spans="1:21" x14ac:dyDescent="0.3">
      <c r="A25" s="31" t="s">
        <v>176</v>
      </c>
      <c r="B25" s="15">
        <v>257</v>
      </c>
      <c r="C25" s="32">
        <v>45590</v>
      </c>
      <c r="D25" s="21">
        <v>737100020016</v>
      </c>
      <c r="E25" s="22" t="s">
        <v>148</v>
      </c>
      <c r="F25" s="39" t="s">
        <v>471</v>
      </c>
      <c r="G25" s="9" t="s">
        <v>81</v>
      </c>
      <c r="H25" s="52">
        <v>45955</v>
      </c>
      <c r="I25" s="42"/>
      <c r="J25" s="42">
        <v>6</v>
      </c>
      <c r="K25" s="65">
        <v>9</v>
      </c>
      <c r="L25" s="65">
        <f t="shared" si="0"/>
        <v>54</v>
      </c>
      <c r="M25" s="46"/>
      <c r="N25" s="46"/>
      <c r="O25" s="47"/>
      <c r="P25" s="71">
        <f t="shared" si="1"/>
        <v>9</v>
      </c>
      <c r="Q25" s="83">
        <f t="shared" si="2"/>
        <v>6</v>
      </c>
      <c r="R25" s="84">
        <f t="shared" si="3"/>
        <v>9</v>
      </c>
      <c r="S25" s="85">
        <f t="shared" si="4"/>
        <v>54</v>
      </c>
      <c r="T25" s="88"/>
      <c r="U25" s="27"/>
    </row>
    <row r="26" spans="1:21" x14ac:dyDescent="0.3">
      <c r="A26" s="31" t="s">
        <v>177</v>
      </c>
      <c r="B26" s="15"/>
      <c r="C26" s="9"/>
      <c r="D26" s="21"/>
      <c r="E26" s="22" t="s">
        <v>457</v>
      </c>
      <c r="F26" s="39" t="s">
        <v>471</v>
      </c>
      <c r="G26" s="9" t="s">
        <v>150</v>
      </c>
      <c r="H26" s="41"/>
      <c r="I26" s="42"/>
      <c r="J26" s="42">
        <v>1</v>
      </c>
      <c r="K26" s="65">
        <v>12</v>
      </c>
      <c r="L26" s="65">
        <f t="shared" si="0"/>
        <v>12</v>
      </c>
      <c r="M26" s="46"/>
      <c r="N26" s="46"/>
      <c r="O26" s="47"/>
      <c r="P26" s="71">
        <f t="shared" si="1"/>
        <v>12</v>
      </c>
      <c r="Q26" s="83">
        <f t="shared" si="2"/>
        <v>1</v>
      </c>
      <c r="R26" s="84">
        <f t="shared" si="3"/>
        <v>12</v>
      </c>
      <c r="S26" s="85">
        <f t="shared" si="4"/>
        <v>12</v>
      </c>
      <c r="T26" s="88"/>
      <c r="U26" s="27"/>
    </row>
    <row r="27" spans="1:21" x14ac:dyDescent="0.3">
      <c r="A27" s="31" t="s">
        <v>178</v>
      </c>
      <c r="B27" s="15"/>
      <c r="C27" s="32">
        <v>45643</v>
      </c>
      <c r="D27" s="21">
        <v>737100020003</v>
      </c>
      <c r="E27" s="22" t="s">
        <v>151</v>
      </c>
      <c r="F27" s="39" t="s">
        <v>471</v>
      </c>
      <c r="G27" s="9" t="s">
        <v>81</v>
      </c>
      <c r="H27" s="52">
        <v>45643</v>
      </c>
      <c r="I27" s="42">
        <v>3507</v>
      </c>
      <c r="J27" s="42">
        <v>4</v>
      </c>
      <c r="K27" s="65">
        <v>16</v>
      </c>
      <c r="L27" s="65">
        <f t="shared" si="0"/>
        <v>64</v>
      </c>
      <c r="M27" s="46"/>
      <c r="N27" s="46"/>
      <c r="O27" s="47"/>
      <c r="P27" s="71">
        <f t="shared" si="1"/>
        <v>16</v>
      </c>
      <c r="Q27" s="83">
        <f t="shared" si="2"/>
        <v>4</v>
      </c>
      <c r="R27" s="84">
        <f t="shared" si="3"/>
        <v>16</v>
      </c>
      <c r="S27" s="85">
        <f t="shared" si="4"/>
        <v>64</v>
      </c>
      <c r="T27" s="88"/>
      <c r="U27" s="27"/>
    </row>
    <row r="28" spans="1:21" x14ac:dyDescent="0.3">
      <c r="A28" s="159" t="s">
        <v>179</v>
      </c>
      <c r="B28" s="15">
        <v>257</v>
      </c>
      <c r="C28" s="32">
        <v>45590</v>
      </c>
      <c r="D28" s="21">
        <v>737100020018</v>
      </c>
      <c r="E28" s="97" t="s">
        <v>152</v>
      </c>
      <c r="F28" s="192" t="s">
        <v>471</v>
      </c>
      <c r="G28" s="9" t="s">
        <v>150</v>
      </c>
      <c r="H28" s="52">
        <v>45590</v>
      </c>
      <c r="I28" s="42"/>
      <c r="J28" s="42">
        <v>7</v>
      </c>
      <c r="K28" s="65">
        <v>22</v>
      </c>
      <c r="L28" s="65">
        <f t="shared" si="0"/>
        <v>154</v>
      </c>
      <c r="M28" s="46"/>
      <c r="N28" s="46"/>
      <c r="O28" s="47"/>
      <c r="P28" s="74">
        <f t="shared" si="1"/>
        <v>22</v>
      </c>
      <c r="Q28" s="83">
        <f t="shared" si="2"/>
        <v>7</v>
      </c>
      <c r="R28" s="84">
        <f t="shared" si="3"/>
        <v>22</v>
      </c>
      <c r="S28" s="85">
        <f t="shared" si="4"/>
        <v>154</v>
      </c>
      <c r="T28" s="160"/>
      <c r="U28" s="162"/>
    </row>
    <row r="29" spans="1:21" x14ac:dyDescent="0.3">
      <c r="A29" s="159"/>
      <c r="B29" s="15"/>
      <c r="C29" s="32">
        <v>45643</v>
      </c>
      <c r="D29" s="21">
        <v>737100020004</v>
      </c>
      <c r="E29" s="97" t="s">
        <v>152</v>
      </c>
      <c r="F29" s="193"/>
      <c r="G29" s="9" t="s">
        <v>294</v>
      </c>
      <c r="H29" s="52">
        <v>46008</v>
      </c>
      <c r="I29" s="42">
        <v>3507</v>
      </c>
      <c r="J29" s="42">
        <v>4</v>
      </c>
      <c r="K29" s="65">
        <v>16</v>
      </c>
      <c r="L29" s="65">
        <f t="shared" si="0"/>
        <v>64</v>
      </c>
      <c r="M29" s="46"/>
      <c r="N29" s="46"/>
      <c r="O29" s="47"/>
      <c r="P29" s="74">
        <f t="shared" si="1"/>
        <v>16</v>
      </c>
      <c r="Q29" s="83">
        <f t="shared" si="2"/>
        <v>4</v>
      </c>
      <c r="R29" s="84">
        <f t="shared" si="3"/>
        <v>16</v>
      </c>
      <c r="S29" s="85">
        <f t="shared" si="4"/>
        <v>64</v>
      </c>
      <c r="T29" s="161"/>
      <c r="U29" s="163"/>
    </row>
    <row r="30" spans="1:21" x14ac:dyDescent="0.3">
      <c r="A30" s="31" t="s">
        <v>180</v>
      </c>
      <c r="B30" s="15"/>
      <c r="C30" s="9"/>
      <c r="D30" s="21"/>
      <c r="E30" s="22" t="s">
        <v>356</v>
      </c>
      <c r="F30" s="39" t="s">
        <v>471</v>
      </c>
      <c r="G30" s="9" t="s">
        <v>355</v>
      </c>
      <c r="H30" s="41"/>
      <c r="I30" s="42"/>
      <c r="J30" s="75">
        <v>1</v>
      </c>
      <c r="K30" s="65">
        <v>350</v>
      </c>
      <c r="L30" s="65">
        <f t="shared" si="0"/>
        <v>350</v>
      </c>
      <c r="M30" s="46"/>
      <c r="N30" s="46"/>
      <c r="O30" s="47"/>
      <c r="P30" s="71">
        <f t="shared" si="1"/>
        <v>350</v>
      </c>
      <c r="Q30" s="83">
        <f t="shared" si="2"/>
        <v>1</v>
      </c>
      <c r="R30" s="84">
        <f t="shared" si="3"/>
        <v>350</v>
      </c>
      <c r="S30" s="85">
        <f t="shared" si="4"/>
        <v>350</v>
      </c>
      <c r="T30" s="88"/>
      <c r="U30" s="27"/>
    </row>
    <row r="31" spans="1:21" x14ac:dyDescent="0.3">
      <c r="A31" s="31" t="s">
        <v>181</v>
      </c>
      <c r="B31" s="15"/>
      <c r="C31" s="9"/>
      <c r="D31" s="21"/>
      <c r="E31" s="22" t="s">
        <v>359</v>
      </c>
      <c r="F31" s="39" t="s">
        <v>471</v>
      </c>
      <c r="G31" s="9" t="s">
        <v>294</v>
      </c>
      <c r="H31" s="41"/>
      <c r="I31" s="42"/>
      <c r="J31" s="75">
        <v>1</v>
      </c>
      <c r="K31" s="65">
        <v>65</v>
      </c>
      <c r="L31" s="65">
        <f t="shared" si="0"/>
        <v>65</v>
      </c>
      <c r="M31" s="46"/>
      <c r="N31" s="46"/>
      <c r="O31" s="47"/>
      <c r="P31" s="71">
        <f t="shared" si="1"/>
        <v>65</v>
      </c>
      <c r="Q31" s="83">
        <f t="shared" si="2"/>
        <v>1</v>
      </c>
      <c r="R31" s="84">
        <f t="shared" si="3"/>
        <v>65</v>
      </c>
      <c r="S31" s="85">
        <f t="shared" si="4"/>
        <v>65</v>
      </c>
      <c r="T31" s="88"/>
      <c r="U31" s="27"/>
    </row>
    <row r="32" spans="1:21" x14ac:dyDescent="0.3">
      <c r="A32" s="31" t="s">
        <v>182</v>
      </c>
      <c r="B32" s="15"/>
      <c r="C32" s="9"/>
      <c r="D32" s="21"/>
      <c r="E32" s="23" t="s">
        <v>276</v>
      </c>
      <c r="F32" s="39" t="s">
        <v>471</v>
      </c>
      <c r="G32" s="9" t="s">
        <v>55</v>
      </c>
      <c r="H32" s="41"/>
      <c r="I32" s="42"/>
      <c r="J32" s="75">
        <v>139</v>
      </c>
      <c r="K32" s="65">
        <v>3.8</v>
      </c>
      <c r="L32" s="65">
        <f t="shared" si="0"/>
        <v>528.19999999999993</v>
      </c>
      <c r="M32" s="46"/>
      <c r="N32" s="46"/>
      <c r="O32" s="47"/>
      <c r="P32" s="71">
        <f t="shared" si="1"/>
        <v>3.8</v>
      </c>
      <c r="Q32" s="83">
        <f t="shared" si="2"/>
        <v>139</v>
      </c>
      <c r="R32" s="84">
        <f t="shared" si="3"/>
        <v>3.8</v>
      </c>
      <c r="S32" s="85">
        <f t="shared" si="4"/>
        <v>528.19999999999993</v>
      </c>
      <c r="T32" s="88"/>
      <c r="U32" s="27" t="s">
        <v>161</v>
      </c>
    </row>
    <row r="33" spans="1:21" x14ac:dyDescent="0.3">
      <c r="A33" s="31" t="s">
        <v>183</v>
      </c>
      <c r="B33" s="16">
        <v>61</v>
      </c>
      <c r="C33" s="32">
        <v>46136</v>
      </c>
      <c r="D33" s="21">
        <v>154800010007</v>
      </c>
      <c r="E33" s="22" t="s">
        <v>136</v>
      </c>
      <c r="F33" s="39" t="s">
        <v>471</v>
      </c>
      <c r="G33" s="9" t="s">
        <v>135</v>
      </c>
      <c r="H33" s="52">
        <v>46136</v>
      </c>
      <c r="I33" s="42"/>
      <c r="J33" s="42">
        <v>6</v>
      </c>
      <c r="K33" s="65">
        <v>79</v>
      </c>
      <c r="L33" s="65">
        <f t="shared" si="0"/>
        <v>474</v>
      </c>
      <c r="M33" s="46"/>
      <c r="N33" s="46"/>
      <c r="O33" s="47"/>
      <c r="P33" s="71">
        <f t="shared" si="1"/>
        <v>79</v>
      </c>
      <c r="Q33" s="83">
        <f t="shared" si="2"/>
        <v>6</v>
      </c>
      <c r="R33" s="84">
        <f t="shared" si="3"/>
        <v>79</v>
      </c>
      <c r="S33" s="85">
        <f t="shared" si="4"/>
        <v>474</v>
      </c>
      <c r="T33" s="88"/>
      <c r="U33" s="27"/>
    </row>
    <row r="34" spans="1:21" x14ac:dyDescent="0.3">
      <c r="A34" s="31" t="s">
        <v>184</v>
      </c>
      <c r="B34" s="16">
        <v>61</v>
      </c>
      <c r="C34" s="32">
        <v>46136</v>
      </c>
      <c r="D34" s="21">
        <v>154800010003</v>
      </c>
      <c r="E34" s="22" t="s">
        <v>134</v>
      </c>
      <c r="F34" s="39" t="s">
        <v>471</v>
      </c>
      <c r="G34" s="9" t="s">
        <v>135</v>
      </c>
      <c r="H34" s="52">
        <v>46136</v>
      </c>
      <c r="I34" s="42"/>
      <c r="J34" s="42">
        <v>6</v>
      </c>
      <c r="K34" s="65">
        <v>49</v>
      </c>
      <c r="L34" s="65">
        <f t="shared" si="0"/>
        <v>294</v>
      </c>
      <c r="M34" s="53">
        <v>45785</v>
      </c>
      <c r="N34" s="53"/>
      <c r="O34" s="47">
        <v>1</v>
      </c>
      <c r="P34" s="71">
        <f t="shared" si="1"/>
        <v>49</v>
      </c>
      <c r="Q34" s="83">
        <f t="shared" si="2"/>
        <v>5</v>
      </c>
      <c r="R34" s="84">
        <f t="shared" si="3"/>
        <v>49</v>
      </c>
      <c r="S34" s="85">
        <f t="shared" si="4"/>
        <v>245</v>
      </c>
      <c r="T34" s="88"/>
      <c r="U34" s="27"/>
    </row>
    <row r="35" spans="1:21" x14ac:dyDescent="0.3">
      <c r="A35" s="31" t="s">
        <v>185</v>
      </c>
      <c r="B35" s="15"/>
      <c r="C35" s="9"/>
      <c r="D35" s="21"/>
      <c r="E35" s="22" t="s">
        <v>122</v>
      </c>
      <c r="F35" s="39" t="s">
        <v>471</v>
      </c>
      <c r="G35" s="9" t="s">
        <v>123</v>
      </c>
      <c r="H35" s="52"/>
      <c r="I35" s="42"/>
      <c r="J35" s="42">
        <v>1</v>
      </c>
      <c r="K35" s="65">
        <v>50</v>
      </c>
      <c r="L35" s="65">
        <f t="shared" si="0"/>
        <v>50</v>
      </c>
      <c r="M35" s="46"/>
      <c r="N35" s="46"/>
      <c r="O35" s="47"/>
      <c r="P35" s="71">
        <f t="shared" si="1"/>
        <v>50</v>
      </c>
      <c r="Q35" s="83">
        <f t="shared" si="2"/>
        <v>1</v>
      </c>
      <c r="R35" s="84">
        <f t="shared" si="3"/>
        <v>50</v>
      </c>
      <c r="S35" s="85">
        <f t="shared" si="4"/>
        <v>50</v>
      </c>
      <c r="T35" s="88"/>
      <c r="U35" s="27"/>
    </row>
    <row r="36" spans="1:21" x14ac:dyDescent="0.3">
      <c r="A36" s="31" t="s">
        <v>186</v>
      </c>
      <c r="B36" s="15"/>
      <c r="C36" s="9"/>
      <c r="D36" s="21"/>
      <c r="E36" s="22" t="s">
        <v>122</v>
      </c>
      <c r="F36" s="39" t="s">
        <v>471</v>
      </c>
      <c r="G36" s="9" t="s">
        <v>124</v>
      </c>
      <c r="H36" s="41"/>
      <c r="I36" s="42"/>
      <c r="J36" s="42">
        <v>1</v>
      </c>
      <c r="K36" s="65">
        <v>70</v>
      </c>
      <c r="L36" s="65">
        <f t="shared" si="0"/>
        <v>70</v>
      </c>
      <c r="M36" s="46"/>
      <c r="N36" s="46"/>
      <c r="O36" s="47"/>
      <c r="P36" s="71">
        <f t="shared" si="1"/>
        <v>70</v>
      </c>
      <c r="Q36" s="83">
        <f t="shared" si="2"/>
        <v>1</v>
      </c>
      <c r="R36" s="84">
        <f t="shared" si="3"/>
        <v>70</v>
      </c>
      <c r="S36" s="85">
        <f t="shared" si="4"/>
        <v>70</v>
      </c>
      <c r="T36" s="88"/>
      <c r="U36" s="27"/>
    </row>
    <row r="37" spans="1:21" x14ac:dyDescent="0.3">
      <c r="A37" s="31" t="s">
        <v>187</v>
      </c>
      <c r="B37" s="15"/>
      <c r="C37" s="9"/>
      <c r="D37" s="21"/>
      <c r="E37" s="23" t="s">
        <v>98</v>
      </c>
      <c r="F37" s="39" t="s">
        <v>471</v>
      </c>
      <c r="G37" s="9" t="s">
        <v>97</v>
      </c>
      <c r="H37" s="41"/>
      <c r="I37" s="42"/>
      <c r="J37" s="42">
        <v>6</v>
      </c>
      <c r="K37" s="76">
        <v>65</v>
      </c>
      <c r="L37" s="65">
        <f t="shared" si="0"/>
        <v>390</v>
      </c>
      <c r="M37" s="46"/>
      <c r="N37" s="46"/>
      <c r="O37" s="47"/>
      <c r="P37" s="71">
        <f t="shared" si="1"/>
        <v>65</v>
      </c>
      <c r="Q37" s="83">
        <f t="shared" si="2"/>
        <v>6</v>
      </c>
      <c r="R37" s="84">
        <f t="shared" si="3"/>
        <v>65</v>
      </c>
      <c r="S37" s="85">
        <f t="shared" si="4"/>
        <v>390</v>
      </c>
      <c r="T37" s="88"/>
      <c r="U37" s="27"/>
    </row>
    <row r="38" spans="1:21" x14ac:dyDescent="0.3">
      <c r="A38" s="31" t="s">
        <v>188</v>
      </c>
      <c r="B38" s="15"/>
      <c r="C38" s="9"/>
      <c r="D38" s="21"/>
      <c r="E38" s="22" t="s">
        <v>330</v>
      </c>
      <c r="F38" s="39" t="s">
        <v>471</v>
      </c>
      <c r="G38" s="9" t="s">
        <v>325</v>
      </c>
      <c r="H38" s="41"/>
      <c r="I38" s="42"/>
      <c r="J38" s="42"/>
      <c r="K38" s="65">
        <v>48</v>
      </c>
      <c r="L38" s="65">
        <f t="shared" si="0"/>
        <v>0</v>
      </c>
      <c r="M38" s="46"/>
      <c r="N38" s="46"/>
      <c r="O38" s="47"/>
      <c r="P38" s="71">
        <f t="shared" si="1"/>
        <v>48</v>
      </c>
      <c r="Q38" s="83">
        <f t="shared" si="2"/>
        <v>0</v>
      </c>
      <c r="R38" s="84">
        <f t="shared" si="3"/>
        <v>48</v>
      </c>
      <c r="S38" s="85">
        <f t="shared" si="4"/>
        <v>0</v>
      </c>
      <c r="T38" s="88"/>
      <c r="U38" s="27"/>
    </row>
    <row r="39" spans="1:21" x14ac:dyDescent="0.3">
      <c r="A39" s="31" t="s">
        <v>189</v>
      </c>
      <c r="B39" s="15">
        <v>298</v>
      </c>
      <c r="C39" s="32">
        <v>45257</v>
      </c>
      <c r="D39" s="21">
        <v>133000080061</v>
      </c>
      <c r="E39" s="22" t="s">
        <v>322</v>
      </c>
      <c r="F39" s="39" t="s">
        <v>471</v>
      </c>
      <c r="G39" s="9" t="s">
        <v>317</v>
      </c>
      <c r="H39" s="52">
        <v>45257</v>
      </c>
      <c r="I39" s="42"/>
      <c r="J39" s="42">
        <v>4</v>
      </c>
      <c r="K39" s="65">
        <v>45</v>
      </c>
      <c r="L39" s="65">
        <f t="shared" si="0"/>
        <v>180</v>
      </c>
      <c r="M39" s="46"/>
      <c r="N39" s="46"/>
      <c r="O39" s="47"/>
      <c r="P39" s="71">
        <f t="shared" si="1"/>
        <v>45</v>
      </c>
      <c r="Q39" s="83">
        <f t="shared" si="2"/>
        <v>4</v>
      </c>
      <c r="R39" s="84">
        <f t="shared" si="3"/>
        <v>45</v>
      </c>
      <c r="S39" s="85">
        <f t="shared" si="4"/>
        <v>180</v>
      </c>
      <c r="T39" s="87">
        <v>46313</v>
      </c>
      <c r="U39" s="27"/>
    </row>
    <row r="40" spans="1:21" ht="28.8" customHeight="1" x14ac:dyDescent="0.3">
      <c r="A40" s="31" t="s">
        <v>190</v>
      </c>
      <c r="B40" s="15">
        <v>60</v>
      </c>
      <c r="C40" s="32">
        <v>46133</v>
      </c>
      <c r="D40" s="21">
        <v>154900030002</v>
      </c>
      <c r="E40" s="24" t="s">
        <v>484</v>
      </c>
      <c r="F40" s="39" t="s">
        <v>471</v>
      </c>
      <c r="G40" s="11" t="s">
        <v>125</v>
      </c>
      <c r="H40" s="41"/>
      <c r="I40" s="42"/>
      <c r="J40" s="42">
        <v>15</v>
      </c>
      <c r="K40" s="65">
        <v>155</v>
      </c>
      <c r="L40" s="65">
        <f t="shared" si="0"/>
        <v>2325</v>
      </c>
      <c r="M40" s="53">
        <v>46150</v>
      </c>
      <c r="N40" s="53"/>
      <c r="O40" s="47">
        <v>1</v>
      </c>
      <c r="P40" s="71">
        <f t="shared" si="1"/>
        <v>155</v>
      </c>
      <c r="Q40" s="83">
        <f t="shared" si="2"/>
        <v>14</v>
      </c>
      <c r="R40" s="84">
        <f t="shared" si="3"/>
        <v>155</v>
      </c>
      <c r="S40" s="85">
        <f t="shared" si="4"/>
        <v>2170</v>
      </c>
      <c r="T40" s="88"/>
      <c r="U40" s="27"/>
    </row>
    <row r="41" spans="1:21" x14ac:dyDescent="0.3">
      <c r="A41" s="31" t="s">
        <v>191</v>
      </c>
      <c r="B41" s="15"/>
      <c r="C41" s="9"/>
      <c r="D41" s="21"/>
      <c r="E41" s="22" t="s">
        <v>128</v>
      </c>
      <c r="F41" s="39" t="s">
        <v>471</v>
      </c>
      <c r="G41" s="9" t="s">
        <v>127</v>
      </c>
      <c r="H41" s="41"/>
      <c r="I41" s="42"/>
      <c r="J41" s="42">
        <v>1</v>
      </c>
      <c r="K41" s="65">
        <v>110</v>
      </c>
      <c r="L41" s="65">
        <f t="shared" si="0"/>
        <v>110</v>
      </c>
      <c r="M41" s="46"/>
      <c r="N41" s="46"/>
      <c r="O41" s="47"/>
      <c r="P41" s="71">
        <f t="shared" si="1"/>
        <v>110</v>
      </c>
      <c r="Q41" s="83">
        <f t="shared" si="2"/>
        <v>1</v>
      </c>
      <c r="R41" s="84">
        <f t="shared" si="3"/>
        <v>110</v>
      </c>
      <c r="S41" s="85">
        <f t="shared" si="4"/>
        <v>110</v>
      </c>
      <c r="T41" s="88"/>
      <c r="U41" s="27"/>
    </row>
    <row r="42" spans="1:21" x14ac:dyDescent="0.3">
      <c r="A42" s="31" t="s">
        <v>192</v>
      </c>
      <c r="B42" s="15"/>
      <c r="C42" s="32"/>
      <c r="D42" s="21"/>
      <c r="E42" s="22" t="s">
        <v>479</v>
      </c>
      <c r="F42" s="39" t="s">
        <v>471</v>
      </c>
      <c r="G42" s="9" t="s">
        <v>125</v>
      </c>
      <c r="H42" s="41"/>
      <c r="I42" s="42"/>
      <c r="J42" s="42">
        <v>21</v>
      </c>
      <c r="K42" s="65">
        <v>45</v>
      </c>
      <c r="L42" s="65">
        <f t="shared" si="0"/>
        <v>945</v>
      </c>
      <c r="M42" s="46"/>
      <c r="N42" s="46"/>
      <c r="O42" s="47"/>
      <c r="P42" s="71">
        <f t="shared" si="1"/>
        <v>45</v>
      </c>
      <c r="Q42" s="83">
        <f t="shared" si="2"/>
        <v>21</v>
      </c>
      <c r="R42" s="84">
        <f t="shared" si="3"/>
        <v>45</v>
      </c>
      <c r="S42" s="85">
        <f t="shared" si="4"/>
        <v>945</v>
      </c>
      <c r="T42" s="88"/>
      <c r="U42" s="27"/>
    </row>
    <row r="43" spans="1:21" x14ac:dyDescent="0.3">
      <c r="A43" s="31" t="s">
        <v>193</v>
      </c>
      <c r="B43" s="16">
        <v>117</v>
      </c>
      <c r="C43" s="32">
        <v>45862</v>
      </c>
      <c r="D43" s="21">
        <v>154900030002</v>
      </c>
      <c r="E43" s="24" t="s">
        <v>291</v>
      </c>
      <c r="F43" s="39" t="s">
        <v>471</v>
      </c>
      <c r="G43" s="11" t="s">
        <v>125</v>
      </c>
      <c r="H43" s="52">
        <v>45862</v>
      </c>
      <c r="I43" s="42">
        <v>1858</v>
      </c>
      <c r="J43" s="42">
        <v>20</v>
      </c>
      <c r="K43" s="65">
        <v>155</v>
      </c>
      <c r="L43" s="65">
        <f t="shared" si="0"/>
        <v>3100</v>
      </c>
      <c r="M43" s="46"/>
      <c r="N43" s="46"/>
      <c r="O43" s="47"/>
      <c r="P43" s="71">
        <f t="shared" si="1"/>
        <v>155</v>
      </c>
      <c r="Q43" s="83">
        <f t="shared" si="2"/>
        <v>20</v>
      </c>
      <c r="R43" s="84">
        <f t="shared" si="3"/>
        <v>155</v>
      </c>
      <c r="S43" s="85">
        <f t="shared" si="4"/>
        <v>3100</v>
      </c>
      <c r="T43" s="88"/>
      <c r="U43" s="27"/>
    </row>
    <row r="44" spans="1:21" ht="28.8" customHeight="1" x14ac:dyDescent="0.3">
      <c r="A44" s="31" t="s">
        <v>194</v>
      </c>
      <c r="B44" s="16">
        <v>61</v>
      </c>
      <c r="C44" s="32">
        <v>46136</v>
      </c>
      <c r="D44" s="21">
        <v>154900030011</v>
      </c>
      <c r="E44" s="22" t="s">
        <v>137</v>
      </c>
      <c r="F44" s="39" t="s">
        <v>471</v>
      </c>
      <c r="G44" s="10" t="s">
        <v>126</v>
      </c>
      <c r="H44" s="52">
        <v>46136</v>
      </c>
      <c r="I44" s="42"/>
      <c r="J44" s="42">
        <v>15</v>
      </c>
      <c r="K44" s="65">
        <v>12.5</v>
      </c>
      <c r="L44" s="65">
        <f t="shared" si="0"/>
        <v>187.5</v>
      </c>
      <c r="M44" s="46"/>
      <c r="N44" s="46"/>
      <c r="O44" s="47"/>
      <c r="P44" s="71">
        <f t="shared" si="1"/>
        <v>12.5</v>
      </c>
      <c r="Q44" s="83">
        <f t="shared" si="2"/>
        <v>15</v>
      </c>
      <c r="R44" s="84">
        <f t="shared" si="3"/>
        <v>12.5</v>
      </c>
      <c r="S44" s="85">
        <f t="shared" si="4"/>
        <v>187.5</v>
      </c>
      <c r="T44" s="88"/>
      <c r="U44" s="27"/>
    </row>
    <row r="45" spans="1:21" x14ac:dyDescent="0.3">
      <c r="A45" s="31" t="s">
        <v>195</v>
      </c>
      <c r="B45" s="15">
        <v>18</v>
      </c>
      <c r="C45" s="32">
        <v>45862</v>
      </c>
      <c r="D45" s="21">
        <v>154900030110</v>
      </c>
      <c r="E45" s="22" t="s">
        <v>287</v>
      </c>
      <c r="F45" s="39" t="s">
        <v>471</v>
      </c>
      <c r="G45" s="9" t="s">
        <v>117</v>
      </c>
      <c r="H45" s="52">
        <v>45862</v>
      </c>
      <c r="I45" s="42">
        <v>1859</v>
      </c>
      <c r="J45" s="42">
        <v>25</v>
      </c>
      <c r="K45" s="65">
        <v>36</v>
      </c>
      <c r="L45" s="65">
        <f t="shared" si="0"/>
        <v>900</v>
      </c>
      <c r="M45" s="53"/>
      <c r="N45" s="46"/>
      <c r="O45" s="47"/>
      <c r="P45" s="71">
        <f t="shared" si="1"/>
        <v>36</v>
      </c>
      <c r="Q45" s="83">
        <f t="shared" si="2"/>
        <v>25</v>
      </c>
      <c r="R45" s="84">
        <f t="shared" si="3"/>
        <v>36</v>
      </c>
      <c r="S45" s="85">
        <f t="shared" si="4"/>
        <v>900</v>
      </c>
      <c r="T45" s="88"/>
      <c r="U45" s="27"/>
    </row>
    <row r="46" spans="1:21" x14ac:dyDescent="0.3">
      <c r="A46" s="31" t="s">
        <v>196</v>
      </c>
      <c r="B46" s="15">
        <v>117</v>
      </c>
      <c r="C46" s="32">
        <v>45862</v>
      </c>
      <c r="D46" s="21">
        <v>801600120033</v>
      </c>
      <c r="E46" s="22" t="s">
        <v>292</v>
      </c>
      <c r="F46" s="39" t="s">
        <v>470</v>
      </c>
      <c r="G46" s="9" t="s">
        <v>140</v>
      </c>
      <c r="H46" s="52">
        <v>45862</v>
      </c>
      <c r="I46" s="42">
        <v>1858</v>
      </c>
      <c r="J46" s="42">
        <v>6</v>
      </c>
      <c r="K46" s="65">
        <v>180</v>
      </c>
      <c r="L46" s="65">
        <f t="shared" si="0"/>
        <v>1080</v>
      </c>
      <c r="M46" s="46"/>
      <c r="N46" s="46"/>
      <c r="O46" s="47"/>
      <c r="P46" s="71">
        <f t="shared" si="1"/>
        <v>180</v>
      </c>
      <c r="Q46" s="83">
        <f t="shared" si="2"/>
        <v>6</v>
      </c>
      <c r="R46" s="84">
        <f t="shared" si="3"/>
        <v>180</v>
      </c>
      <c r="S46" s="85">
        <f t="shared" si="4"/>
        <v>1080</v>
      </c>
      <c r="T46" s="88"/>
      <c r="U46" s="27"/>
    </row>
    <row r="47" spans="1:21" x14ac:dyDescent="0.3">
      <c r="A47" s="31" t="s">
        <v>197</v>
      </c>
      <c r="B47" s="15"/>
      <c r="C47" s="9"/>
      <c r="D47" s="21"/>
      <c r="E47" s="22" t="s">
        <v>285</v>
      </c>
      <c r="F47" s="39" t="s">
        <v>470</v>
      </c>
      <c r="G47" s="9" t="s">
        <v>48</v>
      </c>
      <c r="H47" s="41"/>
      <c r="I47" s="42"/>
      <c r="J47" s="42">
        <v>15</v>
      </c>
      <c r="K47" s="65">
        <v>25</v>
      </c>
      <c r="L47" s="65">
        <f t="shared" si="0"/>
        <v>375</v>
      </c>
      <c r="M47" s="46"/>
      <c r="N47" s="46"/>
      <c r="O47" s="47"/>
      <c r="P47" s="71">
        <f t="shared" si="1"/>
        <v>25</v>
      </c>
      <c r="Q47" s="83">
        <f t="shared" si="2"/>
        <v>15</v>
      </c>
      <c r="R47" s="84">
        <f t="shared" si="3"/>
        <v>25</v>
      </c>
      <c r="S47" s="85">
        <f t="shared" si="4"/>
        <v>375</v>
      </c>
      <c r="T47" s="88"/>
      <c r="U47" s="27"/>
    </row>
    <row r="48" spans="1:21" x14ac:dyDescent="0.3">
      <c r="A48" s="31" t="s">
        <v>198</v>
      </c>
      <c r="B48" s="15">
        <v>205</v>
      </c>
      <c r="C48" s="32">
        <v>44904</v>
      </c>
      <c r="D48" s="21">
        <v>710300010068</v>
      </c>
      <c r="E48" s="22" t="s">
        <v>286</v>
      </c>
      <c r="F48" s="39" t="s">
        <v>470</v>
      </c>
      <c r="G48" s="9" t="s">
        <v>48</v>
      </c>
      <c r="H48" s="41"/>
      <c r="I48" s="42"/>
      <c r="J48" s="42">
        <v>6</v>
      </c>
      <c r="K48" s="65">
        <v>15</v>
      </c>
      <c r="L48" s="65">
        <f t="shared" si="0"/>
        <v>90</v>
      </c>
      <c r="M48" s="46"/>
      <c r="N48" s="46"/>
      <c r="O48" s="47"/>
      <c r="P48" s="71">
        <f t="shared" si="1"/>
        <v>15</v>
      </c>
      <c r="Q48" s="83">
        <f t="shared" si="2"/>
        <v>6</v>
      </c>
      <c r="R48" s="84">
        <f t="shared" si="3"/>
        <v>15</v>
      </c>
      <c r="S48" s="85">
        <f t="shared" si="4"/>
        <v>90</v>
      </c>
      <c r="T48" s="88"/>
      <c r="U48" s="27"/>
    </row>
    <row r="49" spans="1:21" x14ac:dyDescent="0.3">
      <c r="A49" s="31" t="s">
        <v>199</v>
      </c>
      <c r="B49" s="15"/>
      <c r="C49" s="9"/>
      <c r="D49" s="21"/>
      <c r="E49" s="22" t="s">
        <v>284</v>
      </c>
      <c r="F49" s="39" t="s">
        <v>471</v>
      </c>
      <c r="G49" s="9" t="s">
        <v>114</v>
      </c>
      <c r="H49" s="41"/>
      <c r="I49" s="42"/>
      <c r="J49" s="42">
        <v>14</v>
      </c>
      <c r="K49" s="65">
        <v>13</v>
      </c>
      <c r="L49" s="65">
        <f t="shared" si="0"/>
        <v>182</v>
      </c>
      <c r="M49" s="46"/>
      <c r="N49" s="46"/>
      <c r="O49" s="47"/>
      <c r="P49" s="71">
        <f t="shared" si="1"/>
        <v>13</v>
      </c>
      <c r="Q49" s="83">
        <f t="shared" si="2"/>
        <v>14</v>
      </c>
      <c r="R49" s="84">
        <f t="shared" si="3"/>
        <v>13</v>
      </c>
      <c r="S49" s="85">
        <f t="shared" si="4"/>
        <v>182</v>
      </c>
      <c r="T49" s="88"/>
      <c r="U49" s="27"/>
    </row>
    <row r="50" spans="1:21" x14ac:dyDescent="0.3">
      <c r="A50" s="31" t="s">
        <v>200</v>
      </c>
      <c r="B50" s="15">
        <v>117</v>
      </c>
      <c r="C50" s="32">
        <v>45862</v>
      </c>
      <c r="D50" s="21">
        <v>70400190226</v>
      </c>
      <c r="E50" s="22" t="s">
        <v>113</v>
      </c>
      <c r="F50" s="39" t="s">
        <v>471</v>
      </c>
      <c r="G50" s="9" t="s">
        <v>81</v>
      </c>
      <c r="H50" s="52">
        <v>45862</v>
      </c>
      <c r="I50" s="42">
        <v>1858</v>
      </c>
      <c r="J50" s="42">
        <v>64</v>
      </c>
      <c r="K50" s="65">
        <v>3.5</v>
      </c>
      <c r="L50" s="65">
        <f t="shared" si="0"/>
        <v>224</v>
      </c>
      <c r="M50" s="53">
        <v>46155</v>
      </c>
      <c r="N50" s="46"/>
      <c r="O50" s="133">
        <v>2</v>
      </c>
      <c r="P50" s="71">
        <f t="shared" si="1"/>
        <v>3.5</v>
      </c>
      <c r="Q50" s="83">
        <f t="shared" si="2"/>
        <v>62</v>
      </c>
      <c r="R50" s="84">
        <f t="shared" si="3"/>
        <v>3.5</v>
      </c>
      <c r="S50" s="85">
        <f t="shared" si="4"/>
        <v>217</v>
      </c>
      <c r="T50" s="88"/>
      <c r="U50" s="27"/>
    </row>
    <row r="51" spans="1:21" x14ac:dyDescent="0.3">
      <c r="A51" s="31" t="s">
        <v>201</v>
      </c>
      <c r="B51" s="15"/>
      <c r="C51" s="9"/>
      <c r="D51" s="21"/>
      <c r="E51" s="23" t="s">
        <v>62</v>
      </c>
      <c r="F51" s="39" t="s">
        <v>471</v>
      </c>
      <c r="G51" s="9" t="s">
        <v>63</v>
      </c>
      <c r="H51" s="41"/>
      <c r="I51" s="42"/>
      <c r="J51" s="42">
        <v>14</v>
      </c>
      <c r="K51" s="65">
        <v>2</v>
      </c>
      <c r="L51" s="65">
        <f t="shared" si="0"/>
        <v>28</v>
      </c>
      <c r="M51" s="46"/>
      <c r="N51" s="46"/>
      <c r="O51" s="47"/>
      <c r="P51" s="71">
        <f t="shared" si="1"/>
        <v>2</v>
      </c>
      <c r="Q51" s="83">
        <f t="shared" si="2"/>
        <v>14</v>
      </c>
      <c r="R51" s="84">
        <f t="shared" si="3"/>
        <v>2</v>
      </c>
      <c r="S51" s="85">
        <f t="shared" si="4"/>
        <v>28</v>
      </c>
      <c r="T51" s="88"/>
      <c r="U51" s="27"/>
    </row>
    <row r="52" spans="1:21" x14ac:dyDescent="0.3">
      <c r="A52" s="31" t="s">
        <v>202</v>
      </c>
      <c r="B52" s="15"/>
      <c r="C52" s="9"/>
      <c r="D52" s="21"/>
      <c r="E52" s="23" t="s">
        <v>283</v>
      </c>
      <c r="F52" s="39" t="s">
        <v>471</v>
      </c>
      <c r="G52" s="9" t="s">
        <v>63</v>
      </c>
      <c r="H52" s="41"/>
      <c r="I52" s="42"/>
      <c r="J52" s="75">
        <v>15</v>
      </c>
      <c r="K52" s="65">
        <v>2</v>
      </c>
      <c r="L52" s="65">
        <f t="shared" si="0"/>
        <v>30</v>
      </c>
      <c r="M52" s="46"/>
      <c r="N52" s="46"/>
      <c r="O52" s="47"/>
      <c r="P52" s="71">
        <f t="shared" si="1"/>
        <v>2</v>
      </c>
      <c r="Q52" s="83">
        <f t="shared" si="2"/>
        <v>15</v>
      </c>
      <c r="R52" s="84">
        <f t="shared" si="3"/>
        <v>2</v>
      </c>
      <c r="S52" s="85">
        <f t="shared" si="4"/>
        <v>30</v>
      </c>
      <c r="T52" s="88"/>
      <c r="U52" s="27"/>
    </row>
    <row r="53" spans="1:21" x14ac:dyDescent="0.3">
      <c r="A53" s="31" t="s">
        <v>203</v>
      </c>
      <c r="B53" s="15"/>
      <c r="C53" s="9"/>
      <c r="D53" s="21"/>
      <c r="E53" s="23" t="s">
        <v>280</v>
      </c>
      <c r="F53" s="39" t="s">
        <v>471</v>
      </c>
      <c r="G53" s="9" t="s">
        <v>63</v>
      </c>
      <c r="H53" s="41"/>
      <c r="I53" s="42"/>
      <c r="J53" s="75">
        <v>29</v>
      </c>
      <c r="K53" s="65">
        <v>2</v>
      </c>
      <c r="L53" s="65">
        <f t="shared" si="0"/>
        <v>58</v>
      </c>
      <c r="M53" s="46"/>
      <c r="N53" s="46"/>
      <c r="O53" s="47"/>
      <c r="P53" s="71">
        <f t="shared" si="1"/>
        <v>2</v>
      </c>
      <c r="Q53" s="83">
        <f t="shared" si="2"/>
        <v>29</v>
      </c>
      <c r="R53" s="84">
        <f t="shared" si="3"/>
        <v>2</v>
      </c>
      <c r="S53" s="85">
        <f t="shared" si="4"/>
        <v>58</v>
      </c>
      <c r="T53" s="88"/>
      <c r="U53" s="27"/>
    </row>
    <row r="54" spans="1:21" x14ac:dyDescent="0.3">
      <c r="A54" s="31" t="s">
        <v>204</v>
      </c>
      <c r="B54" s="15"/>
      <c r="C54" s="9"/>
      <c r="D54" s="21"/>
      <c r="E54" s="23" t="s">
        <v>66</v>
      </c>
      <c r="F54" s="39" t="s">
        <v>471</v>
      </c>
      <c r="G54" s="9" t="s">
        <v>63</v>
      </c>
      <c r="H54" s="41"/>
      <c r="I54" s="42"/>
      <c r="J54" s="75">
        <v>14</v>
      </c>
      <c r="K54" s="65">
        <v>1.05</v>
      </c>
      <c r="L54" s="65">
        <f t="shared" si="0"/>
        <v>14.700000000000001</v>
      </c>
      <c r="M54" s="46"/>
      <c r="N54" s="46"/>
      <c r="O54" s="47"/>
      <c r="P54" s="71">
        <f t="shared" si="1"/>
        <v>1.05</v>
      </c>
      <c r="Q54" s="83">
        <f t="shared" si="2"/>
        <v>14</v>
      </c>
      <c r="R54" s="84">
        <f t="shared" si="3"/>
        <v>1.05</v>
      </c>
      <c r="S54" s="85">
        <f t="shared" si="4"/>
        <v>14.700000000000001</v>
      </c>
      <c r="T54" s="88"/>
      <c r="U54" s="27"/>
    </row>
    <row r="55" spans="1:21" x14ac:dyDescent="0.3">
      <c r="A55" s="31" t="s">
        <v>205</v>
      </c>
      <c r="B55" s="15"/>
      <c r="C55" s="9"/>
      <c r="D55" s="21"/>
      <c r="E55" s="23" t="s">
        <v>760</v>
      </c>
      <c r="F55" s="39" t="s">
        <v>471</v>
      </c>
      <c r="G55" s="9" t="s">
        <v>63</v>
      </c>
      <c r="H55" s="41"/>
      <c r="I55" s="42"/>
      <c r="J55" s="75">
        <v>3</v>
      </c>
      <c r="K55" s="65">
        <v>1</v>
      </c>
      <c r="L55" s="65">
        <f t="shared" si="0"/>
        <v>3</v>
      </c>
      <c r="M55" s="46"/>
      <c r="N55" s="46"/>
      <c r="O55" s="47"/>
      <c r="P55" s="71">
        <f t="shared" si="1"/>
        <v>1</v>
      </c>
      <c r="Q55" s="83">
        <f t="shared" si="2"/>
        <v>3</v>
      </c>
      <c r="R55" s="84">
        <f t="shared" si="3"/>
        <v>1</v>
      </c>
      <c r="S55" s="85">
        <f t="shared" si="4"/>
        <v>3</v>
      </c>
      <c r="T55" s="88"/>
      <c r="U55" s="27"/>
    </row>
    <row r="56" spans="1:21" x14ac:dyDescent="0.3">
      <c r="A56" s="31" t="s">
        <v>206</v>
      </c>
      <c r="B56" s="15"/>
      <c r="C56" s="9"/>
      <c r="D56" s="21"/>
      <c r="E56" s="23" t="s">
        <v>761</v>
      </c>
      <c r="F56" s="39" t="s">
        <v>471</v>
      </c>
      <c r="G56" s="9" t="s">
        <v>63</v>
      </c>
      <c r="H56" s="41"/>
      <c r="I56" s="42"/>
      <c r="J56" s="75">
        <v>4</v>
      </c>
      <c r="K56" s="65">
        <v>1.5</v>
      </c>
      <c r="L56" s="65">
        <f t="shared" si="0"/>
        <v>6</v>
      </c>
      <c r="M56" s="46"/>
      <c r="N56" s="46"/>
      <c r="O56" s="47"/>
      <c r="P56" s="71">
        <f t="shared" si="1"/>
        <v>1.5</v>
      </c>
      <c r="Q56" s="83">
        <f t="shared" si="2"/>
        <v>4</v>
      </c>
      <c r="R56" s="84">
        <f t="shared" si="3"/>
        <v>1.5</v>
      </c>
      <c r="S56" s="85">
        <f t="shared" si="4"/>
        <v>6</v>
      </c>
      <c r="T56" s="88"/>
      <c r="U56" s="27"/>
    </row>
    <row r="57" spans="1:21" x14ac:dyDescent="0.3">
      <c r="A57" s="31" t="s">
        <v>207</v>
      </c>
      <c r="B57" s="15"/>
      <c r="C57" s="9"/>
      <c r="D57" s="36" t="s">
        <v>56</v>
      </c>
      <c r="E57" s="23" t="s">
        <v>58</v>
      </c>
      <c r="F57" s="39" t="s">
        <v>471</v>
      </c>
      <c r="G57" s="9" t="s">
        <v>57</v>
      </c>
      <c r="H57" s="41"/>
      <c r="I57" s="42"/>
      <c r="J57" s="75">
        <v>1</v>
      </c>
      <c r="K57" s="65">
        <v>1350</v>
      </c>
      <c r="L57" s="65">
        <f t="shared" si="0"/>
        <v>1350</v>
      </c>
      <c r="M57" s="46"/>
      <c r="N57" s="46"/>
      <c r="O57" s="47"/>
      <c r="P57" s="71">
        <f t="shared" si="1"/>
        <v>1350</v>
      </c>
      <c r="Q57" s="83">
        <f t="shared" si="2"/>
        <v>1</v>
      </c>
      <c r="R57" s="84">
        <f t="shared" si="3"/>
        <v>1350</v>
      </c>
      <c r="S57" s="85">
        <f t="shared" si="4"/>
        <v>1350</v>
      </c>
      <c r="T57" s="88"/>
      <c r="U57" s="27"/>
    </row>
    <row r="58" spans="1:21" x14ac:dyDescent="0.3">
      <c r="A58" s="31" t="s">
        <v>208</v>
      </c>
      <c r="B58" s="15"/>
      <c r="C58" s="9"/>
      <c r="D58" s="21"/>
      <c r="E58" s="23" t="s">
        <v>61</v>
      </c>
      <c r="F58" s="39" t="s">
        <v>471</v>
      </c>
      <c r="G58" s="9" t="s">
        <v>294</v>
      </c>
      <c r="H58" s="41"/>
      <c r="I58" s="42"/>
      <c r="J58" s="75">
        <v>5</v>
      </c>
      <c r="K58" s="65">
        <v>35</v>
      </c>
      <c r="L58" s="65">
        <f t="shared" si="0"/>
        <v>175</v>
      </c>
      <c r="M58" s="46"/>
      <c r="N58" s="46"/>
      <c r="O58" s="47"/>
      <c r="P58" s="71">
        <f t="shared" si="1"/>
        <v>35</v>
      </c>
      <c r="Q58" s="83">
        <f t="shared" si="2"/>
        <v>5</v>
      </c>
      <c r="R58" s="84">
        <f t="shared" si="3"/>
        <v>35</v>
      </c>
      <c r="S58" s="85">
        <f t="shared" si="4"/>
        <v>175</v>
      </c>
      <c r="T58" s="88"/>
      <c r="U58" s="27"/>
    </row>
    <row r="59" spans="1:21" ht="28.8" x14ac:dyDescent="0.3">
      <c r="A59" s="31" t="s">
        <v>209</v>
      </c>
      <c r="B59" s="15"/>
      <c r="C59" s="32">
        <v>44196</v>
      </c>
      <c r="D59" s="21" t="s">
        <v>867</v>
      </c>
      <c r="E59" s="22" t="s">
        <v>866</v>
      </c>
      <c r="F59" s="39" t="s">
        <v>471</v>
      </c>
      <c r="G59" s="9" t="s">
        <v>51</v>
      </c>
      <c r="H59" s="52">
        <v>44196</v>
      </c>
      <c r="I59" s="42">
        <v>2577</v>
      </c>
      <c r="J59" s="75">
        <v>9</v>
      </c>
      <c r="K59" s="65">
        <v>210</v>
      </c>
      <c r="L59" s="65">
        <f t="shared" si="0"/>
        <v>1890</v>
      </c>
      <c r="M59" s="46"/>
      <c r="N59" s="46"/>
      <c r="O59" s="47"/>
      <c r="P59" s="71">
        <f t="shared" si="1"/>
        <v>210</v>
      </c>
      <c r="Q59" s="83">
        <f t="shared" si="2"/>
        <v>9</v>
      </c>
      <c r="R59" s="84">
        <f t="shared" si="3"/>
        <v>210</v>
      </c>
      <c r="S59" s="85">
        <f t="shared" si="4"/>
        <v>1890</v>
      </c>
      <c r="T59" s="88"/>
      <c r="U59" s="27"/>
    </row>
    <row r="60" spans="1:21" x14ac:dyDescent="0.3">
      <c r="A60" s="31" t="s">
        <v>210</v>
      </c>
      <c r="B60" s="15"/>
      <c r="C60" s="9"/>
      <c r="D60" s="21"/>
      <c r="E60" s="22" t="s">
        <v>369</v>
      </c>
      <c r="F60" s="39" t="s">
        <v>471</v>
      </c>
      <c r="G60" s="9" t="s">
        <v>48</v>
      </c>
      <c r="H60" s="41"/>
      <c r="I60" s="42"/>
      <c r="J60" s="75">
        <v>1</v>
      </c>
      <c r="K60" s="65">
        <v>12</v>
      </c>
      <c r="L60" s="65">
        <f t="shared" si="0"/>
        <v>12</v>
      </c>
      <c r="M60" s="46"/>
      <c r="N60" s="46"/>
      <c r="O60" s="47"/>
      <c r="P60" s="71">
        <f t="shared" si="1"/>
        <v>12</v>
      </c>
      <c r="Q60" s="83">
        <f t="shared" si="2"/>
        <v>1</v>
      </c>
      <c r="R60" s="84">
        <f t="shared" si="3"/>
        <v>12</v>
      </c>
      <c r="S60" s="85">
        <f t="shared" si="4"/>
        <v>12</v>
      </c>
      <c r="T60" s="88"/>
      <c r="U60" s="27"/>
    </row>
    <row r="61" spans="1:21" x14ac:dyDescent="0.3">
      <c r="A61" s="31" t="s">
        <v>211</v>
      </c>
      <c r="B61" s="15"/>
      <c r="C61" s="9"/>
      <c r="D61" s="21"/>
      <c r="E61" s="23" t="s">
        <v>86</v>
      </c>
      <c r="F61" s="39" t="s">
        <v>471</v>
      </c>
      <c r="G61" s="9" t="s">
        <v>85</v>
      </c>
      <c r="H61" s="41"/>
      <c r="I61" s="42"/>
      <c r="J61" s="75">
        <v>1</v>
      </c>
      <c r="K61" s="65">
        <v>6.5</v>
      </c>
      <c r="L61" s="65">
        <f t="shared" si="0"/>
        <v>6.5</v>
      </c>
      <c r="M61" s="46"/>
      <c r="N61" s="46"/>
      <c r="O61" s="47"/>
      <c r="P61" s="71">
        <f t="shared" si="1"/>
        <v>6.5</v>
      </c>
      <c r="Q61" s="83">
        <f t="shared" si="2"/>
        <v>1</v>
      </c>
      <c r="R61" s="84">
        <f t="shared" si="3"/>
        <v>6.5</v>
      </c>
      <c r="S61" s="85">
        <f t="shared" si="4"/>
        <v>6.5</v>
      </c>
      <c r="T61" s="88"/>
      <c r="U61" s="27"/>
    </row>
    <row r="62" spans="1:21" x14ac:dyDescent="0.3">
      <c r="A62" s="31" t="s">
        <v>212</v>
      </c>
      <c r="B62" s="15">
        <v>18</v>
      </c>
      <c r="C62" s="32">
        <v>45862</v>
      </c>
      <c r="D62" s="21">
        <v>890400010203</v>
      </c>
      <c r="E62" s="97" t="s">
        <v>274</v>
      </c>
      <c r="F62" s="94" t="s">
        <v>470</v>
      </c>
      <c r="G62" s="99" t="s">
        <v>294</v>
      </c>
      <c r="H62" s="52">
        <v>45862</v>
      </c>
      <c r="I62" s="42">
        <v>1859</v>
      </c>
      <c r="J62" s="77">
        <v>50</v>
      </c>
      <c r="K62" s="65">
        <v>13</v>
      </c>
      <c r="L62" s="65">
        <f t="shared" si="0"/>
        <v>650</v>
      </c>
      <c r="M62" s="46"/>
      <c r="N62" s="46"/>
      <c r="O62" s="47"/>
      <c r="P62" s="71">
        <f t="shared" si="1"/>
        <v>13</v>
      </c>
      <c r="Q62" s="83">
        <f t="shared" si="2"/>
        <v>50</v>
      </c>
      <c r="R62" s="84">
        <f t="shared" si="3"/>
        <v>13</v>
      </c>
      <c r="S62" s="85">
        <f t="shared" si="4"/>
        <v>650</v>
      </c>
      <c r="T62" s="88"/>
      <c r="U62" s="27"/>
    </row>
    <row r="63" spans="1:21" x14ac:dyDescent="0.3">
      <c r="A63" s="31"/>
      <c r="B63" s="15"/>
      <c r="C63" s="32">
        <v>44916</v>
      </c>
      <c r="D63" s="21">
        <v>890400010207</v>
      </c>
      <c r="E63" s="97" t="s">
        <v>274</v>
      </c>
      <c r="F63" s="94" t="s">
        <v>470</v>
      </c>
      <c r="G63" s="99" t="s">
        <v>294</v>
      </c>
      <c r="H63" s="52">
        <v>44916</v>
      </c>
      <c r="I63" s="42">
        <v>3220</v>
      </c>
      <c r="J63" s="78">
        <v>20</v>
      </c>
      <c r="K63" s="65">
        <v>13</v>
      </c>
      <c r="L63" s="65">
        <f t="shared" si="0"/>
        <v>260</v>
      </c>
      <c r="M63" s="46"/>
      <c r="N63" s="46"/>
      <c r="O63" s="47"/>
      <c r="P63" s="71">
        <f t="shared" si="1"/>
        <v>13</v>
      </c>
      <c r="Q63" s="83">
        <f t="shared" si="2"/>
        <v>20</v>
      </c>
      <c r="R63" s="84">
        <f t="shared" si="3"/>
        <v>13</v>
      </c>
      <c r="S63" s="85">
        <f t="shared" si="4"/>
        <v>260</v>
      </c>
      <c r="T63" s="88"/>
      <c r="U63" s="27"/>
    </row>
    <row r="64" spans="1:21" x14ac:dyDescent="0.3">
      <c r="A64" s="31" t="s">
        <v>213</v>
      </c>
      <c r="B64" s="15"/>
      <c r="C64" s="9"/>
      <c r="D64" s="21"/>
      <c r="E64" s="23" t="s">
        <v>93</v>
      </c>
      <c r="F64" s="39" t="s">
        <v>471</v>
      </c>
      <c r="G64" s="9" t="s">
        <v>94</v>
      </c>
      <c r="H64" s="41"/>
      <c r="I64" s="42"/>
      <c r="J64" s="42">
        <v>15</v>
      </c>
      <c r="K64" s="65">
        <v>55</v>
      </c>
      <c r="L64" s="65">
        <f t="shared" si="0"/>
        <v>825</v>
      </c>
      <c r="M64" s="46"/>
      <c r="N64" s="46"/>
      <c r="O64" s="47"/>
      <c r="P64" s="71">
        <f t="shared" si="1"/>
        <v>55</v>
      </c>
      <c r="Q64" s="83">
        <f t="shared" si="2"/>
        <v>15</v>
      </c>
      <c r="R64" s="84">
        <f t="shared" si="3"/>
        <v>55</v>
      </c>
      <c r="S64" s="85">
        <f t="shared" si="4"/>
        <v>825</v>
      </c>
      <c r="T64" s="88"/>
      <c r="U64" s="27"/>
    </row>
    <row r="65" spans="1:21" x14ac:dyDescent="0.3">
      <c r="A65" s="31" t="s">
        <v>214</v>
      </c>
      <c r="B65" s="15">
        <v>319</v>
      </c>
      <c r="C65" s="32">
        <v>44923</v>
      </c>
      <c r="D65" s="21">
        <v>962700010009</v>
      </c>
      <c r="E65" s="23" t="s">
        <v>92</v>
      </c>
      <c r="F65" s="39" t="s">
        <v>471</v>
      </c>
      <c r="G65" s="9" t="s">
        <v>71</v>
      </c>
      <c r="H65" s="52">
        <v>44923</v>
      </c>
      <c r="I65" s="42">
        <v>3267</v>
      </c>
      <c r="J65" s="42">
        <v>12</v>
      </c>
      <c r="K65" s="65">
        <v>65</v>
      </c>
      <c r="L65" s="65">
        <f t="shared" si="0"/>
        <v>780</v>
      </c>
      <c r="M65" s="46"/>
      <c r="N65" s="46"/>
      <c r="O65" s="47"/>
      <c r="P65" s="71">
        <f t="shared" si="1"/>
        <v>65</v>
      </c>
      <c r="Q65" s="83">
        <f t="shared" si="2"/>
        <v>12</v>
      </c>
      <c r="R65" s="84">
        <f t="shared" si="3"/>
        <v>65</v>
      </c>
      <c r="S65" s="85">
        <f t="shared" si="4"/>
        <v>780</v>
      </c>
      <c r="T65" s="88"/>
      <c r="U65" s="27"/>
    </row>
    <row r="66" spans="1:21" x14ac:dyDescent="0.3">
      <c r="A66" s="31" t="s">
        <v>215</v>
      </c>
      <c r="B66" s="15"/>
      <c r="C66" s="9"/>
      <c r="D66" s="21"/>
      <c r="E66" s="22" t="s">
        <v>373</v>
      </c>
      <c r="F66" s="39" t="s">
        <v>471</v>
      </c>
      <c r="G66" s="9" t="s">
        <v>374</v>
      </c>
      <c r="H66" s="41"/>
      <c r="I66" s="42"/>
      <c r="J66" s="42">
        <v>25</v>
      </c>
      <c r="K66" s="65">
        <v>5.5</v>
      </c>
      <c r="L66" s="65">
        <f t="shared" si="0"/>
        <v>137.5</v>
      </c>
      <c r="M66" s="46"/>
      <c r="N66" s="46"/>
      <c r="O66" s="47"/>
      <c r="P66" s="71">
        <f t="shared" si="1"/>
        <v>5.5</v>
      </c>
      <c r="Q66" s="83">
        <f t="shared" si="2"/>
        <v>25</v>
      </c>
      <c r="R66" s="84">
        <f t="shared" si="3"/>
        <v>5.5</v>
      </c>
      <c r="S66" s="85">
        <f t="shared" si="4"/>
        <v>137.5</v>
      </c>
      <c r="T66" s="88"/>
      <c r="U66" s="27"/>
    </row>
    <row r="67" spans="1:21" x14ac:dyDescent="0.3">
      <c r="A67" s="31" t="s">
        <v>216</v>
      </c>
      <c r="B67" s="15">
        <v>319</v>
      </c>
      <c r="C67" s="32">
        <v>44914</v>
      </c>
      <c r="D67" s="21">
        <v>208400040661</v>
      </c>
      <c r="E67" s="23" t="s">
        <v>47</v>
      </c>
      <c r="F67" s="39" t="s">
        <v>471</v>
      </c>
      <c r="G67" s="9" t="s">
        <v>44</v>
      </c>
      <c r="H67" s="52">
        <v>44923</v>
      </c>
      <c r="I67" s="42">
        <v>3267</v>
      </c>
      <c r="J67" s="42">
        <v>30</v>
      </c>
      <c r="K67" s="65">
        <v>75</v>
      </c>
      <c r="L67" s="65">
        <f t="shared" si="0"/>
        <v>2250</v>
      </c>
      <c r="M67" s="46"/>
      <c r="N67" s="46"/>
      <c r="O67" s="133">
        <v>6</v>
      </c>
      <c r="P67" s="71">
        <f t="shared" si="1"/>
        <v>75</v>
      </c>
      <c r="Q67" s="83">
        <f t="shared" si="2"/>
        <v>24</v>
      </c>
      <c r="R67" s="84">
        <f t="shared" si="3"/>
        <v>75</v>
      </c>
      <c r="S67" s="85">
        <f t="shared" si="4"/>
        <v>1800</v>
      </c>
      <c r="T67" s="88"/>
      <c r="U67" s="27"/>
    </row>
    <row r="68" spans="1:21" x14ac:dyDescent="0.3">
      <c r="A68" s="31" t="s">
        <v>217</v>
      </c>
      <c r="B68" s="15">
        <v>319</v>
      </c>
      <c r="C68" s="32">
        <v>44914</v>
      </c>
      <c r="D68" s="21">
        <v>208400040662</v>
      </c>
      <c r="E68" s="23" t="s">
        <v>46</v>
      </c>
      <c r="F68" s="39" t="s">
        <v>471</v>
      </c>
      <c r="G68" s="9" t="s">
        <v>44</v>
      </c>
      <c r="H68" s="52">
        <v>44923</v>
      </c>
      <c r="I68" s="42">
        <v>3267</v>
      </c>
      <c r="J68" s="42">
        <v>6</v>
      </c>
      <c r="K68" s="65">
        <v>270</v>
      </c>
      <c r="L68" s="65">
        <f t="shared" si="0"/>
        <v>1620</v>
      </c>
      <c r="M68" s="46"/>
      <c r="N68" s="46"/>
      <c r="O68" s="47"/>
      <c r="P68" s="71">
        <f t="shared" si="1"/>
        <v>270</v>
      </c>
      <c r="Q68" s="83">
        <f t="shared" si="2"/>
        <v>6</v>
      </c>
      <c r="R68" s="84">
        <f t="shared" si="3"/>
        <v>270</v>
      </c>
      <c r="S68" s="85">
        <f t="shared" si="4"/>
        <v>1620</v>
      </c>
      <c r="T68" s="88"/>
      <c r="U68" s="27"/>
    </row>
    <row r="69" spans="1:21" x14ac:dyDescent="0.3">
      <c r="A69" s="31" t="s">
        <v>218</v>
      </c>
      <c r="B69" s="15">
        <v>319</v>
      </c>
      <c r="C69" s="32">
        <v>44914</v>
      </c>
      <c r="D69" s="21">
        <v>208400040672</v>
      </c>
      <c r="E69" s="23" t="s">
        <v>45</v>
      </c>
      <c r="F69" s="39" t="s">
        <v>471</v>
      </c>
      <c r="G69" s="9" t="s">
        <v>44</v>
      </c>
      <c r="H69" s="52">
        <v>44923</v>
      </c>
      <c r="I69" s="42">
        <v>3267</v>
      </c>
      <c r="J69" s="42">
        <v>6</v>
      </c>
      <c r="K69" s="65">
        <v>97</v>
      </c>
      <c r="L69" s="65">
        <f t="shared" ref="L69:L132" si="5">K69*J69</f>
        <v>582</v>
      </c>
      <c r="M69" s="46"/>
      <c r="N69" s="46"/>
      <c r="O69" s="133">
        <v>6</v>
      </c>
      <c r="P69" s="71">
        <f t="shared" ref="P69:P132" si="6">K69</f>
        <v>97</v>
      </c>
      <c r="Q69" s="83">
        <f t="shared" ref="Q69:Q72" si="7">J69-O69</f>
        <v>0</v>
      </c>
      <c r="R69" s="84">
        <f t="shared" ref="R69:R132" si="8">K69</f>
        <v>97</v>
      </c>
      <c r="S69" s="85">
        <f t="shared" ref="S69:S132" si="9">Q69*R69</f>
        <v>0</v>
      </c>
      <c r="T69" s="88"/>
      <c r="U69" s="27"/>
    </row>
    <row r="70" spans="1:21" x14ac:dyDescent="0.3">
      <c r="A70" s="31" t="s">
        <v>219</v>
      </c>
      <c r="B70" s="15">
        <v>319</v>
      </c>
      <c r="C70" s="32">
        <v>44914</v>
      </c>
      <c r="D70" s="21">
        <v>4580000170045</v>
      </c>
      <c r="E70" s="23" t="s">
        <v>80</v>
      </c>
      <c r="F70" s="39" t="s">
        <v>471</v>
      </c>
      <c r="G70" s="9" t="s">
        <v>81</v>
      </c>
      <c r="H70" s="52">
        <v>44923</v>
      </c>
      <c r="I70" s="42">
        <v>3267</v>
      </c>
      <c r="J70" s="42">
        <v>6</v>
      </c>
      <c r="K70" s="65">
        <v>45</v>
      </c>
      <c r="L70" s="65">
        <f t="shared" si="5"/>
        <v>270</v>
      </c>
      <c r="M70" s="46"/>
      <c r="N70" s="46"/>
      <c r="O70" s="47"/>
      <c r="P70" s="71">
        <f t="shared" si="6"/>
        <v>45</v>
      </c>
      <c r="Q70" s="83">
        <f t="shared" si="7"/>
        <v>6</v>
      </c>
      <c r="R70" s="84">
        <f t="shared" si="8"/>
        <v>45</v>
      </c>
      <c r="S70" s="85">
        <f t="shared" si="9"/>
        <v>270</v>
      </c>
      <c r="T70" s="88"/>
      <c r="U70" s="27"/>
    </row>
    <row r="71" spans="1:21" x14ac:dyDescent="0.3">
      <c r="A71" s="31" t="s">
        <v>220</v>
      </c>
      <c r="B71" s="15"/>
      <c r="C71" s="9"/>
      <c r="D71" s="21"/>
      <c r="E71" s="22" t="s">
        <v>372</v>
      </c>
      <c r="F71" s="39" t="s">
        <v>471</v>
      </c>
      <c r="G71" s="9" t="s">
        <v>48</v>
      </c>
      <c r="H71" s="41"/>
      <c r="I71" s="42"/>
      <c r="J71" s="42">
        <v>2</v>
      </c>
      <c r="K71" s="65">
        <v>35</v>
      </c>
      <c r="L71" s="65">
        <f t="shared" si="5"/>
        <v>70</v>
      </c>
      <c r="M71" s="46"/>
      <c r="N71" s="46"/>
      <c r="O71" s="47"/>
      <c r="P71" s="71">
        <f t="shared" si="6"/>
        <v>35</v>
      </c>
      <c r="Q71" s="83">
        <f t="shared" si="7"/>
        <v>2</v>
      </c>
      <c r="R71" s="84">
        <f t="shared" si="8"/>
        <v>35</v>
      </c>
      <c r="S71" s="85">
        <f t="shared" si="9"/>
        <v>70</v>
      </c>
      <c r="T71" s="88"/>
      <c r="U71" s="27"/>
    </row>
    <row r="72" spans="1:21" x14ac:dyDescent="0.3">
      <c r="A72" s="31" t="s">
        <v>221</v>
      </c>
      <c r="B72" s="15"/>
      <c r="C72" s="9"/>
      <c r="D72" s="21"/>
      <c r="E72" s="22" t="s">
        <v>360</v>
      </c>
      <c r="F72" s="39" t="s">
        <v>471</v>
      </c>
      <c r="G72" s="9" t="s">
        <v>48</v>
      </c>
      <c r="H72" s="41"/>
      <c r="I72" s="42"/>
      <c r="J72" s="42">
        <v>2</v>
      </c>
      <c r="K72" s="65">
        <v>58</v>
      </c>
      <c r="L72" s="65">
        <f t="shared" si="5"/>
        <v>116</v>
      </c>
      <c r="M72" s="46"/>
      <c r="N72" s="46"/>
      <c r="O72" s="47"/>
      <c r="P72" s="71">
        <f t="shared" si="6"/>
        <v>58</v>
      </c>
      <c r="Q72" s="83">
        <f t="shared" si="7"/>
        <v>2</v>
      </c>
      <c r="R72" s="84">
        <f t="shared" si="8"/>
        <v>58</v>
      </c>
      <c r="S72" s="85">
        <f t="shared" si="9"/>
        <v>116</v>
      </c>
      <c r="T72" s="88"/>
      <c r="U72" s="27"/>
    </row>
    <row r="73" spans="1:21" x14ac:dyDescent="0.3">
      <c r="A73" s="31" t="s">
        <v>222</v>
      </c>
      <c r="B73" s="15"/>
      <c r="C73" s="9"/>
      <c r="D73" s="21"/>
      <c r="E73" s="22" t="s">
        <v>371</v>
      </c>
      <c r="F73" s="39" t="s">
        <v>471</v>
      </c>
      <c r="G73" s="9" t="s">
        <v>48</v>
      </c>
      <c r="H73" s="41"/>
      <c r="I73" s="42"/>
      <c r="J73" s="42">
        <v>1</v>
      </c>
      <c r="K73" s="65">
        <v>25</v>
      </c>
      <c r="L73" s="65">
        <f t="shared" si="5"/>
        <v>25</v>
      </c>
      <c r="M73" s="46"/>
      <c r="N73" s="46"/>
      <c r="O73" s="47"/>
      <c r="P73" s="71">
        <f t="shared" si="6"/>
        <v>25</v>
      </c>
      <c r="Q73" s="83">
        <f>J73-O73</f>
        <v>1</v>
      </c>
      <c r="R73" s="84">
        <f t="shared" si="8"/>
        <v>25</v>
      </c>
      <c r="S73" s="85">
        <f t="shared" si="9"/>
        <v>25</v>
      </c>
      <c r="T73" s="88"/>
      <c r="U73" s="27"/>
    </row>
    <row r="74" spans="1:21" x14ac:dyDescent="0.3">
      <c r="A74" s="31" t="s">
        <v>223</v>
      </c>
      <c r="B74" s="15">
        <v>298</v>
      </c>
      <c r="C74" s="32">
        <v>45257</v>
      </c>
      <c r="D74" s="21">
        <v>731500010854</v>
      </c>
      <c r="E74" s="22" t="s">
        <v>307</v>
      </c>
      <c r="F74" s="39" t="s">
        <v>471</v>
      </c>
      <c r="G74" s="9" t="s">
        <v>301</v>
      </c>
      <c r="H74" s="52">
        <v>45257</v>
      </c>
      <c r="I74" s="42"/>
      <c r="J74" s="42">
        <v>10</v>
      </c>
      <c r="K74" s="65">
        <v>18</v>
      </c>
      <c r="L74" s="65">
        <f t="shared" si="5"/>
        <v>180</v>
      </c>
      <c r="M74" s="46"/>
      <c r="N74" s="46"/>
      <c r="O74" s="47"/>
      <c r="P74" s="71">
        <f t="shared" si="6"/>
        <v>18</v>
      </c>
      <c r="Q74" s="83">
        <f t="shared" ref="Q74:Q103" si="10">J74-O74</f>
        <v>10</v>
      </c>
      <c r="R74" s="84">
        <f t="shared" si="8"/>
        <v>18</v>
      </c>
      <c r="S74" s="85">
        <f t="shared" si="9"/>
        <v>180</v>
      </c>
      <c r="T74" s="87">
        <v>46223</v>
      </c>
      <c r="U74" s="27"/>
    </row>
    <row r="75" spans="1:21" x14ac:dyDescent="0.3">
      <c r="A75" s="31" t="s">
        <v>224</v>
      </c>
      <c r="B75" s="15">
        <v>298</v>
      </c>
      <c r="C75" s="32">
        <v>45257</v>
      </c>
      <c r="D75" s="21">
        <v>731500020064</v>
      </c>
      <c r="E75" s="97" t="s">
        <v>306</v>
      </c>
      <c r="F75" s="39" t="s">
        <v>471</v>
      </c>
      <c r="G75" s="99" t="s">
        <v>301</v>
      </c>
      <c r="H75" s="55">
        <v>45257</v>
      </c>
      <c r="I75" s="57"/>
      <c r="J75" s="57">
        <v>6</v>
      </c>
      <c r="K75" s="66">
        <v>18</v>
      </c>
      <c r="L75" s="65">
        <f t="shared" si="5"/>
        <v>108</v>
      </c>
      <c r="M75" s="176"/>
      <c r="N75" s="60"/>
      <c r="O75" s="174"/>
      <c r="P75" s="71">
        <f t="shared" si="6"/>
        <v>18</v>
      </c>
      <c r="Q75" s="83">
        <f t="shared" si="10"/>
        <v>6</v>
      </c>
      <c r="R75" s="84">
        <f t="shared" si="8"/>
        <v>18</v>
      </c>
      <c r="S75" s="85">
        <f t="shared" si="9"/>
        <v>108</v>
      </c>
      <c r="T75" s="87">
        <v>45833</v>
      </c>
      <c r="U75" s="27"/>
    </row>
    <row r="76" spans="1:21" x14ac:dyDescent="0.3">
      <c r="A76" s="31" t="s">
        <v>225</v>
      </c>
      <c r="B76" s="15">
        <v>298</v>
      </c>
      <c r="C76" s="32">
        <v>45257</v>
      </c>
      <c r="D76" s="21">
        <v>731500020064</v>
      </c>
      <c r="E76" s="97" t="s">
        <v>306</v>
      </c>
      <c r="F76" s="39" t="s">
        <v>471</v>
      </c>
      <c r="G76" s="99" t="s">
        <v>301</v>
      </c>
      <c r="H76" s="56"/>
      <c r="I76" s="58"/>
      <c r="J76" s="63">
        <v>2</v>
      </c>
      <c r="K76" s="67">
        <v>18</v>
      </c>
      <c r="L76" s="65">
        <f t="shared" si="5"/>
        <v>36</v>
      </c>
      <c r="M76" s="177"/>
      <c r="N76" s="61"/>
      <c r="O76" s="175"/>
      <c r="P76" s="71">
        <f t="shared" si="6"/>
        <v>18</v>
      </c>
      <c r="Q76" s="83">
        <f t="shared" si="10"/>
        <v>2</v>
      </c>
      <c r="R76" s="84">
        <f t="shared" si="8"/>
        <v>18</v>
      </c>
      <c r="S76" s="85">
        <f t="shared" si="9"/>
        <v>36</v>
      </c>
      <c r="T76" s="87">
        <v>46223</v>
      </c>
      <c r="U76" s="27"/>
    </row>
    <row r="77" spans="1:21" x14ac:dyDescent="0.3">
      <c r="A77" s="31" t="s">
        <v>226</v>
      </c>
      <c r="B77" s="15">
        <v>57</v>
      </c>
      <c r="C77" s="32">
        <v>45404</v>
      </c>
      <c r="D77" s="21">
        <v>203400120202</v>
      </c>
      <c r="E77" s="22" t="s">
        <v>329</v>
      </c>
      <c r="F77" s="39" t="s">
        <v>471</v>
      </c>
      <c r="G77" s="9" t="s">
        <v>325</v>
      </c>
      <c r="H77" s="41"/>
      <c r="I77" s="42">
        <v>1171</v>
      </c>
      <c r="J77" s="42">
        <v>2</v>
      </c>
      <c r="K77" s="65">
        <v>145</v>
      </c>
      <c r="L77" s="65">
        <f t="shared" si="5"/>
        <v>290</v>
      </c>
      <c r="M77" s="46"/>
      <c r="N77" s="46"/>
      <c r="O77" s="47"/>
      <c r="P77" s="71">
        <f t="shared" si="6"/>
        <v>145</v>
      </c>
      <c r="Q77" s="83">
        <f t="shared" si="10"/>
        <v>2</v>
      </c>
      <c r="R77" s="84">
        <f t="shared" si="8"/>
        <v>145</v>
      </c>
      <c r="S77" s="85">
        <f t="shared" si="9"/>
        <v>290</v>
      </c>
      <c r="T77" s="88"/>
      <c r="U77" s="27"/>
    </row>
    <row r="78" spans="1:21" ht="28.8" customHeight="1" x14ac:dyDescent="0.3">
      <c r="A78" s="31" t="s">
        <v>227</v>
      </c>
      <c r="B78" s="15">
        <v>298</v>
      </c>
      <c r="C78" s="32">
        <v>45257</v>
      </c>
      <c r="D78" s="21">
        <v>731500010080</v>
      </c>
      <c r="E78" s="22" t="s">
        <v>488</v>
      </c>
      <c r="F78" s="39" t="s">
        <v>474</v>
      </c>
      <c r="G78" s="9" t="s">
        <v>309</v>
      </c>
      <c r="H78" s="52">
        <v>45257</v>
      </c>
      <c r="I78" s="42"/>
      <c r="J78" s="42">
        <v>1</v>
      </c>
      <c r="K78" s="65">
        <v>75</v>
      </c>
      <c r="L78" s="65">
        <f t="shared" si="5"/>
        <v>75</v>
      </c>
      <c r="M78" s="46"/>
      <c r="N78" s="46"/>
      <c r="O78" s="47"/>
      <c r="P78" s="71">
        <f t="shared" si="6"/>
        <v>75</v>
      </c>
      <c r="Q78" s="83">
        <f t="shared" si="10"/>
        <v>1</v>
      </c>
      <c r="R78" s="84">
        <f t="shared" si="8"/>
        <v>75</v>
      </c>
      <c r="S78" s="85">
        <f t="shared" si="9"/>
        <v>75</v>
      </c>
      <c r="T78" s="88"/>
      <c r="U78" s="27"/>
    </row>
    <row r="79" spans="1:21" ht="28.8" customHeight="1" x14ac:dyDescent="0.3">
      <c r="A79" s="31"/>
      <c r="B79" s="15">
        <v>298</v>
      </c>
      <c r="C79" s="32">
        <v>45257</v>
      </c>
      <c r="D79" s="21">
        <v>731500010081</v>
      </c>
      <c r="E79" s="22" t="s">
        <v>489</v>
      </c>
      <c r="F79" s="39" t="s">
        <v>474</v>
      </c>
      <c r="G79" s="9" t="s">
        <v>309</v>
      </c>
      <c r="H79" s="52">
        <v>45257</v>
      </c>
      <c r="I79" s="42"/>
      <c r="J79" s="42">
        <v>1</v>
      </c>
      <c r="K79" s="65">
        <v>75</v>
      </c>
      <c r="L79" s="65">
        <f t="shared" si="5"/>
        <v>75</v>
      </c>
      <c r="M79" s="46"/>
      <c r="N79" s="46"/>
      <c r="O79" s="47"/>
      <c r="P79" s="71">
        <f t="shared" si="6"/>
        <v>75</v>
      </c>
      <c r="Q79" s="83">
        <f t="shared" si="10"/>
        <v>1</v>
      </c>
      <c r="R79" s="84">
        <f t="shared" si="8"/>
        <v>75</v>
      </c>
      <c r="S79" s="85">
        <f t="shared" si="9"/>
        <v>75</v>
      </c>
      <c r="T79" s="88"/>
      <c r="U79" s="27"/>
    </row>
    <row r="80" spans="1:21" x14ac:dyDescent="0.3">
      <c r="A80" s="31"/>
      <c r="B80" s="15">
        <v>298</v>
      </c>
      <c r="C80" s="32">
        <v>45257</v>
      </c>
      <c r="D80" s="21">
        <v>731500010096</v>
      </c>
      <c r="E80" s="22" t="s">
        <v>490</v>
      </c>
      <c r="F80" s="39" t="s">
        <v>474</v>
      </c>
      <c r="G80" s="9" t="s">
        <v>309</v>
      </c>
      <c r="H80" s="52">
        <v>45257</v>
      </c>
      <c r="I80" s="42"/>
      <c r="J80" s="42">
        <v>1</v>
      </c>
      <c r="K80" s="65">
        <v>75</v>
      </c>
      <c r="L80" s="65">
        <f t="shared" si="5"/>
        <v>75</v>
      </c>
      <c r="M80" s="46"/>
      <c r="N80" s="46"/>
      <c r="O80" s="47"/>
      <c r="P80" s="71">
        <f t="shared" si="6"/>
        <v>75</v>
      </c>
      <c r="Q80" s="83">
        <f t="shared" si="10"/>
        <v>1</v>
      </c>
      <c r="R80" s="84">
        <f t="shared" si="8"/>
        <v>75</v>
      </c>
      <c r="S80" s="85">
        <f t="shared" si="9"/>
        <v>75</v>
      </c>
      <c r="T80" s="88"/>
      <c r="U80" s="27"/>
    </row>
    <row r="81" spans="1:21" x14ac:dyDescent="0.3">
      <c r="A81" s="31" t="s">
        <v>228</v>
      </c>
      <c r="B81" s="15"/>
      <c r="C81" s="9"/>
      <c r="D81" s="21"/>
      <c r="E81" s="22" t="s">
        <v>326</v>
      </c>
      <c r="F81" s="39" t="s">
        <v>471</v>
      </c>
      <c r="G81" s="9" t="s">
        <v>309</v>
      </c>
      <c r="H81" s="41"/>
      <c r="I81" s="42"/>
      <c r="J81" s="42">
        <v>1</v>
      </c>
      <c r="K81" s="65">
        <v>65</v>
      </c>
      <c r="L81" s="65">
        <f t="shared" si="5"/>
        <v>65</v>
      </c>
      <c r="M81" s="46"/>
      <c r="N81" s="46"/>
      <c r="O81" s="47"/>
      <c r="P81" s="71">
        <f t="shared" si="6"/>
        <v>65</v>
      </c>
      <c r="Q81" s="83">
        <f t="shared" si="10"/>
        <v>1</v>
      </c>
      <c r="R81" s="84">
        <f t="shared" si="8"/>
        <v>65</v>
      </c>
      <c r="S81" s="85">
        <f t="shared" si="9"/>
        <v>65</v>
      </c>
      <c r="T81" s="88"/>
      <c r="U81" s="27"/>
    </row>
    <row r="82" spans="1:21" x14ac:dyDescent="0.3">
      <c r="A82" s="31" t="s">
        <v>229</v>
      </c>
      <c r="B82" s="15"/>
      <c r="C82" s="9"/>
      <c r="D82" s="21"/>
      <c r="E82" s="22" t="s">
        <v>324</v>
      </c>
      <c r="F82" s="39" t="s">
        <v>471</v>
      </c>
      <c r="G82" s="9" t="s">
        <v>325</v>
      </c>
      <c r="H82" s="41"/>
      <c r="I82" s="42"/>
      <c r="J82" s="42">
        <v>1</v>
      </c>
      <c r="K82" s="65">
        <v>65</v>
      </c>
      <c r="L82" s="65">
        <f t="shared" si="5"/>
        <v>65</v>
      </c>
      <c r="M82" s="46"/>
      <c r="N82" s="46"/>
      <c r="O82" s="47"/>
      <c r="P82" s="71">
        <f t="shared" si="6"/>
        <v>65</v>
      </c>
      <c r="Q82" s="83">
        <f t="shared" si="10"/>
        <v>1</v>
      </c>
      <c r="R82" s="84">
        <f t="shared" si="8"/>
        <v>65</v>
      </c>
      <c r="S82" s="85">
        <f t="shared" si="9"/>
        <v>65</v>
      </c>
      <c r="T82" s="88"/>
      <c r="U82" s="27"/>
    </row>
    <row r="83" spans="1:21" x14ac:dyDescent="0.3">
      <c r="A83" s="31" t="s">
        <v>230</v>
      </c>
      <c r="B83" s="15">
        <v>257</v>
      </c>
      <c r="C83" s="32">
        <v>45590</v>
      </c>
      <c r="D83" s="21">
        <v>731500010772</v>
      </c>
      <c r="E83" s="22" t="s">
        <v>327</v>
      </c>
      <c r="F83" s="39" t="s">
        <v>471</v>
      </c>
      <c r="G83" s="9" t="s">
        <v>309</v>
      </c>
      <c r="H83" s="52">
        <v>45955</v>
      </c>
      <c r="I83" s="42"/>
      <c r="J83" s="42">
        <v>4</v>
      </c>
      <c r="K83" s="65">
        <v>65</v>
      </c>
      <c r="L83" s="65">
        <f t="shared" si="5"/>
        <v>260</v>
      </c>
      <c r="M83" s="46"/>
      <c r="N83" s="46"/>
      <c r="O83" s="47"/>
      <c r="P83" s="71">
        <f t="shared" si="6"/>
        <v>65</v>
      </c>
      <c r="Q83" s="83">
        <f t="shared" si="10"/>
        <v>4</v>
      </c>
      <c r="R83" s="84">
        <f t="shared" si="8"/>
        <v>65</v>
      </c>
      <c r="S83" s="85">
        <f t="shared" si="9"/>
        <v>260</v>
      </c>
      <c r="T83" s="88"/>
      <c r="U83" s="27"/>
    </row>
    <row r="84" spans="1:21" x14ac:dyDescent="0.3">
      <c r="A84" s="31" t="s">
        <v>231</v>
      </c>
      <c r="B84" s="15"/>
      <c r="C84" s="9"/>
      <c r="D84" s="21"/>
      <c r="E84" s="22" t="s">
        <v>350</v>
      </c>
      <c r="F84" s="39" t="s">
        <v>471</v>
      </c>
      <c r="G84" s="9" t="s">
        <v>351</v>
      </c>
      <c r="H84" s="41"/>
      <c r="I84" s="42"/>
      <c r="J84" s="42">
        <v>1</v>
      </c>
      <c r="K84" s="65">
        <v>1050</v>
      </c>
      <c r="L84" s="65">
        <f t="shared" si="5"/>
        <v>1050</v>
      </c>
      <c r="M84" s="46"/>
      <c r="N84" s="46"/>
      <c r="O84" s="47"/>
      <c r="P84" s="71">
        <f t="shared" si="6"/>
        <v>1050</v>
      </c>
      <c r="Q84" s="83">
        <f t="shared" si="10"/>
        <v>1</v>
      </c>
      <c r="R84" s="84">
        <f t="shared" si="8"/>
        <v>1050</v>
      </c>
      <c r="S84" s="85">
        <f t="shared" si="9"/>
        <v>1050</v>
      </c>
      <c r="T84" s="88"/>
      <c r="U84" s="27"/>
    </row>
    <row r="85" spans="1:21" x14ac:dyDescent="0.3">
      <c r="A85" s="31" t="s">
        <v>232</v>
      </c>
      <c r="B85" s="15"/>
      <c r="C85" s="9"/>
      <c r="D85" s="21"/>
      <c r="E85" s="22" t="s">
        <v>293</v>
      </c>
      <c r="F85" s="39" t="s">
        <v>471</v>
      </c>
      <c r="G85" s="9" t="s">
        <v>146</v>
      </c>
      <c r="H85" s="41"/>
      <c r="I85" s="42"/>
      <c r="J85" s="42">
        <v>1</v>
      </c>
      <c r="K85" s="65">
        <v>18</v>
      </c>
      <c r="L85" s="65">
        <f t="shared" si="5"/>
        <v>18</v>
      </c>
      <c r="M85" s="46"/>
      <c r="N85" s="46"/>
      <c r="O85" s="47"/>
      <c r="P85" s="71">
        <f t="shared" si="6"/>
        <v>18</v>
      </c>
      <c r="Q85" s="83">
        <f t="shared" si="10"/>
        <v>1</v>
      </c>
      <c r="R85" s="84">
        <f t="shared" si="8"/>
        <v>18</v>
      </c>
      <c r="S85" s="85">
        <f t="shared" si="9"/>
        <v>18</v>
      </c>
      <c r="T85" s="88"/>
      <c r="U85" s="27"/>
    </row>
    <row r="86" spans="1:21" x14ac:dyDescent="0.3">
      <c r="A86" s="31" t="s">
        <v>233</v>
      </c>
      <c r="B86" s="15">
        <v>319</v>
      </c>
      <c r="C86" s="32">
        <v>44914</v>
      </c>
      <c r="D86" s="21">
        <v>208400050034</v>
      </c>
      <c r="E86" s="23" t="s">
        <v>90</v>
      </c>
      <c r="F86" s="39" t="s">
        <v>471</v>
      </c>
      <c r="G86" s="9" t="s">
        <v>85</v>
      </c>
      <c r="H86" s="52">
        <v>44923</v>
      </c>
      <c r="I86" s="42">
        <v>3267</v>
      </c>
      <c r="J86" s="42">
        <v>5</v>
      </c>
      <c r="K86" s="65">
        <v>420</v>
      </c>
      <c r="L86" s="65">
        <f t="shared" si="5"/>
        <v>2100</v>
      </c>
      <c r="M86" s="46"/>
      <c r="N86" s="46"/>
      <c r="O86" s="47"/>
      <c r="P86" s="71">
        <f t="shared" si="6"/>
        <v>420</v>
      </c>
      <c r="Q86" s="83">
        <f t="shared" si="10"/>
        <v>5</v>
      </c>
      <c r="R86" s="84">
        <f t="shared" si="8"/>
        <v>420</v>
      </c>
      <c r="S86" s="85">
        <f t="shared" si="9"/>
        <v>2100</v>
      </c>
      <c r="T86" s="88"/>
      <c r="U86" s="27"/>
    </row>
    <row r="87" spans="1:21" x14ac:dyDescent="0.3">
      <c r="A87" s="31" t="s">
        <v>234</v>
      </c>
      <c r="B87" s="202">
        <v>319</v>
      </c>
      <c r="C87" s="200">
        <v>44914</v>
      </c>
      <c r="D87" s="127">
        <v>208400210013</v>
      </c>
      <c r="E87" s="126" t="s">
        <v>78</v>
      </c>
      <c r="F87" s="39" t="s">
        <v>471</v>
      </c>
      <c r="G87" s="99" t="s">
        <v>34</v>
      </c>
      <c r="H87" s="54">
        <v>44923</v>
      </c>
      <c r="I87" s="43">
        <v>3267</v>
      </c>
      <c r="J87" s="43">
        <v>8</v>
      </c>
      <c r="K87" s="68">
        <v>490</v>
      </c>
      <c r="L87" s="65">
        <f t="shared" si="5"/>
        <v>3920</v>
      </c>
      <c r="M87" s="46"/>
      <c r="N87" s="46"/>
      <c r="O87" s="47"/>
      <c r="P87" s="71">
        <f t="shared" si="6"/>
        <v>490</v>
      </c>
      <c r="Q87" s="83">
        <f t="shared" si="10"/>
        <v>8</v>
      </c>
      <c r="R87" s="84">
        <f t="shared" si="8"/>
        <v>490</v>
      </c>
      <c r="S87" s="85">
        <f t="shared" si="9"/>
        <v>3920</v>
      </c>
      <c r="T87" s="88"/>
      <c r="U87" s="27"/>
    </row>
    <row r="88" spans="1:21" x14ac:dyDescent="0.3">
      <c r="A88" s="31" t="s">
        <v>235</v>
      </c>
      <c r="B88" s="203"/>
      <c r="C88" s="201"/>
      <c r="D88" s="127">
        <v>208400210013</v>
      </c>
      <c r="E88" s="126" t="s">
        <v>78</v>
      </c>
      <c r="F88" s="39" t="s">
        <v>471</v>
      </c>
      <c r="G88" s="128" t="s">
        <v>34</v>
      </c>
      <c r="H88" s="104"/>
      <c r="I88" s="104"/>
      <c r="J88" s="129">
        <v>1</v>
      </c>
      <c r="K88" s="69">
        <v>490</v>
      </c>
      <c r="L88" s="65">
        <f t="shared" si="5"/>
        <v>490</v>
      </c>
      <c r="M88" s="46"/>
      <c r="N88" s="46"/>
      <c r="O88" s="47"/>
      <c r="P88" s="71">
        <f t="shared" si="6"/>
        <v>490</v>
      </c>
      <c r="Q88" s="83">
        <f t="shared" si="10"/>
        <v>1</v>
      </c>
      <c r="R88" s="84">
        <f t="shared" si="8"/>
        <v>490</v>
      </c>
      <c r="S88" s="85">
        <f t="shared" si="9"/>
        <v>490</v>
      </c>
      <c r="T88" s="88"/>
      <c r="U88" s="27" t="s">
        <v>79</v>
      </c>
    </row>
    <row r="89" spans="1:21" x14ac:dyDescent="0.3">
      <c r="A89" s="31" t="s">
        <v>236</v>
      </c>
      <c r="B89" s="15"/>
      <c r="C89" s="9"/>
      <c r="D89" s="21"/>
      <c r="E89" s="23" t="s">
        <v>102</v>
      </c>
      <c r="F89" s="39" t="s">
        <v>471</v>
      </c>
      <c r="G89" s="9" t="s">
        <v>103</v>
      </c>
      <c r="H89" s="41"/>
      <c r="I89" s="42"/>
      <c r="J89" s="42">
        <v>6</v>
      </c>
      <c r="K89" s="65">
        <v>22</v>
      </c>
      <c r="L89" s="65">
        <f t="shared" si="5"/>
        <v>132</v>
      </c>
      <c r="M89" s="46"/>
      <c r="N89" s="46"/>
      <c r="O89" s="47"/>
      <c r="P89" s="71">
        <f t="shared" si="6"/>
        <v>22</v>
      </c>
      <c r="Q89" s="83">
        <f t="shared" si="10"/>
        <v>6</v>
      </c>
      <c r="R89" s="84">
        <f t="shared" si="8"/>
        <v>22</v>
      </c>
      <c r="S89" s="85">
        <f t="shared" si="9"/>
        <v>132</v>
      </c>
      <c r="T89" s="87">
        <v>45139</v>
      </c>
      <c r="U89" s="27" t="s">
        <v>512</v>
      </c>
    </row>
    <row r="90" spans="1:21" x14ac:dyDescent="0.3">
      <c r="A90" s="31" t="s">
        <v>237</v>
      </c>
      <c r="B90" s="15"/>
      <c r="C90" s="9"/>
      <c r="D90" s="21"/>
      <c r="E90" s="22" t="s">
        <v>347</v>
      </c>
      <c r="F90" s="39" t="s">
        <v>471</v>
      </c>
      <c r="G90" s="9" t="s">
        <v>130</v>
      </c>
      <c r="H90" s="41"/>
      <c r="I90" s="42"/>
      <c r="J90" s="42">
        <v>1</v>
      </c>
      <c r="K90" s="65">
        <v>710</v>
      </c>
      <c r="L90" s="65">
        <f t="shared" si="5"/>
        <v>710</v>
      </c>
      <c r="M90" s="46"/>
      <c r="N90" s="46"/>
      <c r="O90" s="47"/>
      <c r="P90" s="71">
        <f t="shared" si="6"/>
        <v>710</v>
      </c>
      <c r="Q90" s="83">
        <f t="shared" si="10"/>
        <v>1</v>
      </c>
      <c r="R90" s="84">
        <f t="shared" si="8"/>
        <v>710</v>
      </c>
      <c r="S90" s="85">
        <f t="shared" si="9"/>
        <v>710</v>
      </c>
      <c r="T90" s="88"/>
      <c r="U90" s="27"/>
    </row>
    <row r="91" spans="1:21" x14ac:dyDescent="0.3">
      <c r="A91" s="31" t="s">
        <v>238</v>
      </c>
      <c r="B91" s="15"/>
      <c r="C91" s="32">
        <v>45079</v>
      </c>
      <c r="D91" s="21">
        <v>672208530001</v>
      </c>
      <c r="E91" s="23" t="s">
        <v>49</v>
      </c>
      <c r="F91" s="39" t="s">
        <v>471</v>
      </c>
      <c r="G91" s="9" t="s">
        <v>48</v>
      </c>
      <c r="H91" s="52">
        <v>45079</v>
      </c>
      <c r="I91" s="42">
        <v>1233</v>
      </c>
      <c r="J91" s="42">
        <v>3</v>
      </c>
      <c r="K91" s="65">
        <v>115</v>
      </c>
      <c r="L91" s="65">
        <f t="shared" si="5"/>
        <v>345</v>
      </c>
      <c r="M91" s="46"/>
      <c r="N91" s="46"/>
      <c r="O91" s="47"/>
      <c r="P91" s="71">
        <f t="shared" si="6"/>
        <v>115</v>
      </c>
      <c r="Q91" s="83">
        <f t="shared" si="10"/>
        <v>3</v>
      </c>
      <c r="R91" s="84">
        <f t="shared" si="8"/>
        <v>115</v>
      </c>
      <c r="S91" s="85">
        <f t="shared" si="9"/>
        <v>345</v>
      </c>
      <c r="T91" s="88"/>
      <c r="U91" s="27" t="s">
        <v>487</v>
      </c>
    </row>
    <row r="92" spans="1:21" x14ac:dyDescent="0.3">
      <c r="A92" s="31" t="s">
        <v>239</v>
      </c>
      <c r="B92" s="15">
        <v>236</v>
      </c>
      <c r="C92" s="32">
        <v>46007</v>
      </c>
      <c r="D92" s="21">
        <v>458000030146</v>
      </c>
      <c r="E92" s="22" t="s">
        <v>375</v>
      </c>
      <c r="F92" s="39" t="s">
        <v>471</v>
      </c>
      <c r="G92" s="9" t="s">
        <v>294</v>
      </c>
      <c r="H92" s="52">
        <v>46007</v>
      </c>
      <c r="I92" s="42"/>
      <c r="J92" s="42">
        <v>3</v>
      </c>
      <c r="K92" s="65">
        <v>70</v>
      </c>
      <c r="L92" s="65">
        <f t="shared" si="5"/>
        <v>210</v>
      </c>
      <c r="M92" s="46"/>
      <c r="N92" s="46"/>
      <c r="O92" s="47"/>
      <c r="P92" s="71">
        <f t="shared" si="6"/>
        <v>70</v>
      </c>
      <c r="Q92" s="83">
        <f t="shared" si="10"/>
        <v>3</v>
      </c>
      <c r="R92" s="84">
        <f t="shared" si="8"/>
        <v>70</v>
      </c>
      <c r="S92" s="85">
        <f t="shared" si="9"/>
        <v>210</v>
      </c>
      <c r="T92" s="88"/>
      <c r="U92" s="27"/>
    </row>
    <row r="93" spans="1:21" x14ac:dyDescent="0.3">
      <c r="A93" s="31" t="s">
        <v>240</v>
      </c>
      <c r="B93" s="15"/>
      <c r="C93" s="9"/>
      <c r="D93" s="21"/>
      <c r="E93" s="22" t="s">
        <v>502</v>
      </c>
      <c r="F93" s="39" t="s">
        <v>510</v>
      </c>
      <c r="G93" s="9" t="s">
        <v>126</v>
      </c>
      <c r="H93" s="41"/>
      <c r="I93" s="42"/>
      <c r="J93" s="42">
        <v>49</v>
      </c>
      <c r="K93" s="65">
        <v>45</v>
      </c>
      <c r="L93" s="65">
        <f t="shared" si="5"/>
        <v>2205</v>
      </c>
      <c r="M93" s="53">
        <v>46155</v>
      </c>
      <c r="N93" s="46"/>
      <c r="O93" s="133">
        <v>1</v>
      </c>
      <c r="P93" s="71">
        <f t="shared" si="6"/>
        <v>45</v>
      </c>
      <c r="Q93" s="83">
        <f t="shared" si="10"/>
        <v>48</v>
      </c>
      <c r="R93" s="84">
        <f t="shared" si="8"/>
        <v>45</v>
      </c>
      <c r="S93" s="85">
        <f t="shared" si="9"/>
        <v>2160</v>
      </c>
      <c r="T93" s="88"/>
      <c r="U93" s="27" t="s">
        <v>516</v>
      </c>
    </row>
    <row r="94" spans="1:21" x14ac:dyDescent="0.3">
      <c r="A94" s="31" t="s">
        <v>241</v>
      </c>
      <c r="B94" s="15"/>
      <c r="C94" s="9"/>
      <c r="D94" s="21"/>
      <c r="E94" s="22" t="s">
        <v>120</v>
      </c>
      <c r="F94" s="39" t="s">
        <v>471</v>
      </c>
      <c r="G94" s="9" t="s">
        <v>119</v>
      </c>
      <c r="H94" s="41"/>
      <c r="I94" s="42"/>
      <c r="J94" s="42">
        <v>4</v>
      </c>
      <c r="K94" s="65">
        <v>130</v>
      </c>
      <c r="L94" s="65">
        <f t="shared" si="5"/>
        <v>520</v>
      </c>
      <c r="M94" s="46"/>
      <c r="N94" s="46"/>
      <c r="O94" s="47"/>
      <c r="P94" s="71">
        <f t="shared" si="6"/>
        <v>130</v>
      </c>
      <c r="Q94" s="83">
        <f t="shared" si="10"/>
        <v>4</v>
      </c>
      <c r="R94" s="84">
        <f t="shared" si="8"/>
        <v>130</v>
      </c>
      <c r="S94" s="85">
        <f t="shared" si="9"/>
        <v>520</v>
      </c>
      <c r="T94" s="88"/>
      <c r="U94" s="27"/>
    </row>
    <row r="95" spans="1:21" x14ac:dyDescent="0.3">
      <c r="A95" s="31" t="s">
        <v>242</v>
      </c>
      <c r="B95" s="15">
        <v>236</v>
      </c>
      <c r="C95" s="32">
        <v>46007</v>
      </c>
      <c r="D95" s="21">
        <v>275500070020</v>
      </c>
      <c r="E95" s="22" t="s">
        <v>376</v>
      </c>
      <c r="F95" s="39" t="s">
        <v>471</v>
      </c>
      <c r="G95" s="9" t="s">
        <v>294</v>
      </c>
      <c r="H95" s="52">
        <v>46007</v>
      </c>
      <c r="I95" s="42"/>
      <c r="J95" s="42">
        <v>6</v>
      </c>
      <c r="K95" s="65">
        <v>8</v>
      </c>
      <c r="L95" s="65">
        <f t="shared" si="5"/>
        <v>48</v>
      </c>
      <c r="M95" s="46"/>
      <c r="N95" s="46"/>
      <c r="O95" s="47"/>
      <c r="P95" s="71">
        <f t="shared" si="6"/>
        <v>8</v>
      </c>
      <c r="Q95" s="83">
        <f t="shared" si="10"/>
        <v>6</v>
      </c>
      <c r="R95" s="84">
        <f t="shared" si="8"/>
        <v>8</v>
      </c>
      <c r="S95" s="85">
        <f t="shared" si="9"/>
        <v>48</v>
      </c>
      <c r="T95" s="88"/>
      <c r="U95" s="27"/>
    </row>
    <row r="96" spans="1:21" x14ac:dyDescent="0.3">
      <c r="A96" s="31" t="s">
        <v>243</v>
      </c>
      <c r="B96" s="15">
        <v>117</v>
      </c>
      <c r="C96" s="32">
        <v>45862</v>
      </c>
      <c r="D96" s="21">
        <v>208400210008</v>
      </c>
      <c r="E96" s="23" t="s">
        <v>74</v>
      </c>
      <c r="F96" s="39" t="s">
        <v>471</v>
      </c>
      <c r="G96" s="9" t="s">
        <v>75</v>
      </c>
      <c r="H96" s="52">
        <v>45862</v>
      </c>
      <c r="I96" s="42">
        <v>1858</v>
      </c>
      <c r="J96" s="42">
        <v>30</v>
      </c>
      <c r="K96" s="65">
        <v>55</v>
      </c>
      <c r="L96" s="65">
        <f t="shared" si="5"/>
        <v>1650</v>
      </c>
      <c r="M96" s="53">
        <v>46155</v>
      </c>
      <c r="N96" s="46"/>
      <c r="O96" s="133">
        <v>5</v>
      </c>
      <c r="P96" s="71">
        <f t="shared" si="6"/>
        <v>55</v>
      </c>
      <c r="Q96" s="83">
        <f t="shared" si="10"/>
        <v>25</v>
      </c>
      <c r="R96" s="84">
        <f t="shared" si="8"/>
        <v>55</v>
      </c>
      <c r="S96" s="85">
        <f t="shared" si="9"/>
        <v>1375</v>
      </c>
      <c r="T96" s="88"/>
      <c r="U96" s="27"/>
    </row>
    <row r="97" spans="1:21" x14ac:dyDescent="0.3">
      <c r="A97" s="31" t="s">
        <v>244</v>
      </c>
      <c r="B97" s="15"/>
      <c r="C97" s="9"/>
      <c r="D97" s="21"/>
      <c r="E97" s="22" t="s">
        <v>370</v>
      </c>
      <c r="F97" s="39" t="s">
        <v>471</v>
      </c>
      <c r="G97" s="9" t="s">
        <v>48</v>
      </c>
      <c r="H97" s="41"/>
      <c r="I97" s="42"/>
      <c r="J97" s="42">
        <v>1</v>
      </c>
      <c r="K97" s="65">
        <v>125</v>
      </c>
      <c r="L97" s="65">
        <f t="shared" si="5"/>
        <v>125</v>
      </c>
      <c r="M97" s="46"/>
      <c r="N97" s="46"/>
      <c r="O97" s="47"/>
      <c r="P97" s="71">
        <f t="shared" si="6"/>
        <v>125</v>
      </c>
      <c r="Q97" s="83">
        <f t="shared" si="10"/>
        <v>1</v>
      </c>
      <c r="R97" s="84">
        <f t="shared" si="8"/>
        <v>125</v>
      </c>
      <c r="S97" s="85">
        <f t="shared" si="9"/>
        <v>125</v>
      </c>
      <c r="T97" s="88"/>
      <c r="U97" s="27"/>
    </row>
    <row r="98" spans="1:21" ht="28.8" customHeight="1" x14ac:dyDescent="0.3">
      <c r="A98" s="31" t="s">
        <v>245</v>
      </c>
      <c r="B98" s="15"/>
      <c r="C98" s="9"/>
      <c r="D98" s="21"/>
      <c r="E98" s="22" t="s">
        <v>368</v>
      </c>
      <c r="F98" s="39" t="s">
        <v>471</v>
      </c>
      <c r="G98" s="9" t="s">
        <v>48</v>
      </c>
      <c r="H98" s="41"/>
      <c r="I98" s="42"/>
      <c r="J98" s="42">
        <v>1</v>
      </c>
      <c r="K98" s="65">
        <v>50</v>
      </c>
      <c r="L98" s="65">
        <f t="shared" si="5"/>
        <v>50</v>
      </c>
      <c r="M98" s="46"/>
      <c r="N98" s="46"/>
      <c r="O98" s="47"/>
      <c r="P98" s="71">
        <f t="shared" si="6"/>
        <v>50</v>
      </c>
      <c r="Q98" s="83">
        <f t="shared" si="10"/>
        <v>1</v>
      </c>
      <c r="R98" s="84">
        <f t="shared" si="8"/>
        <v>50</v>
      </c>
      <c r="S98" s="85">
        <f t="shared" si="9"/>
        <v>50</v>
      </c>
      <c r="T98" s="88"/>
      <c r="U98" s="27"/>
    </row>
    <row r="99" spans="1:21" x14ac:dyDescent="0.3">
      <c r="A99" s="31" t="s">
        <v>246</v>
      </c>
      <c r="B99" s="15"/>
      <c r="C99" s="9"/>
      <c r="D99" s="21"/>
      <c r="E99" s="22" t="s">
        <v>361</v>
      </c>
      <c r="F99" s="39" t="s">
        <v>471</v>
      </c>
      <c r="G99" s="9" t="s">
        <v>362</v>
      </c>
      <c r="H99" s="41"/>
      <c r="I99" s="42"/>
      <c r="J99" s="42">
        <v>1</v>
      </c>
      <c r="K99" s="65">
        <v>190</v>
      </c>
      <c r="L99" s="65">
        <f t="shared" si="5"/>
        <v>190</v>
      </c>
      <c r="M99" s="46"/>
      <c r="N99" s="46"/>
      <c r="O99" s="47"/>
      <c r="P99" s="71">
        <f t="shared" si="6"/>
        <v>190</v>
      </c>
      <c r="Q99" s="83">
        <f t="shared" si="10"/>
        <v>1</v>
      </c>
      <c r="R99" s="84">
        <f t="shared" si="8"/>
        <v>190</v>
      </c>
      <c r="S99" s="85">
        <f t="shared" si="9"/>
        <v>190</v>
      </c>
      <c r="T99" s="88"/>
      <c r="U99" s="27"/>
    </row>
    <row r="100" spans="1:21" ht="28.8" customHeight="1" x14ac:dyDescent="0.3">
      <c r="A100" s="31" t="s">
        <v>247</v>
      </c>
      <c r="B100" s="15"/>
      <c r="C100" s="9"/>
      <c r="D100" s="21"/>
      <c r="E100" s="22" t="s">
        <v>121</v>
      </c>
      <c r="F100" s="39" t="s">
        <v>471</v>
      </c>
      <c r="G100" s="10" t="s">
        <v>118</v>
      </c>
      <c r="H100" s="41"/>
      <c r="I100" s="42"/>
      <c r="J100" s="42">
        <v>37</v>
      </c>
      <c r="K100" s="65">
        <v>18</v>
      </c>
      <c r="L100" s="65">
        <f t="shared" si="5"/>
        <v>666</v>
      </c>
      <c r="M100" s="53">
        <v>46155</v>
      </c>
      <c r="N100" s="46"/>
      <c r="O100" s="133">
        <v>2</v>
      </c>
      <c r="P100" s="71">
        <f t="shared" si="6"/>
        <v>18</v>
      </c>
      <c r="Q100" s="83">
        <f t="shared" si="10"/>
        <v>35</v>
      </c>
      <c r="R100" s="84">
        <f t="shared" si="8"/>
        <v>18</v>
      </c>
      <c r="S100" s="85">
        <f t="shared" si="9"/>
        <v>630</v>
      </c>
      <c r="T100" s="88"/>
      <c r="U100" s="27"/>
    </row>
    <row r="101" spans="1:21" ht="28.8" customHeight="1" x14ac:dyDescent="0.3">
      <c r="A101" s="31" t="s">
        <v>248</v>
      </c>
      <c r="B101" s="15"/>
      <c r="C101" s="9"/>
      <c r="D101" s="21"/>
      <c r="E101" s="22" t="s">
        <v>346</v>
      </c>
      <c r="F101" s="39" t="s">
        <v>471</v>
      </c>
      <c r="G101" s="9" t="s">
        <v>130</v>
      </c>
      <c r="H101" s="41"/>
      <c r="I101" s="42"/>
      <c r="J101" s="42">
        <v>2</v>
      </c>
      <c r="K101" s="65">
        <v>890</v>
      </c>
      <c r="L101" s="65">
        <f t="shared" si="5"/>
        <v>1780</v>
      </c>
      <c r="M101" s="46"/>
      <c r="N101" s="46"/>
      <c r="O101" s="47"/>
      <c r="P101" s="71">
        <f t="shared" si="6"/>
        <v>890</v>
      </c>
      <c r="Q101" s="83">
        <f t="shared" si="10"/>
        <v>2</v>
      </c>
      <c r="R101" s="84">
        <f t="shared" si="8"/>
        <v>890</v>
      </c>
      <c r="S101" s="85">
        <f t="shared" si="9"/>
        <v>1780</v>
      </c>
      <c r="T101" s="88"/>
      <c r="U101" s="27"/>
    </row>
    <row r="102" spans="1:21" x14ac:dyDescent="0.3">
      <c r="A102" s="31" t="s">
        <v>249</v>
      </c>
      <c r="B102" s="15"/>
      <c r="C102" s="9"/>
      <c r="D102" s="21"/>
      <c r="E102" s="22" t="s">
        <v>328</v>
      </c>
      <c r="F102" s="39" t="s">
        <v>471</v>
      </c>
      <c r="G102" s="9" t="s">
        <v>297</v>
      </c>
      <c r="H102" s="41"/>
      <c r="I102" s="42"/>
      <c r="J102" s="42">
        <v>1</v>
      </c>
      <c r="K102" s="65">
        <v>95</v>
      </c>
      <c r="L102" s="65">
        <f t="shared" si="5"/>
        <v>95</v>
      </c>
      <c r="M102" s="46"/>
      <c r="N102" s="46"/>
      <c r="O102" s="47"/>
      <c r="P102" s="71">
        <f t="shared" si="6"/>
        <v>95</v>
      </c>
      <c r="Q102" s="83">
        <f t="shared" si="10"/>
        <v>1</v>
      </c>
      <c r="R102" s="84">
        <f t="shared" si="8"/>
        <v>95</v>
      </c>
      <c r="S102" s="85">
        <f t="shared" si="9"/>
        <v>95</v>
      </c>
      <c r="T102" s="88"/>
      <c r="U102" s="27"/>
    </row>
    <row r="103" spans="1:21" x14ac:dyDescent="0.3">
      <c r="A103" s="31" t="s">
        <v>250</v>
      </c>
      <c r="B103" s="15"/>
      <c r="C103" s="9"/>
      <c r="D103" s="21"/>
      <c r="E103" s="22" t="s">
        <v>342</v>
      </c>
      <c r="F103" s="39" t="s">
        <v>471</v>
      </c>
      <c r="G103" s="9" t="s">
        <v>130</v>
      </c>
      <c r="H103" s="41"/>
      <c r="I103" s="42"/>
      <c r="J103" s="42">
        <v>1</v>
      </c>
      <c r="K103" s="65">
        <v>3990</v>
      </c>
      <c r="L103" s="65">
        <f t="shared" si="5"/>
        <v>3990</v>
      </c>
      <c r="M103" s="46"/>
      <c r="N103" s="46"/>
      <c r="O103" s="47"/>
      <c r="P103" s="71">
        <f t="shared" si="6"/>
        <v>3990</v>
      </c>
      <c r="Q103" s="83">
        <f t="shared" si="10"/>
        <v>1</v>
      </c>
      <c r="R103" s="84">
        <f t="shared" si="8"/>
        <v>3990</v>
      </c>
      <c r="S103" s="85">
        <f t="shared" si="9"/>
        <v>3990</v>
      </c>
      <c r="T103" s="88"/>
      <c r="U103" s="27"/>
    </row>
    <row r="104" spans="1:21" x14ac:dyDescent="0.3">
      <c r="A104" s="31" t="s">
        <v>251</v>
      </c>
      <c r="B104" s="15"/>
      <c r="C104" s="32">
        <v>44923</v>
      </c>
      <c r="D104" s="36" t="s">
        <v>495</v>
      </c>
      <c r="E104" s="22" t="s">
        <v>503</v>
      </c>
      <c r="F104" s="39" t="s">
        <v>471</v>
      </c>
      <c r="G104" s="9" t="s">
        <v>143</v>
      </c>
      <c r="H104" s="52">
        <v>44923</v>
      </c>
      <c r="I104" s="42"/>
      <c r="J104" s="42">
        <v>20</v>
      </c>
      <c r="K104" s="65">
        <v>1.5</v>
      </c>
      <c r="L104" s="65">
        <f t="shared" si="5"/>
        <v>30</v>
      </c>
      <c r="M104" s="46"/>
      <c r="N104" s="46"/>
      <c r="O104" s="47"/>
      <c r="P104" s="71">
        <f t="shared" si="6"/>
        <v>1.5</v>
      </c>
      <c r="Q104" s="83">
        <v>36</v>
      </c>
      <c r="R104" s="84">
        <f t="shared" si="8"/>
        <v>1.5</v>
      </c>
      <c r="S104" s="85">
        <f t="shared" si="9"/>
        <v>54</v>
      </c>
      <c r="T104" s="88"/>
      <c r="U104" s="27"/>
    </row>
    <row r="105" spans="1:21" x14ac:dyDescent="0.3">
      <c r="A105" s="31" t="s">
        <v>252</v>
      </c>
      <c r="B105" s="15"/>
      <c r="C105" s="9"/>
      <c r="D105" s="21"/>
      <c r="E105" s="22" t="s">
        <v>145</v>
      </c>
      <c r="F105" s="39" t="s">
        <v>471</v>
      </c>
      <c r="G105" s="9" t="s">
        <v>143</v>
      </c>
      <c r="H105" s="41"/>
      <c r="I105" s="42"/>
      <c r="J105" s="42">
        <v>20</v>
      </c>
      <c r="K105" s="65">
        <v>1.5</v>
      </c>
      <c r="L105" s="65">
        <f t="shared" si="5"/>
        <v>30</v>
      </c>
      <c r="M105" s="46"/>
      <c r="N105" s="46"/>
      <c r="O105" s="47"/>
      <c r="P105" s="71">
        <f t="shared" si="6"/>
        <v>1.5</v>
      </c>
      <c r="Q105" s="83">
        <f>J105-O105</f>
        <v>20</v>
      </c>
      <c r="R105" s="84">
        <f t="shared" si="8"/>
        <v>1.5</v>
      </c>
      <c r="S105" s="85">
        <f t="shared" si="9"/>
        <v>30</v>
      </c>
      <c r="T105" s="88"/>
      <c r="U105" s="27"/>
    </row>
    <row r="106" spans="1:21" x14ac:dyDescent="0.3">
      <c r="A106" s="31" t="s">
        <v>253</v>
      </c>
      <c r="B106" s="15">
        <v>257</v>
      </c>
      <c r="C106" s="32">
        <v>45955</v>
      </c>
      <c r="D106" s="36" t="s">
        <v>472</v>
      </c>
      <c r="E106" s="22" t="s">
        <v>141</v>
      </c>
      <c r="F106" s="39" t="s">
        <v>471</v>
      </c>
      <c r="G106" s="9" t="s">
        <v>143</v>
      </c>
      <c r="H106" s="52">
        <v>45955</v>
      </c>
      <c r="I106" s="42"/>
      <c r="J106" s="42">
        <v>50</v>
      </c>
      <c r="K106" s="65">
        <v>1.5</v>
      </c>
      <c r="L106" s="65">
        <f t="shared" si="5"/>
        <v>75</v>
      </c>
      <c r="M106" s="46"/>
      <c r="N106" s="46"/>
      <c r="O106" s="47"/>
      <c r="P106" s="71">
        <f t="shared" si="6"/>
        <v>1.5</v>
      </c>
      <c r="Q106" s="83">
        <f t="shared" ref="Q106:Q148" si="11">J106-O106</f>
        <v>50</v>
      </c>
      <c r="R106" s="84">
        <f t="shared" si="8"/>
        <v>1.5</v>
      </c>
      <c r="S106" s="85">
        <f t="shared" si="9"/>
        <v>75</v>
      </c>
      <c r="T106" s="88"/>
      <c r="U106" s="27"/>
    </row>
    <row r="107" spans="1:21" x14ac:dyDescent="0.3">
      <c r="A107" s="31" t="s">
        <v>254</v>
      </c>
      <c r="B107" s="15"/>
      <c r="C107" s="9"/>
      <c r="D107" s="21"/>
      <c r="E107" s="22" t="s">
        <v>144</v>
      </c>
      <c r="F107" s="39" t="s">
        <v>471</v>
      </c>
      <c r="G107" s="9" t="s">
        <v>143</v>
      </c>
      <c r="H107" s="41"/>
      <c r="I107" s="42"/>
      <c r="J107" s="42">
        <v>20</v>
      </c>
      <c r="K107" s="65">
        <v>1.5</v>
      </c>
      <c r="L107" s="65">
        <f t="shared" si="5"/>
        <v>30</v>
      </c>
      <c r="M107" s="46"/>
      <c r="N107" s="46"/>
      <c r="O107" s="47"/>
      <c r="P107" s="71">
        <f t="shared" si="6"/>
        <v>1.5</v>
      </c>
      <c r="Q107" s="83">
        <f t="shared" si="11"/>
        <v>20</v>
      </c>
      <c r="R107" s="84">
        <f t="shared" si="8"/>
        <v>1.5</v>
      </c>
      <c r="S107" s="85">
        <f t="shared" si="9"/>
        <v>30</v>
      </c>
      <c r="T107" s="88"/>
      <c r="U107" s="27"/>
    </row>
    <row r="108" spans="1:21" x14ac:dyDescent="0.3">
      <c r="A108" s="31" t="s">
        <v>255</v>
      </c>
      <c r="B108" s="15">
        <v>257</v>
      </c>
      <c r="C108" s="32">
        <v>45955</v>
      </c>
      <c r="D108" s="36" t="s">
        <v>473</v>
      </c>
      <c r="E108" s="22" t="s">
        <v>142</v>
      </c>
      <c r="F108" s="39" t="s">
        <v>471</v>
      </c>
      <c r="G108" s="9" t="s">
        <v>143</v>
      </c>
      <c r="H108" s="52">
        <v>45955</v>
      </c>
      <c r="I108" s="42"/>
      <c r="J108" s="42">
        <v>50</v>
      </c>
      <c r="K108" s="65">
        <v>1.5</v>
      </c>
      <c r="L108" s="65">
        <f t="shared" si="5"/>
        <v>75</v>
      </c>
      <c r="M108" s="46"/>
      <c r="N108" s="46"/>
      <c r="O108" s="47"/>
      <c r="P108" s="71">
        <f t="shared" si="6"/>
        <v>1.5</v>
      </c>
      <c r="Q108" s="83">
        <f t="shared" si="11"/>
        <v>50</v>
      </c>
      <c r="R108" s="84">
        <f t="shared" si="8"/>
        <v>1.5</v>
      </c>
      <c r="S108" s="85">
        <f t="shared" si="9"/>
        <v>75</v>
      </c>
      <c r="T108" s="88"/>
      <c r="U108" s="27"/>
    </row>
    <row r="109" spans="1:21" x14ac:dyDescent="0.3">
      <c r="A109" s="31" t="s">
        <v>256</v>
      </c>
      <c r="B109" s="15"/>
      <c r="C109" s="9"/>
      <c r="D109" s="21"/>
      <c r="E109" s="22" t="s">
        <v>343</v>
      </c>
      <c r="F109" s="39" t="s">
        <v>471</v>
      </c>
      <c r="G109" s="9" t="s">
        <v>130</v>
      </c>
      <c r="H109" s="41"/>
      <c r="I109" s="42"/>
      <c r="J109" s="42">
        <v>1</v>
      </c>
      <c r="K109" s="65">
        <v>1680</v>
      </c>
      <c r="L109" s="65">
        <f t="shared" si="5"/>
        <v>1680</v>
      </c>
      <c r="M109" s="46"/>
      <c r="N109" s="46"/>
      <c r="O109" s="47"/>
      <c r="P109" s="71">
        <f t="shared" si="6"/>
        <v>1680</v>
      </c>
      <c r="Q109" s="83">
        <f t="shared" si="11"/>
        <v>1</v>
      </c>
      <c r="R109" s="84">
        <f t="shared" si="8"/>
        <v>1680</v>
      </c>
      <c r="S109" s="85">
        <f t="shared" si="9"/>
        <v>1680</v>
      </c>
      <c r="T109" s="88"/>
      <c r="U109" s="27"/>
    </row>
    <row r="110" spans="1:21" x14ac:dyDescent="0.3">
      <c r="A110" s="31" t="s">
        <v>257</v>
      </c>
      <c r="B110" s="15"/>
      <c r="C110" s="9"/>
      <c r="D110" s="21"/>
      <c r="E110" s="22" t="s">
        <v>357</v>
      </c>
      <c r="F110" s="39" t="s">
        <v>471</v>
      </c>
      <c r="G110" s="9" t="s">
        <v>48</v>
      </c>
      <c r="H110" s="41"/>
      <c r="I110" s="42"/>
      <c r="J110" s="42">
        <v>1</v>
      </c>
      <c r="K110" s="65">
        <v>350</v>
      </c>
      <c r="L110" s="65">
        <f t="shared" si="5"/>
        <v>350</v>
      </c>
      <c r="M110" s="46"/>
      <c r="N110" s="46"/>
      <c r="O110" s="47"/>
      <c r="P110" s="71">
        <f t="shared" si="6"/>
        <v>350</v>
      </c>
      <c r="Q110" s="83">
        <f t="shared" si="11"/>
        <v>1</v>
      </c>
      <c r="R110" s="84">
        <f t="shared" si="8"/>
        <v>350</v>
      </c>
      <c r="S110" s="85">
        <f t="shared" si="9"/>
        <v>350</v>
      </c>
      <c r="T110" s="88"/>
      <c r="U110" s="27"/>
    </row>
    <row r="111" spans="1:21" x14ac:dyDescent="0.3">
      <c r="A111" s="31" t="s">
        <v>258</v>
      </c>
      <c r="B111" s="15"/>
      <c r="C111" s="9"/>
      <c r="D111" s="21"/>
      <c r="E111" s="22" t="s">
        <v>358</v>
      </c>
      <c r="F111" s="39" t="s">
        <v>471</v>
      </c>
      <c r="G111" s="9" t="s">
        <v>48</v>
      </c>
      <c r="H111" s="41"/>
      <c r="I111" s="42"/>
      <c r="J111" s="42">
        <v>1</v>
      </c>
      <c r="K111" s="65">
        <v>350</v>
      </c>
      <c r="L111" s="65">
        <f t="shared" si="5"/>
        <v>350</v>
      </c>
      <c r="M111" s="46"/>
      <c r="N111" s="46"/>
      <c r="O111" s="47"/>
      <c r="P111" s="71">
        <f t="shared" si="6"/>
        <v>350</v>
      </c>
      <c r="Q111" s="83">
        <f t="shared" si="11"/>
        <v>1</v>
      </c>
      <c r="R111" s="84">
        <f t="shared" si="8"/>
        <v>350</v>
      </c>
      <c r="S111" s="85">
        <f t="shared" si="9"/>
        <v>350</v>
      </c>
      <c r="T111" s="88"/>
      <c r="U111" s="27"/>
    </row>
    <row r="112" spans="1:21" x14ac:dyDescent="0.3">
      <c r="A112" s="31" t="s">
        <v>259</v>
      </c>
      <c r="B112" s="15"/>
      <c r="C112" s="9"/>
      <c r="D112" s="21"/>
      <c r="E112" s="22" t="s">
        <v>364</v>
      </c>
      <c r="F112" s="39" t="s">
        <v>471</v>
      </c>
      <c r="G112" s="9" t="s">
        <v>48</v>
      </c>
      <c r="H112" s="41"/>
      <c r="I112" s="42"/>
      <c r="J112" s="42">
        <v>1</v>
      </c>
      <c r="K112" s="65">
        <v>350</v>
      </c>
      <c r="L112" s="65">
        <f t="shared" si="5"/>
        <v>350</v>
      </c>
      <c r="M112" s="46"/>
      <c r="N112" s="46"/>
      <c r="O112" s="47"/>
      <c r="P112" s="71">
        <f t="shared" si="6"/>
        <v>350</v>
      </c>
      <c r="Q112" s="83">
        <f t="shared" si="11"/>
        <v>1</v>
      </c>
      <c r="R112" s="84">
        <f t="shared" si="8"/>
        <v>350</v>
      </c>
      <c r="S112" s="85">
        <f t="shared" si="9"/>
        <v>350</v>
      </c>
      <c r="T112" s="88"/>
      <c r="U112" s="27"/>
    </row>
    <row r="113" spans="1:21" ht="15" x14ac:dyDescent="0.3">
      <c r="A113" s="31" t="s">
        <v>260</v>
      </c>
      <c r="B113" s="17"/>
      <c r="C113" s="18"/>
      <c r="D113" s="21"/>
      <c r="E113" s="22" t="s">
        <v>363</v>
      </c>
      <c r="F113" s="39" t="s">
        <v>471</v>
      </c>
      <c r="G113" s="9" t="s">
        <v>48</v>
      </c>
      <c r="H113" s="41"/>
      <c r="I113" s="42"/>
      <c r="J113" s="42">
        <v>1</v>
      </c>
      <c r="K113" s="65">
        <v>350</v>
      </c>
      <c r="L113" s="65">
        <f t="shared" si="5"/>
        <v>350</v>
      </c>
      <c r="M113" s="46"/>
      <c r="N113" s="46"/>
      <c r="O113" s="47"/>
      <c r="P113" s="71">
        <f t="shared" si="6"/>
        <v>350</v>
      </c>
      <c r="Q113" s="83">
        <f t="shared" si="11"/>
        <v>1</v>
      </c>
      <c r="R113" s="84">
        <f t="shared" si="8"/>
        <v>350</v>
      </c>
      <c r="S113" s="85">
        <f t="shared" si="9"/>
        <v>350</v>
      </c>
      <c r="T113" s="88"/>
      <c r="U113" s="27"/>
    </row>
    <row r="114" spans="1:21" x14ac:dyDescent="0.3">
      <c r="A114" s="31" t="s">
        <v>261</v>
      </c>
      <c r="B114" s="19"/>
      <c r="C114" s="20"/>
      <c r="D114" s="33"/>
      <c r="E114" s="23" t="s">
        <v>88</v>
      </c>
      <c r="F114" s="39" t="s">
        <v>471</v>
      </c>
      <c r="G114" s="9" t="s">
        <v>85</v>
      </c>
      <c r="H114" s="41"/>
      <c r="I114" s="42"/>
      <c r="J114" s="42">
        <v>1</v>
      </c>
      <c r="K114" s="65">
        <v>130</v>
      </c>
      <c r="L114" s="65">
        <f t="shared" si="5"/>
        <v>130</v>
      </c>
      <c r="M114" s="46"/>
      <c r="N114" s="46"/>
      <c r="O114" s="47"/>
      <c r="P114" s="71">
        <f t="shared" si="6"/>
        <v>130</v>
      </c>
      <c r="Q114" s="83">
        <f t="shared" si="11"/>
        <v>1</v>
      </c>
      <c r="R114" s="84">
        <f t="shared" si="8"/>
        <v>130</v>
      </c>
      <c r="S114" s="85">
        <f t="shared" si="9"/>
        <v>130</v>
      </c>
      <c r="T114" s="88"/>
      <c r="U114" s="27"/>
    </row>
    <row r="115" spans="1:21" ht="28.8" customHeight="1" x14ac:dyDescent="0.3">
      <c r="A115" s="31" t="s">
        <v>262</v>
      </c>
      <c r="B115" s="17">
        <v>319</v>
      </c>
      <c r="C115" s="59">
        <v>44914</v>
      </c>
      <c r="D115" s="33">
        <v>208400030191</v>
      </c>
      <c r="E115" s="22" t="s">
        <v>95</v>
      </c>
      <c r="F115" s="39" t="s">
        <v>471</v>
      </c>
      <c r="G115" s="9" t="s">
        <v>89</v>
      </c>
      <c r="H115" s="52">
        <v>44923</v>
      </c>
      <c r="I115" s="42">
        <v>3267</v>
      </c>
      <c r="J115" s="42">
        <v>12</v>
      </c>
      <c r="K115" s="65">
        <v>250</v>
      </c>
      <c r="L115" s="65">
        <f t="shared" si="5"/>
        <v>3000</v>
      </c>
      <c r="M115" s="46"/>
      <c r="N115" s="46"/>
      <c r="O115" s="47"/>
      <c r="P115" s="71">
        <f t="shared" si="6"/>
        <v>250</v>
      </c>
      <c r="Q115" s="83">
        <f t="shared" si="11"/>
        <v>12</v>
      </c>
      <c r="R115" s="84">
        <f t="shared" si="8"/>
        <v>250</v>
      </c>
      <c r="S115" s="85">
        <f t="shared" si="9"/>
        <v>3000</v>
      </c>
      <c r="T115" s="88"/>
      <c r="U115" s="27"/>
    </row>
    <row r="116" spans="1:21" x14ac:dyDescent="0.3">
      <c r="A116" s="31" t="s">
        <v>263</v>
      </c>
      <c r="B116" s="15">
        <v>117</v>
      </c>
      <c r="C116" s="32">
        <v>45862</v>
      </c>
      <c r="D116" s="33">
        <v>208400030059</v>
      </c>
      <c r="E116" s="23" t="s">
        <v>109</v>
      </c>
      <c r="F116" s="39" t="s">
        <v>471</v>
      </c>
      <c r="G116" s="9" t="s">
        <v>106</v>
      </c>
      <c r="H116" s="52">
        <v>45862</v>
      </c>
      <c r="I116" s="42">
        <v>1858</v>
      </c>
      <c r="J116" s="42">
        <v>20</v>
      </c>
      <c r="K116" s="65">
        <v>55.9</v>
      </c>
      <c r="L116" s="65">
        <f t="shared" si="5"/>
        <v>1118</v>
      </c>
      <c r="M116" s="46"/>
      <c r="N116" s="46"/>
      <c r="O116" s="47"/>
      <c r="P116" s="71">
        <f t="shared" si="6"/>
        <v>55.9</v>
      </c>
      <c r="Q116" s="83">
        <f t="shared" si="11"/>
        <v>20</v>
      </c>
      <c r="R116" s="84">
        <f t="shared" si="8"/>
        <v>55.9</v>
      </c>
      <c r="S116" s="85">
        <f t="shared" si="9"/>
        <v>1118</v>
      </c>
      <c r="T116" s="88"/>
      <c r="U116" s="27"/>
    </row>
    <row r="117" spans="1:21" x14ac:dyDescent="0.3">
      <c r="A117" s="31" t="s">
        <v>264</v>
      </c>
      <c r="B117" s="15">
        <v>205</v>
      </c>
      <c r="C117" s="32">
        <v>44828</v>
      </c>
      <c r="D117" s="33">
        <v>208400030059</v>
      </c>
      <c r="E117" s="23" t="s">
        <v>504</v>
      </c>
      <c r="F117" s="39" t="s">
        <v>471</v>
      </c>
      <c r="G117" s="9" t="s">
        <v>81</v>
      </c>
      <c r="H117" s="52">
        <v>44830</v>
      </c>
      <c r="I117" s="42">
        <v>2364</v>
      </c>
      <c r="J117" s="42">
        <v>20</v>
      </c>
      <c r="K117" s="65">
        <v>15.9</v>
      </c>
      <c r="L117" s="65">
        <f t="shared" si="5"/>
        <v>318</v>
      </c>
      <c r="M117" s="46"/>
      <c r="N117" s="46"/>
      <c r="O117" s="47"/>
      <c r="P117" s="71">
        <f t="shared" si="6"/>
        <v>15.9</v>
      </c>
      <c r="Q117" s="83">
        <f t="shared" si="11"/>
        <v>20</v>
      </c>
      <c r="R117" s="84">
        <f t="shared" si="8"/>
        <v>15.9</v>
      </c>
      <c r="S117" s="85">
        <f t="shared" si="9"/>
        <v>318</v>
      </c>
      <c r="T117" s="88"/>
      <c r="U117" s="27"/>
    </row>
    <row r="118" spans="1:21" x14ac:dyDescent="0.3">
      <c r="A118" s="31" t="s">
        <v>265</v>
      </c>
      <c r="B118" s="15"/>
      <c r="C118" s="9"/>
      <c r="D118" s="33"/>
      <c r="E118" s="22" t="s">
        <v>377</v>
      </c>
      <c r="F118" s="39" t="s">
        <v>471</v>
      </c>
      <c r="G118" s="9" t="s">
        <v>48</v>
      </c>
      <c r="H118" s="41"/>
      <c r="I118" s="42"/>
      <c r="J118" s="42">
        <v>2</v>
      </c>
      <c r="K118" s="65">
        <v>450</v>
      </c>
      <c r="L118" s="65">
        <f t="shared" si="5"/>
        <v>900</v>
      </c>
      <c r="M118" s="46"/>
      <c r="N118" s="46"/>
      <c r="O118" s="47"/>
      <c r="P118" s="71">
        <f t="shared" si="6"/>
        <v>450</v>
      </c>
      <c r="Q118" s="83">
        <f t="shared" si="11"/>
        <v>2</v>
      </c>
      <c r="R118" s="84">
        <f t="shared" si="8"/>
        <v>450</v>
      </c>
      <c r="S118" s="85">
        <f t="shared" si="9"/>
        <v>900</v>
      </c>
      <c r="T118" s="88"/>
      <c r="U118" s="27"/>
    </row>
    <row r="119" spans="1:21" x14ac:dyDescent="0.3">
      <c r="A119" s="31" t="s">
        <v>266</v>
      </c>
      <c r="B119" s="15"/>
      <c r="C119" s="9"/>
      <c r="D119" s="33"/>
      <c r="E119" s="23" t="s">
        <v>87</v>
      </c>
      <c r="F119" s="39" t="s">
        <v>471</v>
      </c>
      <c r="G119" s="9" t="s">
        <v>85</v>
      </c>
      <c r="H119" s="41"/>
      <c r="I119" s="42"/>
      <c r="J119" s="42">
        <v>1</v>
      </c>
      <c r="K119" s="65">
        <v>195</v>
      </c>
      <c r="L119" s="65">
        <f t="shared" si="5"/>
        <v>195</v>
      </c>
      <c r="M119" s="46"/>
      <c r="N119" s="46"/>
      <c r="O119" s="47"/>
      <c r="P119" s="71">
        <f t="shared" si="6"/>
        <v>195</v>
      </c>
      <c r="Q119" s="83">
        <f t="shared" si="11"/>
        <v>1</v>
      </c>
      <c r="R119" s="84">
        <f t="shared" si="8"/>
        <v>195</v>
      </c>
      <c r="S119" s="85">
        <f t="shared" si="9"/>
        <v>195</v>
      </c>
      <c r="T119" s="88"/>
      <c r="U119" s="27"/>
    </row>
    <row r="120" spans="1:21" x14ac:dyDescent="0.3">
      <c r="A120" s="31" t="s">
        <v>267</v>
      </c>
      <c r="B120" s="17">
        <v>319</v>
      </c>
      <c r="C120" s="59">
        <v>44914</v>
      </c>
      <c r="D120" s="33">
        <v>208400030006</v>
      </c>
      <c r="E120" s="23" t="s">
        <v>96</v>
      </c>
      <c r="F120" s="39" t="s">
        <v>471</v>
      </c>
      <c r="G120" s="9" t="s">
        <v>34</v>
      </c>
      <c r="H120" s="52">
        <v>46384</v>
      </c>
      <c r="I120" s="42">
        <v>3267</v>
      </c>
      <c r="J120" s="42">
        <v>6</v>
      </c>
      <c r="K120" s="65">
        <v>155</v>
      </c>
      <c r="L120" s="65">
        <f t="shared" si="5"/>
        <v>930</v>
      </c>
      <c r="M120" s="46"/>
      <c r="N120" s="46"/>
      <c r="O120" s="47"/>
      <c r="P120" s="71">
        <f t="shared" si="6"/>
        <v>155</v>
      </c>
      <c r="Q120" s="83">
        <f t="shared" si="11"/>
        <v>6</v>
      </c>
      <c r="R120" s="84">
        <f t="shared" si="8"/>
        <v>155</v>
      </c>
      <c r="S120" s="85">
        <f t="shared" si="9"/>
        <v>930</v>
      </c>
      <c r="T120" s="88"/>
      <c r="U120" s="27"/>
    </row>
    <row r="121" spans="1:21" ht="28.8" customHeight="1" x14ac:dyDescent="0.3">
      <c r="A121" s="31" t="s">
        <v>268</v>
      </c>
      <c r="B121" s="15">
        <v>298</v>
      </c>
      <c r="C121" s="32">
        <v>45257</v>
      </c>
      <c r="D121" s="33">
        <v>208400090021</v>
      </c>
      <c r="E121" s="22" t="s">
        <v>491</v>
      </c>
      <c r="F121" s="39" t="s">
        <v>471</v>
      </c>
      <c r="G121" s="9" t="s">
        <v>89</v>
      </c>
      <c r="H121" s="52">
        <v>45257</v>
      </c>
      <c r="I121" s="42"/>
      <c r="J121" s="42">
        <v>2</v>
      </c>
      <c r="K121" s="65">
        <v>190</v>
      </c>
      <c r="L121" s="65">
        <f t="shared" si="5"/>
        <v>380</v>
      </c>
      <c r="M121" s="46"/>
      <c r="N121" s="46"/>
      <c r="O121" s="47"/>
      <c r="P121" s="71">
        <f t="shared" si="6"/>
        <v>190</v>
      </c>
      <c r="Q121" s="83">
        <f t="shared" si="11"/>
        <v>2</v>
      </c>
      <c r="R121" s="84">
        <f t="shared" si="8"/>
        <v>190</v>
      </c>
      <c r="S121" s="85">
        <f t="shared" si="9"/>
        <v>380</v>
      </c>
      <c r="T121" s="88"/>
      <c r="U121" s="27"/>
    </row>
    <row r="122" spans="1:21" x14ac:dyDescent="0.3">
      <c r="A122" s="31" t="s">
        <v>269</v>
      </c>
      <c r="B122" s="15"/>
      <c r="C122" s="9"/>
      <c r="D122" s="33"/>
      <c r="E122" s="22" t="s">
        <v>338</v>
      </c>
      <c r="F122" s="39" t="s">
        <v>471</v>
      </c>
      <c r="G122" s="9" t="s">
        <v>130</v>
      </c>
      <c r="H122" s="41"/>
      <c r="I122" s="42"/>
      <c r="J122" s="42">
        <v>1</v>
      </c>
      <c r="K122" s="65">
        <v>1300</v>
      </c>
      <c r="L122" s="65">
        <f t="shared" si="5"/>
        <v>1300</v>
      </c>
      <c r="M122" s="46"/>
      <c r="N122" s="46"/>
      <c r="O122" s="47"/>
      <c r="P122" s="71">
        <f t="shared" si="6"/>
        <v>1300</v>
      </c>
      <c r="Q122" s="83">
        <f t="shared" si="11"/>
        <v>1</v>
      </c>
      <c r="R122" s="84">
        <f t="shared" si="8"/>
        <v>1300</v>
      </c>
      <c r="S122" s="85">
        <f t="shared" si="9"/>
        <v>1300</v>
      </c>
      <c r="T122" s="88"/>
      <c r="U122" s="27"/>
    </row>
    <row r="123" spans="1:21" x14ac:dyDescent="0.3">
      <c r="A123" s="31" t="s">
        <v>270</v>
      </c>
      <c r="B123" s="15"/>
      <c r="C123" s="9"/>
      <c r="D123" s="33"/>
      <c r="E123" s="23" t="s">
        <v>70</v>
      </c>
      <c r="F123" s="39" t="s">
        <v>471</v>
      </c>
      <c r="G123" s="9" t="s">
        <v>64</v>
      </c>
      <c r="H123" s="41"/>
      <c r="I123" s="42"/>
      <c r="J123" s="42">
        <v>3</v>
      </c>
      <c r="K123" s="65">
        <v>1.5</v>
      </c>
      <c r="L123" s="65">
        <f t="shared" si="5"/>
        <v>4.5</v>
      </c>
      <c r="M123" s="46"/>
      <c r="N123" s="46"/>
      <c r="O123" s="47"/>
      <c r="P123" s="71">
        <f t="shared" si="6"/>
        <v>1.5</v>
      </c>
      <c r="Q123" s="83">
        <f t="shared" si="11"/>
        <v>3</v>
      </c>
      <c r="R123" s="84">
        <f t="shared" si="8"/>
        <v>1.5</v>
      </c>
      <c r="S123" s="85">
        <f t="shared" si="9"/>
        <v>4.5</v>
      </c>
      <c r="T123" s="88"/>
      <c r="U123" s="27"/>
    </row>
    <row r="124" spans="1:21" x14ac:dyDescent="0.3">
      <c r="A124" s="31" t="s">
        <v>271</v>
      </c>
      <c r="B124" s="15"/>
      <c r="C124" s="9"/>
      <c r="D124" s="33"/>
      <c r="E124" s="22" t="s">
        <v>478</v>
      </c>
      <c r="F124" s="39" t="s">
        <v>474</v>
      </c>
      <c r="G124" s="9" t="s">
        <v>325</v>
      </c>
      <c r="H124" s="41"/>
      <c r="I124" s="42"/>
      <c r="J124" s="42">
        <v>8</v>
      </c>
      <c r="K124" s="65">
        <v>58</v>
      </c>
      <c r="L124" s="65">
        <f t="shared" si="5"/>
        <v>464</v>
      </c>
      <c r="M124" s="46"/>
      <c r="N124" s="46"/>
      <c r="O124" s="47"/>
      <c r="P124" s="71">
        <f t="shared" si="6"/>
        <v>58</v>
      </c>
      <c r="Q124" s="83">
        <f t="shared" si="11"/>
        <v>8</v>
      </c>
      <c r="R124" s="84">
        <f t="shared" si="8"/>
        <v>58</v>
      </c>
      <c r="S124" s="85">
        <f t="shared" si="9"/>
        <v>464</v>
      </c>
      <c r="T124" s="88"/>
      <c r="U124" s="27"/>
    </row>
    <row r="125" spans="1:21" x14ac:dyDescent="0.3">
      <c r="A125" s="31" t="s">
        <v>272</v>
      </c>
      <c r="B125" s="15"/>
      <c r="C125" s="9"/>
      <c r="D125" s="33"/>
      <c r="E125" s="22" t="s">
        <v>477</v>
      </c>
      <c r="F125" s="39" t="s">
        <v>474</v>
      </c>
      <c r="G125" s="9" t="s">
        <v>325</v>
      </c>
      <c r="H125" s="41"/>
      <c r="I125" s="42"/>
      <c r="J125" s="42">
        <v>11</v>
      </c>
      <c r="K125" s="65">
        <v>58</v>
      </c>
      <c r="L125" s="65">
        <f t="shared" si="5"/>
        <v>638</v>
      </c>
      <c r="M125" s="46"/>
      <c r="N125" s="46"/>
      <c r="O125" s="47"/>
      <c r="P125" s="71">
        <f t="shared" si="6"/>
        <v>58</v>
      </c>
      <c r="Q125" s="83">
        <f t="shared" si="11"/>
        <v>11</v>
      </c>
      <c r="R125" s="84">
        <f t="shared" si="8"/>
        <v>58</v>
      </c>
      <c r="S125" s="85">
        <f t="shared" si="9"/>
        <v>638</v>
      </c>
      <c r="T125" s="88"/>
      <c r="U125" s="27"/>
    </row>
    <row r="126" spans="1:21" x14ac:dyDescent="0.3">
      <c r="A126" s="31" t="s">
        <v>273</v>
      </c>
      <c r="B126" s="17"/>
      <c r="C126" s="18"/>
      <c r="D126" s="37"/>
      <c r="E126" s="30" t="s">
        <v>476</v>
      </c>
      <c r="F126" s="40" t="s">
        <v>474</v>
      </c>
      <c r="G126" s="18" t="s">
        <v>325</v>
      </c>
      <c r="H126" s="41"/>
      <c r="I126" s="43"/>
      <c r="J126" s="43">
        <v>24</v>
      </c>
      <c r="K126" s="65">
        <v>58</v>
      </c>
      <c r="L126" s="65">
        <f t="shared" si="5"/>
        <v>1392</v>
      </c>
      <c r="M126" s="46"/>
      <c r="N126" s="62"/>
      <c r="O126" s="48"/>
      <c r="P126" s="71">
        <f t="shared" si="6"/>
        <v>58</v>
      </c>
      <c r="Q126" s="83">
        <f t="shared" si="11"/>
        <v>24</v>
      </c>
      <c r="R126" s="84">
        <f t="shared" si="8"/>
        <v>58</v>
      </c>
      <c r="S126" s="85">
        <f t="shared" si="9"/>
        <v>1392</v>
      </c>
      <c r="T126" s="89"/>
      <c r="U126" s="28"/>
    </row>
    <row r="127" spans="1:21" x14ac:dyDescent="0.3">
      <c r="A127" s="31" t="s">
        <v>379</v>
      </c>
      <c r="B127" s="15"/>
      <c r="C127" s="9"/>
      <c r="D127" s="33"/>
      <c r="E127" s="22" t="s">
        <v>475</v>
      </c>
      <c r="F127" s="39" t="s">
        <v>474</v>
      </c>
      <c r="G127" s="9" t="s">
        <v>325</v>
      </c>
      <c r="H127" s="41"/>
      <c r="I127" s="42"/>
      <c r="J127" s="42">
        <v>2</v>
      </c>
      <c r="K127" s="65">
        <v>58</v>
      </c>
      <c r="L127" s="65">
        <f t="shared" si="5"/>
        <v>116</v>
      </c>
      <c r="M127" s="46"/>
      <c r="N127" s="46"/>
      <c r="O127" s="47"/>
      <c r="P127" s="71">
        <f t="shared" si="6"/>
        <v>58</v>
      </c>
      <c r="Q127" s="83">
        <f t="shared" si="11"/>
        <v>2</v>
      </c>
      <c r="R127" s="84">
        <f t="shared" si="8"/>
        <v>58</v>
      </c>
      <c r="S127" s="85">
        <f t="shared" si="9"/>
        <v>116</v>
      </c>
      <c r="T127" s="88"/>
      <c r="U127" s="27"/>
    </row>
    <row r="128" spans="1:21" x14ac:dyDescent="0.3">
      <c r="A128" s="31" t="s">
        <v>380</v>
      </c>
      <c r="B128" s="15"/>
      <c r="C128" s="9"/>
      <c r="D128" s="33"/>
      <c r="E128" s="23" t="s">
        <v>53</v>
      </c>
      <c r="F128" s="39" t="s">
        <v>471</v>
      </c>
      <c r="G128" s="9" t="s">
        <v>52</v>
      </c>
      <c r="H128" s="41"/>
      <c r="I128" s="42"/>
      <c r="J128" s="42">
        <v>2</v>
      </c>
      <c r="K128" s="65">
        <v>280</v>
      </c>
      <c r="L128" s="65">
        <f t="shared" si="5"/>
        <v>560</v>
      </c>
      <c r="M128" s="46"/>
      <c r="N128" s="46"/>
      <c r="O128" s="47"/>
      <c r="P128" s="71">
        <f t="shared" si="6"/>
        <v>280</v>
      </c>
      <c r="Q128" s="83">
        <f t="shared" si="11"/>
        <v>2</v>
      </c>
      <c r="R128" s="84">
        <f t="shared" si="8"/>
        <v>280</v>
      </c>
      <c r="S128" s="85">
        <f t="shared" si="9"/>
        <v>560</v>
      </c>
      <c r="T128" s="88"/>
      <c r="U128" s="27"/>
    </row>
    <row r="129" spans="1:21" x14ac:dyDescent="0.3">
      <c r="A129" s="31" t="s">
        <v>381</v>
      </c>
      <c r="B129" s="15"/>
      <c r="C129" s="9"/>
      <c r="D129" s="33"/>
      <c r="E129" s="23" t="s">
        <v>54</v>
      </c>
      <c r="F129" s="39" t="s">
        <v>471</v>
      </c>
      <c r="G129" s="9"/>
      <c r="H129" s="41"/>
      <c r="I129" s="42"/>
      <c r="J129" s="42">
        <v>50</v>
      </c>
      <c r="K129" s="65"/>
      <c r="L129" s="65">
        <f t="shared" si="5"/>
        <v>0</v>
      </c>
      <c r="M129" s="46"/>
      <c r="N129" s="46"/>
      <c r="O129" s="47"/>
      <c r="P129" s="71">
        <f t="shared" si="6"/>
        <v>0</v>
      </c>
      <c r="Q129" s="83">
        <f t="shared" si="11"/>
        <v>50</v>
      </c>
      <c r="R129" s="84">
        <f t="shared" si="8"/>
        <v>0</v>
      </c>
      <c r="S129" s="85">
        <f t="shared" si="9"/>
        <v>0</v>
      </c>
      <c r="T129" s="88"/>
      <c r="U129" s="27" t="s">
        <v>378</v>
      </c>
    </row>
    <row r="130" spans="1:21" x14ac:dyDescent="0.3">
      <c r="A130" s="31" t="s">
        <v>382</v>
      </c>
      <c r="B130" s="142">
        <v>44923</v>
      </c>
      <c r="C130" s="9">
        <v>319</v>
      </c>
      <c r="D130" s="33">
        <v>208400030115</v>
      </c>
      <c r="E130" s="23" t="s">
        <v>39</v>
      </c>
      <c r="F130" s="39" t="s">
        <v>471</v>
      </c>
      <c r="G130" s="9" t="s">
        <v>38</v>
      </c>
      <c r="H130" s="52">
        <v>44923</v>
      </c>
      <c r="I130" s="42">
        <v>3267</v>
      </c>
      <c r="J130" s="42">
        <v>3</v>
      </c>
      <c r="K130" s="65">
        <v>190</v>
      </c>
      <c r="L130" s="65">
        <f t="shared" si="5"/>
        <v>570</v>
      </c>
      <c r="M130" s="46"/>
      <c r="N130" s="46"/>
      <c r="O130" s="47"/>
      <c r="P130" s="71">
        <f t="shared" si="6"/>
        <v>190</v>
      </c>
      <c r="Q130" s="83">
        <f t="shared" si="11"/>
        <v>3</v>
      </c>
      <c r="R130" s="84">
        <f t="shared" si="8"/>
        <v>190</v>
      </c>
      <c r="S130" s="85">
        <f t="shared" si="9"/>
        <v>570</v>
      </c>
      <c r="T130" s="88"/>
      <c r="U130" s="27"/>
    </row>
    <row r="131" spans="1:21" x14ac:dyDescent="0.3">
      <c r="A131" s="31" t="s">
        <v>383</v>
      </c>
      <c r="B131" s="15"/>
      <c r="C131" s="9"/>
      <c r="D131" s="33"/>
      <c r="E131" s="23" t="s">
        <v>281</v>
      </c>
      <c r="F131" s="39" t="s">
        <v>471</v>
      </c>
      <c r="G131" s="9"/>
      <c r="H131" s="41"/>
      <c r="I131" s="42"/>
      <c r="J131" s="42">
        <v>2500</v>
      </c>
      <c r="K131" s="65">
        <v>0.11</v>
      </c>
      <c r="L131" s="65">
        <f t="shared" si="5"/>
        <v>275</v>
      </c>
      <c r="M131" s="46"/>
      <c r="N131" s="46"/>
      <c r="O131" s="47"/>
      <c r="P131" s="71">
        <f t="shared" si="6"/>
        <v>0.11</v>
      </c>
      <c r="Q131" s="83">
        <f t="shared" si="11"/>
        <v>2500</v>
      </c>
      <c r="R131" s="84">
        <f t="shared" si="8"/>
        <v>0.11</v>
      </c>
      <c r="S131" s="85">
        <f t="shared" si="9"/>
        <v>275</v>
      </c>
      <c r="T131" s="88"/>
      <c r="U131" s="27"/>
    </row>
    <row r="132" spans="1:21" x14ac:dyDescent="0.3">
      <c r="A132" s="31" t="s">
        <v>384</v>
      </c>
      <c r="B132" s="15"/>
      <c r="C132" s="9"/>
      <c r="D132" s="33"/>
      <c r="E132" s="22" t="s">
        <v>299</v>
      </c>
      <c r="F132" s="39" t="s">
        <v>471</v>
      </c>
      <c r="G132" s="9" t="s">
        <v>300</v>
      </c>
      <c r="H132" s="41"/>
      <c r="I132" s="42"/>
      <c r="J132" s="42">
        <v>10</v>
      </c>
      <c r="K132" s="65">
        <v>22</v>
      </c>
      <c r="L132" s="65">
        <f t="shared" si="5"/>
        <v>220</v>
      </c>
      <c r="M132" s="46"/>
      <c r="N132" s="46"/>
      <c r="O132" s="47"/>
      <c r="P132" s="71">
        <f t="shared" si="6"/>
        <v>22</v>
      </c>
      <c r="Q132" s="83">
        <f t="shared" si="11"/>
        <v>10</v>
      </c>
      <c r="R132" s="84">
        <f t="shared" si="8"/>
        <v>22</v>
      </c>
      <c r="S132" s="85">
        <f t="shared" si="9"/>
        <v>220</v>
      </c>
      <c r="T132" s="87">
        <v>45566</v>
      </c>
      <c r="U132" s="27" t="s">
        <v>29</v>
      </c>
    </row>
    <row r="133" spans="1:21" x14ac:dyDescent="0.3">
      <c r="A133" s="31" t="s">
        <v>385</v>
      </c>
      <c r="B133" s="15"/>
      <c r="C133" s="9"/>
      <c r="D133" s="33"/>
      <c r="E133" s="22" t="s">
        <v>303</v>
      </c>
      <c r="F133" s="39" t="s">
        <v>471</v>
      </c>
      <c r="G133" s="9" t="s">
        <v>81</v>
      </c>
      <c r="H133" s="41"/>
      <c r="I133" s="42"/>
      <c r="J133" s="42">
        <v>4</v>
      </c>
      <c r="K133" s="65">
        <v>14</v>
      </c>
      <c r="L133" s="65">
        <f t="shared" ref="L133:L196" si="12">K133*J133</f>
        <v>56</v>
      </c>
      <c r="M133" s="46"/>
      <c r="N133" s="46"/>
      <c r="O133" s="47"/>
      <c r="P133" s="71">
        <f t="shared" ref="P133:P196" si="13">K133</f>
        <v>14</v>
      </c>
      <c r="Q133" s="83">
        <f t="shared" si="11"/>
        <v>4</v>
      </c>
      <c r="R133" s="84">
        <f t="shared" ref="R133:R196" si="14">K133</f>
        <v>14</v>
      </c>
      <c r="S133" s="85">
        <f t="shared" ref="S133:S196" si="15">Q133*R133</f>
        <v>56</v>
      </c>
      <c r="T133" s="87">
        <v>45658</v>
      </c>
      <c r="U133" s="27" t="s">
        <v>29</v>
      </c>
    </row>
    <row r="134" spans="1:21" x14ac:dyDescent="0.3">
      <c r="A134" s="31" t="s">
        <v>386</v>
      </c>
      <c r="B134" s="15"/>
      <c r="C134" s="9"/>
      <c r="D134" s="33"/>
      <c r="E134" s="22" t="s">
        <v>303</v>
      </c>
      <c r="F134" s="39" t="s">
        <v>471</v>
      </c>
      <c r="G134" s="9" t="s">
        <v>81</v>
      </c>
      <c r="H134" s="41"/>
      <c r="I134" s="42"/>
      <c r="J134" s="42">
        <v>10</v>
      </c>
      <c r="K134" s="65">
        <v>14</v>
      </c>
      <c r="L134" s="65">
        <f t="shared" si="12"/>
        <v>140</v>
      </c>
      <c r="M134" s="46"/>
      <c r="N134" s="46"/>
      <c r="O134" s="47"/>
      <c r="P134" s="71">
        <f t="shared" si="13"/>
        <v>14</v>
      </c>
      <c r="Q134" s="83">
        <f t="shared" si="11"/>
        <v>10</v>
      </c>
      <c r="R134" s="84">
        <f t="shared" si="14"/>
        <v>14</v>
      </c>
      <c r="S134" s="85">
        <f t="shared" si="15"/>
        <v>140</v>
      </c>
      <c r="T134" s="87">
        <v>46234</v>
      </c>
      <c r="U134" s="27"/>
    </row>
    <row r="135" spans="1:21" x14ac:dyDescent="0.3">
      <c r="A135" s="31" t="s">
        <v>387</v>
      </c>
      <c r="B135" s="15">
        <v>298</v>
      </c>
      <c r="C135" s="32">
        <v>45257</v>
      </c>
      <c r="D135" s="33">
        <v>731500010894</v>
      </c>
      <c r="E135" s="22" t="s">
        <v>302</v>
      </c>
      <c r="F135" s="39" t="s">
        <v>471</v>
      </c>
      <c r="G135" s="9" t="s">
        <v>301</v>
      </c>
      <c r="H135" s="52">
        <v>45257</v>
      </c>
      <c r="I135" s="42"/>
      <c r="J135" s="42">
        <v>6</v>
      </c>
      <c r="K135" s="65">
        <v>14</v>
      </c>
      <c r="L135" s="65">
        <f t="shared" si="12"/>
        <v>84</v>
      </c>
      <c r="M135" s="46"/>
      <c r="N135" s="46"/>
      <c r="O135" s="47"/>
      <c r="P135" s="71">
        <f t="shared" si="13"/>
        <v>14</v>
      </c>
      <c r="Q135" s="83">
        <f t="shared" si="11"/>
        <v>6</v>
      </c>
      <c r="R135" s="84">
        <f t="shared" si="14"/>
        <v>14</v>
      </c>
      <c r="S135" s="85">
        <f t="shared" si="15"/>
        <v>84</v>
      </c>
      <c r="T135" s="87">
        <v>45364</v>
      </c>
      <c r="U135" s="27" t="s">
        <v>29</v>
      </c>
    </row>
    <row r="136" spans="1:21" x14ac:dyDescent="0.3">
      <c r="A136" s="31" t="s">
        <v>388</v>
      </c>
      <c r="B136" s="15"/>
      <c r="C136" s="32">
        <v>44916</v>
      </c>
      <c r="D136" s="33">
        <v>731500010894</v>
      </c>
      <c r="E136" s="22" t="s">
        <v>302</v>
      </c>
      <c r="F136" s="39" t="s">
        <v>471</v>
      </c>
      <c r="G136" s="9" t="s">
        <v>81</v>
      </c>
      <c r="H136" s="52">
        <v>44916</v>
      </c>
      <c r="I136" s="42">
        <v>3220</v>
      </c>
      <c r="J136" s="42">
        <v>6</v>
      </c>
      <c r="K136" s="65">
        <v>14</v>
      </c>
      <c r="L136" s="65">
        <f t="shared" si="12"/>
        <v>84</v>
      </c>
      <c r="M136" s="46"/>
      <c r="N136" s="46"/>
      <c r="O136" s="47"/>
      <c r="P136" s="71">
        <f t="shared" si="13"/>
        <v>14</v>
      </c>
      <c r="Q136" s="83">
        <f t="shared" si="11"/>
        <v>6</v>
      </c>
      <c r="R136" s="84">
        <f t="shared" si="14"/>
        <v>14</v>
      </c>
      <c r="S136" s="85">
        <f t="shared" si="15"/>
        <v>84</v>
      </c>
      <c r="T136" s="87">
        <v>46234</v>
      </c>
      <c r="U136" s="27"/>
    </row>
    <row r="137" spans="1:21" x14ac:dyDescent="0.3">
      <c r="A137" s="31" t="s">
        <v>389</v>
      </c>
      <c r="B137" s="15"/>
      <c r="C137" s="32">
        <v>44916</v>
      </c>
      <c r="D137" s="33">
        <v>731500010826</v>
      </c>
      <c r="E137" s="22" t="s">
        <v>298</v>
      </c>
      <c r="F137" s="39" t="s">
        <v>471</v>
      </c>
      <c r="G137" s="9" t="s">
        <v>81</v>
      </c>
      <c r="H137" s="52">
        <v>46377</v>
      </c>
      <c r="I137" s="42">
        <v>3220</v>
      </c>
      <c r="J137" s="42">
        <v>6</v>
      </c>
      <c r="K137" s="65">
        <v>14</v>
      </c>
      <c r="L137" s="65">
        <f t="shared" si="12"/>
        <v>84</v>
      </c>
      <c r="M137" s="46"/>
      <c r="N137" s="46"/>
      <c r="O137" s="47"/>
      <c r="P137" s="71">
        <f t="shared" si="13"/>
        <v>14</v>
      </c>
      <c r="Q137" s="83">
        <f t="shared" si="11"/>
        <v>6</v>
      </c>
      <c r="R137" s="84">
        <f t="shared" si="14"/>
        <v>14</v>
      </c>
      <c r="S137" s="85">
        <f t="shared" si="15"/>
        <v>84</v>
      </c>
      <c r="T137" s="87">
        <v>46203</v>
      </c>
      <c r="U137" s="27" t="s">
        <v>29</v>
      </c>
    </row>
    <row r="138" spans="1:21" x14ac:dyDescent="0.3">
      <c r="A138" s="31" t="s">
        <v>390</v>
      </c>
      <c r="B138" s="15"/>
      <c r="C138" s="9"/>
      <c r="D138" s="33"/>
      <c r="E138" s="22" t="s">
        <v>298</v>
      </c>
      <c r="F138" s="39" t="s">
        <v>471</v>
      </c>
      <c r="G138" s="9" t="s">
        <v>81</v>
      </c>
      <c r="H138" s="41"/>
      <c r="I138" s="42"/>
      <c r="J138" s="42">
        <v>1</v>
      </c>
      <c r="K138" s="65">
        <v>14</v>
      </c>
      <c r="L138" s="65">
        <f t="shared" si="12"/>
        <v>14</v>
      </c>
      <c r="M138" s="46"/>
      <c r="N138" s="46"/>
      <c r="O138" s="47"/>
      <c r="P138" s="71">
        <f t="shared" si="13"/>
        <v>14</v>
      </c>
      <c r="Q138" s="83">
        <f t="shared" si="11"/>
        <v>1</v>
      </c>
      <c r="R138" s="84">
        <f t="shared" si="14"/>
        <v>14</v>
      </c>
      <c r="S138" s="85">
        <f t="shared" si="15"/>
        <v>14</v>
      </c>
      <c r="T138" s="87">
        <v>46265</v>
      </c>
      <c r="U138" s="27"/>
    </row>
    <row r="139" spans="1:21" x14ac:dyDescent="0.3">
      <c r="A139" s="31" t="s">
        <v>391</v>
      </c>
      <c r="B139" s="15"/>
      <c r="C139" s="9"/>
      <c r="D139" s="33"/>
      <c r="E139" s="22" t="s">
        <v>308</v>
      </c>
      <c r="F139" s="39" t="s">
        <v>471</v>
      </c>
      <c r="G139" s="9" t="s">
        <v>81</v>
      </c>
      <c r="H139" s="41"/>
      <c r="I139" s="42"/>
      <c r="J139" s="42">
        <v>3</v>
      </c>
      <c r="K139" s="65">
        <v>14</v>
      </c>
      <c r="L139" s="65">
        <f t="shared" si="12"/>
        <v>42</v>
      </c>
      <c r="M139" s="46"/>
      <c r="N139" s="46"/>
      <c r="O139" s="47"/>
      <c r="P139" s="71">
        <f t="shared" si="13"/>
        <v>14</v>
      </c>
      <c r="Q139" s="83">
        <f t="shared" si="11"/>
        <v>3</v>
      </c>
      <c r="R139" s="84">
        <f t="shared" si="14"/>
        <v>14</v>
      </c>
      <c r="S139" s="85">
        <f t="shared" si="15"/>
        <v>42</v>
      </c>
      <c r="T139" s="87">
        <v>46173</v>
      </c>
      <c r="U139" s="27"/>
    </row>
    <row r="140" spans="1:21" x14ac:dyDescent="0.3">
      <c r="A140" s="31" t="s">
        <v>392</v>
      </c>
      <c r="B140" s="15"/>
      <c r="C140" s="32">
        <v>44916</v>
      </c>
      <c r="D140" s="33">
        <v>731500010854</v>
      </c>
      <c r="E140" s="22" t="s">
        <v>304</v>
      </c>
      <c r="F140" s="39" t="s">
        <v>471</v>
      </c>
      <c r="G140" s="9" t="s">
        <v>305</v>
      </c>
      <c r="H140" s="52">
        <v>44916</v>
      </c>
      <c r="I140" s="42">
        <v>3220</v>
      </c>
      <c r="J140" s="42">
        <v>6</v>
      </c>
      <c r="K140" s="65">
        <v>14</v>
      </c>
      <c r="L140" s="65">
        <f t="shared" si="12"/>
        <v>84</v>
      </c>
      <c r="M140" s="53">
        <v>46155</v>
      </c>
      <c r="N140" s="46"/>
      <c r="O140" s="133">
        <v>3</v>
      </c>
      <c r="P140" s="71">
        <f t="shared" si="13"/>
        <v>14</v>
      </c>
      <c r="Q140" s="83">
        <f t="shared" si="11"/>
        <v>3</v>
      </c>
      <c r="R140" s="84">
        <f t="shared" si="14"/>
        <v>14</v>
      </c>
      <c r="S140" s="85">
        <f t="shared" si="15"/>
        <v>42</v>
      </c>
      <c r="T140" s="87">
        <v>45814</v>
      </c>
      <c r="U140" s="27" t="s">
        <v>29</v>
      </c>
    </row>
    <row r="141" spans="1:21" ht="28.8" customHeight="1" x14ac:dyDescent="0.3">
      <c r="A141" s="31" t="s">
        <v>393</v>
      </c>
      <c r="B141" s="15"/>
      <c r="C141" s="9"/>
      <c r="D141" s="33"/>
      <c r="E141" s="22" t="s">
        <v>332</v>
      </c>
      <c r="F141" s="39" t="s">
        <v>474</v>
      </c>
      <c r="G141" s="9" t="s">
        <v>309</v>
      </c>
      <c r="H141" s="41"/>
      <c r="I141" s="42"/>
      <c r="J141" s="42">
        <v>2</v>
      </c>
      <c r="K141" s="65">
        <v>55</v>
      </c>
      <c r="L141" s="65">
        <f t="shared" si="12"/>
        <v>110</v>
      </c>
      <c r="M141" s="46"/>
      <c r="N141" s="46"/>
      <c r="O141" s="47"/>
      <c r="P141" s="71">
        <f t="shared" si="13"/>
        <v>55</v>
      </c>
      <c r="Q141" s="83">
        <f t="shared" si="11"/>
        <v>2</v>
      </c>
      <c r="R141" s="84">
        <f t="shared" si="14"/>
        <v>55</v>
      </c>
      <c r="S141" s="85">
        <f t="shared" si="15"/>
        <v>110</v>
      </c>
      <c r="T141" s="88"/>
      <c r="U141" s="27" t="s">
        <v>485</v>
      </c>
    </row>
    <row r="142" spans="1:21" ht="28.8" customHeight="1" x14ac:dyDescent="0.3">
      <c r="A142" s="31" t="s">
        <v>394</v>
      </c>
      <c r="B142" s="15"/>
      <c r="C142" s="9"/>
      <c r="D142" s="33"/>
      <c r="E142" s="22" t="s">
        <v>316</v>
      </c>
      <c r="F142" s="39" t="s">
        <v>474</v>
      </c>
      <c r="G142" s="9" t="s">
        <v>309</v>
      </c>
      <c r="H142" s="41"/>
      <c r="I142" s="42"/>
      <c r="J142" s="42">
        <v>2</v>
      </c>
      <c r="K142" s="65">
        <v>55</v>
      </c>
      <c r="L142" s="65">
        <f t="shared" si="12"/>
        <v>110</v>
      </c>
      <c r="M142" s="46"/>
      <c r="N142" s="46"/>
      <c r="O142" s="47"/>
      <c r="P142" s="71">
        <f t="shared" si="13"/>
        <v>55</v>
      </c>
      <c r="Q142" s="83">
        <f t="shared" si="11"/>
        <v>2</v>
      </c>
      <c r="R142" s="84">
        <f t="shared" si="14"/>
        <v>55</v>
      </c>
      <c r="S142" s="85">
        <f t="shared" si="15"/>
        <v>110</v>
      </c>
      <c r="T142" s="88"/>
      <c r="U142" s="27" t="s">
        <v>485</v>
      </c>
    </row>
    <row r="143" spans="1:21" ht="28.8" customHeight="1" x14ac:dyDescent="0.3">
      <c r="A143" s="31" t="s">
        <v>395</v>
      </c>
      <c r="B143" s="15"/>
      <c r="C143" s="9"/>
      <c r="D143" s="33"/>
      <c r="E143" s="22" t="s">
        <v>318</v>
      </c>
      <c r="F143" s="39" t="s">
        <v>474</v>
      </c>
      <c r="G143" s="9" t="s">
        <v>317</v>
      </c>
      <c r="H143" s="41"/>
      <c r="I143" s="42"/>
      <c r="J143" s="42">
        <v>2</v>
      </c>
      <c r="K143" s="65">
        <v>55</v>
      </c>
      <c r="L143" s="65">
        <f t="shared" si="12"/>
        <v>110</v>
      </c>
      <c r="M143" s="46"/>
      <c r="N143" s="46"/>
      <c r="O143" s="47"/>
      <c r="P143" s="71">
        <f t="shared" si="13"/>
        <v>55</v>
      </c>
      <c r="Q143" s="83">
        <f t="shared" si="11"/>
        <v>2</v>
      </c>
      <c r="R143" s="84">
        <f t="shared" si="14"/>
        <v>55</v>
      </c>
      <c r="S143" s="85">
        <f t="shared" si="15"/>
        <v>110</v>
      </c>
      <c r="T143" s="88"/>
      <c r="U143" s="27" t="s">
        <v>485</v>
      </c>
    </row>
    <row r="144" spans="1:21" ht="28.8" customHeight="1" x14ac:dyDescent="0.3">
      <c r="A144" s="31" t="s">
        <v>396</v>
      </c>
      <c r="B144" s="15">
        <v>298</v>
      </c>
      <c r="C144" s="32">
        <v>45257</v>
      </c>
      <c r="D144" s="33">
        <v>731500010777</v>
      </c>
      <c r="E144" s="22" t="s">
        <v>315</v>
      </c>
      <c r="F144" s="39" t="s">
        <v>474</v>
      </c>
      <c r="G144" s="9" t="s">
        <v>309</v>
      </c>
      <c r="H144" s="52">
        <v>45257</v>
      </c>
      <c r="I144" s="42"/>
      <c r="J144" s="42">
        <v>3</v>
      </c>
      <c r="K144" s="65">
        <v>55</v>
      </c>
      <c r="L144" s="65">
        <f t="shared" si="12"/>
        <v>165</v>
      </c>
      <c r="M144" s="46"/>
      <c r="N144" s="46"/>
      <c r="O144" s="47"/>
      <c r="P144" s="71">
        <f t="shared" si="13"/>
        <v>55</v>
      </c>
      <c r="Q144" s="83">
        <f t="shared" si="11"/>
        <v>3</v>
      </c>
      <c r="R144" s="84">
        <f t="shared" si="14"/>
        <v>55</v>
      </c>
      <c r="S144" s="85">
        <f t="shared" si="15"/>
        <v>165</v>
      </c>
      <c r="T144" s="88"/>
      <c r="U144" s="27" t="s">
        <v>485</v>
      </c>
    </row>
    <row r="145" spans="1:21" ht="28.8" customHeight="1" x14ac:dyDescent="0.3">
      <c r="A145" s="31" t="s">
        <v>397</v>
      </c>
      <c r="B145" s="15"/>
      <c r="C145" s="9"/>
      <c r="D145" s="33"/>
      <c r="E145" s="22" t="s">
        <v>313</v>
      </c>
      <c r="F145" s="39" t="s">
        <v>474</v>
      </c>
      <c r="G145" s="9" t="s">
        <v>314</v>
      </c>
      <c r="H145" s="41"/>
      <c r="I145" s="42"/>
      <c r="J145" s="42">
        <v>3</v>
      </c>
      <c r="K145" s="65">
        <v>55</v>
      </c>
      <c r="L145" s="65">
        <f t="shared" si="12"/>
        <v>165</v>
      </c>
      <c r="M145" s="46"/>
      <c r="N145" s="46"/>
      <c r="O145" s="47"/>
      <c r="P145" s="71">
        <f t="shared" si="13"/>
        <v>55</v>
      </c>
      <c r="Q145" s="83">
        <f t="shared" si="11"/>
        <v>3</v>
      </c>
      <c r="R145" s="84">
        <f t="shared" si="14"/>
        <v>55</v>
      </c>
      <c r="S145" s="85">
        <f t="shared" si="15"/>
        <v>165</v>
      </c>
      <c r="T145" s="88"/>
      <c r="U145" s="27" t="s">
        <v>485</v>
      </c>
    </row>
    <row r="146" spans="1:21" ht="28.8" customHeight="1" x14ac:dyDescent="0.3">
      <c r="A146" s="159" t="s">
        <v>398</v>
      </c>
      <c r="B146" s="15">
        <v>298</v>
      </c>
      <c r="C146" s="32">
        <v>45257</v>
      </c>
      <c r="D146" s="127">
        <v>731500011140</v>
      </c>
      <c r="E146" s="97" t="s">
        <v>310</v>
      </c>
      <c r="F146" s="39" t="s">
        <v>474</v>
      </c>
      <c r="G146" s="99" t="s">
        <v>309</v>
      </c>
      <c r="H146" s="52">
        <v>45257</v>
      </c>
      <c r="I146" s="42"/>
      <c r="J146" s="42">
        <v>2</v>
      </c>
      <c r="K146" s="65">
        <v>85</v>
      </c>
      <c r="L146" s="65">
        <f t="shared" si="12"/>
        <v>170</v>
      </c>
      <c r="M146" s="46"/>
      <c r="N146" s="46"/>
      <c r="O146" s="47"/>
      <c r="P146" s="74">
        <f t="shared" si="13"/>
        <v>85</v>
      </c>
      <c r="Q146" s="83">
        <f t="shared" si="11"/>
        <v>2</v>
      </c>
      <c r="R146" s="84">
        <f t="shared" si="14"/>
        <v>85</v>
      </c>
      <c r="S146" s="85">
        <f t="shared" si="15"/>
        <v>170</v>
      </c>
      <c r="T146" s="194"/>
      <c r="U146" s="197" t="s">
        <v>485</v>
      </c>
    </row>
    <row r="147" spans="1:21" ht="25.2" customHeight="1" x14ac:dyDescent="0.3">
      <c r="A147" s="159"/>
      <c r="B147" s="15"/>
      <c r="C147" s="32">
        <v>45057</v>
      </c>
      <c r="D147" s="137">
        <v>731500011140</v>
      </c>
      <c r="E147" s="97" t="s">
        <v>310</v>
      </c>
      <c r="F147" s="39" t="s">
        <v>474</v>
      </c>
      <c r="G147" s="99" t="s">
        <v>309</v>
      </c>
      <c r="H147" s="52">
        <v>45057</v>
      </c>
      <c r="I147" s="42">
        <v>1106</v>
      </c>
      <c r="J147" s="42">
        <v>4</v>
      </c>
      <c r="K147" s="65">
        <v>85</v>
      </c>
      <c r="L147" s="65">
        <f t="shared" si="12"/>
        <v>340</v>
      </c>
      <c r="M147" s="46"/>
      <c r="N147" s="46"/>
      <c r="O147" s="47"/>
      <c r="P147" s="74">
        <f t="shared" si="13"/>
        <v>85</v>
      </c>
      <c r="Q147" s="83">
        <f t="shared" si="11"/>
        <v>4</v>
      </c>
      <c r="R147" s="84">
        <f t="shared" si="14"/>
        <v>85</v>
      </c>
      <c r="S147" s="85">
        <f t="shared" si="15"/>
        <v>340</v>
      </c>
      <c r="T147" s="195"/>
      <c r="U147" s="198"/>
    </row>
    <row r="148" spans="1:21" ht="25.2" customHeight="1" x14ac:dyDescent="0.3">
      <c r="A148" s="159"/>
      <c r="B148" s="15">
        <v>341</v>
      </c>
      <c r="C148" s="32">
        <v>44922</v>
      </c>
      <c r="D148" s="138">
        <v>731500011140</v>
      </c>
      <c r="E148" s="97" t="s">
        <v>310</v>
      </c>
      <c r="F148" s="39" t="s">
        <v>474</v>
      </c>
      <c r="G148" s="99" t="s">
        <v>309</v>
      </c>
      <c r="H148" s="52">
        <v>44917</v>
      </c>
      <c r="I148" s="42">
        <v>3302</v>
      </c>
      <c r="J148" s="42">
        <v>9</v>
      </c>
      <c r="K148" s="65">
        <v>85</v>
      </c>
      <c r="L148" s="65">
        <f t="shared" si="12"/>
        <v>765</v>
      </c>
      <c r="M148" s="46"/>
      <c r="N148" s="46"/>
      <c r="O148" s="47"/>
      <c r="P148" s="74">
        <f t="shared" si="13"/>
        <v>85</v>
      </c>
      <c r="Q148" s="83">
        <f t="shared" si="11"/>
        <v>9</v>
      </c>
      <c r="R148" s="84">
        <f t="shared" si="14"/>
        <v>85</v>
      </c>
      <c r="S148" s="85">
        <f t="shared" si="15"/>
        <v>765</v>
      </c>
      <c r="T148" s="196"/>
      <c r="U148" s="199"/>
    </row>
    <row r="149" spans="1:21" ht="28.8" customHeight="1" x14ac:dyDescent="0.3">
      <c r="A149" s="31" t="s">
        <v>399</v>
      </c>
      <c r="B149" s="15"/>
      <c r="C149" s="9"/>
      <c r="D149" s="33"/>
      <c r="E149" s="22" t="s">
        <v>333</v>
      </c>
      <c r="F149" s="39" t="s">
        <v>474</v>
      </c>
      <c r="G149" s="9" t="s">
        <v>325</v>
      </c>
      <c r="H149" s="41"/>
      <c r="I149" s="42"/>
      <c r="J149" s="42">
        <v>4</v>
      </c>
      <c r="K149" s="65">
        <v>85</v>
      </c>
      <c r="L149" s="65">
        <f t="shared" si="12"/>
        <v>340</v>
      </c>
      <c r="M149" s="46"/>
      <c r="N149" s="46"/>
      <c r="O149" s="47"/>
      <c r="P149" s="71">
        <f t="shared" si="13"/>
        <v>85</v>
      </c>
      <c r="Q149" s="83">
        <f>J149-O149</f>
        <v>4</v>
      </c>
      <c r="R149" s="84">
        <f t="shared" si="14"/>
        <v>85</v>
      </c>
      <c r="S149" s="85">
        <f t="shared" si="15"/>
        <v>340</v>
      </c>
      <c r="T149" s="88"/>
      <c r="U149" s="27" t="s">
        <v>485</v>
      </c>
    </row>
    <row r="150" spans="1:21" ht="28.8" customHeight="1" x14ac:dyDescent="0.3">
      <c r="A150" s="31" t="s">
        <v>400</v>
      </c>
      <c r="B150" s="15">
        <v>257</v>
      </c>
      <c r="C150" s="32">
        <v>45955</v>
      </c>
      <c r="D150" s="33">
        <v>731500150293</v>
      </c>
      <c r="E150" s="22" t="s">
        <v>331</v>
      </c>
      <c r="F150" s="39" t="s">
        <v>474</v>
      </c>
      <c r="G150" s="9" t="s">
        <v>309</v>
      </c>
      <c r="H150" s="52">
        <v>45955</v>
      </c>
      <c r="I150" s="42"/>
      <c r="J150" s="42">
        <v>10</v>
      </c>
      <c r="K150" s="65">
        <v>85</v>
      </c>
      <c r="L150" s="65">
        <f t="shared" si="12"/>
        <v>850</v>
      </c>
      <c r="M150" s="46"/>
      <c r="N150" s="46"/>
      <c r="O150" s="47"/>
      <c r="P150" s="71">
        <f t="shared" si="13"/>
        <v>85</v>
      </c>
      <c r="Q150" s="83">
        <f t="shared" ref="Q150:Q214" si="16">J150-O150</f>
        <v>10</v>
      </c>
      <c r="R150" s="84">
        <f t="shared" si="14"/>
        <v>85</v>
      </c>
      <c r="S150" s="85">
        <f t="shared" si="15"/>
        <v>850</v>
      </c>
      <c r="T150" s="88"/>
      <c r="U150" s="27" t="s">
        <v>486</v>
      </c>
    </row>
    <row r="151" spans="1:21" ht="28.8" customHeight="1" x14ac:dyDescent="0.3">
      <c r="A151" s="31" t="s">
        <v>401</v>
      </c>
      <c r="B151" s="15"/>
      <c r="C151" s="9"/>
      <c r="D151" s="33"/>
      <c r="E151" s="22" t="s">
        <v>311</v>
      </c>
      <c r="F151" s="39" t="s">
        <v>474</v>
      </c>
      <c r="G151" s="9" t="s">
        <v>309</v>
      </c>
      <c r="H151" s="41"/>
      <c r="I151" s="42"/>
      <c r="J151" s="42">
        <v>2</v>
      </c>
      <c r="K151" s="65">
        <v>290</v>
      </c>
      <c r="L151" s="65">
        <f t="shared" si="12"/>
        <v>580</v>
      </c>
      <c r="M151" s="46"/>
      <c r="N151" s="46"/>
      <c r="O151" s="47"/>
      <c r="P151" s="71">
        <f t="shared" si="13"/>
        <v>290</v>
      </c>
      <c r="Q151" s="83">
        <f t="shared" si="16"/>
        <v>2</v>
      </c>
      <c r="R151" s="84">
        <f t="shared" si="14"/>
        <v>290</v>
      </c>
      <c r="S151" s="85">
        <f t="shared" si="15"/>
        <v>580</v>
      </c>
      <c r="T151" s="88"/>
      <c r="U151" s="27"/>
    </row>
    <row r="152" spans="1:21" ht="28.8" customHeight="1" x14ac:dyDescent="0.3">
      <c r="A152" s="31" t="s">
        <v>402</v>
      </c>
      <c r="B152" s="15"/>
      <c r="C152" s="9"/>
      <c r="D152" s="33"/>
      <c r="E152" s="22" t="s">
        <v>312</v>
      </c>
      <c r="F152" s="39" t="s">
        <v>474</v>
      </c>
      <c r="G152" s="9" t="s">
        <v>309</v>
      </c>
      <c r="H152" s="41"/>
      <c r="I152" s="42"/>
      <c r="J152" s="42">
        <v>1</v>
      </c>
      <c r="K152" s="65">
        <v>290</v>
      </c>
      <c r="L152" s="65">
        <f t="shared" si="12"/>
        <v>290</v>
      </c>
      <c r="M152" s="46"/>
      <c r="N152" s="46"/>
      <c r="O152" s="47"/>
      <c r="P152" s="71">
        <f t="shared" si="13"/>
        <v>290</v>
      </c>
      <c r="Q152" s="83">
        <f t="shared" si="16"/>
        <v>1</v>
      </c>
      <c r="R152" s="84">
        <f t="shared" si="14"/>
        <v>290</v>
      </c>
      <c r="S152" s="85">
        <f t="shared" si="15"/>
        <v>290</v>
      </c>
      <c r="T152" s="88"/>
      <c r="U152" s="27"/>
    </row>
    <row r="153" spans="1:21" x14ac:dyDescent="0.3">
      <c r="A153" s="31" t="s">
        <v>403</v>
      </c>
      <c r="B153" s="15"/>
      <c r="C153" s="9"/>
      <c r="D153" s="33"/>
      <c r="E153" s="22" t="s">
        <v>336</v>
      </c>
      <c r="F153" s="39" t="s">
        <v>474</v>
      </c>
      <c r="G153" s="9" t="s">
        <v>325</v>
      </c>
      <c r="H153" s="41"/>
      <c r="I153" s="42"/>
      <c r="J153" s="42">
        <v>3</v>
      </c>
      <c r="K153" s="65">
        <v>55</v>
      </c>
      <c r="L153" s="65">
        <f t="shared" si="12"/>
        <v>165</v>
      </c>
      <c r="M153" s="46"/>
      <c r="N153" s="46"/>
      <c r="O153" s="47"/>
      <c r="P153" s="71">
        <f t="shared" si="13"/>
        <v>55</v>
      </c>
      <c r="Q153" s="83">
        <f t="shared" si="16"/>
        <v>3</v>
      </c>
      <c r="R153" s="84">
        <f t="shared" si="14"/>
        <v>55</v>
      </c>
      <c r="S153" s="85">
        <f t="shared" si="15"/>
        <v>165</v>
      </c>
      <c r="T153" s="88"/>
      <c r="U153" s="27" t="s">
        <v>485</v>
      </c>
    </row>
    <row r="154" spans="1:21" x14ac:dyDescent="0.3">
      <c r="A154" s="31" t="s">
        <v>404</v>
      </c>
      <c r="B154" s="15"/>
      <c r="C154" s="9"/>
      <c r="D154" s="33"/>
      <c r="E154" s="22" t="s">
        <v>334</v>
      </c>
      <c r="F154" s="39" t="s">
        <v>474</v>
      </c>
      <c r="G154" s="9" t="s">
        <v>335</v>
      </c>
      <c r="H154" s="41"/>
      <c r="I154" s="42"/>
      <c r="J154" s="42">
        <v>3</v>
      </c>
      <c r="K154" s="65">
        <v>70</v>
      </c>
      <c r="L154" s="65">
        <f t="shared" si="12"/>
        <v>210</v>
      </c>
      <c r="M154" s="46"/>
      <c r="N154" s="46"/>
      <c r="O154" s="47"/>
      <c r="P154" s="71">
        <f t="shared" si="13"/>
        <v>70</v>
      </c>
      <c r="Q154" s="83">
        <f t="shared" si="16"/>
        <v>3</v>
      </c>
      <c r="R154" s="84">
        <f t="shared" si="14"/>
        <v>70</v>
      </c>
      <c r="S154" s="85">
        <f t="shared" si="15"/>
        <v>210</v>
      </c>
      <c r="T154" s="88"/>
      <c r="U154" s="27" t="s">
        <v>485</v>
      </c>
    </row>
    <row r="155" spans="1:21" x14ac:dyDescent="0.3">
      <c r="A155" s="31" t="s">
        <v>405</v>
      </c>
      <c r="B155" s="15"/>
      <c r="C155" s="9"/>
      <c r="D155" s="33"/>
      <c r="E155" s="22" t="s">
        <v>344</v>
      </c>
      <c r="F155" s="39" t="s">
        <v>471</v>
      </c>
      <c r="G155" s="9" t="s">
        <v>345</v>
      </c>
      <c r="H155" s="41"/>
      <c r="I155" s="42"/>
      <c r="J155" s="42">
        <v>1</v>
      </c>
      <c r="K155" s="65">
        <v>60</v>
      </c>
      <c r="L155" s="65">
        <f t="shared" si="12"/>
        <v>60</v>
      </c>
      <c r="M155" s="46"/>
      <c r="N155" s="46"/>
      <c r="O155" s="47"/>
      <c r="P155" s="71">
        <f t="shared" si="13"/>
        <v>60</v>
      </c>
      <c r="Q155" s="83">
        <f t="shared" si="16"/>
        <v>1</v>
      </c>
      <c r="R155" s="84">
        <f t="shared" si="14"/>
        <v>60</v>
      </c>
      <c r="S155" s="85">
        <f t="shared" si="15"/>
        <v>60</v>
      </c>
      <c r="T155" s="88"/>
      <c r="U155" s="27"/>
    </row>
    <row r="156" spans="1:21" x14ac:dyDescent="0.3">
      <c r="A156" s="31" t="s">
        <v>406</v>
      </c>
      <c r="B156" s="15"/>
      <c r="C156" s="9"/>
      <c r="D156" s="33"/>
      <c r="E156" s="22" t="s">
        <v>341</v>
      </c>
      <c r="F156" s="39" t="s">
        <v>471</v>
      </c>
      <c r="G156" s="9" t="s">
        <v>130</v>
      </c>
      <c r="H156" s="41"/>
      <c r="I156" s="42"/>
      <c r="J156" s="42">
        <v>1</v>
      </c>
      <c r="K156" s="65">
        <v>550</v>
      </c>
      <c r="L156" s="65">
        <f t="shared" si="12"/>
        <v>550</v>
      </c>
      <c r="M156" s="46"/>
      <c r="N156" s="46"/>
      <c r="O156" s="47"/>
      <c r="P156" s="71">
        <f t="shared" si="13"/>
        <v>550</v>
      </c>
      <c r="Q156" s="83">
        <f t="shared" si="16"/>
        <v>1</v>
      </c>
      <c r="R156" s="84">
        <f t="shared" si="14"/>
        <v>550</v>
      </c>
      <c r="S156" s="85">
        <f t="shared" si="15"/>
        <v>550</v>
      </c>
      <c r="T156" s="88"/>
      <c r="U156" s="27"/>
    </row>
    <row r="157" spans="1:21" x14ac:dyDescent="0.3">
      <c r="A157" s="31" t="s">
        <v>407</v>
      </c>
      <c r="B157" s="15"/>
      <c r="C157" s="9"/>
      <c r="D157" s="33"/>
      <c r="E157" s="22" t="s">
        <v>354</v>
      </c>
      <c r="F157" s="39" t="s">
        <v>471</v>
      </c>
      <c r="G157" s="9" t="s">
        <v>48</v>
      </c>
      <c r="H157" s="41"/>
      <c r="I157" s="42"/>
      <c r="J157" s="42">
        <v>2</v>
      </c>
      <c r="K157" s="65">
        <v>35</v>
      </c>
      <c r="L157" s="65">
        <f t="shared" si="12"/>
        <v>70</v>
      </c>
      <c r="M157" s="46"/>
      <c r="N157" s="46"/>
      <c r="O157" s="47"/>
      <c r="P157" s="71">
        <f t="shared" si="13"/>
        <v>35</v>
      </c>
      <c r="Q157" s="83">
        <f t="shared" si="16"/>
        <v>2</v>
      </c>
      <c r="R157" s="84">
        <f t="shared" si="14"/>
        <v>35</v>
      </c>
      <c r="S157" s="85">
        <f t="shared" si="15"/>
        <v>70</v>
      </c>
      <c r="T157" s="88"/>
      <c r="U157" s="27"/>
    </row>
    <row r="158" spans="1:21" x14ac:dyDescent="0.3">
      <c r="A158" s="31" t="s">
        <v>408</v>
      </c>
      <c r="B158" s="15"/>
      <c r="C158" s="9"/>
      <c r="D158" s="33"/>
      <c r="E158" s="22" t="s">
        <v>352</v>
      </c>
      <c r="F158" s="39" t="s">
        <v>471</v>
      </c>
      <c r="G158" s="9" t="s">
        <v>48</v>
      </c>
      <c r="H158" s="41"/>
      <c r="I158" s="42"/>
      <c r="J158" s="42">
        <v>3</v>
      </c>
      <c r="K158" s="65">
        <v>60</v>
      </c>
      <c r="L158" s="65">
        <f t="shared" si="12"/>
        <v>180</v>
      </c>
      <c r="M158" s="46"/>
      <c r="N158" s="46"/>
      <c r="O158" s="47"/>
      <c r="P158" s="71">
        <f t="shared" si="13"/>
        <v>60</v>
      </c>
      <c r="Q158" s="83">
        <f t="shared" si="16"/>
        <v>3</v>
      </c>
      <c r="R158" s="84">
        <f t="shared" si="14"/>
        <v>60</v>
      </c>
      <c r="S158" s="85">
        <f t="shared" si="15"/>
        <v>180</v>
      </c>
      <c r="T158" s="88"/>
      <c r="U158" s="27"/>
    </row>
    <row r="159" spans="1:21" x14ac:dyDescent="0.3">
      <c r="A159" s="31" t="s">
        <v>409</v>
      </c>
      <c r="B159" s="15"/>
      <c r="C159" s="9"/>
      <c r="D159" s="33"/>
      <c r="E159" s="22" t="s">
        <v>353</v>
      </c>
      <c r="F159" s="39" t="s">
        <v>471</v>
      </c>
      <c r="G159" s="9" t="s">
        <v>48</v>
      </c>
      <c r="H159" s="41"/>
      <c r="I159" s="42"/>
      <c r="J159" s="42">
        <v>3</v>
      </c>
      <c r="K159" s="65">
        <v>95</v>
      </c>
      <c r="L159" s="65">
        <f t="shared" si="12"/>
        <v>285</v>
      </c>
      <c r="M159" s="46"/>
      <c r="N159" s="46"/>
      <c r="O159" s="47"/>
      <c r="P159" s="71">
        <f t="shared" si="13"/>
        <v>95</v>
      </c>
      <c r="Q159" s="83">
        <f t="shared" si="16"/>
        <v>3</v>
      </c>
      <c r="R159" s="84">
        <f t="shared" si="14"/>
        <v>95</v>
      </c>
      <c r="S159" s="85">
        <f t="shared" si="15"/>
        <v>285</v>
      </c>
      <c r="T159" s="88"/>
      <c r="U159" s="27"/>
    </row>
    <row r="160" spans="1:21" x14ac:dyDescent="0.3">
      <c r="A160" s="31" t="s">
        <v>410</v>
      </c>
      <c r="B160" s="15"/>
      <c r="C160" s="32">
        <v>44907</v>
      </c>
      <c r="D160" s="33">
        <v>135000130004</v>
      </c>
      <c r="E160" s="22" t="s">
        <v>497</v>
      </c>
      <c r="F160" s="39" t="s">
        <v>471</v>
      </c>
      <c r="G160" s="9" t="s">
        <v>294</v>
      </c>
      <c r="H160" s="52">
        <v>44914</v>
      </c>
      <c r="I160" s="42">
        <v>3185</v>
      </c>
      <c r="J160" s="42">
        <v>2</v>
      </c>
      <c r="K160" s="65">
        <v>18</v>
      </c>
      <c r="L160" s="65">
        <f t="shared" si="12"/>
        <v>36</v>
      </c>
      <c r="M160" s="46"/>
      <c r="N160" s="46"/>
      <c r="O160" s="47"/>
      <c r="P160" s="71">
        <f t="shared" si="13"/>
        <v>18</v>
      </c>
      <c r="Q160" s="83">
        <f t="shared" si="16"/>
        <v>2</v>
      </c>
      <c r="R160" s="84">
        <f t="shared" si="14"/>
        <v>18</v>
      </c>
      <c r="S160" s="85">
        <f t="shared" si="15"/>
        <v>36</v>
      </c>
      <c r="T160" s="88"/>
      <c r="U160" s="27"/>
    </row>
    <row r="161" spans="1:21" x14ac:dyDescent="0.3">
      <c r="A161" s="31" t="s">
        <v>411</v>
      </c>
      <c r="B161" s="15"/>
      <c r="C161" s="9"/>
      <c r="D161" s="33"/>
      <c r="E161" s="22" t="s">
        <v>321</v>
      </c>
      <c r="F161" s="39" t="s">
        <v>471</v>
      </c>
      <c r="G161" s="9" t="s">
        <v>295</v>
      </c>
      <c r="H161" s="41"/>
      <c r="I161" s="42"/>
      <c r="J161" s="42">
        <v>4</v>
      </c>
      <c r="K161" s="65">
        <v>70</v>
      </c>
      <c r="L161" s="65">
        <f t="shared" si="12"/>
        <v>280</v>
      </c>
      <c r="M161" s="46"/>
      <c r="N161" s="46"/>
      <c r="O161" s="47"/>
      <c r="P161" s="71">
        <f t="shared" si="13"/>
        <v>70</v>
      </c>
      <c r="Q161" s="83">
        <f t="shared" si="16"/>
        <v>4</v>
      </c>
      <c r="R161" s="84">
        <f t="shared" si="14"/>
        <v>70</v>
      </c>
      <c r="S161" s="85">
        <f t="shared" si="15"/>
        <v>280</v>
      </c>
      <c r="T161" s="87">
        <v>46235</v>
      </c>
      <c r="U161" s="27"/>
    </row>
    <row r="162" spans="1:21" x14ac:dyDescent="0.3">
      <c r="A162" s="31" t="s">
        <v>412</v>
      </c>
      <c r="B162" s="15"/>
      <c r="C162" s="9"/>
      <c r="D162" s="33"/>
      <c r="E162" s="23" t="s">
        <v>104</v>
      </c>
      <c r="F162" s="39" t="s">
        <v>471</v>
      </c>
      <c r="G162" s="9" t="s">
        <v>105</v>
      </c>
      <c r="H162" s="41"/>
      <c r="I162" s="42"/>
      <c r="J162" s="42">
        <v>1</v>
      </c>
      <c r="K162" s="65">
        <v>40</v>
      </c>
      <c r="L162" s="65">
        <f t="shared" si="12"/>
        <v>40</v>
      </c>
      <c r="M162" s="46"/>
      <c r="N162" s="46"/>
      <c r="O162" s="47"/>
      <c r="P162" s="71">
        <f t="shared" si="13"/>
        <v>40</v>
      </c>
      <c r="Q162" s="83">
        <f t="shared" si="16"/>
        <v>1</v>
      </c>
      <c r="R162" s="84">
        <f t="shared" si="14"/>
        <v>40</v>
      </c>
      <c r="S162" s="85">
        <f t="shared" si="15"/>
        <v>40</v>
      </c>
      <c r="T162" s="87">
        <v>45992</v>
      </c>
      <c r="U162" s="27" t="s">
        <v>29</v>
      </c>
    </row>
    <row r="163" spans="1:21" x14ac:dyDescent="0.3">
      <c r="A163" s="31" t="s">
        <v>413</v>
      </c>
      <c r="B163" s="15"/>
      <c r="C163" s="9"/>
      <c r="D163" s="33"/>
      <c r="E163" s="23" t="s">
        <v>100</v>
      </c>
      <c r="F163" s="39" t="s">
        <v>471</v>
      </c>
      <c r="G163" s="9" t="s">
        <v>101</v>
      </c>
      <c r="H163" s="41"/>
      <c r="I163" s="42"/>
      <c r="J163" s="42">
        <v>3</v>
      </c>
      <c r="K163" s="65">
        <v>20</v>
      </c>
      <c r="L163" s="65">
        <f t="shared" si="12"/>
        <v>60</v>
      </c>
      <c r="M163" s="46"/>
      <c r="N163" s="46"/>
      <c r="O163" s="47"/>
      <c r="P163" s="71">
        <f t="shared" si="13"/>
        <v>20</v>
      </c>
      <c r="Q163" s="83">
        <f t="shared" si="16"/>
        <v>3</v>
      </c>
      <c r="R163" s="84">
        <f t="shared" si="14"/>
        <v>20</v>
      </c>
      <c r="S163" s="85">
        <f t="shared" si="15"/>
        <v>60</v>
      </c>
      <c r="T163" s="88"/>
      <c r="U163" s="27"/>
    </row>
    <row r="164" spans="1:21" x14ac:dyDescent="0.3">
      <c r="A164" s="31" t="s">
        <v>414</v>
      </c>
      <c r="B164" s="15">
        <v>257</v>
      </c>
      <c r="C164" s="32">
        <v>45590</v>
      </c>
      <c r="D164" s="33">
        <v>737100010002</v>
      </c>
      <c r="E164" s="22" t="s">
        <v>458</v>
      </c>
      <c r="F164" s="39" t="s">
        <v>471</v>
      </c>
      <c r="G164" s="9" t="s">
        <v>153</v>
      </c>
      <c r="H164" s="52">
        <v>45590</v>
      </c>
      <c r="I164" s="42"/>
      <c r="J164" s="42">
        <v>6</v>
      </c>
      <c r="K164" s="65">
        <v>15.5</v>
      </c>
      <c r="L164" s="65">
        <f t="shared" si="12"/>
        <v>93</v>
      </c>
      <c r="M164" s="46"/>
      <c r="N164" s="46"/>
      <c r="O164" s="47"/>
      <c r="P164" s="71">
        <f t="shared" si="13"/>
        <v>15.5</v>
      </c>
      <c r="Q164" s="83">
        <f t="shared" si="16"/>
        <v>6</v>
      </c>
      <c r="R164" s="84">
        <f t="shared" si="14"/>
        <v>15.5</v>
      </c>
      <c r="S164" s="85">
        <f t="shared" si="15"/>
        <v>93</v>
      </c>
      <c r="T164" s="88"/>
      <c r="U164" s="27"/>
    </row>
    <row r="165" spans="1:21" x14ac:dyDescent="0.3">
      <c r="A165" s="31" t="s">
        <v>415</v>
      </c>
      <c r="B165" s="15">
        <v>257</v>
      </c>
      <c r="C165" s="32">
        <v>45590</v>
      </c>
      <c r="D165" s="33">
        <v>737100010014</v>
      </c>
      <c r="E165" s="22" t="s">
        <v>154</v>
      </c>
      <c r="F165" s="39" t="s">
        <v>471</v>
      </c>
      <c r="G165" s="9" t="s">
        <v>155</v>
      </c>
      <c r="H165" s="52">
        <v>45590</v>
      </c>
      <c r="I165" s="42"/>
      <c r="J165" s="42">
        <v>6</v>
      </c>
      <c r="K165" s="65">
        <v>12</v>
      </c>
      <c r="L165" s="65">
        <f t="shared" si="12"/>
        <v>72</v>
      </c>
      <c r="M165" s="46"/>
      <c r="N165" s="46"/>
      <c r="O165" s="47"/>
      <c r="P165" s="71">
        <f t="shared" si="13"/>
        <v>12</v>
      </c>
      <c r="Q165" s="83">
        <f t="shared" si="16"/>
        <v>6</v>
      </c>
      <c r="R165" s="84">
        <f t="shared" si="14"/>
        <v>12</v>
      </c>
      <c r="S165" s="85">
        <f t="shared" si="15"/>
        <v>72</v>
      </c>
      <c r="T165" s="88"/>
      <c r="U165" s="27"/>
    </row>
    <row r="166" spans="1:21" x14ac:dyDescent="0.3">
      <c r="A166" s="31" t="s">
        <v>416</v>
      </c>
      <c r="B166" s="15">
        <v>257</v>
      </c>
      <c r="C166" s="32">
        <v>45590</v>
      </c>
      <c r="D166" s="33">
        <v>737100010007</v>
      </c>
      <c r="E166" s="22" t="s">
        <v>156</v>
      </c>
      <c r="F166" s="39" t="s">
        <v>471</v>
      </c>
      <c r="G166" s="9" t="s">
        <v>48</v>
      </c>
      <c r="H166" s="52">
        <v>45590</v>
      </c>
      <c r="I166" s="42"/>
      <c r="J166" s="42">
        <v>6</v>
      </c>
      <c r="K166" s="65">
        <v>14.8</v>
      </c>
      <c r="L166" s="65">
        <f t="shared" si="12"/>
        <v>88.800000000000011</v>
      </c>
      <c r="M166" s="46"/>
      <c r="N166" s="46"/>
      <c r="O166" s="47"/>
      <c r="P166" s="71">
        <f t="shared" si="13"/>
        <v>14.8</v>
      </c>
      <c r="Q166" s="83">
        <f t="shared" si="16"/>
        <v>6</v>
      </c>
      <c r="R166" s="84">
        <f t="shared" si="14"/>
        <v>14.8</v>
      </c>
      <c r="S166" s="85">
        <f t="shared" si="15"/>
        <v>88.800000000000011</v>
      </c>
      <c r="T166" s="88"/>
      <c r="U166" s="27"/>
    </row>
    <row r="167" spans="1:21" x14ac:dyDescent="0.3">
      <c r="A167" s="31" t="s">
        <v>417</v>
      </c>
      <c r="B167" s="15"/>
      <c r="C167" s="9"/>
      <c r="D167" s="33"/>
      <c r="E167" s="22" t="s">
        <v>157</v>
      </c>
      <c r="F167" s="39" t="s">
        <v>471</v>
      </c>
      <c r="G167" s="9" t="s">
        <v>155</v>
      </c>
      <c r="H167" s="41"/>
      <c r="I167" s="42"/>
      <c r="J167" s="42">
        <v>1</v>
      </c>
      <c r="K167" s="65">
        <v>22</v>
      </c>
      <c r="L167" s="65">
        <f t="shared" si="12"/>
        <v>22</v>
      </c>
      <c r="M167" s="46"/>
      <c r="N167" s="46"/>
      <c r="O167" s="47"/>
      <c r="P167" s="71">
        <f t="shared" si="13"/>
        <v>22</v>
      </c>
      <c r="Q167" s="83">
        <f t="shared" si="16"/>
        <v>1</v>
      </c>
      <c r="R167" s="84">
        <f t="shared" si="14"/>
        <v>22</v>
      </c>
      <c r="S167" s="85">
        <f t="shared" si="15"/>
        <v>22</v>
      </c>
      <c r="T167" s="88"/>
      <c r="U167" s="27"/>
    </row>
    <row r="168" spans="1:21" x14ac:dyDescent="0.3">
      <c r="A168" s="31" t="s">
        <v>418</v>
      </c>
      <c r="B168" s="16">
        <v>61</v>
      </c>
      <c r="C168" s="32">
        <v>46136</v>
      </c>
      <c r="D168" s="33">
        <v>73710001005</v>
      </c>
      <c r="E168" s="22" t="s">
        <v>138</v>
      </c>
      <c r="F168" s="39" t="s">
        <v>471</v>
      </c>
      <c r="G168" s="9" t="s">
        <v>139</v>
      </c>
      <c r="H168" s="52">
        <v>46136</v>
      </c>
      <c r="I168" s="42"/>
      <c r="J168" s="42">
        <v>5</v>
      </c>
      <c r="K168" s="65">
        <v>20</v>
      </c>
      <c r="L168" s="65">
        <f t="shared" si="12"/>
        <v>100</v>
      </c>
      <c r="M168" s="46"/>
      <c r="N168" s="46"/>
      <c r="O168" s="47"/>
      <c r="P168" s="71">
        <f t="shared" si="13"/>
        <v>20</v>
      </c>
      <c r="Q168" s="83">
        <v>9</v>
      </c>
      <c r="R168" s="84">
        <f t="shared" si="14"/>
        <v>20</v>
      </c>
      <c r="S168" s="85">
        <f t="shared" si="15"/>
        <v>180</v>
      </c>
      <c r="T168" s="88"/>
      <c r="U168" s="27"/>
    </row>
    <row r="169" spans="1:21" x14ac:dyDescent="0.3">
      <c r="A169" s="31" t="s">
        <v>419</v>
      </c>
      <c r="B169" s="15">
        <v>320</v>
      </c>
      <c r="C169" s="32">
        <v>44914</v>
      </c>
      <c r="D169" s="33">
        <v>201700050035</v>
      </c>
      <c r="E169" s="23" t="s">
        <v>496</v>
      </c>
      <c r="F169" s="39" t="s">
        <v>470</v>
      </c>
      <c r="G169" s="9" t="s">
        <v>59</v>
      </c>
      <c r="H169" s="52">
        <v>46377</v>
      </c>
      <c r="I169" s="42">
        <v>3212</v>
      </c>
      <c r="J169" s="42">
        <v>3</v>
      </c>
      <c r="K169" s="65">
        <v>976</v>
      </c>
      <c r="L169" s="65">
        <f t="shared" si="12"/>
        <v>2928</v>
      </c>
      <c r="M169" s="46"/>
      <c r="N169" s="46"/>
      <c r="O169" s="47"/>
      <c r="P169" s="71">
        <f t="shared" si="13"/>
        <v>976</v>
      </c>
      <c r="Q169" s="83">
        <f t="shared" si="16"/>
        <v>3</v>
      </c>
      <c r="R169" s="84">
        <f t="shared" si="14"/>
        <v>976</v>
      </c>
      <c r="S169" s="85">
        <f t="shared" si="15"/>
        <v>2928</v>
      </c>
      <c r="T169" s="88"/>
      <c r="U169" s="27" t="s">
        <v>485</v>
      </c>
    </row>
    <row r="170" spans="1:21" x14ac:dyDescent="0.3">
      <c r="A170" s="31" t="s">
        <v>420</v>
      </c>
      <c r="B170" s="15">
        <v>257</v>
      </c>
      <c r="C170" s="32">
        <v>45590</v>
      </c>
      <c r="D170" s="33">
        <v>731500090080</v>
      </c>
      <c r="E170" s="22" t="s">
        <v>320</v>
      </c>
      <c r="F170" s="39" t="s">
        <v>471</v>
      </c>
      <c r="G170" s="9" t="s">
        <v>35</v>
      </c>
      <c r="H170" s="52">
        <v>45590</v>
      </c>
      <c r="I170" s="42"/>
      <c r="J170" s="42">
        <v>4</v>
      </c>
      <c r="K170" s="65">
        <v>65</v>
      </c>
      <c r="L170" s="65">
        <f t="shared" si="12"/>
        <v>260</v>
      </c>
      <c r="M170" s="46"/>
      <c r="N170" s="46"/>
      <c r="O170" s="47"/>
      <c r="P170" s="71">
        <f t="shared" si="13"/>
        <v>65</v>
      </c>
      <c r="Q170" s="83">
        <f t="shared" si="16"/>
        <v>4</v>
      </c>
      <c r="R170" s="84">
        <f t="shared" si="14"/>
        <v>65</v>
      </c>
      <c r="S170" s="85">
        <f t="shared" si="15"/>
        <v>260</v>
      </c>
      <c r="T170" s="88"/>
      <c r="U170" s="27"/>
    </row>
    <row r="171" spans="1:21" x14ac:dyDescent="0.3">
      <c r="A171" s="31" t="s">
        <v>421</v>
      </c>
      <c r="B171" s="15"/>
      <c r="C171" s="9"/>
      <c r="D171" s="33"/>
      <c r="E171" s="22" t="s">
        <v>319</v>
      </c>
      <c r="F171" s="39" t="s">
        <v>474</v>
      </c>
      <c r="G171" s="9" t="s">
        <v>309</v>
      </c>
      <c r="H171" s="41"/>
      <c r="I171" s="42"/>
      <c r="J171" s="42">
        <v>11</v>
      </c>
      <c r="K171" s="65">
        <v>28</v>
      </c>
      <c r="L171" s="65">
        <f t="shared" si="12"/>
        <v>308</v>
      </c>
      <c r="M171" s="46"/>
      <c r="N171" s="46"/>
      <c r="O171" s="47"/>
      <c r="P171" s="71">
        <f t="shared" si="13"/>
        <v>28</v>
      </c>
      <c r="Q171" s="83">
        <f t="shared" si="16"/>
        <v>11</v>
      </c>
      <c r="R171" s="84">
        <f t="shared" si="14"/>
        <v>28</v>
      </c>
      <c r="S171" s="85">
        <f t="shared" si="15"/>
        <v>308</v>
      </c>
      <c r="T171" s="88"/>
      <c r="U171" s="27" t="s">
        <v>485</v>
      </c>
    </row>
    <row r="172" spans="1:21" ht="28.8" customHeight="1" x14ac:dyDescent="0.3">
      <c r="A172" s="31" t="s">
        <v>422</v>
      </c>
      <c r="B172" s="15"/>
      <c r="C172" s="32">
        <v>44916</v>
      </c>
      <c r="D172" s="33">
        <v>2303400140016</v>
      </c>
      <c r="E172" s="22" t="s">
        <v>111</v>
      </c>
      <c r="F172" s="39" t="s">
        <v>474</v>
      </c>
      <c r="G172" s="10" t="s">
        <v>35</v>
      </c>
      <c r="H172" s="52">
        <v>44916</v>
      </c>
      <c r="I172" s="42">
        <v>3220</v>
      </c>
      <c r="J172" s="42">
        <v>2</v>
      </c>
      <c r="K172" s="65">
        <v>14.4</v>
      </c>
      <c r="L172" s="65">
        <f t="shared" si="12"/>
        <v>28.8</v>
      </c>
      <c r="M172" s="46"/>
      <c r="N172" s="46"/>
      <c r="O172" s="47"/>
      <c r="P172" s="71">
        <f t="shared" si="13"/>
        <v>14.4</v>
      </c>
      <c r="Q172" s="83">
        <f t="shared" si="16"/>
        <v>2</v>
      </c>
      <c r="R172" s="84">
        <f t="shared" si="14"/>
        <v>14.4</v>
      </c>
      <c r="S172" s="85">
        <f t="shared" si="15"/>
        <v>28.8</v>
      </c>
      <c r="T172" s="87">
        <v>44986</v>
      </c>
      <c r="U172" s="27" t="s">
        <v>512</v>
      </c>
    </row>
    <row r="173" spans="1:21" ht="28.8" customHeight="1" x14ac:dyDescent="0.3">
      <c r="A173" s="31" t="s">
        <v>423</v>
      </c>
      <c r="B173" s="15"/>
      <c r="C173" s="32">
        <v>44916</v>
      </c>
      <c r="D173" s="33">
        <v>203400120183</v>
      </c>
      <c r="E173" s="22" t="s">
        <v>110</v>
      </c>
      <c r="F173" s="39" t="s">
        <v>474</v>
      </c>
      <c r="G173" s="10" t="s">
        <v>35</v>
      </c>
      <c r="H173" s="52">
        <v>44916</v>
      </c>
      <c r="I173" s="42">
        <v>3220</v>
      </c>
      <c r="J173" s="42">
        <v>2</v>
      </c>
      <c r="K173" s="65">
        <v>16.8</v>
      </c>
      <c r="L173" s="65">
        <f t="shared" si="12"/>
        <v>33.6</v>
      </c>
      <c r="M173" s="46"/>
      <c r="N173" s="46"/>
      <c r="O173" s="47"/>
      <c r="P173" s="71">
        <f t="shared" si="13"/>
        <v>16.8</v>
      </c>
      <c r="Q173" s="83">
        <f t="shared" si="16"/>
        <v>2</v>
      </c>
      <c r="R173" s="84">
        <f t="shared" si="14"/>
        <v>16.8</v>
      </c>
      <c r="S173" s="85">
        <f t="shared" si="15"/>
        <v>33.6</v>
      </c>
      <c r="T173" s="87">
        <v>44986</v>
      </c>
      <c r="U173" s="27" t="s">
        <v>29</v>
      </c>
    </row>
    <row r="174" spans="1:21" ht="28.8" customHeight="1" x14ac:dyDescent="0.3">
      <c r="A174" s="31" t="s">
        <v>424</v>
      </c>
      <c r="B174" s="15"/>
      <c r="C174" s="32">
        <v>44916</v>
      </c>
      <c r="D174" s="33">
        <v>203400120078</v>
      </c>
      <c r="E174" s="22" t="s">
        <v>112</v>
      </c>
      <c r="F174" s="39" t="s">
        <v>474</v>
      </c>
      <c r="G174" s="10" t="s">
        <v>35</v>
      </c>
      <c r="H174" s="52">
        <v>44916</v>
      </c>
      <c r="I174" s="42">
        <v>3220</v>
      </c>
      <c r="J174" s="42">
        <v>5</v>
      </c>
      <c r="K174" s="65">
        <v>14.4</v>
      </c>
      <c r="L174" s="65">
        <f t="shared" si="12"/>
        <v>72</v>
      </c>
      <c r="M174" s="53">
        <v>46155</v>
      </c>
      <c r="N174" s="46"/>
      <c r="O174" s="133">
        <v>2</v>
      </c>
      <c r="P174" s="71">
        <f t="shared" si="13"/>
        <v>14.4</v>
      </c>
      <c r="Q174" s="83">
        <f t="shared" si="16"/>
        <v>3</v>
      </c>
      <c r="R174" s="84">
        <f t="shared" si="14"/>
        <v>14.4</v>
      </c>
      <c r="S174" s="85">
        <f t="shared" si="15"/>
        <v>43.2</v>
      </c>
      <c r="T174" s="87">
        <v>45992</v>
      </c>
      <c r="U174" s="27" t="s">
        <v>29</v>
      </c>
    </row>
    <row r="175" spans="1:21" x14ac:dyDescent="0.3">
      <c r="A175" s="31" t="s">
        <v>425</v>
      </c>
      <c r="B175" s="15"/>
      <c r="C175" s="9"/>
      <c r="D175" s="33"/>
      <c r="E175" s="22" t="s">
        <v>349</v>
      </c>
      <c r="F175" s="39" t="s">
        <v>471</v>
      </c>
      <c r="G175" s="9" t="s">
        <v>130</v>
      </c>
      <c r="H175" s="41"/>
      <c r="I175" s="42"/>
      <c r="J175" s="42"/>
      <c r="K175" s="65">
        <v>2450</v>
      </c>
      <c r="L175" s="65">
        <f t="shared" si="12"/>
        <v>0</v>
      </c>
      <c r="M175" s="46"/>
      <c r="N175" s="46"/>
      <c r="O175" s="47"/>
      <c r="P175" s="71">
        <f t="shared" si="13"/>
        <v>2450</v>
      </c>
      <c r="Q175" s="83">
        <f t="shared" si="16"/>
        <v>0</v>
      </c>
      <c r="R175" s="84">
        <f t="shared" si="14"/>
        <v>2450</v>
      </c>
      <c r="S175" s="85">
        <f t="shared" si="15"/>
        <v>0</v>
      </c>
      <c r="T175" s="88"/>
      <c r="U175" s="27"/>
    </row>
    <row r="176" spans="1:21" x14ac:dyDescent="0.3">
      <c r="A176" s="31" t="s">
        <v>426</v>
      </c>
      <c r="B176" s="15">
        <v>332</v>
      </c>
      <c r="C176" s="32">
        <v>45638</v>
      </c>
      <c r="D176" s="33">
        <v>203400120169</v>
      </c>
      <c r="E176" s="23" t="s">
        <v>782</v>
      </c>
      <c r="F176" s="39" t="s">
        <v>474</v>
      </c>
      <c r="G176" s="9" t="s">
        <v>35</v>
      </c>
      <c r="H176" s="52">
        <v>45638</v>
      </c>
      <c r="I176" s="42">
        <v>3483</v>
      </c>
      <c r="J176" s="42">
        <v>390</v>
      </c>
      <c r="K176" s="65">
        <v>65</v>
      </c>
      <c r="L176" s="65">
        <f t="shared" si="12"/>
        <v>25350</v>
      </c>
      <c r="M176" s="46"/>
      <c r="N176" s="46"/>
      <c r="O176" s="47"/>
      <c r="P176" s="71">
        <v>72</v>
      </c>
      <c r="Q176" s="83">
        <v>70</v>
      </c>
      <c r="R176" s="84">
        <f t="shared" si="14"/>
        <v>65</v>
      </c>
      <c r="S176" s="85">
        <f t="shared" si="15"/>
        <v>4550</v>
      </c>
      <c r="T176" s="87">
        <v>45962</v>
      </c>
      <c r="U176" s="27" t="s">
        <v>29</v>
      </c>
    </row>
    <row r="177" spans="1:21" x14ac:dyDescent="0.3">
      <c r="A177" s="31" t="s">
        <v>427</v>
      </c>
      <c r="B177" s="15"/>
      <c r="C177" s="9"/>
      <c r="D177" s="33"/>
      <c r="E177" s="23" t="s">
        <v>288</v>
      </c>
      <c r="F177" s="39" t="s">
        <v>471</v>
      </c>
      <c r="G177" s="9" t="s">
        <v>35</v>
      </c>
      <c r="H177" s="41"/>
      <c r="I177" s="42"/>
      <c r="J177" s="42">
        <v>41</v>
      </c>
      <c r="K177" s="65">
        <v>72</v>
      </c>
      <c r="L177" s="65">
        <f t="shared" si="12"/>
        <v>2952</v>
      </c>
      <c r="M177" s="53">
        <v>46155</v>
      </c>
      <c r="N177" s="46"/>
      <c r="O177" s="133">
        <v>5</v>
      </c>
      <c r="P177" s="71">
        <f t="shared" si="13"/>
        <v>72</v>
      </c>
      <c r="Q177" s="83">
        <f t="shared" si="16"/>
        <v>36</v>
      </c>
      <c r="R177" s="84">
        <f t="shared" si="14"/>
        <v>72</v>
      </c>
      <c r="S177" s="85">
        <f t="shared" si="15"/>
        <v>2592</v>
      </c>
      <c r="T177" s="87">
        <v>46235</v>
      </c>
      <c r="U177" s="27" t="s">
        <v>938</v>
      </c>
    </row>
    <row r="178" spans="1:21" x14ac:dyDescent="0.3">
      <c r="A178" s="31" t="s">
        <v>428</v>
      </c>
      <c r="B178" s="15"/>
      <c r="C178" s="9"/>
      <c r="D178" s="33"/>
      <c r="E178" s="23" t="s">
        <v>289</v>
      </c>
      <c r="F178" s="39" t="s">
        <v>471</v>
      </c>
      <c r="G178" s="9" t="s">
        <v>294</v>
      </c>
      <c r="H178" s="41"/>
      <c r="I178" s="42"/>
      <c r="J178" s="42">
        <v>2</v>
      </c>
      <c r="K178" s="65">
        <v>45</v>
      </c>
      <c r="L178" s="65">
        <f t="shared" si="12"/>
        <v>90</v>
      </c>
      <c r="M178" s="46"/>
      <c r="N178" s="46"/>
      <c r="O178" s="47"/>
      <c r="P178" s="71">
        <f t="shared" si="13"/>
        <v>45</v>
      </c>
      <c r="Q178" s="83">
        <f t="shared" si="16"/>
        <v>2</v>
      </c>
      <c r="R178" s="84">
        <f t="shared" si="14"/>
        <v>45</v>
      </c>
      <c r="S178" s="85">
        <f t="shared" si="15"/>
        <v>90</v>
      </c>
      <c r="T178" s="88"/>
      <c r="U178" s="27" t="s">
        <v>162</v>
      </c>
    </row>
    <row r="179" spans="1:21" x14ac:dyDescent="0.3">
      <c r="A179" s="31" t="s">
        <v>429</v>
      </c>
      <c r="B179" s="15"/>
      <c r="C179" s="9"/>
      <c r="D179" s="33"/>
      <c r="E179" s="23" t="s">
        <v>290</v>
      </c>
      <c r="F179" s="39" t="s">
        <v>471</v>
      </c>
      <c r="G179" s="9" t="s">
        <v>294</v>
      </c>
      <c r="H179" s="41"/>
      <c r="I179" s="42"/>
      <c r="J179" s="42">
        <v>3</v>
      </c>
      <c r="K179" s="65">
        <v>45</v>
      </c>
      <c r="L179" s="65">
        <f t="shared" si="12"/>
        <v>135</v>
      </c>
      <c r="M179" s="46"/>
      <c r="N179" s="46"/>
      <c r="O179" s="47"/>
      <c r="P179" s="71">
        <f t="shared" si="13"/>
        <v>45</v>
      </c>
      <c r="Q179" s="83">
        <f t="shared" si="16"/>
        <v>3</v>
      </c>
      <c r="R179" s="84">
        <f t="shared" si="14"/>
        <v>45</v>
      </c>
      <c r="S179" s="85">
        <f t="shared" si="15"/>
        <v>135</v>
      </c>
      <c r="T179" s="88"/>
      <c r="U179" s="27"/>
    </row>
    <row r="180" spans="1:21" ht="28.8" customHeight="1" x14ac:dyDescent="0.3">
      <c r="A180" s="31" t="s">
        <v>430</v>
      </c>
      <c r="B180" s="15"/>
      <c r="C180" s="9"/>
      <c r="D180" s="33"/>
      <c r="E180" s="22" t="s">
        <v>91</v>
      </c>
      <c r="F180" s="39" t="s">
        <v>471</v>
      </c>
      <c r="G180" s="9" t="s">
        <v>71</v>
      </c>
      <c r="H180" s="41"/>
      <c r="I180" s="42"/>
      <c r="J180" s="42">
        <v>3</v>
      </c>
      <c r="K180" s="65">
        <v>95</v>
      </c>
      <c r="L180" s="65">
        <f t="shared" si="12"/>
        <v>285</v>
      </c>
      <c r="M180" s="53">
        <v>46155</v>
      </c>
      <c r="N180" s="46"/>
      <c r="O180" s="133">
        <v>3</v>
      </c>
      <c r="P180" s="71">
        <f t="shared" si="13"/>
        <v>95</v>
      </c>
      <c r="Q180" s="83">
        <f t="shared" si="16"/>
        <v>0</v>
      </c>
      <c r="R180" s="84">
        <f t="shared" si="14"/>
        <v>95</v>
      </c>
      <c r="S180" s="85">
        <f t="shared" si="15"/>
        <v>0</v>
      </c>
      <c r="T180" s="88"/>
      <c r="U180" s="27"/>
    </row>
    <row r="181" spans="1:21" x14ac:dyDescent="0.3">
      <c r="A181" s="31" t="s">
        <v>431</v>
      </c>
      <c r="B181" s="15"/>
      <c r="C181" s="9"/>
      <c r="D181" s="33"/>
      <c r="E181" s="23" t="s">
        <v>278</v>
      </c>
      <c r="F181" s="39" t="s">
        <v>471</v>
      </c>
      <c r="G181" s="9" t="s">
        <v>63</v>
      </c>
      <c r="H181" s="41"/>
      <c r="I181" s="42"/>
      <c r="J181" s="42">
        <v>6</v>
      </c>
      <c r="K181" s="65">
        <v>5</v>
      </c>
      <c r="L181" s="65">
        <f t="shared" si="12"/>
        <v>30</v>
      </c>
      <c r="M181" s="46"/>
      <c r="N181" s="46"/>
      <c r="O181" s="47"/>
      <c r="P181" s="71">
        <f t="shared" si="13"/>
        <v>5</v>
      </c>
      <c r="Q181" s="83">
        <f t="shared" si="16"/>
        <v>6</v>
      </c>
      <c r="R181" s="84">
        <f t="shared" si="14"/>
        <v>5</v>
      </c>
      <c r="S181" s="85">
        <f t="shared" si="15"/>
        <v>30</v>
      </c>
      <c r="T181" s="88"/>
      <c r="U181" s="27"/>
    </row>
    <row r="182" spans="1:21" x14ac:dyDescent="0.3">
      <c r="A182" s="31" t="s">
        <v>432</v>
      </c>
      <c r="B182" s="15"/>
      <c r="C182" s="9"/>
      <c r="D182" s="33"/>
      <c r="E182" s="23" t="s">
        <v>69</v>
      </c>
      <c r="F182" s="39" t="s">
        <v>471</v>
      </c>
      <c r="G182" s="9" t="s">
        <v>64</v>
      </c>
      <c r="H182" s="41"/>
      <c r="I182" s="42"/>
      <c r="J182" s="42">
        <v>2</v>
      </c>
      <c r="K182" s="65">
        <v>2.5</v>
      </c>
      <c r="L182" s="65">
        <f t="shared" si="12"/>
        <v>5</v>
      </c>
      <c r="M182" s="46"/>
      <c r="N182" s="46"/>
      <c r="O182" s="47"/>
      <c r="P182" s="71">
        <f t="shared" si="13"/>
        <v>2.5</v>
      </c>
      <c r="Q182" s="83">
        <f t="shared" si="16"/>
        <v>2</v>
      </c>
      <c r="R182" s="84">
        <f t="shared" si="14"/>
        <v>2.5</v>
      </c>
      <c r="S182" s="85">
        <f t="shared" si="15"/>
        <v>5</v>
      </c>
      <c r="T182" s="88"/>
      <c r="U182" s="27"/>
    </row>
    <row r="183" spans="1:21" x14ac:dyDescent="0.3">
      <c r="A183" s="31" t="s">
        <v>433</v>
      </c>
      <c r="B183" s="15"/>
      <c r="C183" s="9"/>
      <c r="D183" s="33"/>
      <c r="E183" s="23" t="s">
        <v>279</v>
      </c>
      <c r="F183" s="39" t="s">
        <v>471</v>
      </c>
      <c r="G183" s="9" t="s">
        <v>63</v>
      </c>
      <c r="H183" s="41"/>
      <c r="I183" s="42"/>
      <c r="J183" s="42">
        <v>3</v>
      </c>
      <c r="K183" s="65">
        <v>2.5</v>
      </c>
      <c r="L183" s="65">
        <f t="shared" si="12"/>
        <v>7.5</v>
      </c>
      <c r="M183" s="46"/>
      <c r="N183" s="46"/>
      <c r="O183" s="47"/>
      <c r="P183" s="71">
        <f t="shared" si="13"/>
        <v>2.5</v>
      </c>
      <c r="Q183" s="83">
        <f t="shared" si="16"/>
        <v>3</v>
      </c>
      <c r="R183" s="84">
        <f t="shared" si="14"/>
        <v>2.5</v>
      </c>
      <c r="S183" s="85">
        <f t="shared" si="15"/>
        <v>7.5</v>
      </c>
      <c r="T183" s="88"/>
      <c r="U183" s="27"/>
    </row>
    <row r="184" spans="1:21" x14ac:dyDescent="0.3">
      <c r="A184" s="31" t="s">
        <v>434</v>
      </c>
      <c r="B184" s="15"/>
      <c r="C184" s="9"/>
      <c r="D184" s="33"/>
      <c r="E184" s="23" t="s">
        <v>68</v>
      </c>
      <c r="F184" s="39" t="s">
        <v>471</v>
      </c>
      <c r="G184" s="9" t="s">
        <v>64</v>
      </c>
      <c r="H184" s="41"/>
      <c r="I184" s="42"/>
      <c r="J184" s="42">
        <v>5</v>
      </c>
      <c r="K184" s="65">
        <v>4</v>
      </c>
      <c r="L184" s="65">
        <f t="shared" si="12"/>
        <v>20</v>
      </c>
      <c r="M184" s="46"/>
      <c r="N184" s="46"/>
      <c r="O184" s="47"/>
      <c r="P184" s="71">
        <f t="shared" si="13"/>
        <v>4</v>
      </c>
      <c r="Q184" s="83">
        <f t="shared" si="16"/>
        <v>5</v>
      </c>
      <c r="R184" s="84">
        <f t="shared" si="14"/>
        <v>4</v>
      </c>
      <c r="S184" s="85">
        <f t="shared" si="15"/>
        <v>20</v>
      </c>
      <c r="T184" s="88"/>
      <c r="U184" s="27"/>
    </row>
    <row r="185" spans="1:21" x14ac:dyDescent="0.3">
      <c r="A185" s="31" t="s">
        <v>435</v>
      </c>
      <c r="B185" s="15"/>
      <c r="C185" s="9"/>
      <c r="D185" s="33"/>
      <c r="E185" s="22" t="s">
        <v>348</v>
      </c>
      <c r="F185" s="39" t="s">
        <v>471</v>
      </c>
      <c r="G185" s="9" t="s">
        <v>130</v>
      </c>
      <c r="H185" s="41"/>
      <c r="I185" s="42"/>
      <c r="J185" s="42">
        <v>2</v>
      </c>
      <c r="K185" s="65">
        <v>690</v>
      </c>
      <c r="L185" s="65">
        <f t="shared" si="12"/>
        <v>1380</v>
      </c>
      <c r="M185" s="46"/>
      <c r="N185" s="46"/>
      <c r="O185" s="47"/>
      <c r="P185" s="71">
        <f t="shared" si="13"/>
        <v>690</v>
      </c>
      <c r="Q185" s="83">
        <f t="shared" si="16"/>
        <v>2</v>
      </c>
      <c r="R185" s="84">
        <f t="shared" si="14"/>
        <v>690</v>
      </c>
      <c r="S185" s="85">
        <f t="shared" si="15"/>
        <v>1380</v>
      </c>
      <c r="T185" s="88"/>
      <c r="U185" s="27"/>
    </row>
    <row r="186" spans="1:21" x14ac:dyDescent="0.3">
      <c r="A186" s="31" t="s">
        <v>436</v>
      </c>
      <c r="B186" s="17">
        <v>319</v>
      </c>
      <c r="C186" s="59">
        <v>44914</v>
      </c>
      <c r="D186" s="33">
        <v>208400210006</v>
      </c>
      <c r="E186" s="23" t="s">
        <v>31</v>
      </c>
      <c r="F186" s="39" t="s">
        <v>471</v>
      </c>
      <c r="G186" s="9" t="s">
        <v>34</v>
      </c>
      <c r="H186" s="52">
        <v>44923</v>
      </c>
      <c r="I186" s="42">
        <v>3267</v>
      </c>
      <c r="J186" s="42">
        <v>60</v>
      </c>
      <c r="K186" s="65">
        <v>140</v>
      </c>
      <c r="L186" s="65">
        <f t="shared" si="12"/>
        <v>8400</v>
      </c>
      <c r="M186" s="46"/>
      <c r="N186" s="46"/>
      <c r="O186" s="47"/>
      <c r="P186" s="71">
        <f t="shared" si="13"/>
        <v>140</v>
      </c>
      <c r="Q186" s="83">
        <f t="shared" si="16"/>
        <v>60</v>
      </c>
      <c r="R186" s="84">
        <f t="shared" si="14"/>
        <v>140</v>
      </c>
      <c r="S186" s="85">
        <f t="shared" si="15"/>
        <v>8400</v>
      </c>
      <c r="T186" s="88"/>
      <c r="U186" s="27"/>
    </row>
    <row r="187" spans="1:21" x14ac:dyDescent="0.3">
      <c r="A187" s="31" t="s">
        <v>437</v>
      </c>
      <c r="B187" s="15">
        <v>57</v>
      </c>
      <c r="C187" s="32">
        <v>45404</v>
      </c>
      <c r="D187" s="33">
        <v>731500040047</v>
      </c>
      <c r="E187" s="22" t="s">
        <v>505</v>
      </c>
      <c r="F187" s="39" t="s">
        <v>474</v>
      </c>
      <c r="G187" s="9" t="s">
        <v>296</v>
      </c>
      <c r="H187" s="52">
        <v>45404</v>
      </c>
      <c r="I187" s="42">
        <v>1171</v>
      </c>
      <c r="J187" s="42">
        <v>9</v>
      </c>
      <c r="K187" s="65">
        <v>48</v>
      </c>
      <c r="L187" s="65">
        <f t="shared" si="12"/>
        <v>432</v>
      </c>
      <c r="M187" s="46"/>
      <c r="N187" s="46"/>
      <c r="O187" s="47"/>
      <c r="P187" s="71">
        <f t="shared" si="13"/>
        <v>48</v>
      </c>
      <c r="Q187" s="83">
        <f t="shared" si="16"/>
        <v>9</v>
      </c>
      <c r="R187" s="84">
        <f t="shared" si="14"/>
        <v>48</v>
      </c>
      <c r="S187" s="85">
        <f t="shared" si="15"/>
        <v>432</v>
      </c>
      <c r="T187" s="88"/>
      <c r="U187" s="27"/>
    </row>
    <row r="188" spans="1:21" ht="21" customHeight="1" x14ac:dyDescent="0.3">
      <c r="A188" s="31" t="s">
        <v>438</v>
      </c>
      <c r="B188" s="15"/>
      <c r="C188" s="32">
        <v>44924</v>
      </c>
      <c r="D188" s="33">
        <v>731500020073</v>
      </c>
      <c r="E188" s="22" t="s">
        <v>494</v>
      </c>
      <c r="F188" s="39" t="s">
        <v>471</v>
      </c>
      <c r="G188" s="9" t="s">
        <v>297</v>
      </c>
      <c r="H188" s="52">
        <v>44924</v>
      </c>
      <c r="I188" s="42">
        <v>3302</v>
      </c>
      <c r="J188" s="42">
        <v>24</v>
      </c>
      <c r="K188" s="65">
        <v>25</v>
      </c>
      <c r="L188" s="65">
        <f t="shared" si="12"/>
        <v>600</v>
      </c>
      <c r="M188" s="46"/>
      <c r="N188" s="46"/>
      <c r="O188" s="47"/>
      <c r="P188" s="71">
        <f t="shared" si="13"/>
        <v>25</v>
      </c>
      <c r="Q188" s="83">
        <f t="shared" si="16"/>
        <v>24</v>
      </c>
      <c r="R188" s="84">
        <f t="shared" si="14"/>
        <v>25</v>
      </c>
      <c r="S188" s="85">
        <f t="shared" si="15"/>
        <v>600</v>
      </c>
      <c r="T188" s="87">
        <v>44805</v>
      </c>
      <c r="U188" s="27" t="s">
        <v>29</v>
      </c>
    </row>
    <row r="189" spans="1:21" ht="15.6" customHeight="1" x14ac:dyDescent="0.3">
      <c r="A189" s="31" t="s">
        <v>439</v>
      </c>
      <c r="B189" s="15"/>
      <c r="C189" s="9"/>
      <c r="D189" s="33"/>
      <c r="E189" s="23" t="s">
        <v>506</v>
      </c>
      <c r="F189" s="39" t="s">
        <v>471</v>
      </c>
      <c r="G189" s="9" t="s">
        <v>294</v>
      </c>
      <c r="H189" s="41"/>
      <c r="I189" s="42"/>
      <c r="J189" s="42">
        <v>800</v>
      </c>
      <c r="K189" s="65">
        <v>2.85</v>
      </c>
      <c r="L189" s="65">
        <f t="shared" si="12"/>
        <v>2280</v>
      </c>
      <c r="M189" s="46"/>
      <c r="N189" s="46"/>
      <c r="O189" s="47"/>
      <c r="P189" s="71">
        <f t="shared" si="13"/>
        <v>2.85</v>
      </c>
      <c r="Q189" s="83">
        <f t="shared" si="16"/>
        <v>800</v>
      </c>
      <c r="R189" s="84">
        <f t="shared" si="14"/>
        <v>2.85</v>
      </c>
      <c r="S189" s="85">
        <f t="shared" si="15"/>
        <v>2280</v>
      </c>
      <c r="T189" s="88"/>
      <c r="U189" s="27"/>
    </row>
    <row r="190" spans="1:21" x14ac:dyDescent="0.3">
      <c r="A190" s="31" t="s">
        <v>440</v>
      </c>
      <c r="B190" s="15"/>
      <c r="C190" s="9"/>
      <c r="D190" s="33"/>
      <c r="E190" s="23" t="s">
        <v>507</v>
      </c>
      <c r="F190" s="39" t="s">
        <v>471</v>
      </c>
      <c r="G190" s="9" t="s">
        <v>294</v>
      </c>
      <c r="H190" s="41"/>
      <c r="I190" s="42"/>
      <c r="J190" s="42">
        <v>800</v>
      </c>
      <c r="K190" s="65">
        <v>2.38</v>
      </c>
      <c r="L190" s="65">
        <f t="shared" si="12"/>
        <v>1904</v>
      </c>
      <c r="M190" s="46"/>
      <c r="N190" s="46"/>
      <c r="O190" s="47"/>
      <c r="P190" s="71">
        <f t="shared" si="13"/>
        <v>2.38</v>
      </c>
      <c r="Q190" s="83">
        <f t="shared" si="16"/>
        <v>800</v>
      </c>
      <c r="R190" s="84">
        <f t="shared" si="14"/>
        <v>2.38</v>
      </c>
      <c r="S190" s="85">
        <f t="shared" si="15"/>
        <v>1904</v>
      </c>
      <c r="T190" s="88"/>
      <c r="U190" s="27"/>
    </row>
    <row r="191" spans="1:21" x14ac:dyDescent="0.3">
      <c r="A191" s="31" t="s">
        <v>441</v>
      </c>
      <c r="B191" s="15">
        <v>319</v>
      </c>
      <c r="C191" s="32">
        <v>44914</v>
      </c>
      <c r="D191" s="33">
        <v>968000040008</v>
      </c>
      <c r="E191" s="23" t="s">
        <v>498</v>
      </c>
      <c r="F191" s="39" t="s">
        <v>471</v>
      </c>
      <c r="G191" s="9" t="s">
        <v>71</v>
      </c>
      <c r="H191" s="52">
        <v>44923</v>
      </c>
      <c r="I191" s="42">
        <v>3267</v>
      </c>
      <c r="J191" s="42">
        <v>12</v>
      </c>
      <c r="K191" s="65">
        <v>45</v>
      </c>
      <c r="L191" s="65">
        <f t="shared" si="12"/>
        <v>540</v>
      </c>
      <c r="M191" s="46"/>
      <c r="N191" s="46"/>
      <c r="O191" s="47"/>
      <c r="P191" s="71">
        <f t="shared" si="13"/>
        <v>45</v>
      </c>
      <c r="Q191" s="83">
        <f t="shared" si="16"/>
        <v>12</v>
      </c>
      <c r="R191" s="84">
        <f t="shared" si="14"/>
        <v>45</v>
      </c>
      <c r="S191" s="85">
        <f t="shared" si="15"/>
        <v>540</v>
      </c>
      <c r="T191" s="88"/>
      <c r="U191" s="27"/>
    </row>
    <row r="192" spans="1:21" x14ac:dyDescent="0.3">
      <c r="A192" s="31" t="s">
        <v>442</v>
      </c>
      <c r="B192" s="15"/>
      <c r="C192" s="9"/>
      <c r="D192" s="33"/>
      <c r="E192" s="22" t="s">
        <v>337</v>
      </c>
      <c r="F192" s="39" t="s">
        <v>471</v>
      </c>
      <c r="G192" s="9" t="s">
        <v>130</v>
      </c>
      <c r="H192" s="41"/>
      <c r="I192" s="42"/>
      <c r="J192" s="42">
        <v>1</v>
      </c>
      <c r="K192" s="65">
        <v>240</v>
      </c>
      <c r="L192" s="65">
        <f t="shared" si="12"/>
        <v>240</v>
      </c>
      <c r="M192" s="46"/>
      <c r="N192" s="46"/>
      <c r="O192" s="47"/>
      <c r="P192" s="71">
        <f t="shared" si="13"/>
        <v>240</v>
      </c>
      <c r="Q192" s="83">
        <f t="shared" si="16"/>
        <v>1</v>
      </c>
      <c r="R192" s="84">
        <f t="shared" si="14"/>
        <v>240</v>
      </c>
      <c r="S192" s="85">
        <f t="shared" si="15"/>
        <v>240</v>
      </c>
      <c r="T192" s="88"/>
      <c r="U192" s="27"/>
    </row>
    <row r="193" spans="1:21" x14ac:dyDescent="0.3">
      <c r="A193" s="31" t="s">
        <v>443</v>
      </c>
      <c r="B193" s="15"/>
      <c r="C193" s="32">
        <v>44914</v>
      </c>
      <c r="D193" s="33">
        <v>969800010031</v>
      </c>
      <c r="E193" s="23" t="s">
        <v>72</v>
      </c>
      <c r="F193" s="39" t="s">
        <v>471</v>
      </c>
      <c r="G193" s="9" t="s">
        <v>71</v>
      </c>
      <c r="H193" s="52">
        <v>44923</v>
      </c>
      <c r="I193" s="42"/>
      <c r="J193" s="42">
        <v>10</v>
      </c>
      <c r="K193" s="65">
        <v>18</v>
      </c>
      <c r="L193" s="65">
        <f t="shared" si="12"/>
        <v>180</v>
      </c>
      <c r="M193" s="53">
        <v>46155</v>
      </c>
      <c r="N193" s="46"/>
      <c r="O193" s="133">
        <v>2</v>
      </c>
      <c r="P193" s="71">
        <f t="shared" si="13"/>
        <v>18</v>
      </c>
      <c r="Q193" s="83">
        <f t="shared" si="16"/>
        <v>8</v>
      </c>
      <c r="R193" s="84">
        <f t="shared" si="14"/>
        <v>18</v>
      </c>
      <c r="S193" s="85">
        <f t="shared" si="15"/>
        <v>144</v>
      </c>
      <c r="T193" s="88"/>
      <c r="U193" s="27"/>
    </row>
    <row r="194" spans="1:21" x14ac:dyDescent="0.3">
      <c r="A194" s="31" t="s">
        <v>444</v>
      </c>
      <c r="B194" s="16">
        <v>61</v>
      </c>
      <c r="C194" s="32">
        <v>46136</v>
      </c>
      <c r="D194" s="33">
        <v>208400030249</v>
      </c>
      <c r="E194" s="23" t="s">
        <v>72</v>
      </c>
      <c r="F194" s="39" t="s">
        <v>471</v>
      </c>
      <c r="G194" s="9" t="s">
        <v>38</v>
      </c>
      <c r="H194" s="52">
        <v>46136</v>
      </c>
      <c r="I194" s="42"/>
      <c r="J194" s="42">
        <v>20</v>
      </c>
      <c r="K194" s="65">
        <v>9</v>
      </c>
      <c r="L194" s="65">
        <f t="shared" si="12"/>
        <v>180</v>
      </c>
      <c r="M194" s="46"/>
      <c r="N194" s="46"/>
      <c r="O194" s="47"/>
      <c r="P194" s="71">
        <f t="shared" si="13"/>
        <v>9</v>
      </c>
      <c r="Q194" s="83">
        <f t="shared" si="16"/>
        <v>20</v>
      </c>
      <c r="R194" s="84">
        <f t="shared" si="14"/>
        <v>9</v>
      </c>
      <c r="S194" s="85">
        <f t="shared" si="15"/>
        <v>180</v>
      </c>
      <c r="T194" s="88"/>
      <c r="U194" s="27"/>
    </row>
    <row r="195" spans="1:21" x14ac:dyDescent="0.3">
      <c r="A195" s="31" t="s">
        <v>445</v>
      </c>
      <c r="B195" s="15">
        <v>319</v>
      </c>
      <c r="C195" s="32">
        <v>44914</v>
      </c>
      <c r="D195" s="33">
        <v>969800010141</v>
      </c>
      <c r="E195" s="23" t="s">
        <v>73</v>
      </c>
      <c r="F195" s="39" t="s">
        <v>471</v>
      </c>
      <c r="G195" s="9" t="s">
        <v>77</v>
      </c>
      <c r="H195" s="52">
        <v>44923</v>
      </c>
      <c r="I195" s="42">
        <v>3267</v>
      </c>
      <c r="J195" s="42">
        <v>10</v>
      </c>
      <c r="K195" s="65">
        <v>14</v>
      </c>
      <c r="L195" s="65">
        <f t="shared" si="12"/>
        <v>140</v>
      </c>
      <c r="M195" s="53">
        <v>46155</v>
      </c>
      <c r="N195" s="46"/>
      <c r="O195" s="133">
        <v>2</v>
      </c>
      <c r="P195" s="71">
        <f t="shared" si="13"/>
        <v>14</v>
      </c>
      <c r="Q195" s="83">
        <f t="shared" si="16"/>
        <v>8</v>
      </c>
      <c r="R195" s="84">
        <f t="shared" si="14"/>
        <v>14</v>
      </c>
      <c r="S195" s="85">
        <f t="shared" si="15"/>
        <v>112</v>
      </c>
      <c r="T195" s="88"/>
      <c r="U195" s="27"/>
    </row>
    <row r="196" spans="1:21" x14ac:dyDescent="0.3">
      <c r="A196" s="31" t="s">
        <v>446</v>
      </c>
      <c r="B196" s="15"/>
      <c r="C196" s="9"/>
      <c r="D196" s="33"/>
      <c r="E196" s="23" t="s">
        <v>73</v>
      </c>
      <c r="F196" s="39" t="s">
        <v>471</v>
      </c>
      <c r="G196" s="9" t="s">
        <v>71</v>
      </c>
      <c r="H196" s="41"/>
      <c r="I196" s="42"/>
      <c r="J196" s="42">
        <v>16</v>
      </c>
      <c r="K196" s="65">
        <v>22</v>
      </c>
      <c r="L196" s="65">
        <f t="shared" si="12"/>
        <v>352</v>
      </c>
      <c r="M196" s="46"/>
      <c r="N196" s="46"/>
      <c r="O196" s="47"/>
      <c r="P196" s="71">
        <f t="shared" si="13"/>
        <v>22</v>
      </c>
      <c r="Q196" s="83">
        <f t="shared" si="16"/>
        <v>16</v>
      </c>
      <c r="R196" s="84">
        <f t="shared" si="14"/>
        <v>22</v>
      </c>
      <c r="S196" s="85">
        <f t="shared" si="15"/>
        <v>352</v>
      </c>
      <c r="T196" s="88"/>
      <c r="U196" s="27"/>
    </row>
    <row r="197" spans="1:21" x14ac:dyDescent="0.3">
      <c r="A197" s="31" t="s">
        <v>447</v>
      </c>
      <c r="B197" s="16">
        <v>60</v>
      </c>
      <c r="C197" s="32">
        <v>46133</v>
      </c>
      <c r="D197" s="33">
        <v>969800030434</v>
      </c>
      <c r="E197" s="22" t="s">
        <v>132</v>
      </c>
      <c r="F197" s="39" t="s">
        <v>471</v>
      </c>
      <c r="G197" s="9" t="s">
        <v>133</v>
      </c>
      <c r="H197" s="52">
        <v>46136</v>
      </c>
      <c r="I197" s="42"/>
      <c r="J197" s="42">
        <v>6</v>
      </c>
      <c r="K197" s="65">
        <v>19.48</v>
      </c>
      <c r="L197" s="65">
        <f t="shared" ref="L197:L262" si="17">K197*J197</f>
        <v>116.88</v>
      </c>
      <c r="M197" s="46"/>
      <c r="N197" s="46"/>
      <c r="O197" s="47"/>
      <c r="P197" s="71">
        <f t="shared" ref="P197:P262" si="18">K197</f>
        <v>19.48</v>
      </c>
      <c r="Q197" s="83">
        <f t="shared" si="16"/>
        <v>6</v>
      </c>
      <c r="R197" s="84">
        <f t="shared" ref="R197:R262" si="19">K197</f>
        <v>19.48</v>
      </c>
      <c r="S197" s="85">
        <f t="shared" ref="S197:S262" si="20">Q197*R197</f>
        <v>116.88</v>
      </c>
      <c r="T197" s="88"/>
      <c r="U197" s="27"/>
    </row>
    <row r="198" spans="1:21" x14ac:dyDescent="0.3">
      <c r="A198" s="31" t="s">
        <v>448</v>
      </c>
      <c r="B198" s="15"/>
      <c r="C198" s="9"/>
      <c r="D198" s="33"/>
      <c r="E198" s="23" t="s">
        <v>65</v>
      </c>
      <c r="F198" s="39" t="s">
        <v>471</v>
      </c>
      <c r="G198" s="9" t="s">
        <v>63</v>
      </c>
      <c r="H198" s="41"/>
      <c r="I198" s="42"/>
      <c r="J198" s="42">
        <v>13</v>
      </c>
      <c r="K198" s="65">
        <v>8.5</v>
      </c>
      <c r="L198" s="65">
        <f t="shared" si="17"/>
        <v>110.5</v>
      </c>
      <c r="M198" s="46"/>
      <c r="N198" s="46"/>
      <c r="O198" s="47"/>
      <c r="P198" s="71">
        <f t="shared" si="18"/>
        <v>8.5</v>
      </c>
      <c r="Q198" s="83">
        <f t="shared" si="16"/>
        <v>13</v>
      </c>
      <c r="R198" s="84">
        <f t="shared" si="19"/>
        <v>8.5</v>
      </c>
      <c r="S198" s="85">
        <f t="shared" si="20"/>
        <v>110.5</v>
      </c>
      <c r="T198" s="88"/>
      <c r="U198" s="27"/>
    </row>
    <row r="199" spans="1:21" x14ac:dyDescent="0.3">
      <c r="A199" s="31" t="s">
        <v>449</v>
      </c>
      <c r="B199" s="15"/>
      <c r="C199" s="9"/>
      <c r="D199" s="33"/>
      <c r="E199" s="23" t="s">
        <v>282</v>
      </c>
      <c r="F199" s="39" t="s">
        <v>471</v>
      </c>
      <c r="G199" s="9" t="s">
        <v>64</v>
      </c>
      <c r="H199" s="41"/>
      <c r="I199" s="42"/>
      <c r="J199" s="42">
        <v>33</v>
      </c>
      <c r="K199" s="65">
        <v>6</v>
      </c>
      <c r="L199" s="65">
        <f t="shared" si="17"/>
        <v>198</v>
      </c>
      <c r="M199" s="46"/>
      <c r="N199" s="46"/>
      <c r="O199" s="47"/>
      <c r="P199" s="71">
        <f t="shared" si="18"/>
        <v>6</v>
      </c>
      <c r="Q199" s="83">
        <f t="shared" si="16"/>
        <v>33</v>
      </c>
      <c r="R199" s="84">
        <f t="shared" si="19"/>
        <v>6</v>
      </c>
      <c r="S199" s="85">
        <f t="shared" si="20"/>
        <v>198</v>
      </c>
      <c r="T199" s="88"/>
      <c r="U199" s="27"/>
    </row>
    <row r="200" spans="1:21" x14ac:dyDescent="0.3">
      <c r="A200" s="31" t="s">
        <v>450</v>
      </c>
      <c r="B200" s="15"/>
      <c r="C200" s="9"/>
      <c r="D200" s="33"/>
      <c r="E200" s="23" t="s">
        <v>67</v>
      </c>
      <c r="F200" s="39" t="s">
        <v>471</v>
      </c>
      <c r="G200" s="9" t="s">
        <v>64</v>
      </c>
      <c r="H200" s="41"/>
      <c r="I200" s="42"/>
      <c r="J200" s="42">
        <v>1</v>
      </c>
      <c r="K200" s="65">
        <v>12</v>
      </c>
      <c r="L200" s="65">
        <f t="shared" si="17"/>
        <v>12</v>
      </c>
      <c r="M200" s="46"/>
      <c r="N200" s="46"/>
      <c r="O200" s="47"/>
      <c r="P200" s="71">
        <f t="shared" si="18"/>
        <v>12</v>
      </c>
      <c r="Q200" s="83">
        <f t="shared" si="16"/>
        <v>1</v>
      </c>
      <c r="R200" s="84">
        <f t="shared" si="19"/>
        <v>12</v>
      </c>
      <c r="S200" s="85">
        <f t="shared" si="20"/>
        <v>12</v>
      </c>
      <c r="T200" s="88"/>
      <c r="U200" s="27"/>
    </row>
    <row r="201" spans="1:21" x14ac:dyDescent="0.3">
      <c r="A201" s="31" t="s">
        <v>451</v>
      </c>
      <c r="B201" s="15"/>
      <c r="C201" s="9"/>
      <c r="D201" s="33"/>
      <c r="E201" s="23" t="s">
        <v>277</v>
      </c>
      <c r="F201" s="39" t="s">
        <v>471</v>
      </c>
      <c r="G201" s="9" t="s">
        <v>294</v>
      </c>
      <c r="H201" s="41"/>
      <c r="I201" s="42"/>
      <c r="J201" s="42">
        <v>4</v>
      </c>
      <c r="K201" s="65">
        <v>18</v>
      </c>
      <c r="L201" s="65">
        <f t="shared" si="17"/>
        <v>72</v>
      </c>
      <c r="M201" s="46"/>
      <c r="N201" s="46"/>
      <c r="O201" s="47"/>
      <c r="P201" s="71">
        <f t="shared" si="18"/>
        <v>18</v>
      </c>
      <c r="Q201" s="83">
        <f t="shared" si="16"/>
        <v>4</v>
      </c>
      <c r="R201" s="84">
        <f t="shared" si="19"/>
        <v>18</v>
      </c>
      <c r="S201" s="85">
        <f t="shared" si="20"/>
        <v>72</v>
      </c>
      <c r="T201" s="88"/>
      <c r="U201" s="27"/>
    </row>
    <row r="202" spans="1:21" x14ac:dyDescent="0.3">
      <c r="A202" s="31" t="s">
        <v>452</v>
      </c>
      <c r="B202" s="15">
        <v>319</v>
      </c>
      <c r="C202" s="32">
        <v>44914</v>
      </c>
      <c r="D202" s="33">
        <v>208400210053</v>
      </c>
      <c r="E202" s="23" t="s">
        <v>76</v>
      </c>
      <c r="F202" s="39" t="s">
        <v>471</v>
      </c>
      <c r="G202" s="9" t="s">
        <v>71</v>
      </c>
      <c r="H202" s="52">
        <v>44923</v>
      </c>
      <c r="I202" s="42">
        <v>3267</v>
      </c>
      <c r="J202" s="42">
        <v>10</v>
      </c>
      <c r="K202" s="65">
        <v>75</v>
      </c>
      <c r="L202" s="65">
        <f t="shared" si="17"/>
        <v>750</v>
      </c>
      <c r="M202" s="46"/>
      <c r="N202" s="46"/>
      <c r="O202" s="47"/>
      <c r="P202" s="71">
        <f t="shared" si="18"/>
        <v>75</v>
      </c>
      <c r="Q202" s="83">
        <f t="shared" si="16"/>
        <v>10</v>
      </c>
      <c r="R202" s="84">
        <f t="shared" si="19"/>
        <v>75</v>
      </c>
      <c r="S202" s="85">
        <f t="shared" si="20"/>
        <v>750</v>
      </c>
      <c r="T202" s="88"/>
      <c r="U202" s="27"/>
    </row>
    <row r="203" spans="1:21" ht="28.8" customHeight="1" x14ac:dyDescent="0.3">
      <c r="A203" s="31" t="s">
        <v>453</v>
      </c>
      <c r="B203" s="15"/>
      <c r="C203" s="9"/>
      <c r="D203" s="33"/>
      <c r="E203" s="22" t="s">
        <v>499</v>
      </c>
      <c r="F203" s="39" t="s">
        <v>471</v>
      </c>
      <c r="G203" s="9" t="s">
        <v>71</v>
      </c>
      <c r="H203" s="41"/>
      <c r="I203" s="42"/>
      <c r="J203" s="42">
        <v>26</v>
      </c>
      <c r="K203" s="65">
        <v>55</v>
      </c>
      <c r="L203" s="65">
        <f t="shared" si="17"/>
        <v>1430</v>
      </c>
      <c r="M203" s="46"/>
      <c r="N203" s="46"/>
      <c r="O203" s="47"/>
      <c r="P203" s="71">
        <f t="shared" si="18"/>
        <v>55</v>
      </c>
      <c r="Q203" s="83">
        <f t="shared" si="16"/>
        <v>26</v>
      </c>
      <c r="R203" s="84">
        <f t="shared" si="19"/>
        <v>55</v>
      </c>
      <c r="S203" s="85">
        <f t="shared" si="20"/>
        <v>1430</v>
      </c>
      <c r="T203" s="88"/>
      <c r="U203" s="27"/>
    </row>
    <row r="204" spans="1:21" ht="28.8" customHeight="1" x14ac:dyDescent="0.3">
      <c r="A204" s="31"/>
      <c r="B204" s="15"/>
      <c r="C204" s="9"/>
      <c r="D204" s="33"/>
      <c r="E204" s="22" t="s">
        <v>499</v>
      </c>
      <c r="F204" s="39" t="s">
        <v>471</v>
      </c>
      <c r="G204" s="9" t="s">
        <v>810</v>
      </c>
      <c r="H204" s="41"/>
      <c r="I204" s="42"/>
      <c r="J204" s="42">
        <v>1</v>
      </c>
      <c r="K204" s="65"/>
      <c r="L204" s="65"/>
      <c r="M204" s="46"/>
      <c r="N204" s="46"/>
      <c r="O204" s="47"/>
      <c r="P204" s="71"/>
      <c r="Q204" s="83">
        <f t="shared" si="16"/>
        <v>1</v>
      </c>
      <c r="R204" s="84"/>
      <c r="S204" s="85"/>
      <c r="T204" s="88"/>
      <c r="U204" s="27"/>
    </row>
    <row r="205" spans="1:21" x14ac:dyDescent="0.3">
      <c r="A205" s="31" t="s">
        <v>454</v>
      </c>
      <c r="B205" s="15"/>
      <c r="C205" s="9"/>
      <c r="D205" s="33"/>
      <c r="E205" s="23" t="s">
        <v>83</v>
      </c>
      <c r="F205" s="39" t="s">
        <v>471</v>
      </c>
      <c r="G205" s="9" t="s">
        <v>84</v>
      </c>
      <c r="H205" s="41"/>
      <c r="I205" s="42"/>
      <c r="J205" s="42">
        <v>5</v>
      </c>
      <c r="K205" s="65">
        <v>15</v>
      </c>
      <c r="L205" s="65">
        <f t="shared" si="17"/>
        <v>75</v>
      </c>
      <c r="M205" s="46"/>
      <c r="N205" s="46"/>
      <c r="O205" s="47"/>
      <c r="P205" s="71">
        <f t="shared" si="18"/>
        <v>15</v>
      </c>
      <c r="Q205" s="83">
        <f t="shared" si="16"/>
        <v>5</v>
      </c>
      <c r="R205" s="84">
        <f t="shared" si="19"/>
        <v>15</v>
      </c>
      <c r="S205" s="85">
        <f t="shared" si="20"/>
        <v>75</v>
      </c>
      <c r="T205" s="88"/>
      <c r="U205" s="27"/>
    </row>
    <row r="206" spans="1:21" x14ac:dyDescent="0.3">
      <c r="A206" s="31" t="s">
        <v>455</v>
      </c>
      <c r="B206" s="15"/>
      <c r="C206" s="9"/>
      <c r="D206" s="33"/>
      <c r="E206" s="23" t="s">
        <v>107</v>
      </c>
      <c r="F206" s="39" t="s">
        <v>471</v>
      </c>
      <c r="G206" s="9" t="s">
        <v>106</v>
      </c>
      <c r="H206" s="41"/>
      <c r="I206" s="42"/>
      <c r="J206" s="42">
        <v>7</v>
      </c>
      <c r="K206" s="65">
        <v>55</v>
      </c>
      <c r="L206" s="65">
        <f t="shared" si="17"/>
        <v>385</v>
      </c>
      <c r="M206" s="46"/>
      <c r="N206" s="46"/>
      <c r="O206" s="47"/>
      <c r="P206" s="71">
        <f t="shared" si="18"/>
        <v>55</v>
      </c>
      <c r="Q206" s="83">
        <f t="shared" si="16"/>
        <v>7</v>
      </c>
      <c r="R206" s="84">
        <f t="shared" si="19"/>
        <v>55</v>
      </c>
      <c r="S206" s="85">
        <f t="shared" si="20"/>
        <v>385</v>
      </c>
      <c r="T206" s="88"/>
      <c r="U206" s="27"/>
    </row>
    <row r="207" spans="1:21" x14ac:dyDescent="0.3">
      <c r="A207" s="132" t="s">
        <v>456</v>
      </c>
      <c r="B207" s="17"/>
      <c r="C207" s="18"/>
      <c r="D207" s="37"/>
      <c r="E207" s="106" t="s">
        <v>108</v>
      </c>
      <c r="F207" s="40" t="s">
        <v>471</v>
      </c>
      <c r="G207" s="18" t="s">
        <v>106</v>
      </c>
      <c r="H207" s="107"/>
      <c r="I207" s="43"/>
      <c r="J207" s="43">
        <v>9</v>
      </c>
      <c r="K207" s="108">
        <v>70</v>
      </c>
      <c r="L207" s="108">
        <f t="shared" si="17"/>
        <v>630</v>
      </c>
      <c r="M207" s="62"/>
      <c r="N207" s="62"/>
      <c r="O207" s="48"/>
      <c r="P207" s="119">
        <f t="shared" si="18"/>
        <v>70</v>
      </c>
      <c r="Q207" s="122">
        <f t="shared" si="16"/>
        <v>9</v>
      </c>
      <c r="R207" s="123">
        <f t="shared" si="19"/>
        <v>70</v>
      </c>
      <c r="S207" s="124">
        <f t="shared" si="20"/>
        <v>630</v>
      </c>
      <c r="T207" s="131"/>
      <c r="U207" s="28"/>
    </row>
    <row r="208" spans="1:21" x14ac:dyDescent="0.3">
      <c r="A208" s="31" t="s">
        <v>982</v>
      </c>
      <c r="B208" s="111">
        <v>60</v>
      </c>
      <c r="C208" s="6">
        <v>46133</v>
      </c>
      <c r="D208" s="112">
        <v>208400040642</v>
      </c>
      <c r="E208" s="4" t="s">
        <v>617</v>
      </c>
      <c r="F208" s="105" t="s">
        <v>471</v>
      </c>
      <c r="G208" s="4" t="s">
        <v>34</v>
      </c>
      <c r="H208" s="115"/>
      <c r="I208" s="104"/>
      <c r="J208" s="104">
        <v>20</v>
      </c>
      <c r="K208" s="103">
        <v>324.68</v>
      </c>
      <c r="L208" s="108">
        <f t="shared" si="17"/>
        <v>6493.6</v>
      </c>
      <c r="M208" s="116"/>
      <c r="N208" s="116"/>
      <c r="O208" s="116"/>
      <c r="P208" s="119">
        <f t="shared" si="18"/>
        <v>324.68</v>
      </c>
      <c r="Q208" s="122">
        <f t="shared" si="16"/>
        <v>20</v>
      </c>
      <c r="R208" s="123">
        <f t="shared" si="19"/>
        <v>324.68</v>
      </c>
      <c r="S208" s="124">
        <f t="shared" si="20"/>
        <v>6493.6</v>
      </c>
      <c r="T208" s="131"/>
      <c r="U208" s="4"/>
    </row>
    <row r="209" spans="1:21" x14ac:dyDescent="0.3">
      <c r="A209" s="31" t="s">
        <v>983</v>
      </c>
      <c r="B209" s="111"/>
      <c r="C209" s="4"/>
      <c r="D209" s="112"/>
      <c r="E209" s="4" t="s">
        <v>625</v>
      </c>
      <c r="F209" s="105" t="s">
        <v>471</v>
      </c>
      <c r="G209" s="4" t="s">
        <v>294</v>
      </c>
      <c r="H209" s="115"/>
      <c r="I209" s="104"/>
      <c r="J209" s="104">
        <v>4</v>
      </c>
      <c r="K209" s="103">
        <v>6.5</v>
      </c>
      <c r="L209" s="108">
        <f t="shared" si="17"/>
        <v>26</v>
      </c>
      <c r="M209" s="116"/>
      <c r="N209" s="116"/>
      <c r="O209" s="116"/>
      <c r="P209" s="119">
        <f t="shared" si="18"/>
        <v>6.5</v>
      </c>
      <c r="Q209" s="122">
        <f t="shared" si="16"/>
        <v>4</v>
      </c>
      <c r="R209" s="123">
        <f t="shared" si="19"/>
        <v>6.5</v>
      </c>
      <c r="S209" s="124">
        <f t="shared" si="20"/>
        <v>26</v>
      </c>
      <c r="T209" s="131"/>
      <c r="U209" s="4"/>
    </row>
    <row r="210" spans="1:21" x14ac:dyDescent="0.3">
      <c r="A210" s="31" t="s">
        <v>984</v>
      </c>
      <c r="B210" s="111"/>
      <c r="C210" s="4"/>
      <c r="D210" s="112"/>
      <c r="E210" s="113" t="s">
        <v>627</v>
      </c>
      <c r="F210" s="105" t="s">
        <v>471</v>
      </c>
      <c r="G210" s="4" t="s">
        <v>624</v>
      </c>
      <c r="H210" s="115"/>
      <c r="I210" s="104"/>
      <c r="J210" s="104">
        <v>6</v>
      </c>
      <c r="K210" s="103">
        <v>8.5</v>
      </c>
      <c r="L210" s="108">
        <f t="shared" si="17"/>
        <v>51</v>
      </c>
      <c r="M210" s="116"/>
      <c r="N210" s="116"/>
      <c r="O210" s="116"/>
      <c r="P210" s="119">
        <f t="shared" si="18"/>
        <v>8.5</v>
      </c>
      <c r="Q210" s="122">
        <f t="shared" si="16"/>
        <v>6</v>
      </c>
      <c r="R210" s="123">
        <f t="shared" si="19"/>
        <v>8.5</v>
      </c>
      <c r="S210" s="124">
        <f t="shared" si="20"/>
        <v>51</v>
      </c>
      <c r="T210" s="131"/>
      <c r="U210" s="4"/>
    </row>
    <row r="211" spans="1:21" x14ac:dyDescent="0.3">
      <c r="A211" s="31" t="s">
        <v>985</v>
      </c>
      <c r="B211" s="111"/>
      <c r="C211" s="4"/>
      <c r="D211" s="112"/>
      <c r="E211" s="113" t="s">
        <v>627</v>
      </c>
      <c r="F211" s="105" t="s">
        <v>471</v>
      </c>
      <c r="G211" s="4" t="s">
        <v>626</v>
      </c>
      <c r="H211" s="115"/>
      <c r="I211" s="104"/>
      <c r="J211" s="104">
        <v>3</v>
      </c>
      <c r="K211" s="103">
        <v>8.5</v>
      </c>
      <c r="L211" s="108">
        <f t="shared" si="17"/>
        <v>25.5</v>
      </c>
      <c r="M211" s="116"/>
      <c r="N211" s="116"/>
      <c r="O211" s="116"/>
      <c r="P211" s="119">
        <f t="shared" si="18"/>
        <v>8.5</v>
      </c>
      <c r="Q211" s="122">
        <f t="shared" si="16"/>
        <v>3</v>
      </c>
      <c r="R211" s="123">
        <f t="shared" si="19"/>
        <v>8.5</v>
      </c>
      <c r="S211" s="124">
        <f t="shared" si="20"/>
        <v>25.5</v>
      </c>
      <c r="T211" s="131"/>
      <c r="U211" s="4"/>
    </row>
    <row r="212" spans="1:21" x14ac:dyDescent="0.3">
      <c r="A212" s="31" t="s">
        <v>986</v>
      </c>
      <c r="B212" s="111"/>
      <c r="C212" s="4"/>
      <c r="D212" s="112"/>
      <c r="E212" s="113" t="s">
        <v>627</v>
      </c>
      <c r="F212" s="105" t="s">
        <v>471</v>
      </c>
      <c r="G212" s="4" t="s">
        <v>628</v>
      </c>
      <c r="H212" s="115"/>
      <c r="I212" s="104"/>
      <c r="J212" s="104">
        <v>2</v>
      </c>
      <c r="K212" s="103">
        <v>8.5</v>
      </c>
      <c r="L212" s="108">
        <f t="shared" si="17"/>
        <v>17</v>
      </c>
      <c r="M212" s="116"/>
      <c r="N212" s="116"/>
      <c r="O212" s="116"/>
      <c r="P212" s="119">
        <f t="shared" si="18"/>
        <v>8.5</v>
      </c>
      <c r="Q212" s="122">
        <f t="shared" si="16"/>
        <v>2</v>
      </c>
      <c r="R212" s="123">
        <f t="shared" si="19"/>
        <v>8.5</v>
      </c>
      <c r="S212" s="124">
        <f t="shared" si="20"/>
        <v>17</v>
      </c>
      <c r="T212" s="131"/>
      <c r="U212" s="4"/>
    </row>
    <row r="213" spans="1:21" x14ac:dyDescent="0.3">
      <c r="A213" s="31" t="s">
        <v>987</v>
      </c>
      <c r="B213" s="111"/>
      <c r="C213" s="4"/>
      <c r="D213" s="112"/>
      <c r="E213" s="113" t="s">
        <v>629</v>
      </c>
      <c r="F213" s="105" t="s">
        <v>471</v>
      </c>
      <c r="G213" s="4" t="s">
        <v>130</v>
      </c>
      <c r="H213" s="115"/>
      <c r="I213" s="104"/>
      <c r="J213" s="104">
        <v>6</v>
      </c>
      <c r="K213" s="103">
        <v>5.5</v>
      </c>
      <c r="L213" s="108">
        <f t="shared" si="17"/>
        <v>33</v>
      </c>
      <c r="M213" s="116"/>
      <c r="N213" s="116"/>
      <c r="O213" s="116"/>
      <c r="P213" s="119">
        <f t="shared" si="18"/>
        <v>5.5</v>
      </c>
      <c r="Q213" s="122">
        <f t="shared" si="16"/>
        <v>6</v>
      </c>
      <c r="R213" s="123">
        <f t="shared" si="19"/>
        <v>5.5</v>
      </c>
      <c r="S213" s="124">
        <f t="shared" si="20"/>
        <v>33</v>
      </c>
      <c r="T213" s="131"/>
      <c r="U213" s="4"/>
    </row>
    <row r="214" spans="1:21" x14ac:dyDescent="0.3">
      <c r="A214" s="31" t="s">
        <v>988</v>
      </c>
      <c r="B214" s="111"/>
      <c r="C214" s="4"/>
      <c r="D214" s="112"/>
      <c r="E214" s="113" t="s">
        <v>630</v>
      </c>
      <c r="F214" s="105" t="s">
        <v>471</v>
      </c>
      <c r="G214" s="4" t="s">
        <v>130</v>
      </c>
      <c r="H214" s="115"/>
      <c r="I214" s="104"/>
      <c r="J214" s="104">
        <v>1</v>
      </c>
      <c r="K214" s="103">
        <v>12</v>
      </c>
      <c r="L214" s="108">
        <f t="shared" si="17"/>
        <v>12</v>
      </c>
      <c r="M214" s="116"/>
      <c r="N214" s="116"/>
      <c r="O214" s="116"/>
      <c r="P214" s="119">
        <f t="shared" si="18"/>
        <v>12</v>
      </c>
      <c r="Q214" s="122">
        <f t="shared" si="16"/>
        <v>1</v>
      </c>
      <c r="R214" s="123">
        <f t="shared" si="19"/>
        <v>12</v>
      </c>
      <c r="S214" s="124">
        <f t="shared" si="20"/>
        <v>12</v>
      </c>
      <c r="T214" s="131"/>
      <c r="U214" s="4"/>
    </row>
    <row r="215" spans="1:21" x14ac:dyDescent="0.3">
      <c r="A215" s="31" t="s">
        <v>989</v>
      </c>
      <c r="B215" s="111"/>
      <c r="C215" s="4"/>
      <c r="D215" s="112"/>
      <c r="E215" s="113" t="s">
        <v>631</v>
      </c>
      <c r="F215" s="105" t="s">
        <v>471</v>
      </c>
      <c r="G215" s="4" t="s">
        <v>351</v>
      </c>
      <c r="H215" s="115"/>
      <c r="I215" s="104"/>
      <c r="J215" s="104">
        <v>5</v>
      </c>
      <c r="K215" s="103">
        <v>9</v>
      </c>
      <c r="L215" s="108">
        <f t="shared" si="17"/>
        <v>45</v>
      </c>
      <c r="M215" s="116"/>
      <c r="N215" s="116"/>
      <c r="O215" s="116"/>
      <c r="P215" s="119">
        <f t="shared" si="18"/>
        <v>9</v>
      </c>
      <c r="Q215" s="122">
        <f t="shared" ref="Q215:Q273" si="21">J215-O215</f>
        <v>5</v>
      </c>
      <c r="R215" s="123">
        <f t="shared" si="19"/>
        <v>9</v>
      </c>
      <c r="S215" s="124">
        <f t="shared" si="20"/>
        <v>45</v>
      </c>
      <c r="T215" s="131"/>
      <c r="U215" s="4"/>
    </row>
    <row r="216" spans="1:21" x14ac:dyDescent="0.3">
      <c r="A216" s="31" t="s">
        <v>990</v>
      </c>
      <c r="B216" s="111"/>
      <c r="C216" s="4"/>
      <c r="D216" s="112"/>
      <c r="E216" s="113" t="s">
        <v>627</v>
      </c>
      <c r="F216" s="105" t="s">
        <v>471</v>
      </c>
      <c r="G216" s="4" t="s">
        <v>130</v>
      </c>
      <c r="H216" s="115"/>
      <c r="I216" s="104"/>
      <c r="J216" s="104">
        <v>1</v>
      </c>
      <c r="K216" s="103">
        <v>8.5</v>
      </c>
      <c r="L216" s="108">
        <f t="shared" si="17"/>
        <v>8.5</v>
      </c>
      <c r="M216" s="116"/>
      <c r="N216" s="116"/>
      <c r="O216" s="116"/>
      <c r="P216" s="119">
        <f t="shared" si="18"/>
        <v>8.5</v>
      </c>
      <c r="Q216" s="122">
        <f t="shared" si="21"/>
        <v>1</v>
      </c>
      <c r="R216" s="123">
        <f t="shared" si="19"/>
        <v>8.5</v>
      </c>
      <c r="S216" s="124">
        <f t="shared" si="20"/>
        <v>8.5</v>
      </c>
      <c r="T216" s="131"/>
      <c r="U216" s="4"/>
    </row>
    <row r="217" spans="1:21" x14ac:dyDescent="0.3">
      <c r="A217" s="31" t="s">
        <v>991</v>
      </c>
      <c r="B217" s="111"/>
      <c r="C217" s="4"/>
      <c r="D217" s="112"/>
      <c r="E217" s="113" t="s">
        <v>632</v>
      </c>
      <c r="F217" s="105" t="s">
        <v>471</v>
      </c>
      <c r="G217" s="4" t="s">
        <v>130</v>
      </c>
      <c r="H217" s="115"/>
      <c r="I217" s="104"/>
      <c r="J217" s="104">
        <v>2</v>
      </c>
      <c r="K217" s="103">
        <v>15</v>
      </c>
      <c r="L217" s="108">
        <f t="shared" si="17"/>
        <v>30</v>
      </c>
      <c r="M217" s="116"/>
      <c r="N217" s="116"/>
      <c r="O217" s="116"/>
      <c r="P217" s="119">
        <f t="shared" si="18"/>
        <v>15</v>
      </c>
      <c r="Q217" s="122">
        <f t="shared" si="21"/>
        <v>2</v>
      </c>
      <c r="R217" s="123">
        <f t="shared" si="19"/>
        <v>15</v>
      </c>
      <c r="S217" s="124">
        <f t="shared" si="20"/>
        <v>30</v>
      </c>
      <c r="T217" s="131"/>
      <c r="U217" s="4"/>
    </row>
    <row r="218" spans="1:21" x14ac:dyDescent="0.3">
      <c r="A218" s="31" t="s">
        <v>992</v>
      </c>
      <c r="B218" s="111"/>
      <c r="C218" s="4"/>
      <c r="D218" s="112"/>
      <c r="E218" s="113" t="s">
        <v>633</v>
      </c>
      <c r="F218" s="105" t="s">
        <v>471</v>
      </c>
      <c r="G218" s="4" t="s">
        <v>628</v>
      </c>
      <c r="H218" s="115"/>
      <c r="I218" s="104"/>
      <c r="J218" s="104">
        <v>7</v>
      </c>
      <c r="K218" s="103">
        <v>4.5</v>
      </c>
      <c r="L218" s="108">
        <f t="shared" si="17"/>
        <v>31.5</v>
      </c>
      <c r="M218" s="116"/>
      <c r="N218" s="116"/>
      <c r="O218" s="116"/>
      <c r="P218" s="119">
        <f t="shared" si="18"/>
        <v>4.5</v>
      </c>
      <c r="Q218" s="122">
        <f t="shared" si="21"/>
        <v>7</v>
      </c>
      <c r="R218" s="123">
        <f t="shared" si="19"/>
        <v>4.5</v>
      </c>
      <c r="S218" s="124">
        <f t="shared" si="20"/>
        <v>31.5</v>
      </c>
      <c r="T218" s="131"/>
      <c r="U218" s="4"/>
    </row>
    <row r="219" spans="1:21" x14ac:dyDescent="0.3">
      <c r="A219" s="31" t="s">
        <v>993</v>
      </c>
      <c r="B219" s="111"/>
      <c r="C219" s="4"/>
      <c r="D219" s="112"/>
      <c r="E219" s="113" t="s">
        <v>643</v>
      </c>
      <c r="F219" s="105" t="s">
        <v>471</v>
      </c>
      <c r="G219" s="4" t="s">
        <v>71</v>
      </c>
      <c r="H219" s="115"/>
      <c r="I219" s="104"/>
      <c r="J219" s="104">
        <v>1</v>
      </c>
      <c r="K219" s="103">
        <v>75</v>
      </c>
      <c r="L219" s="108">
        <f t="shared" si="17"/>
        <v>75</v>
      </c>
      <c r="M219" s="116"/>
      <c r="N219" s="116"/>
      <c r="O219" s="116"/>
      <c r="P219" s="119">
        <f t="shared" si="18"/>
        <v>75</v>
      </c>
      <c r="Q219" s="122">
        <f t="shared" si="21"/>
        <v>1</v>
      </c>
      <c r="R219" s="123">
        <f t="shared" si="19"/>
        <v>75</v>
      </c>
      <c r="S219" s="124">
        <f t="shared" si="20"/>
        <v>75</v>
      </c>
      <c r="T219" s="131"/>
      <c r="U219" s="4"/>
    </row>
    <row r="220" spans="1:21" x14ac:dyDescent="0.3">
      <c r="A220" s="31" t="s">
        <v>994</v>
      </c>
      <c r="B220" s="111"/>
      <c r="C220" s="4"/>
      <c r="D220" s="112"/>
      <c r="E220" s="113" t="s">
        <v>644</v>
      </c>
      <c r="F220" s="105" t="s">
        <v>471</v>
      </c>
      <c r="G220" s="4" t="s">
        <v>71</v>
      </c>
      <c r="H220" s="115"/>
      <c r="I220" s="104"/>
      <c r="J220" s="104">
        <v>2</v>
      </c>
      <c r="K220" s="103">
        <v>25</v>
      </c>
      <c r="L220" s="108">
        <f t="shared" si="17"/>
        <v>50</v>
      </c>
      <c r="M220" s="116"/>
      <c r="N220" s="116"/>
      <c r="O220" s="116"/>
      <c r="P220" s="119">
        <f t="shared" si="18"/>
        <v>25</v>
      </c>
      <c r="Q220" s="122">
        <f t="shared" si="21"/>
        <v>2</v>
      </c>
      <c r="R220" s="123">
        <f t="shared" si="19"/>
        <v>25</v>
      </c>
      <c r="S220" s="124">
        <f t="shared" si="20"/>
        <v>50</v>
      </c>
      <c r="T220" s="131"/>
      <c r="U220" s="4"/>
    </row>
    <row r="221" spans="1:21" x14ac:dyDescent="0.3">
      <c r="A221" s="31" t="s">
        <v>995</v>
      </c>
      <c r="B221" s="111"/>
      <c r="C221" s="4"/>
      <c r="D221" s="112"/>
      <c r="E221" s="113" t="s">
        <v>645</v>
      </c>
      <c r="F221" s="105" t="s">
        <v>471</v>
      </c>
      <c r="G221" s="4" t="s">
        <v>71</v>
      </c>
      <c r="H221" s="115"/>
      <c r="I221" s="104"/>
      <c r="J221" s="104">
        <v>2</v>
      </c>
      <c r="K221" s="103">
        <v>30</v>
      </c>
      <c r="L221" s="108">
        <f t="shared" si="17"/>
        <v>60</v>
      </c>
      <c r="M221" s="116"/>
      <c r="N221" s="116"/>
      <c r="O221" s="116"/>
      <c r="P221" s="119">
        <f t="shared" si="18"/>
        <v>30</v>
      </c>
      <c r="Q221" s="122">
        <f t="shared" si="21"/>
        <v>2</v>
      </c>
      <c r="R221" s="123">
        <f t="shared" si="19"/>
        <v>30</v>
      </c>
      <c r="S221" s="124">
        <f t="shared" si="20"/>
        <v>60</v>
      </c>
      <c r="T221" s="131"/>
      <c r="U221" s="4"/>
    </row>
    <row r="222" spans="1:21" x14ac:dyDescent="0.3">
      <c r="A222" s="31" t="s">
        <v>996</v>
      </c>
      <c r="B222" s="111"/>
      <c r="C222" s="4"/>
      <c r="D222" s="112"/>
      <c r="E222" s="113" t="s">
        <v>646</v>
      </c>
      <c r="F222" s="105" t="s">
        <v>471</v>
      </c>
      <c r="G222" s="4" t="s">
        <v>89</v>
      </c>
      <c r="H222" s="115"/>
      <c r="I222" s="104"/>
      <c r="J222" s="104">
        <v>3</v>
      </c>
      <c r="K222" s="103"/>
      <c r="L222" s="108">
        <f t="shared" si="17"/>
        <v>0</v>
      </c>
      <c r="M222" s="116"/>
      <c r="N222" s="116"/>
      <c r="O222" s="116"/>
      <c r="P222" s="119">
        <f t="shared" si="18"/>
        <v>0</v>
      </c>
      <c r="Q222" s="122">
        <f t="shared" si="21"/>
        <v>3</v>
      </c>
      <c r="R222" s="123">
        <f t="shared" si="19"/>
        <v>0</v>
      </c>
      <c r="S222" s="124">
        <f t="shared" si="20"/>
        <v>0</v>
      </c>
      <c r="T222" s="131"/>
      <c r="U222" s="4"/>
    </row>
    <row r="223" spans="1:21" x14ac:dyDescent="0.3">
      <c r="A223" s="31" t="s">
        <v>997</v>
      </c>
      <c r="B223" s="111"/>
      <c r="C223" s="4"/>
      <c r="D223" s="112"/>
      <c r="E223" s="113" t="s">
        <v>740</v>
      </c>
      <c r="F223" s="105" t="s">
        <v>471</v>
      </c>
      <c r="G223" s="4" t="s">
        <v>94</v>
      </c>
      <c r="H223" s="115"/>
      <c r="I223" s="104"/>
      <c r="J223" s="104">
        <v>3</v>
      </c>
      <c r="K223" s="103">
        <v>38</v>
      </c>
      <c r="L223" s="108">
        <f t="shared" si="17"/>
        <v>114</v>
      </c>
      <c r="M223" s="116"/>
      <c r="N223" s="116"/>
      <c r="O223" s="116"/>
      <c r="P223" s="119">
        <f t="shared" si="18"/>
        <v>38</v>
      </c>
      <c r="Q223" s="122">
        <f t="shared" si="21"/>
        <v>3</v>
      </c>
      <c r="R223" s="123">
        <f t="shared" si="19"/>
        <v>38</v>
      </c>
      <c r="S223" s="124">
        <f t="shared" si="20"/>
        <v>114</v>
      </c>
      <c r="T223" s="131"/>
      <c r="U223" s="4"/>
    </row>
    <row r="224" spans="1:21" x14ac:dyDescent="0.3">
      <c r="A224" s="31" t="s">
        <v>998</v>
      </c>
      <c r="B224" s="111"/>
      <c r="C224" s="4"/>
      <c r="D224" s="112"/>
      <c r="E224" s="113" t="s">
        <v>740</v>
      </c>
      <c r="F224" s="105" t="s">
        <v>471</v>
      </c>
      <c r="G224" s="4" t="s">
        <v>75</v>
      </c>
      <c r="H224" s="115"/>
      <c r="I224" s="104"/>
      <c r="J224" s="104">
        <v>5</v>
      </c>
      <c r="K224" s="103">
        <v>55</v>
      </c>
      <c r="L224" s="108">
        <f t="shared" si="17"/>
        <v>275</v>
      </c>
      <c r="M224" s="116"/>
      <c r="N224" s="116"/>
      <c r="O224" s="116"/>
      <c r="P224" s="119">
        <f t="shared" si="18"/>
        <v>55</v>
      </c>
      <c r="Q224" s="122">
        <f t="shared" si="21"/>
        <v>5</v>
      </c>
      <c r="R224" s="123">
        <f t="shared" si="19"/>
        <v>55</v>
      </c>
      <c r="S224" s="124">
        <f t="shared" si="20"/>
        <v>275</v>
      </c>
      <c r="T224" s="131"/>
      <c r="U224" s="4"/>
    </row>
    <row r="225" spans="1:21" x14ac:dyDescent="0.3">
      <c r="A225" s="31" t="s">
        <v>999</v>
      </c>
      <c r="B225" s="111"/>
      <c r="C225" s="4"/>
      <c r="D225" s="112"/>
      <c r="E225" s="113" t="s">
        <v>741</v>
      </c>
      <c r="F225" s="105" t="s">
        <v>471</v>
      </c>
      <c r="G225" s="4" t="s">
        <v>71</v>
      </c>
      <c r="H225" s="115"/>
      <c r="I225" s="104"/>
      <c r="J225" s="104">
        <v>2</v>
      </c>
      <c r="K225" s="103">
        <v>18</v>
      </c>
      <c r="L225" s="108">
        <f t="shared" si="17"/>
        <v>36</v>
      </c>
      <c r="M225" s="116"/>
      <c r="N225" s="116"/>
      <c r="O225" s="116"/>
      <c r="P225" s="119">
        <f t="shared" si="18"/>
        <v>18</v>
      </c>
      <c r="Q225" s="122">
        <f t="shared" si="21"/>
        <v>2</v>
      </c>
      <c r="R225" s="123">
        <f t="shared" si="19"/>
        <v>18</v>
      </c>
      <c r="S225" s="124">
        <f t="shared" si="20"/>
        <v>36</v>
      </c>
      <c r="T225" s="131"/>
      <c r="U225" s="4"/>
    </row>
    <row r="226" spans="1:21" x14ac:dyDescent="0.3">
      <c r="A226" s="31" t="s">
        <v>1000</v>
      </c>
      <c r="B226" s="111"/>
      <c r="C226" s="4"/>
      <c r="D226" s="112"/>
      <c r="E226" s="113" t="s">
        <v>647</v>
      </c>
      <c r="F226" s="105" t="s">
        <v>471</v>
      </c>
      <c r="G226" s="4" t="s">
        <v>85</v>
      </c>
      <c r="H226" s="115"/>
      <c r="I226" s="104"/>
      <c r="J226" s="104">
        <v>1</v>
      </c>
      <c r="K226" s="103">
        <v>22</v>
      </c>
      <c r="L226" s="108">
        <f t="shared" si="17"/>
        <v>22</v>
      </c>
      <c r="M226" s="116"/>
      <c r="N226" s="116"/>
      <c r="O226" s="116"/>
      <c r="P226" s="119">
        <f t="shared" si="18"/>
        <v>22</v>
      </c>
      <c r="Q226" s="122">
        <f t="shared" si="21"/>
        <v>1</v>
      </c>
      <c r="R226" s="123">
        <f t="shared" si="19"/>
        <v>22</v>
      </c>
      <c r="S226" s="124">
        <f t="shared" si="20"/>
        <v>22</v>
      </c>
      <c r="T226" s="131"/>
      <c r="U226" s="4"/>
    </row>
    <row r="227" spans="1:21" x14ac:dyDescent="0.3">
      <c r="A227" s="31" t="s">
        <v>1001</v>
      </c>
      <c r="B227" s="111"/>
      <c r="C227" s="4"/>
      <c r="D227" s="112"/>
      <c r="E227" s="113" t="s">
        <v>648</v>
      </c>
      <c r="F227" s="105" t="s">
        <v>471</v>
      </c>
      <c r="G227" s="4" t="s">
        <v>118</v>
      </c>
      <c r="H227" s="115"/>
      <c r="I227" s="104"/>
      <c r="J227" s="104">
        <v>1</v>
      </c>
      <c r="K227" s="103">
        <v>15</v>
      </c>
      <c r="L227" s="108">
        <f t="shared" si="17"/>
        <v>15</v>
      </c>
      <c r="M227" s="116"/>
      <c r="N227" s="116"/>
      <c r="O227" s="116"/>
      <c r="P227" s="119">
        <f t="shared" si="18"/>
        <v>15</v>
      </c>
      <c r="Q227" s="122">
        <f t="shared" si="21"/>
        <v>1</v>
      </c>
      <c r="R227" s="123">
        <f t="shared" si="19"/>
        <v>15</v>
      </c>
      <c r="S227" s="124">
        <f t="shared" si="20"/>
        <v>15</v>
      </c>
      <c r="T227" s="131"/>
      <c r="U227" s="4"/>
    </row>
    <row r="228" spans="1:21" x14ac:dyDescent="0.3">
      <c r="A228" s="31" t="s">
        <v>1002</v>
      </c>
      <c r="B228" s="111"/>
      <c r="C228" s="4"/>
      <c r="D228" s="112"/>
      <c r="E228" s="113" t="s">
        <v>650</v>
      </c>
      <c r="F228" s="105" t="s">
        <v>471</v>
      </c>
      <c r="G228" s="4" t="s">
        <v>294</v>
      </c>
      <c r="H228" s="115"/>
      <c r="I228" s="104"/>
      <c r="J228" s="104">
        <v>13</v>
      </c>
      <c r="K228" s="103">
        <v>6</v>
      </c>
      <c r="L228" s="108">
        <f t="shared" si="17"/>
        <v>78</v>
      </c>
      <c r="M228" s="116"/>
      <c r="N228" s="116"/>
      <c r="O228" s="116"/>
      <c r="P228" s="119">
        <f t="shared" si="18"/>
        <v>6</v>
      </c>
      <c r="Q228" s="122">
        <f t="shared" si="21"/>
        <v>13</v>
      </c>
      <c r="R228" s="123">
        <f t="shared" si="19"/>
        <v>6</v>
      </c>
      <c r="S228" s="124">
        <f t="shared" si="20"/>
        <v>78</v>
      </c>
      <c r="T228" s="131"/>
      <c r="U228" s="4"/>
    </row>
    <row r="229" spans="1:21" x14ac:dyDescent="0.3">
      <c r="A229" s="31" t="s">
        <v>1003</v>
      </c>
      <c r="B229" s="111"/>
      <c r="C229" s="4"/>
      <c r="D229" s="112"/>
      <c r="E229" s="113" t="s">
        <v>649</v>
      </c>
      <c r="F229" s="105" t="s">
        <v>471</v>
      </c>
      <c r="G229" s="4" t="s">
        <v>294</v>
      </c>
      <c r="H229" s="115"/>
      <c r="I229" s="104"/>
      <c r="J229" s="104">
        <v>5</v>
      </c>
      <c r="K229" s="103">
        <v>15</v>
      </c>
      <c r="L229" s="108">
        <f t="shared" si="17"/>
        <v>75</v>
      </c>
      <c r="M229" s="116"/>
      <c r="N229" s="116"/>
      <c r="O229" s="116"/>
      <c r="P229" s="119">
        <f t="shared" si="18"/>
        <v>15</v>
      </c>
      <c r="Q229" s="122">
        <f t="shared" si="21"/>
        <v>5</v>
      </c>
      <c r="R229" s="123">
        <f t="shared" si="19"/>
        <v>15</v>
      </c>
      <c r="S229" s="124">
        <f t="shared" si="20"/>
        <v>75</v>
      </c>
      <c r="T229" s="131"/>
      <c r="U229" s="4"/>
    </row>
    <row r="230" spans="1:21" x14ac:dyDescent="0.3">
      <c r="A230" s="31" t="s">
        <v>1004</v>
      </c>
      <c r="B230" s="111"/>
      <c r="C230" s="4"/>
      <c r="D230" s="112"/>
      <c r="E230" s="113" t="s">
        <v>651</v>
      </c>
      <c r="F230" s="105" t="s">
        <v>471</v>
      </c>
      <c r="G230" s="4" t="s">
        <v>294</v>
      </c>
      <c r="H230" s="115"/>
      <c r="I230" s="104"/>
      <c r="J230" s="104">
        <v>1</v>
      </c>
      <c r="K230" s="103">
        <v>18</v>
      </c>
      <c r="L230" s="108">
        <f t="shared" si="17"/>
        <v>18</v>
      </c>
      <c r="M230" s="116"/>
      <c r="N230" s="116"/>
      <c r="O230" s="116"/>
      <c r="P230" s="119">
        <f t="shared" si="18"/>
        <v>18</v>
      </c>
      <c r="Q230" s="122">
        <f t="shared" si="21"/>
        <v>1</v>
      </c>
      <c r="R230" s="123">
        <f t="shared" si="19"/>
        <v>18</v>
      </c>
      <c r="S230" s="124">
        <f t="shared" si="20"/>
        <v>18</v>
      </c>
      <c r="T230" s="131"/>
      <c r="U230" s="4"/>
    </row>
    <row r="231" spans="1:21" x14ac:dyDescent="0.3">
      <c r="A231" s="31" t="s">
        <v>1005</v>
      </c>
      <c r="B231" s="111"/>
      <c r="C231" s="4"/>
      <c r="D231" s="112"/>
      <c r="E231" s="113" t="s">
        <v>653</v>
      </c>
      <c r="F231" s="105" t="s">
        <v>471</v>
      </c>
      <c r="G231" s="4" t="s">
        <v>652</v>
      </c>
      <c r="H231" s="115"/>
      <c r="I231" s="104"/>
      <c r="J231" s="104">
        <v>4</v>
      </c>
      <c r="K231" s="103">
        <v>12</v>
      </c>
      <c r="L231" s="108">
        <f t="shared" si="17"/>
        <v>48</v>
      </c>
      <c r="M231" s="116"/>
      <c r="N231" s="116"/>
      <c r="O231" s="116"/>
      <c r="P231" s="119">
        <f t="shared" si="18"/>
        <v>12</v>
      </c>
      <c r="Q231" s="122">
        <f t="shared" si="21"/>
        <v>4</v>
      </c>
      <c r="R231" s="123">
        <f t="shared" si="19"/>
        <v>12</v>
      </c>
      <c r="S231" s="124">
        <f t="shared" si="20"/>
        <v>48</v>
      </c>
      <c r="T231" s="131"/>
      <c r="U231" s="4"/>
    </row>
    <row r="232" spans="1:21" x14ac:dyDescent="0.3">
      <c r="A232" s="31" t="s">
        <v>1006</v>
      </c>
      <c r="B232" s="111"/>
      <c r="C232" s="4"/>
      <c r="D232" s="112"/>
      <c r="E232" s="113" t="s">
        <v>742</v>
      </c>
      <c r="F232" s="105" t="s">
        <v>471</v>
      </c>
      <c r="G232" s="4" t="s">
        <v>654</v>
      </c>
      <c r="H232" s="115"/>
      <c r="I232" s="104"/>
      <c r="J232" s="104">
        <v>2</v>
      </c>
      <c r="K232" s="103">
        <v>39</v>
      </c>
      <c r="L232" s="108">
        <f t="shared" si="17"/>
        <v>78</v>
      </c>
      <c r="M232" s="116"/>
      <c r="N232" s="116"/>
      <c r="O232" s="116"/>
      <c r="P232" s="119">
        <f t="shared" si="18"/>
        <v>39</v>
      </c>
      <c r="Q232" s="122">
        <f t="shared" si="21"/>
        <v>2</v>
      </c>
      <c r="R232" s="123">
        <f t="shared" si="19"/>
        <v>39</v>
      </c>
      <c r="S232" s="124">
        <f t="shared" si="20"/>
        <v>78</v>
      </c>
      <c r="T232" s="131"/>
      <c r="U232" s="4"/>
    </row>
    <row r="233" spans="1:21" x14ac:dyDescent="0.3">
      <c r="A233" s="31" t="s">
        <v>1007</v>
      </c>
      <c r="B233" s="111"/>
      <c r="C233" s="4"/>
      <c r="D233" s="112"/>
      <c r="E233" s="113" t="s">
        <v>656</v>
      </c>
      <c r="F233" s="105" t="s">
        <v>471</v>
      </c>
      <c r="G233" s="4" t="s">
        <v>655</v>
      </c>
      <c r="H233" s="115"/>
      <c r="I233" s="104"/>
      <c r="J233" s="104">
        <v>3</v>
      </c>
      <c r="K233" s="103">
        <v>1.5</v>
      </c>
      <c r="L233" s="108">
        <f t="shared" si="17"/>
        <v>4.5</v>
      </c>
      <c r="M233" s="116"/>
      <c r="N233" s="116"/>
      <c r="O233" s="116"/>
      <c r="P233" s="119">
        <f t="shared" si="18"/>
        <v>1.5</v>
      </c>
      <c r="Q233" s="122">
        <f t="shared" si="21"/>
        <v>3</v>
      </c>
      <c r="R233" s="123">
        <f t="shared" si="19"/>
        <v>1.5</v>
      </c>
      <c r="S233" s="124">
        <f t="shared" si="20"/>
        <v>4.5</v>
      </c>
      <c r="T233" s="131"/>
      <c r="U233" s="4"/>
    </row>
    <row r="234" spans="1:21" x14ac:dyDescent="0.3">
      <c r="A234" s="31" t="s">
        <v>1008</v>
      </c>
      <c r="B234" s="111"/>
      <c r="C234" s="4"/>
      <c r="D234" s="112"/>
      <c r="E234" s="113" t="s">
        <v>657</v>
      </c>
      <c r="F234" s="105" t="s">
        <v>471</v>
      </c>
      <c r="G234" s="4" t="s">
        <v>294</v>
      </c>
      <c r="H234" s="115"/>
      <c r="I234" s="104"/>
      <c r="J234" s="104">
        <v>5</v>
      </c>
      <c r="K234" s="103">
        <v>3</v>
      </c>
      <c r="L234" s="108">
        <f t="shared" si="17"/>
        <v>15</v>
      </c>
      <c r="M234" s="116"/>
      <c r="N234" s="116"/>
      <c r="O234" s="116"/>
      <c r="P234" s="119">
        <f t="shared" si="18"/>
        <v>3</v>
      </c>
      <c r="Q234" s="122">
        <f t="shared" si="21"/>
        <v>5</v>
      </c>
      <c r="R234" s="123">
        <f t="shared" si="19"/>
        <v>3</v>
      </c>
      <c r="S234" s="124">
        <f t="shared" si="20"/>
        <v>15</v>
      </c>
      <c r="T234" s="131"/>
      <c r="U234" s="4"/>
    </row>
    <row r="235" spans="1:21" x14ac:dyDescent="0.3">
      <c r="A235" s="31" t="s">
        <v>1009</v>
      </c>
      <c r="B235" s="111"/>
      <c r="C235" s="4"/>
      <c r="D235" s="112"/>
      <c r="E235" s="113" t="s">
        <v>660</v>
      </c>
      <c r="F235" s="105" t="s">
        <v>471</v>
      </c>
      <c r="G235" s="4" t="s">
        <v>658</v>
      </c>
      <c r="H235" s="115"/>
      <c r="I235" s="104"/>
      <c r="J235" s="104">
        <v>2</v>
      </c>
      <c r="K235" s="103">
        <v>65</v>
      </c>
      <c r="L235" s="108">
        <f t="shared" si="17"/>
        <v>130</v>
      </c>
      <c r="M235" s="116"/>
      <c r="N235" s="116"/>
      <c r="O235" s="116"/>
      <c r="P235" s="119">
        <f t="shared" si="18"/>
        <v>65</v>
      </c>
      <c r="Q235" s="122">
        <f t="shared" si="21"/>
        <v>2</v>
      </c>
      <c r="R235" s="123">
        <f t="shared" si="19"/>
        <v>65</v>
      </c>
      <c r="S235" s="124">
        <f t="shared" si="20"/>
        <v>130</v>
      </c>
      <c r="T235" s="131"/>
      <c r="U235" s="4"/>
    </row>
    <row r="236" spans="1:21" x14ac:dyDescent="0.3">
      <c r="A236" s="31" t="s">
        <v>1010</v>
      </c>
      <c r="B236" s="111"/>
      <c r="C236" s="4"/>
      <c r="D236" s="112"/>
      <c r="E236" s="113" t="s">
        <v>743</v>
      </c>
      <c r="F236" s="105" t="s">
        <v>471</v>
      </c>
      <c r="G236" s="4" t="s">
        <v>659</v>
      </c>
      <c r="H236" s="115"/>
      <c r="I236" s="104"/>
      <c r="J236" s="104">
        <v>1</v>
      </c>
      <c r="K236" s="103">
        <v>48</v>
      </c>
      <c r="L236" s="108">
        <f t="shared" si="17"/>
        <v>48</v>
      </c>
      <c r="M236" s="116"/>
      <c r="N236" s="116"/>
      <c r="O236" s="116"/>
      <c r="P236" s="119">
        <f t="shared" si="18"/>
        <v>48</v>
      </c>
      <c r="Q236" s="122">
        <f t="shared" si="21"/>
        <v>1</v>
      </c>
      <c r="R236" s="123">
        <f t="shared" si="19"/>
        <v>48</v>
      </c>
      <c r="S236" s="124">
        <f t="shared" si="20"/>
        <v>48</v>
      </c>
      <c r="T236" s="131"/>
      <c r="U236" s="4"/>
    </row>
    <row r="237" spans="1:21" x14ac:dyDescent="0.3">
      <c r="A237" s="31" t="s">
        <v>1011</v>
      </c>
      <c r="B237" s="111"/>
      <c r="C237" s="4"/>
      <c r="D237" s="112"/>
      <c r="E237" s="113" t="s">
        <v>744</v>
      </c>
      <c r="F237" s="105" t="s">
        <v>694</v>
      </c>
      <c r="G237" s="4" t="s">
        <v>294</v>
      </c>
      <c r="H237" s="115"/>
      <c r="I237" s="104"/>
      <c r="J237" s="104">
        <v>3</v>
      </c>
      <c r="K237" s="103">
        <v>2.5</v>
      </c>
      <c r="L237" s="108">
        <f t="shared" si="17"/>
        <v>7.5</v>
      </c>
      <c r="M237" s="116"/>
      <c r="N237" s="116"/>
      <c r="O237" s="116"/>
      <c r="P237" s="119">
        <f t="shared" si="18"/>
        <v>2.5</v>
      </c>
      <c r="Q237" s="122">
        <f t="shared" si="21"/>
        <v>3</v>
      </c>
      <c r="R237" s="123">
        <f t="shared" si="19"/>
        <v>2.5</v>
      </c>
      <c r="S237" s="124">
        <f t="shared" si="20"/>
        <v>7.5</v>
      </c>
      <c r="T237" s="131"/>
      <c r="U237" s="4"/>
    </row>
    <row r="238" spans="1:21" x14ac:dyDescent="0.3">
      <c r="A238" s="31" t="s">
        <v>1012</v>
      </c>
      <c r="B238" s="111"/>
      <c r="C238" s="4"/>
      <c r="D238" s="112"/>
      <c r="E238" s="113" t="s">
        <v>661</v>
      </c>
      <c r="F238" s="105" t="s">
        <v>471</v>
      </c>
      <c r="G238" s="4" t="s">
        <v>666</v>
      </c>
      <c r="H238" s="115"/>
      <c r="I238" s="104"/>
      <c r="J238" s="104">
        <v>2</v>
      </c>
      <c r="K238" s="103">
        <v>28</v>
      </c>
      <c r="L238" s="108">
        <f t="shared" si="17"/>
        <v>56</v>
      </c>
      <c r="M238" s="116"/>
      <c r="N238" s="116"/>
      <c r="O238" s="116"/>
      <c r="P238" s="119">
        <f t="shared" si="18"/>
        <v>28</v>
      </c>
      <c r="Q238" s="122">
        <f t="shared" si="21"/>
        <v>2</v>
      </c>
      <c r="R238" s="123">
        <f t="shared" si="19"/>
        <v>28</v>
      </c>
      <c r="S238" s="124">
        <f t="shared" si="20"/>
        <v>56</v>
      </c>
      <c r="T238" s="131"/>
      <c r="U238" s="4"/>
    </row>
    <row r="239" spans="1:21" x14ac:dyDescent="0.3">
      <c r="A239" s="31" t="s">
        <v>1013</v>
      </c>
      <c r="B239" s="111"/>
      <c r="C239" s="4"/>
      <c r="D239" s="112"/>
      <c r="E239" s="113" t="s">
        <v>745</v>
      </c>
      <c r="F239" s="105" t="s">
        <v>471</v>
      </c>
      <c r="G239" s="4" t="s">
        <v>77</v>
      </c>
      <c r="H239" s="115"/>
      <c r="I239" s="104"/>
      <c r="J239" s="104">
        <v>4</v>
      </c>
      <c r="K239" s="103">
        <v>24</v>
      </c>
      <c r="L239" s="108">
        <f t="shared" si="17"/>
        <v>96</v>
      </c>
      <c r="M239" s="116"/>
      <c r="N239" s="116"/>
      <c r="O239" s="116"/>
      <c r="P239" s="119">
        <f t="shared" si="18"/>
        <v>24</v>
      </c>
      <c r="Q239" s="122">
        <f t="shared" si="21"/>
        <v>4</v>
      </c>
      <c r="R239" s="123">
        <f t="shared" si="19"/>
        <v>24</v>
      </c>
      <c r="S239" s="124">
        <f t="shared" si="20"/>
        <v>96</v>
      </c>
      <c r="T239" s="131"/>
      <c r="U239" s="4"/>
    </row>
    <row r="240" spans="1:21" x14ac:dyDescent="0.3">
      <c r="A240" s="31" t="s">
        <v>1014</v>
      </c>
      <c r="B240" s="111"/>
      <c r="C240" s="4"/>
      <c r="D240" s="112"/>
      <c r="E240" s="113" t="s">
        <v>664</v>
      </c>
      <c r="F240" s="105" t="s">
        <v>471</v>
      </c>
      <c r="G240" s="4" t="s">
        <v>662</v>
      </c>
      <c r="H240" s="115"/>
      <c r="I240" s="104"/>
      <c r="J240" s="104">
        <v>10</v>
      </c>
      <c r="K240" s="103">
        <v>4.5</v>
      </c>
      <c r="L240" s="108">
        <f t="shared" si="17"/>
        <v>45</v>
      </c>
      <c r="M240" s="116"/>
      <c r="N240" s="116"/>
      <c r="O240" s="116"/>
      <c r="P240" s="119">
        <f t="shared" si="18"/>
        <v>4.5</v>
      </c>
      <c r="Q240" s="122">
        <f t="shared" si="21"/>
        <v>10</v>
      </c>
      <c r="R240" s="123">
        <f t="shared" si="19"/>
        <v>4.5</v>
      </c>
      <c r="S240" s="124">
        <f t="shared" si="20"/>
        <v>45</v>
      </c>
      <c r="T240" s="131"/>
      <c r="U240" s="4"/>
    </row>
    <row r="241" spans="1:21" x14ac:dyDescent="0.3">
      <c r="A241" s="31" t="s">
        <v>1015</v>
      </c>
      <c r="B241" s="111"/>
      <c r="C241" s="4"/>
      <c r="D241" s="112"/>
      <c r="E241" s="113" t="s">
        <v>746</v>
      </c>
      <c r="F241" s="105" t="s">
        <v>471</v>
      </c>
      <c r="G241" s="4" t="s">
        <v>294</v>
      </c>
      <c r="H241" s="115"/>
      <c r="I241" s="104"/>
      <c r="J241" s="104">
        <v>7</v>
      </c>
      <c r="K241" s="103">
        <v>4.3</v>
      </c>
      <c r="L241" s="108">
        <f t="shared" si="17"/>
        <v>30.099999999999998</v>
      </c>
      <c r="M241" s="116"/>
      <c r="N241" s="116"/>
      <c r="O241" s="116"/>
      <c r="P241" s="119">
        <f t="shared" si="18"/>
        <v>4.3</v>
      </c>
      <c r="Q241" s="122">
        <f t="shared" si="21"/>
        <v>7</v>
      </c>
      <c r="R241" s="123">
        <f t="shared" si="19"/>
        <v>4.3</v>
      </c>
      <c r="S241" s="124">
        <f t="shared" si="20"/>
        <v>30.099999999999998</v>
      </c>
      <c r="T241" s="131"/>
      <c r="U241" s="4"/>
    </row>
    <row r="242" spans="1:21" x14ac:dyDescent="0.3">
      <c r="A242" s="31" t="s">
        <v>1016</v>
      </c>
      <c r="B242" s="111"/>
      <c r="C242" s="4"/>
      <c r="D242" s="112"/>
      <c r="E242" s="113" t="s">
        <v>663</v>
      </c>
      <c r="F242" s="105" t="s">
        <v>471</v>
      </c>
      <c r="G242" s="4" t="s">
        <v>294</v>
      </c>
      <c r="H242" s="115"/>
      <c r="I242" s="104"/>
      <c r="J242" s="104">
        <v>1</v>
      </c>
      <c r="K242" s="103">
        <v>4</v>
      </c>
      <c r="L242" s="108">
        <f t="shared" si="17"/>
        <v>4</v>
      </c>
      <c r="M242" s="116"/>
      <c r="N242" s="116"/>
      <c r="O242" s="116"/>
      <c r="P242" s="119">
        <f t="shared" si="18"/>
        <v>4</v>
      </c>
      <c r="Q242" s="122">
        <f t="shared" si="21"/>
        <v>1</v>
      </c>
      <c r="R242" s="123">
        <f t="shared" si="19"/>
        <v>4</v>
      </c>
      <c r="S242" s="124">
        <f t="shared" si="20"/>
        <v>4</v>
      </c>
      <c r="T242" s="131"/>
      <c r="U242" s="4"/>
    </row>
    <row r="243" spans="1:21" x14ac:dyDescent="0.3">
      <c r="A243" s="31" t="s">
        <v>1017</v>
      </c>
      <c r="B243" s="111"/>
      <c r="C243" s="4"/>
      <c r="D243" s="112"/>
      <c r="E243" s="113" t="s">
        <v>747</v>
      </c>
      <c r="F243" s="105" t="s">
        <v>471</v>
      </c>
      <c r="G243" s="4" t="s">
        <v>294</v>
      </c>
      <c r="H243" s="115"/>
      <c r="I243" s="104"/>
      <c r="J243" s="104">
        <v>3</v>
      </c>
      <c r="K243" s="103">
        <v>3.3</v>
      </c>
      <c r="L243" s="108">
        <f t="shared" si="17"/>
        <v>9.8999999999999986</v>
      </c>
      <c r="M243" s="116"/>
      <c r="N243" s="116"/>
      <c r="O243" s="116"/>
      <c r="P243" s="119">
        <f t="shared" si="18"/>
        <v>3.3</v>
      </c>
      <c r="Q243" s="122">
        <f t="shared" si="21"/>
        <v>3</v>
      </c>
      <c r="R243" s="123">
        <f t="shared" si="19"/>
        <v>3.3</v>
      </c>
      <c r="S243" s="124">
        <f t="shared" si="20"/>
        <v>9.8999999999999986</v>
      </c>
      <c r="T243" s="131"/>
      <c r="U243" s="4"/>
    </row>
    <row r="244" spans="1:21" x14ac:dyDescent="0.3">
      <c r="A244" s="31" t="s">
        <v>1018</v>
      </c>
      <c r="B244" s="111"/>
      <c r="C244" s="4"/>
      <c r="D244" s="112"/>
      <c r="E244" s="113" t="s">
        <v>748</v>
      </c>
      <c r="F244" s="105" t="s">
        <v>471</v>
      </c>
      <c r="G244" s="4" t="s">
        <v>294</v>
      </c>
      <c r="H244" s="115"/>
      <c r="I244" s="104"/>
      <c r="J244" s="104">
        <v>8</v>
      </c>
      <c r="K244" s="103">
        <v>7.5</v>
      </c>
      <c r="L244" s="108">
        <f t="shared" si="17"/>
        <v>60</v>
      </c>
      <c r="M244" s="116"/>
      <c r="N244" s="116"/>
      <c r="O244" s="116"/>
      <c r="P244" s="119">
        <f t="shared" si="18"/>
        <v>7.5</v>
      </c>
      <c r="Q244" s="122">
        <f t="shared" si="21"/>
        <v>8</v>
      </c>
      <c r="R244" s="123">
        <f t="shared" si="19"/>
        <v>7.5</v>
      </c>
      <c r="S244" s="124">
        <f t="shared" si="20"/>
        <v>60</v>
      </c>
      <c r="T244" s="131"/>
      <c r="U244" s="4"/>
    </row>
    <row r="245" spans="1:21" x14ac:dyDescent="0.3">
      <c r="A245" s="31" t="s">
        <v>1019</v>
      </c>
      <c r="B245" s="111"/>
      <c r="C245" s="4"/>
      <c r="D245" s="112"/>
      <c r="E245" s="113" t="s">
        <v>749</v>
      </c>
      <c r="F245" s="105" t="s">
        <v>471</v>
      </c>
      <c r="G245" s="4" t="s">
        <v>294</v>
      </c>
      <c r="H245" s="115"/>
      <c r="I245" s="104"/>
      <c r="J245" s="104">
        <v>7</v>
      </c>
      <c r="K245" s="103">
        <v>10</v>
      </c>
      <c r="L245" s="108">
        <f t="shared" si="17"/>
        <v>70</v>
      </c>
      <c r="M245" s="116"/>
      <c r="N245" s="116"/>
      <c r="O245" s="116"/>
      <c r="P245" s="119">
        <f t="shared" si="18"/>
        <v>10</v>
      </c>
      <c r="Q245" s="122">
        <f t="shared" si="21"/>
        <v>7</v>
      </c>
      <c r="R245" s="123">
        <f t="shared" si="19"/>
        <v>10</v>
      </c>
      <c r="S245" s="124">
        <f t="shared" si="20"/>
        <v>70</v>
      </c>
      <c r="T245" s="131"/>
      <c r="U245" s="4"/>
    </row>
    <row r="246" spans="1:21" x14ac:dyDescent="0.3">
      <c r="A246" s="31" t="s">
        <v>1020</v>
      </c>
      <c r="B246" s="111"/>
      <c r="C246" s="4"/>
      <c r="D246" s="112"/>
      <c r="E246" s="113" t="s">
        <v>750</v>
      </c>
      <c r="F246" s="105" t="s">
        <v>471</v>
      </c>
      <c r="G246" s="4" t="s">
        <v>294</v>
      </c>
      <c r="H246" s="115"/>
      <c r="I246" s="104"/>
      <c r="J246" s="104">
        <v>4</v>
      </c>
      <c r="K246" s="103">
        <v>14</v>
      </c>
      <c r="L246" s="108">
        <f t="shared" si="17"/>
        <v>56</v>
      </c>
      <c r="M246" s="116"/>
      <c r="N246" s="116"/>
      <c r="O246" s="116"/>
      <c r="P246" s="119">
        <f t="shared" si="18"/>
        <v>14</v>
      </c>
      <c r="Q246" s="122">
        <f t="shared" si="21"/>
        <v>4</v>
      </c>
      <c r="R246" s="123">
        <f t="shared" si="19"/>
        <v>14</v>
      </c>
      <c r="S246" s="124">
        <f t="shared" si="20"/>
        <v>56</v>
      </c>
      <c r="T246" s="131"/>
      <c r="U246" s="4"/>
    </row>
    <row r="247" spans="1:21" x14ac:dyDescent="0.3">
      <c r="A247" s="31" t="s">
        <v>1021</v>
      </c>
      <c r="B247" s="111"/>
      <c r="C247" s="4"/>
      <c r="D247" s="112"/>
      <c r="E247" s="113" t="s">
        <v>751</v>
      </c>
      <c r="F247" s="105" t="s">
        <v>471</v>
      </c>
      <c r="G247" s="4" t="s">
        <v>294</v>
      </c>
      <c r="H247" s="115"/>
      <c r="I247" s="104"/>
      <c r="J247" s="104">
        <v>8</v>
      </c>
      <c r="K247" s="103">
        <v>3.8</v>
      </c>
      <c r="L247" s="108">
        <f t="shared" si="17"/>
        <v>30.4</v>
      </c>
      <c r="M247" s="116"/>
      <c r="N247" s="116"/>
      <c r="O247" s="116"/>
      <c r="P247" s="119">
        <f t="shared" si="18"/>
        <v>3.8</v>
      </c>
      <c r="Q247" s="122">
        <f t="shared" si="21"/>
        <v>8</v>
      </c>
      <c r="R247" s="123">
        <f t="shared" si="19"/>
        <v>3.8</v>
      </c>
      <c r="S247" s="124">
        <f t="shared" si="20"/>
        <v>30.4</v>
      </c>
      <c r="T247" s="131"/>
      <c r="U247" s="4"/>
    </row>
    <row r="248" spans="1:21" x14ac:dyDescent="0.3">
      <c r="A248" s="31" t="s">
        <v>1022</v>
      </c>
      <c r="B248" s="111"/>
      <c r="C248" s="4"/>
      <c r="D248" s="112"/>
      <c r="E248" s="113" t="s">
        <v>752</v>
      </c>
      <c r="F248" s="105" t="s">
        <v>471</v>
      </c>
      <c r="G248" s="4" t="s">
        <v>294</v>
      </c>
      <c r="H248" s="115"/>
      <c r="I248" s="104"/>
      <c r="J248" s="104">
        <v>3</v>
      </c>
      <c r="K248" s="103">
        <v>5</v>
      </c>
      <c r="L248" s="108">
        <f t="shared" si="17"/>
        <v>15</v>
      </c>
      <c r="M248" s="116"/>
      <c r="N248" s="116"/>
      <c r="O248" s="116"/>
      <c r="P248" s="119">
        <f t="shared" si="18"/>
        <v>5</v>
      </c>
      <c r="Q248" s="122">
        <f t="shared" si="21"/>
        <v>3</v>
      </c>
      <c r="R248" s="123">
        <f t="shared" si="19"/>
        <v>5</v>
      </c>
      <c r="S248" s="124">
        <f t="shared" si="20"/>
        <v>15</v>
      </c>
      <c r="T248" s="131"/>
      <c r="U248" s="4"/>
    </row>
    <row r="249" spans="1:21" x14ac:dyDescent="0.3">
      <c r="A249" s="31" t="s">
        <v>1023</v>
      </c>
      <c r="B249" s="111"/>
      <c r="C249" s="4"/>
      <c r="D249" s="112"/>
      <c r="E249" s="113" t="s">
        <v>753</v>
      </c>
      <c r="F249" s="105" t="s">
        <v>471</v>
      </c>
      <c r="G249" s="4" t="s">
        <v>294</v>
      </c>
      <c r="H249" s="115"/>
      <c r="I249" s="104"/>
      <c r="J249" s="104">
        <v>2</v>
      </c>
      <c r="K249" s="103">
        <v>4.5</v>
      </c>
      <c r="L249" s="108">
        <f t="shared" si="17"/>
        <v>9</v>
      </c>
      <c r="M249" s="116"/>
      <c r="N249" s="116"/>
      <c r="O249" s="116"/>
      <c r="P249" s="119">
        <f t="shared" si="18"/>
        <v>4.5</v>
      </c>
      <c r="Q249" s="122">
        <f t="shared" si="21"/>
        <v>2</v>
      </c>
      <c r="R249" s="123">
        <f t="shared" si="19"/>
        <v>4.5</v>
      </c>
      <c r="S249" s="124">
        <f t="shared" si="20"/>
        <v>9</v>
      </c>
      <c r="T249" s="131"/>
      <c r="U249" s="4"/>
    </row>
    <row r="250" spans="1:21" x14ac:dyDescent="0.3">
      <c r="A250" s="31" t="s">
        <v>1024</v>
      </c>
      <c r="B250" s="111"/>
      <c r="C250" s="4"/>
      <c r="D250" s="112"/>
      <c r="E250" s="113" t="s">
        <v>754</v>
      </c>
      <c r="F250" s="105" t="s">
        <v>471</v>
      </c>
      <c r="G250" s="4" t="s">
        <v>294</v>
      </c>
      <c r="H250" s="115"/>
      <c r="I250" s="104"/>
      <c r="J250" s="104">
        <v>1</v>
      </c>
      <c r="K250" s="103">
        <v>7</v>
      </c>
      <c r="L250" s="108">
        <f t="shared" si="17"/>
        <v>7</v>
      </c>
      <c r="M250" s="116"/>
      <c r="N250" s="116"/>
      <c r="O250" s="116"/>
      <c r="P250" s="119">
        <f t="shared" si="18"/>
        <v>7</v>
      </c>
      <c r="Q250" s="122">
        <f t="shared" si="21"/>
        <v>1</v>
      </c>
      <c r="R250" s="123">
        <f t="shared" si="19"/>
        <v>7</v>
      </c>
      <c r="S250" s="124">
        <f t="shared" si="20"/>
        <v>7</v>
      </c>
      <c r="T250" s="131"/>
      <c r="U250" s="4"/>
    </row>
    <row r="251" spans="1:21" x14ac:dyDescent="0.3">
      <c r="A251" s="31" t="s">
        <v>1025</v>
      </c>
      <c r="B251" s="111"/>
      <c r="C251" s="4"/>
      <c r="D251" s="112"/>
      <c r="E251" s="113" t="s">
        <v>665</v>
      </c>
      <c r="F251" s="105" t="s">
        <v>471</v>
      </c>
      <c r="G251" s="4" t="s">
        <v>659</v>
      </c>
      <c r="H251" s="115"/>
      <c r="I251" s="104"/>
      <c r="J251" s="104">
        <v>2</v>
      </c>
      <c r="K251" s="103">
        <v>38</v>
      </c>
      <c r="L251" s="108">
        <f t="shared" si="17"/>
        <v>76</v>
      </c>
      <c r="M251" s="116"/>
      <c r="N251" s="116"/>
      <c r="O251" s="116"/>
      <c r="P251" s="119">
        <f t="shared" si="18"/>
        <v>38</v>
      </c>
      <c r="Q251" s="122">
        <f t="shared" si="21"/>
        <v>2</v>
      </c>
      <c r="R251" s="123">
        <f t="shared" si="19"/>
        <v>38</v>
      </c>
      <c r="S251" s="124">
        <f t="shared" si="20"/>
        <v>76</v>
      </c>
      <c r="T251" s="131"/>
      <c r="U251" s="4"/>
    </row>
    <row r="252" spans="1:21" x14ac:dyDescent="0.3">
      <c r="A252" s="31" t="s">
        <v>1026</v>
      </c>
      <c r="B252" s="111"/>
      <c r="C252" s="4"/>
      <c r="D252" s="112"/>
      <c r="E252" s="113" t="s">
        <v>758</v>
      </c>
      <c r="F252" s="105" t="s">
        <v>471</v>
      </c>
      <c r="G252" s="4" t="s">
        <v>666</v>
      </c>
      <c r="H252" s="115"/>
      <c r="I252" s="104"/>
      <c r="J252" s="104">
        <v>1</v>
      </c>
      <c r="K252" s="103">
        <v>32</v>
      </c>
      <c r="L252" s="108">
        <f t="shared" si="17"/>
        <v>32</v>
      </c>
      <c r="M252" s="116"/>
      <c r="N252" s="116"/>
      <c r="O252" s="116"/>
      <c r="P252" s="119">
        <f t="shared" si="18"/>
        <v>32</v>
      </c>
      <c r="Q252" s="122">
        <f t="shared" si="21"/>
        <v>1</v>
      </c>
      <c r="R252" s="123">
        <f t="shared" si="19"/>
        <v>32</v>
      </c>
      <c r="S252" s="124">
        <f t="shared" si="20"/>
        <v>32</v>
      </c>
      <c r="T252" s="131"/>
      <c r="U252" s="4"/>
    </row>
    <row r="253" spans="1:21" x14ac:dyDescent="0.3">
      <c r="A253" s="31" t="s">
        <v>1027</v>
      </c>
      <c r="B253" s="111"/>
      <c r="C253" s="4"/>
      <c r="D253" s="112"/>
      <c r="E253" s="113" t="s">
        <v>667</v>
      </c>
      <c r="F253" s="105" t="s">
        <v>471</v>
      </c>
      <c r="G253" s="4" t="s">
        <v>294</v>
      </c>
      <c r="H253" s="115"/>
      <c r="I253" s="104"/>
      <c r="J253" s="104">
        <v>1</v>
      </c>
      <c r="K253" s="103">
        <v>18</v>
      </c>
      <c r="L253" s="108">
        <f t="shared" si="17"/>
        <v>18</v>
      </c>
      <c r="M253" s="116"/>
      <c r="N253" s="116"/>
      <c r="O253" s="116"/>
      <c r="P253" s="119">
        <f t="shared" si="18"/>
        <v>18</v>
      </c>
      <c r="Q253" s="122">
        <f t="shared" si="21"/>
        <v>1</v>
      </c>
      <c r="R253" s="123">
        <f t="shared" si="19"/>
        <v>18</v>
      </c>
      <c r="S253" s="124">
        <f t="shared" si="20"/>
        <v>18</v>
      </c>
      <c r="T253" s="131"/>
      <c r="U253" s="4"/>
    </row>
    <row r="254" spans="1:21" x14ac:dyDescent="0.3">
      <c r="A254" s="31" t="s">
        <v>1028</v>
      </c>
      <c r="B254" s="111"/>
      <c r="C254" s="4"/>
      <c r="D254" s="112"/>
      <c r="E254" s="113" t="s">
        <v>668</v>
      </c>
      <c r="F254" s="105" t="s">
        <v>471</v>
      </c>
      <c r="G254" s="4" t="s">
        <v>64</v>
      </c>
      <c r="H254" s="115"/>
      <c r="I254" s="104"/>
      <c r="J254" s="104">
        <v>4</v>
      </c>
      <c r="K254" s="103">
        <v>25</v>
      </c>
      <c r="L254" s="108">
        <f t="shared" si="17"/>
        <v>100</v>
      </c>
      <c r="M254" s="116"/>
      <c r="N254" s="116"/>
      <c r="O254" s="116"/>
      <c r="P254" s="119">
        <f t="shared" si="18"/>
        <v>25</v>
      </c>
      <c r="Q254" s="122">
        <f t="shared" si="21"/>
        <v>4</v>
      </c>
      <c r="R254" s="123">
        <f t="shared" si="19"/>
        <v>25</v>
      </c>
      <c r="S254" s="124">
        <f t="shared" si="20"/>
        <v>100</v>
      </c>
      <c r="T254" s="131"/>
      <c r="U254" s="4"/>
    </row>
    <row r="255" spans="1:21" x14ac:dyDescent="0.3">
      <c r="A255" s="31" t="s">
        <v>1029</v>
      </c>
      <c r="B255" s="111"/>
      <c r="C255" s="4"/>
      <c r="D255" s="112"/>
      <c r="E255" s="113" t="s">
        <v>669</v>
      </c>
      <c r="F255" s="105" t="s">
        <v>471</v>
      </c>
      <c r="G255" s="4" t="s">
        <v>294</v>
      </c>
      <c r="H255" s="115"/>
      <c r="I255" s="104"/>
      <c r="J255" s="104">
        <v>1</v>
      </c>
      <c r="K255" s="103">
        <v>8.5</v>
      </c>
      <c r="L255" s="108">
        <f t="shared" si="17"/>
        <v>8.5</v>
      </c>
      <c r="M255" s="116"/>
      <c r="N255" s="116"/>
      <c r="O255" s="116"/>
      <c r="P255" s="119">
        <f t="shared" si="18"/>
        <v>8.5</v>
      </c>
      <c r="Q255" s="122">
        <f t="shared" si="21"/>
        <v>1</v>
      </c>
      <c r="R255" s="123">
        <f t="shared" si="19"/>
        <v>8.5</v>
      </c>
      <c r="S255" s="124">
        <f t="shared" si="20"/>
        <v>8.5</v>
      </c>
      <c r="T255" s="131"/>
      <c r="U255" s="4"/>
    </row>
    <row r="256" spans="1:21" x14ac:dyDescent="0.3">
      <c r="A256" s="31" t="s">
        <v>1030</v>
      </c>
      <c r="B256" s="111"/>
      <c r="C256" s="4"/>
      <c r="D256" s="112"/>
      <c r="E256" s="113" t="s">
        <v>757</v>
      </c>
      <c r="F256" s="105" t="s">
        <v>471</v>
      </c>
      <c r="G256" s="4" t="s">
        <v>294</v>
      </c>
      <c r="H256" s="115"/>
      <c r="I256" s="104"/>
      <c r="J256" s="104">
        <v>1</v>
      </c>
      <c r="K256" s="103">
        <v>3.5</v>
      </c>
      <c r="L256" s="108">
        <f t="shared" si="17"/>
        <v>3.5</v>
      </c>
      <c r="M256" s="116"/>
      <c r="N256" s="116"/>
      <c r="O256" s="116"/>
      <c r="P256" s="119">
        <f t="shared" si="18"/>
        <v>3.5</v>
      </c>
      <c r="Q256" s="122">
        <f t="shared" si="21"/>
        <v>1</v>
      </c>
      <c r="R256" s="123">
        <f t="shared" si="19"/>
        <v>3.5</v>
      </c>
      <c r="S256" s="124">
        <f t="shared" si="20"/>
        <v>3.5</v>
      </c>
      <c r="T256" s="131"/>
      <c r="U256" s="4"/>
    </row>
    <row r="257" spans="1:21" x14ac:dyDescent="0.3">
      <c r="A257" s="31" t="s">
        <v>1031</v>
      </c>
      <c r="B257" s="111"/>
      <c r="C257" s="4"/>
      <c r="D257" s="112"/>
      <c r="E257" s="113" t="s">
        <v>670</v>
      </c>
      <c r="F257" s="105" t="s">
        <v>471</v>
      </c>
      <c r="G257" s="4" t="s">
        <v>133</v>
      </c>
      <c r="H257" s="115"/>
      <c r="I257" s="104"/>
      <c r="J257" s="104">
        <v>2</v>
      </c>
      <c r="K257" s="103">
        <v>8</v>
      </c>
      <c r="L257" s="108">
        <f t="shared" si="17"/>
        <v>16</v>
      </c>
      <c r="M257" s="116"/>
      <c r="N257" s="116"/>
      <c r="O257" s="116"/>
      <c r="P257" s="119">
        <f t="shared" si="18"/>
        <v>8</v>
      </c>
      <c r="Q257" s="122">
        <f t="shared" si="21"/>
        <v>2</v>
      </c>
      <c r="R257" s="123">
        <f t="shared" si="19"/>
        <v>8</v>
      </c>
      <c r="S257" s="124">
        <f t="shared" si="20"/>
        <v>16</v>
      </c>
      <c r="T257" s="131"/>
      <c r="U257" s="4"/>
    </row>
    <row r="258" spans="1:21" x14ac:dyDescent="0.3">
      <c r="A258" s="31" t="s">
        <v>1032</v>
      </c>
      <c r="B258" s="111"/>
      <c r="C258" s="4"/>
      <c r="D258" s="112"/>
      <c r="E258" s="113" t="s">
        <v>671</v>
      </c>
      <c r="F258" s="105" t="s">
        <v>471</v>
      </c>
      <c r="G258" s="4" t="s">
        <v>133</v>
      </c>
      <c r="H258" s="115"/>
      <c r="I258" s="104"/>
      <c r="J258" s="104">
        <v>1</v>
      </c>
      <c r="K258" s="103">
        <v>4.5</v>
      </c>
      <c r="L258" s="108">
        <f t="shared" si="17"/>
        <v>4.5</v>
      </c>
      <c r="M258" s="116"/>
      <c r="N258" s="116"/>
      <c r="O258" s="116"/>
      <c r="P258" s="119">
        <f t="shared" si="18"/>
        <v>4.5</v>
      </c>
      <c r="Q258" s="122">
        <f t="shared" si="21"/>
        <v>1</v>
      </c>
      <c r="R258" s="123">
        <f t="shared" si="19"/>
        <v>4.5</v>
      </c>
      <c r="S258" s="124">
        <f t="shared" si="20"/>
        <v>4.5</v>
      </c>
      <c r="T258" s="131"/>
      <c r="U258" s="4"/>
    </row>
    <row r="259" spans="1:21" x14ac:dyDescent="0.3">
      <c r="A259" s="31" t="s">
        <v>1033</v>
      </c>
      <c r="B259" s="111"/>
      <c r="C259" s="4"/>
      <c r="D259" s="112"/>
      <c r="E259" s="113" t="s">
        <v>755</v>
      </c>
      <c r="F259" s="105" t="s">
        <v>471</v>
      </c>
      <c r="G259" s="4" t="s">
        <v>672</v>
      </c>
      <c r="H259" s="115"/>
      <c r="I259" s="104"/>
      <c r="J259" s="104">
        <v>3</v>
      </c>
      <c r="K259" s="103">
        <v>4.5</v>
      </c>
      <c r="L259" s="108">
        <f t="shared" si="17"/>
        <v>13.5</v>
      </c>
      <c r="M259" s="116"/>
      <c r="N259" s="116"/>
      <c r="O259" s="116"/>
      <c r="P259" s="119">
        <f t="shared" si="18"/>
        <v>4.5</v>
      </c>
      <c r="Q259" s="122">
        <f t="shared" si="21"/>
        <v>3</v>
      </c>
      <c r="R259" s="123">
        <f t="shared" si="19"/>
        <v>4.5</v>
      </c>
      <c r="S259" s="124">
        <f t="shared" si="20"/>
        <v>13.5</v>
      </c>
      <c r="T259" s="131"/>
      <c r="U259" s="4"/>
    </row>
    <row r="260" spans="1:21" x14ac:dyDescent="0.3">
      <c r="A260" s="31" t="s">
        <v>1034</v>
      </c>
      <c r="B260" s="111"/>
      <c r="C260" s="4"/>
      <c r="D260" s="112"/>
      <c r="E260" s="113" t="s">
        <v>756</v>
      </c>
      <c r="F260" s="105" t="s">
        <v>471</v>
      </c>
      <c r="G260" s="4" t="s">
        <v>133</v>
      </c>
      <c r="H260" s="115"/>
      <c r="I260" s="104"/>
      <c r="J260" s="104">
        <v>2</v>
      </c>
      <c r="K260" s="103">
        <v>8.5</v>
      </c>
      <c r="L260" s="108">
        <f t="shared" si="17"/>
        <v>17</v>
      </c>
      <c r="M260" s="116"/>
      <c r="N260" s="116"/>
      <c r="O260" s="116"/>
      <c r="P260" s="119">
        <f t="shared" si="18"/>
        <v>8.5</v>
      </c>
      <c r="Q260" s="122">
        <f t="shared" si="21"/>
        <v>2</v>
      </c>
      <c r="R260" s="123">
        <f t="shared" si="19"/>
        <v>8.5</v>
      </c>
      <c r="S260" s="124">
        <f t="shared" si="20"/>
        <v>17</v>
      </c>
      <c r="T260" s="131"/>
      <c r="U260" s="4"/>
    </row>
    <row r="261" spans="1:21" x14ac:dyDescent="0.3">
      <c r="A261" s="31" t="s">
        <v>1035</v>
      </c>
      <c r="B261" s="111"/>
      <c r="C261" s="4"/>
      <c r="D261" s="112"/>
      <c r="E261" s="113" t="s">
        <v>673</v>
      </c>
      <c r="F261" s="105" t="s">
        <v>674</v>
      </c>
      <c r="G261" s="4" t="s">
        <v>294</v>
      </c>
      <c r="H261" s="115"/>
      <c r="I261" s="104"/>
      <c r="J261" s="104">
        <v>1</v>
      </c>
      <c r="K261" s="103">
        <v>9</v>
      </c>
      <c r="L261" s="108">
        <f t="shared" si="17"/>
        <v>9</v>
      </c>
      <c r="M261" s="116"/>
      <c r="N261" s="116"/>
      <c r="O261" s="116"/>
      <c r="P261" s="119">
        <f t="shared" si="18"/>
        <v>9</v>
      </c>
      <c r="Q261" s="122">
        <f t="shared" si="21"/>
        <v>1</v>
      </c>
      <c r="R261" s="123">
        <f t="shared" si="19"/>
        <v>9</v>
      </c>
      <c r="S261" s="124">
        <f t="shared" si="20"/>
        <v>9</v>
      </c>
      <c r="T261" s="131"/>
      <c r="U261" s="4"/>
    </row>
    <row r="262" spans="1:21" x14ac:dyDescent="0.3">
      <c r="A262" s="31" t="s">
        <v>1036</v>
      </c>
      <c r="B262" s="111"/>
      <c r="C262" s="6">
        <v>45524</v>
      </c>
      <c r="D262" s="112">
        <v>737100020057</v>
      </c>
      <c r="E262" s="113" t="s">
        <v>789</v>
      </c>
      <c r="F262" s="105" t="s">
        <v>471</v>
      </c>
      <c r="G262" s="4" t="s">
        <v>294</v>
      </c>
      <c r="H262" s="141">
        <v>45524</v>
      </c>
      <c r="I262" s="104">
        <v>2258</v>
      </c>
      <c r="J262" s="104">
        <v>1</v>
      </c>
      <c r="K262" s="103">
        <v>20.2</v>
      </c>
      <c r="L262" s="108">
        <f t="shared" si="17"/>
        <v>20.2</v>
      </c>
      <c r="M262" s="116"/>
      <c r="N262" s="116"/>
      <c r="O262" s="116"/>
      <c r="P262" s="119">
        <f t="shared" si="18"/>
        <v>20.2</v>
      </c>
      <c r="Q262" s="122">
        <f t="shared" si="21"/>
        <v>1</v>
      </c>
      <c r="R262" s="123">
        <f t="shared" si="19"/>
        <v>20.2</v>
      </c>
      <c r="S262" s="124">
        <f t="shared" si="20"/>
        <v>20.2</v>
      </c>
      <c r="T262" s="131"/>
      <c r="U262" s="4"/>
    </row>
    <row r="263" spans="1:21" x14ac:dyDescent="0.3">
      <c r="A263" s="31" t="s">
        <v>1037</v>
      </c>
      <c r="B263" s="111"/>
      <c r="C263" s="6"/>
      <c r="D263" s="112"/>
      <c r="E263" s="113" t="s">
        <v>679</v>
      </c>
      <c r="F263" s="105"/>
      <c r="G263" s="4" t="s">
        <v>123</v>
      </c>
      <c r="H263" s="141"/>
      <c r="I263" s="104"/>
      <c r="J263" s="104">
        <v>1</v>
      </c>
      <c r="K263" s="103"/>
      <c r="L263" s="108"/>
      <c r="M263" s="116"/>
      <c r="N263" s="116"/>
      <c r="O263" s="116"/>
      <c r="P263" s="119"/>
      <c r="Q263" s="122">
        <f t="shared" si="21"/>
        <v>1</v>
      </c>
      <c r="R263" s="123"/>
      <c r="S263" s="124"/>
      <c r="T263" s="131"/>
      <c r="U263" s="4"/>
    </row>
    <row r="264" spans="1:21" x14ac:dyDescent="0.3">
      <c r="A264" s="31" t="s">
        <v>1038</v>
      </c>
      <c r="B264" s="111"/>
      <c r="C264" s="4"/>
      <c r="D264" s="112"/>
      <c r="E264" s="113" t="s">
        <v>678</v>
      </c>
      <c r="F264" s="105" t="s">
        <v>471</v>
      </c>
      <c r="G264" s="4" t="s">
        <v>34</v>
      </c>
      <c r="H264" s="115"/>
      <c r="I264" s="104"/>
      <c r="J264" s="104">
        <v>1</v>
      </c>
      <c r="K264" s="103">
        <v>280</v>
      </c>
      <c r="L264" s="108">
        <f t="shared" ref="L264:L273" si="22">K264*J264</f>
        <v>280</v>
      </c>
      <c r="M264" s="116"/>
      <c r="N264" s="116"/>
      <c r="O264" s="116"/>
      <c r="P264" s="119">
        <f t="shared" ref="P264:P273" si="23">K264</f>
        <v>280</v>
      </c>
      <c r="Q264" s="122">
        <f t="shared" si="21"/>
        <v>1</v>
      </c>
      <c r="R264" s="123">
        <f t="shared" ref="R264:R273" si="24">K264</f>
        <v>280</v>
      </c>
      <c r="S264" s="124">
        <f t="shared" ref="S264:S273" si="25">Q264*R264</f>
        <v>280</v>
      </c>
      <c r="T264" s="131"/>
      <c r="U264" s="4"/>
    </row>
    <row r="265" spans="1:21" x14ac:dyDescent="0.3">
      <c r="A265" s="31" t="s">
        <v>1039</v>
      </c>
      <c r="B265" s="111">
        <v>62</v>
      </c>
      <c r="C265" s="6">
        <v>46133</v>
      </c>
      <c r="D265" s="112">
        <v>208400030002</v>
      </c>
      <c r="E265" s="113" t="s">
        <v>679</v>
      </c>
      <c r="F265" s="105" t="s">
        <v>471</v>
      </c>
      <c r="G265" s="4" t="s">
        <v>85</v>
      </c>
      <c r="H265" s="115"/>
      <c r="I265" s="104"/>
      <c r="J265" s="104">
        <v>50</v>
      </c>
      <c r="K265" s="103">
        <v>45</v>
      </c>
      <c r="L265" s="108">
        <f t="shared" si="22"/>
        <v>2250</v>
      </c>
      <c r="M265" s="117">
        <v>45790</v>
      </c>
      <c r="N265" s="116"/>
      <c r="O265" s="134">
        <v>6</v>
      </c>
      <c r="P265" s="119">
        <f t="shared" si="23"/>
        <v>45</v>
      </c>
      <c r="Q265" s="122">
        <f t="shared" si="21"/>
        <v>44</v>
      </c>
      <c r="R265" s="123">
        <f t="shared" si="24"/>
        <v>45</v>
      </c>
      <c r="S265" s="124">
        <f t="shared" si="25"/>
        <v>1980</v>
      </c>
      <c r="T265" s="131"/>
      <c r="U265" s="4"/>
    </row>
    <row r="266" spans="1:21" x14ac:dyDescent="0.3">
      <c r="A266" s="31" t="s">
        <v>1040</v>
      </c>
      <c r="B266" s="111">
        <v>62</v>
      </c>
      <c r="C266" s="6">
        <v>46133</v>
      </c>
      <c r="D266" s="112">
        <v>154800010037</v>
      </c>
      <c r="E266" s="4" t="s">
        <v>680</v>
      </c>
      <c r="F266" s="105" t="s">
        <v>471</v>
      </c>
      <c r="G266" s="4" t="s">
        <v>135</v>
      </c>
      <c r="H266" s="115"/>
      <c r="I266" s="104"/>
      <c r="J266" s="104">
        <v>6</v>
      </c>
      <c r="K266" s="103">
        <v>45</v>
      </c>
      <c r="L266" s="108">
        <f t="shared" si="22"/>
        <v>270</v>
      </c>
      <c r="M266" s="116"/>
      <c r="N266" s="116"/>
      <c r="O266" s="116"/>
      <c r="P266" s="119">
        <f t="shared" si="23"/>
        <v>45</v>
      </c>
      <c r="Q266" s="122">
        <f t="shared" si="21"/>
        <v>6</v>
      </c>
      <c r="R266" s="123">
        <f t="shared" si="24"/>
        <v>45</v>
      </c>
      <c r="S266" s="124">
        <f t="shared" si="25"/>
        <v>270</v>
      </c>
      <c r="T266" s="131"/>
      <c r="U266" s="4"/>
    </row>
    <row r="267" spans="1:21" x14ac:dyDescent="0.3">
      <c r="A267" s="31" t="s">
        <v>1041</v>
      </c>
      <c r="B267" s="111">
        <v>62</v>
      </c>
      <c r="C267" s="6">
        <v>46133</v>
      </c>
      <c r="D267" s="112">
        <v>154900030010</v>
      </c>
      <c r="E267" s="4" t="s">
        <v>681</v>
      </c>
      <c r="F267" s="105" t="s">
        <v>471</v>
      </c>
      <c r="G267" s="4" t="s">
        <v>125</v>
      </c>
      <c r="H267" s="115"/>
      <c r="I267" s="104"/>
      <c r="J267" s="104">
        <v>50</v>
      </c>
      <c r="K267" s="103">
        <v>37</v>
      </c>
      <c r="L267" s="108">
        <f t="shared" si="22"/>
        <v>1850</v>
      </c>
      <c r="M267" s="116"/>
      <c r="N267" s="116"/>
      <c r="O267" s="116"/>
      <c r="P267" s="119">
        <f t="shared" si="23"/>
        <v>37</v>
      </c>
      <c r="Q267" s="122">
        <f t="shared" si="21"/>
        <v>50</v>
      </c>
      <c r="R267" s="123">
        <f t="shared" si="24"/>
        <v>37</v>
      </c>
      <c r="S267" s="124">
        <f t="shared" si="25"/>
        <v>1850</v>
      </c>
      <c r="T267" s="131"/>
      <c r="U267" s="4"/>
    </row>
    <row r="268" spans="1:21" x14ac:dyDescent="0.3">
      <c r="A268" s="31" t="s">
        <v>1042</v>
      </c>
      <c r="B268" s="111">
        <v>62</v>
      </c>
      <c r="C268" s="6">
        <v>46133</v>
      </c>
      <c r="D268" s="114" t="s">
        <v>683</v>
      </c>
      <c r="E268" s="4" t="s">
        <v>682</v>
      </c>
      <c r="F268" s="105" t="s">
        <v>471</v>
      </c>
      <c r="G268" s="4" t="s">
        <v>130</v>
      </c>
      <c r="H268" s="115"/>
      <c r="I268" s="104"/>
      <c r="J268" s="104">
        <v>10</v>
      </c>
      <c r="K268" s="103">
        <v>19</v>
      </c>
      <c r="L268" s="108">
        <f t="shared" si="22"/>
        <v>190</v>
      </c>
      <c r="M268" s="116"/>
      <c r="N268" s="116"/>
      <c r="O268" s="116"/>
      <c r="P268" s="119">
        <f t="shared" si="23"/>
        <v>19</v>
      </c>
      <c r="Q268" s="122">
        <f t="shared" si="21"/>
        <v>10</v>
      </c>
      <c r="R268" s="123">
        <f t="shared" si="24"/>
        <v>19</v>
      </c>
      <c r="S268" s="124">
        <f t="shared" si="25"/>
        <v>190</v>
      </c>
      <c r="T268" s="131"/>
      <c r="U268" s="4"/>
    </row>
    <row r="269" spans="1:21" x14ac:dyDescent="0.3">
      <c r="A269" s="31" t="s">
        <v>1043</v>
      </c>
      <c r="B269" s="111">
        <v>62</v>
      </c>
      <c r="C269" s="6">
        <v>46133</v>
      </c>
      <c r="D269" s="114" t="s">
        <v>685</v>
      </c>
      <c r="E269" s="4" t="s">
        <v>684</v>
      </c>
      <c r="F269" s="105" t="s">
        <v>471</v>
      </c>
      <c r="G269" s="4" t="s">
        <v>130</v>
      </c>
      <c r="H269" s="115"/>
      <c r="I269" s="104"/>
      <c r="J269" s="104">
        <v>10</v>
      </c>
      <c r="K269" s="103">
        <v>17.5</v>
      </c>
      <c r="L269" s="108">
        <f t="shared" si="22"/>
        <v>175</v>
      </c>
      <c r="M269" s="116"/>
      <c r="N269" s="116"/>
      <c r="O269" s="116"/>
      <c r="P269" s="119">
        <f t="shared" si="23"/>
        <v>17.5</v>
      </c>
      <c r="Q269" s="122">
        <f t="shared" si="21"/>
        <v>10</v>
      </c>
      <c r="R269" s="123">
        <f t="shared" si="24"/>
        <v>17.5</v>
      </c>
      <c r="S269" s="124">
        <f t="shared" si="25"/>
        <v>175</v>
      </c>
      <c r="T269" s="131"/>
      <c r="U269" s="4"/>
    </row>
    <row r="270" spans="1:21" x14ac:dyDescent="0.3">
      <c r="A270" s="31" t="s">
        <v>1044</v>
      </c>
      <c r="B270" s="111">
        <v>62</v>
      </c>
      <c r="C270" s="6">
        <v>46133</v>
      </c>
      <c r="D270" s="112">
        <v>285400120754</v>
      </c>
      <c r="E270" s="4" t="s">
        <v>675</v>
      </c>
      <c r="F270" s="105" t="s">
        <v>471</v>
      </c>
      <c r="G270" s="4" t="s">
        <v>686</v>
      </c>
      <c r="H270" s="115"/>
      <c r="I270" s="104"/>
      <c r="J270" s="104">
        <v>25</v>
      </c>
      <c r="K270" s="103">
        <v>33</v>
      </c>
      <c r="L270" s="108">
        <f t="shared" si="22"/>
        <v>825</v>
      </c>
      <c r="M270" s="116"/>
      <c r="N270" s="116"/>
      <c r="O270" s="116"/>
      <c r="P270" s="119">
        <f t="shared" si="23"/>
        <v>33</v>
      </c>
      <c r="Q270" s="118">
        <f t="shared" si="21"/>
        <v>25</v>
      </c>
      <c r="R270" s="109">
        <f t="shared" si="24"/>
        <v>33</v>
      </c>
      <c r="S270" s="110">
        <f t="shared" si="25"/>
        <v>825</v>
      </c>
      <c r="T270" s="89"/>
      <c r="U270" s="4"/>
    </row>
    <row r="271" spans="1:21" x14ac:dyDescent="0.3">
      <c r="A271" s="31" t="s">
        <v>1045</v>
      </c>
      <c r="B271" s="111">
        <v>62</v>
      </c>
      <c r="C271" s="6">
        <v>46133</v>
      </c>
      <c r="D271" s="112">
        <v>737000070016</v>
      </c>
      <c r="E271" s="4" t="s">
        <v>687</v>
      </c>
      <c r="F271" s="105" t="s">
        <v>474</v>
      </c>
      <c r="G271" s="4" t="s">
        <v>323</v>
      </c>
      <c r="H271" s="115"/>
      <c r="I271" s="104"/>
      <c r="J271" s="104">
        <v>2</v>
      </c>
      <c r="K271" s="103">
        <v>101</v>
      </c>
      <c r="L271" s="108">
        <f t="shared" si="22"/>
        <v>202</v>
      </c>
      <c r="M271" s="116"/>
      <c r="N271" s="116"/>
      <c r="O271" s="116"/>
      <c r="P271" s="121">
        <f t="shared" si="23"/>
        <v>101</v>
      </c>
      <c r="Q271" s="122">
        <f t="shared" si="21"/>
        <v>2</v>
      </c>
      <c r="R271" s="123">
        <f t="shared" si="24"/>
        <v>101</v>
      </c>
      <c r="S271" s="124">
        <f t="shared" si="25"/>
        <v>202</v>
      </c>
      <c r="T271" s="125"/>
      <c r="U271" s="96"/>
    </row>
    <row r="272" spans="1:21" ht="28.8" customHeight="1" x14ac:dyDescent="0.3">
      <c r="A272" s="31" t="s">
        <v>1046</v>
      </c>
      <c r="B272" s="111">
        <v>62</v>
      </c>
      <c r="C272" s="6">
        <v>46133</v>
      </c>
      <c r="D272" s="112">
        <v>285400340032</v>
      </c>
      <c r="E272" s="120" t="s">
        <v>688</v>
      </c>
      <c r="F272" s="105" t="s">
        <v>471</v>
      </c>
      <c r="G272" s="4" t="s">
        <v>529</v>
      </c>
      <c r="H272" s="115"/>
      <c r="I272" s="104"/>
      <c r="J272" s="104">
        <v>50</v>
      </c>
      <c r="K272" s="103">
        <v>21.2</v>
      </c>
      <c r="L272" s="103">
        <f t="shared" si="22"/>
        <v>1060</v>
      </c>
      <c r="M272" s="116"/>
      <c r="N272" s="116"/>
      <c r="O272" s="116"/>
      <c r="P272" s="121">
        <f t="shared" si="23"/>
        <v>21.2</v>
      </c>
      <c r="Q272" s="122">
        <f t="shared" si="21"/>
        <v>50</v>
      </c>
      <c r="R272" s="123">
        <f t="shared" si="24"/>
        <v>21.2</v>
      </c>
      <c r="S272" s="124">
        <f t="shared" si="25"/>
        <v>1060</v>
      </c>
      <c r="T272" s="125"/>
      <c r="U272" s="96"/>
    </row>
    <row r="273" spans="1:20" ht="28.8" customHeight="1" x14ac:dyDescent="0.3">
      <c r="A273" s="31" t="s">
        <v>1047</v>
      </c>
      <c r="B273" s="111">
        <v>62</v>
      </c>
      <c r="C273" s="6">
        <v>46133</v>
      </c>
      <c r="D273" s="112">
        <v>731500050037</v>
      </c>
      <c r="E273" s="113" t="s">
        <v>690</v>
      </c>
      <c r="F273" s="105" t="s">
        <v>474</v>
      </c>
      <c r="G273" s="4" t="s">
        <v>689</v>
      </c>
      <c r="H273" s="115"/>
      <c r="I273" s="104"/>
      <c r="J273" s="104">
        <v>5</v>
      </c>
      <c r="K273" s="103">
        <v>460</v>
      </c>
      <c r="L273" s="103">
        <f t="shared" si="22"/>
        <v>2300</v>
      </c>
      <c r="M273" s="116"/>
      <c r="N273" s="116"/>
      <c r="O273" s="116"/>
      <c r="P273" s="121">
        <f t="shared" si="23"/>
        <v>460</v>
      </c>
      <c r="Q273" s="122">
        <f t="shared" si="21"/>
        <v>5</v>
      </c>
      <c r="R273" s="123">
        <f t="shared" si="24"/>
        <v>460</v>
      </c>
      <c r="S273" s="124">
        <f t="shared" si="25"/>
        <v>2300</v>
      </c>
      <c r="T273" s="125"/>
    </row>
    <row r="274" spans="1:20" ht="18" x14ac:dyDescent="0.35">
      <c r="L274" s="135">
        <f>SUM(L4:L273)</f>
        <v>150932.20000000001</v>
      </c>
      <c r="S274" s="136">
        <f>SUM(S4:S273)</f>
        <v>127587.40000000001</v>
      </c>
    </row>
  </sheetData>
  <autoFilter ref="A1:U274" xr:uid="{4CEC4939-7769-4034-B8CE-DD71C9B5C288}"/>
  <mergeCells count="22">
    <mergeCell ref="T28:T29"/>
    <mergeCell ref="U28:U29"/>
    <mergeCell ref="A28:A29"/>
    <mergeCell ref="F28:F29"/>
    <mergeCell ref="A146:A148"/>
    <mergeCell ref="T146:T148"/>
    <mergeCell ref="U146:U148"/>
    <mergeCell ref="C87:C88"/>
    <mergeCell ref="B87:B88"/>
    <mergeCell ref="O75:O76"/>
    <mergeCell ref="M75:M76"/>
    <mergeCell ref="A2:A3"/>
    <mergeCell ref="U2:U3"/>
    <mergeCell ref="G2:G3"/>
    <mergeCell ref="H2:K2"/>
    <mergeCell ref="M2:P2"/>
    <mergeCell ref="Q2:T2"/>
    <mergeCell ref="F2:F3"/>
    <mergeCell ref="E2:E3"/>
    <mergeCell ref="D2:D3"/>
    <mergeCell ref="C2:C3"/>
    <mergeCell ref="B2:B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2055-C4E1-4EE1-9FCB-C29256A46D44}">
  <dimension ref="A1:U262"/>
  <sheetViews>
    <sheetView tabSelected="1" zoomScale="80" zoomScaleNormal="80" workbookViewId="0">
      <selection activeCell="L272" sqref="L272"/>
    </sheetView>
  </sheetViews>
  <sheetFormatPr baseColWidth="10" defaultRowHeight="14.4" x14ac:dyDescent="0.3"/>
  <cols>
    <col min="1" max="1" width="6.5546875" customWidth="1"/>
    <col min="2" max="2" width="11.5546875" style="8" customWidth="1"/>
    <col min="4" max="4" width="15.21875" style="34" customWidth="1"/>
    <col min="5" max="5" width="52.77734375" customWidth="1"/>
    <col min="6" max="6" width="13.21875" style="7" customWidth="1"/>
    <col min="7" max="7" width="20.44140625" customWidth="1"/>
    <col min="8" max="8" width="10.77734375" hidden="1" customWidth="1"/>
    <col min="9" max="9" width="11.5546875" style="7" hidden="1" customWidth="1"/>
    <col min="10" max="10" width="11.5546875" style="7"/>
    <col min="11" max="11" width="11.44140625" style="64" customWidth="1"/>
    <col min="12" max="12" width="13.77734375" style="64" customWidth="1"/>
    <col min="13" max="14" width="12.109375" style="7" customWidth="1"/>
    <col min="15" max="15" width="11.5546875" style="7" customWidth="1"/>
    <col min="16" max="16" width="12.77734375" style="70" customWidth="1"/>
    <col min="17" max="18" width="11.5546875" style="7"/>
    <col min="19" max="19" width="13.77734375" style="79" bestFit="1" customWidth="1"/>
    <col min="20" max="20" width="13.109375" customWidth="1"/>
    <col min="21" max="21" width="41" customWidth="1"/>
  </cols>
  <sheetData>
    <row r="1" spans="1:21" ht="36" customHeight="1" thickBot="1" x14ac:dyDescent="0.35">
      <c r="E1" s="92" t="s">
        <v>511</v>
      </c>
      <c r="F1" s="93">
        <f ca="1">TODAY()</f>
        <v>46164</v>
      </c>
    </row>
    <row r="2" spans="1:21" ht="25.8" customHeight="1" thickBot="1" x14ac:dyDescent="0.35">
      <c r="A2" s="164" t="s">
        <v>163</v>
      </c>
      <c r="B2" s="166" t="s">
        <v>158</v>
      </c>
      <c r="C2" s="168" t="s">
        <v>159</v>
      </c>
      <c r="D2" s="170" t="s">
        <v>30</v>
      </c>
      <c r="E2" s="168" t="s">
        <v>27</v>
      </c>
      <c r="F2" s="172" t="s">
        <v>469</v>
      </c>
      <c r="G2" s="178" t="s">
        <v>33</v>
      </c>
      <c r="H2" s="180" t="s">
        <v>28</v>
      </c>
      <c r="I2" s="181"/>
      <c r="J2" s="181"/>
      <c r="K2" s="182"/>
      <c r="L2" s="50"/>
      <c r="M2" s="183" t="s">
        <v>32</v>
      </c>
      <c r="N2" s="184"/>
      <c r="O2" s="184"/>
      <c r="P2" s="185"/>
      <c r="Q2" s="154" t="s">
        <v>10</v>
      </c>
      <c r="R2" s="155"/>
      <c r="S2" s="155"/>
      <c r="T2" s="156"/>
      <c r="U2" s="157" t="s">
        <v>160</v>
      </c>
    </row>
    <row r="3" spans="1:21" s="13" customFormat="1" ht="15" thickBot="1" x14ac:dyDescent="0.35">
      <c r="A3" s="165"/>
      <c r="B3" s="167"/>
      <c r="C3" s="169"/>
      <c r="D3" s="171"/>
      <c r="E3" s="169"/>
      <c r="F3" s="173"/>
      <c r="G3" s="179"/>
      <c r="H3" s="25" t="s">
        <v>159</v>
      </c>
      <c r="I3" s="49" t="s">
        <v>481</v>
      </c>
      <c r="J3" s="49" t="s">
        <v>483</v>
      </c>
      <c r="K3" s="72" t="s">
        <v>501</v>
      </c>
      <c r="L3" s="73" t="s">
        <v>508</v>
      </c>
      <c r="M3" s="51" t="s">
        <v>159</v>
      </c>
      <c r="N3" s="51" t="s">
        <v>480</v>
      </c>
      <c r="O3" s="44" t="s">
        <v>483</v>
      </c>
      <c r="P3" s="45" t="s">
        <v>501</v>
      </c>
      <c r="Q3" s="80" t="s">
        <v>26</v>
      </c>
      <c r="R3" s="80" t="s">
        <v>501</v>
      </c>
      <c r="S3" s="81" t="s">
        <v>508</v>
      </c>
      <c r="T3" s="82" t="s">
        <v>482</v>
      </c>
      <c r="U3" s="158"/>
    </row>
    <row r="4" spans="1:21" x14ac:dyDescent="0.3">
      <c r="A4" s="31" t="s">
        <v>460</v>
      </c>
      <c r="B4" s="14"/>
      <c r="C4" s="143">
        <v>44830</v>
      </c>
      <c r="D4" s="35">
        <v>285400120258</v>
      </c>
      <c r="E4" s="29" t="s">
        <v>798</v>
      </c>
      <c r="F4" s="39" t="s">
        <v>471</v>
      </c>
      <c r="G4" s="12" t="s">
        <v>517</v>
      </c>
      <c r="H4" s="52">
        <v>44830</v>
      </c>
      <c r="I4" s="41">
        <v>2364</v>
      </c>
      <c r="J4" s="41">
        <v>67</v>
      </c>
      <c r="K4" s="65">
        <v>8.6999999999999993</v>
      </c>
      <c r="L4" s="65">
        <f>K4*J4</f>
        <v>582.9</v>
      </c>
      <c r="M4" s="46"/>
      <c r="N4" s="46"/>
      <c r="O4" s="46"/>
      <c r="P4" s="71">
        <f>K4</f>
        <v>8.6999999999999993</v>
      </c>
      <c r="Q4" s="83">
        <f>J4-O4</f>
        <v>67</v>
      </c>
      <c r="R4" s="84">
        <f>K4</f>
        <v>8.6999999999999993</v>
      </c>
      <c r="S4" s="85">
        <f>Q4*R4</f>
        <v>582.9</v>
      </c>
      <c r="T4" s="86"/>
      <c r="U4" s="26" t="s">
        <v>532</v>
      </c>
    </row>
    <row r="5" spans="1:21" x14ac:dyDescent="0.3">
      <c r="A5" s="31" t="s">
        <v>461</v>
      </c>
      <c r="B5" s="15"/>
      <c r="C5" s="9"/>
      <c r="D5" s="21"/>
      <c r="E5" s="23" t="s">
        <v>772</v>
      </c>
      <c r="F5" s="39" t="s">
        <v>471</v>
      </c>
      <c r="G5" s="9" t="s">
        <v>518</v>
      </c>
      <c r="H5" s="41"/>
      <c r="I5" s="42"/>
      <c r="J5" s="42">
        <v>13</v>
      </c>
      <c r="K5" s="65">
        <v>75</v>
      </c>
      <c r="L5" s="65">
        <f t="shared" ref="L5:L68" si="0">K5*J5</f>
        <v>975</v>
      </c>
      <c r="M5" s="46"/>
      <c r="N5" s="46"/>
      <c r="O5" s="47"/>
      <c r="P5" s="71">
        <f t="shared" ref="P5:P68" si="1">K5</f>
        <v>75</v>
      </c>
      <c r="Q5" s="83">
        <f t="shared" ref="Q5:Q68" si="2">J5-O5</f>
        <v>13</v>
      </c>
      <c r="R5" s="84">
        <f t="shared" ref="R5:R68" si="3">K5</f>
        <v>75</v>
      </c>
      <c r="S5" s="85">
        <f t="shared" ref="S5:S68" si="4">Q5*R5</f>
        <v>975</v>
      </c>
      <c r="T5" s="87"/>
      <c r="U5" s="27"/>
    </row>
    <row r="6" spans="1:21" x14ac:dyDescent="0.3">
      <c r="A6" s="31" t="s">
        <v>462</v>
      </c>
      <c r="B6" s="15"/>
      <c r="C6" s="9"/>
      <c r="D6" s="21"/>
      <c r="E6" s="23" t="s">
        <v>773</v>
      </c>
      <c r="F6" s="39" t="s">
        <v>471</v>
      </c>
      <c r="G6" s="9" t="s">
        <v>519</v>
      </c>
      <c r="H6" s="41"/>
      <c r="I6" s="42"/>
      <c r="J6" s="42">
        <v>3</v>
      </c>
      <c r="K6" s="65">
        <v>35</v>
      </c>
      <c r="L6" s="65">
        <f t="shared" si="0"/>
        <v>105</v>
      </c>
      <c r="M6" s="46"/>
      <c r="N6" s="46"/>
      <c r="O6" s="47"/>
      <c r="P6" s="71">
        <f t="shared" si="1"/>
        <v>35</v>
      </c>
      <c r="Q6" s="83">
        <f t="shared" si="2"/>
        <v>3</v>
      </c>
      <c r="R6" s="84">
        <f t="shared" si="3"/>
        <v>35</v>
      </c>
      <c r="S6" s="85">
        <f t="shared" si="4"/>
        <v>105</v>
      </c>
      <c r="T6" s="88"/>
      <c r="U6" s="27"/>
    </row>
    <row r="7" spans="1:21" x14ac:dyDescent="0.3">
      <c r="A7" s="31" t="s">
        <v>463</v>
      </c>
      <c r="B7" s="15"/>
      <c r="C7" s="9"/>
      <c r="D7" s="21"/>
      <c r="E7" s="23" t="s">
        <v>774</v>
      </c>
      <c r="F7" s="39" t="s">
        <v>471</v>
      </c>
      <c r="G7" s="9" t="s">
        <v>519</v>
      </c>
      <c r="H7" s="41"/>
      <c r="I7" s="42"/>
      <c r="J7" s="42">
        <v>3</v>
      </c>
      <c r="K7" s="65">
        <v>35</v>
      </c>
      <c r="L7" s="65">
        <f t="shared" si="0"/>
        <v>105</v>
      </c>
      <c r="M7" s="46"/>
      <c r="N7" s="46"/>
      <c r="O7" s="47"/>
      <c r="P7" s="71">
        <f t="shared" si="1"/>
        <v>35</v>
      </c>
      <c r="Q7" s="83">
        <f t="shared" si="2"/>
        <v>3</v>
      </c>
      <c r="R7" s="84">
        <f t="shared" si="3"/>
        <v>35</v>
      </c>
      <c r="S7" s="85">
        <f t="shared" si="4"/>
        <v>105</v>
      </c>
      <c r="T7" s="88"/>
      <c r="U7" s="27"/>
    </row>
    <row r="8" spans="1:21" x14ac:dyDescent="0.3">
      <c r="A8" s="31" t="s">
        <v>464</v>
      </c>
      <c r="B8" s="15"/>
      <c r="C8" s="9"/>
      <c r="D8" s="21"/>
      <c r="E8" s="23" t="s">
        <v>775</v>
      </c>
      <c r="F8" s="39" t="s">
        <v>471</v>
      </c>
      <c r="G8" s="9" t="s">
        <v>519</v>
      </c>
      <c r="H8" s="41"/>
      <c r="I8" s="42"/>
      <c r="J8" s="42">
        <v>3</v>
      </c>
      <c r="K8" s="65">
        <v>45</v>
      </c>
      <c r="L8" s="65">
        <f t="shared" si="0"/>
        <v>135</v>
      </c>
      <c r="M8" s="46"/>
      <c r="N8" s="46"/>
      <c r="O8" s="47"/>
      <c r="P8" s="71">
        <f t="shared" si="1"/>
        <v>45</v>
      </c>
      <c r="Q8" s="83">
        <f t="shared" si="2"/>
        <v>3</v>
      </c>
      <c r="R8" s="84">
        <f t="shared" si="3"/>
        <v>45</v>
      </c>
      <c r="S8" s="85">
        <f t="shared" si="4"/>
        <v>135</v>
      </c>
      <c r="T8" s="88"/>
      <c r="U8" s="27"/>
    </row>
    <row r="9" spans="1:21" x14ac:dyDescent="0.3">
      <c r="A9" s="31" t="s">
        <v>465</v>
      </c>
      <c r="B9" s="15"/>
      <c r="C9" s="9"/>
      <c r="D9" s="21"/>
      <c r="E9" s="23" t="s">
        <v>776</v>
      </c>
      <c r="F9" s="39" t="s">
        <v>471</v>
      </c>
      <c r="G9" s="9" t="s">
        <v>519</v>
      </c>
      <c r="H9" s="41"/>
      <c r="I9" s="42"/>
      <c r="J9" s="42">
        <v>6</v>
      </c>
      <c r="K9" s="65">
        <v>28</v>
      </c>
      <c r="L9" s="65">
        <f t="shared" si="0"/>
        <v>168</v>
      </c>
      <c r="M9" s="46"/>
      <c r="N9" s="46"/>
      <c r="O9" s="47"/>
      <c r="P9" s="71">
        <f t="shared" si="1"/>
        <v>28</v>
      </c>
      <c r="Q9" s="83">
        <f t="shared" si="2"/>
        <v>6</v>
      </c>
      <c r="R9" s="84">
        <f t="shared" si="3"/>
        <v>28</v>
      </c>
      <c r="S9" s="85">
        <f t="shared" si="4"/>
        <v>168</v>
      </c>
      <c r="T9" s="88"/>
      <c r="U9" s="27"/>
    </row>
    <row r="10" spans="1:21" x14ac:dyDescent="0.3">
      <c r="A10" s="31" t="s">
        <v>466</v>
      </c>
      <c r="B10" s="15"/>
      <c r="C10" s="32"/>
      <c r="D10" s="21"/>
      <c r="E10" s="23" t="s">
        <v>521</v>
      </c>
      <c r="F10" s="39" t="s">
        <v>471</v>
      </c>
      <c r="G10" s="9" t="s">
        <v>520</v>
      </c>
      <c r="H10" s="52"/>
      <c r="I10" s="42"/>
      <c r="J10" s="42">
        <v>100</v>
      </c>
      <c r="K10" s="65">
        <v>8</v>
      </c>
      <c r="L10" s="65">
        <f t="shared" si="0"/>
        <v>800</v>
      </c>
      <c r="M10" s="46"/>
      <c r="N10" s="46"/>
      <c r="O10" s="47"/>
      <c r="P10" s="71">
        <f t="shared" si="1"/>
        <v>8</v>
      </c>
      <c r="Q10" s="83">
        <f t="shared" si="2"/>
        <v>100</v>
      </c>
      <c r="R10" s="84">
        <f t="shared" si="3"/>
        <v>8</v>
      </c>
      <c r="S10" s="85">
        <f t="shared" si="4"/>
        <v>800</v>
      </c>
      <c r="T10" s="88"/>
      <c r="U10" s="27"/>
    </row>
    <row r="11" spans="1:21" x14ac:dyDescent="0.3">
      <c r="A11" s="31" t="s">
        <v>467</v>
      </c>
      <c r="B11" s="15">
        <v>116</v>
      </c>
      <c r="C11" s="32">
        <v>45887</v>
      </c>
      <c r="D11" s="21">
        <v>285000180053</v>
      </c>
      <c r="E11" s="23" t="s">
        <v>805</v>
      </c>
      <c r="F11" s="39" t="s">
        <v>471</v>
      </c>
      <c r="G11" s="9" t="s">
        <v>765</v>
      </c>
      <c r="H11" s="52">
        <v>45887</v>
      </c>
      <c r="I11" s="42">
        <v>2012</v>
      </c>
      <c r="J11" s="42">
        <v>3</v>
      </c>
      <c r="K11" s="65">
        <v>45</v>
      </c>
      <c r="L11" s="65">
        <f t="shared" si="0"/>
        <v>135</v>
      </c>
      <c r="M11" s="46"/>
      <c r="N11" s="46"/>
      <c r="O11" s="47"/>
      <c r="P11" s="71">
        <f t="shared" si="1"/>
        <v>45</v>
      </c>
      <c r="Q11" s="83">
        <f t="shared" si="2"/>
        <v>3</v>
      </c>
      <c r="R11" s="84">
        <f t="shared" si="3"/>
        <v>45</v>
      </c>
      <c r="S11" s="85">
        <f t="shared" si="4"/>
        <v>135</v>
      </c>
      <c r="T11" s="88"/>
      <c r="U11" s="27"/>
    </row>
    <row r="12" spans="1:21" x14ac:dyDescent="0.3">
      <c r="A12" s="31" t="s">
        <v>468</v>
      </c>
      <c r="B12" s="15">
        <v>116</v>
      </c>
      <c r="C12" s="32">
        <v>45887</v>
      </c>
      <c r="D12" s="21">
        <v>285000180052</v>
      </c>
      <c r="E12" s="23" t="s">
        <v>804</v>
      </c>
      <c r="F12" s="39" t="s">
        <v>471</v>
      </c>
      <c r="G12" s="9" t="s">
        <v>765</v>
      </c>
      <c r="H12" s="52">
        <v>45887</v>
      </c>
      <c r="I12" s="42">
        <v>2012</v>
      </c>
      <c r="J12" s="42">
        <v>8</v>
      </c>
      <c r="K12" s="65">
        <v>45</v>
      </c>
      <c r="L12" s="65">
        <f t="shared" si="0"/>
        <v>360</v>
      </c>
      <c r="M12" s="46"/>
      <c r="N12" s="46"/>
      <c r="O12" s="47"/>
      <c r="P12" s="71">
        <f t="shared" si="1"/>
        <v>45</v>
      </c>
      <c r="Q12" s="83">
        <f t="shared" si="2"/>
        <v>8</v>
      </c>
      <c r="R12" s="84">
        <f t="shared" si="3"/>
        <v>45</v>
      </c>
      <c r="S12" s="85">
        <f t="shared" si="4"/>
        <v>360</v>
      </c>
      <c r="T12" s="88"/>
      <c r="U12" s="27"/>
    </row>
    <row r="13" spans="1:21" x14ac:dyDescent="0.3">
      <c r="A13" s="31" t="s">
        <v>164</v>
      </c>
      <c r="B13" s="15"/>
      <c r="C13" s="32"/>
      <c r="D13" s="21"/>
      <c r="E13" s="23" t="s">
        <v>806</v>
      </c>
      <c r="F13" s="39" t="s">
        <v>471</v>
      </c>
      <c r="G13" s="9" t="s">
        <v>765</v>
      </c>
      <c r="H13" s="41"/>
      <c r="I13" s="42"/>
      <c r="J13" s="42">
        <v>3</v>
      </c>
      <c r="K13" s="65">
        <v>15</v>
      </c>
      <c r="L13" s="65">
        <f t="shared" si="0"/>
        <v>45</v>
      </c>
      <c r="M13" s="46"/>
      <c r="N13" s="46"/>
      <c r="O13" s="47"/>
      <c r="P13" s="71">
        <f t="shared" si="1"/>
        <v>15</v>
      </c>
      <c r="Q13" s="83">
        <f t="shared" si="2"/>
        <v>3</v>
      </c>
      <c r="R13" s="84">
        <f t="shared" si="3"/>
        <v>15</v>
      </c>
      <c r="S13" s="85">
        <f t="shared" si="4"/>
        <v>45</v>
      </c>
      <c r="T13" s="88"/>
      <c r="U13" s="27"/>
    </row>
    <row r="14" spans="1:21" x14ac:dyDescent="0.3">
      <c r="A14" s="31" t="s">
        <v>165</v>
      </c>
      <c r="B14" s="15">
        <v>116</v>
      </c>
      <c r="C14" s="32">
        <v>45887</v>
      </c>
      <c r="D14" s="21">
        <v>285000180051</v>
      </c>
      <c r="E14" s="23" t="s">
        <v>807</v>
      </c>
      <c r="F14" s="39" t="s">
        <v>471</v>
      </c>
      <c r="G14" s="9" t="s">
        <v>765</v>
      </c>
      <c r="H14" s="52">
        <v>45887</v>
      </c>
      <c r="I14" s="42">
        <v>2012</v>
      </c>
      <c r="J14" s="42">
        <v>7</v>
      </c>
      <c r="K14" s="65">
        <v>45</v>
      </c>
      <c r="L14" s="65">
        <f t="shared" si="0"/>
        <v>315</v>
      </c>
      <c r="M14" s="46"/>
      <c r="N14" s="46"/>
      <c r="O14" s="47"/>
      <c r="P14" s="71">
        <f t="shared" si="1"/>
        <v>45</v>
      </c>
      <c r="Q14" s="83">
        <f t="shared" si="2"/>
        <v>7</v>
      </c>
      <c r="R14" s="84">
        <f t="shared" si="3"/>
        <v>45</v>
      </c>
      <c r="S14" s="85">
        <f t="shared" si="4"/>
        <v>315</v>
      </c>
      <c r="T14" s="88"/>
      <c r="U14" s="27"/>
    </row>
    <row r="15" spans="1:21" x14ac:dyDescent="0.3">
      <c r="A15" s="31" t="s">
        <v>166</v>
      </c>
      <c r="B15" s="15">
        <v>133</v>
      </c>
      <c r="C15" s="32">
        <v>45888</v>
      </c>
      <c r="D15" s="21">
        <v>285000060874</v>
      </c>
      <c r="E15" s="23" t="s">
        <v>766</v>
      </c>
      <c r="F15" s="39" t="s">
        <v>471</v>
      </c>
      <c r="G15" s="9" t="s">
        <v>524</v>
      </c>
      <c r="H15" s="52">
        <v>45888</v>
      </c>
      <c r="I15" s="42">
        <v>2035</v>
      </c>
      <c r="J15" s="42">
        <v>5</v>
      </c>
      <c r="K15" s="65">
        <v>106.2</v>
      </c>
      <c r="L15" s="65">
        <v>106.2</v>
      </c>
      <c r="M15" s="46"/>
      <c r="N15" s="46"/>
      <c r="O15" s="47"/>
      <c r="P15" s="71">
        <f t="shared" si="1"/>
        <v>106.2</v>
      </c>
      <c r="Q15" s="83">
        <f t="shared" si="2"/>
        <v>5</v>
      </c>
      <c r="R15" s="84">
        <f t="shared" si="3"/>
        <v>106.2</v>
      </c>
      <c r="S15" s="85">
        <f t="shared" si="4"/>
        <v>531</v>
      </c>
      <c r="T15" s="88"/>
      <c r="U15" s="27"/>
    </row>
    <row r="16" spans="1:21" x14ac:dyDescent="0.3">
      <c r="A16" s="31" t="s">
        <v>167</v>
      </c>
      <c r="B16" s="15"/>
      <c r="C16" s="32"/>
      <c r="D16" s="21"/>
      <c r="E16" s="23" t="s">
        <v>767</v>
      </c>
      <c r="F16" s="39" t="s">
        <v>471</v>
      </c>
      <c r="G16" s="9" t="s">
        <v>765</v>
      </c>
      <c r="H16" s="52"/>
      <c r="I16" s="42"/>
      <c r="J16" s="42">
        <v>6</v>
      </c>
      <c r="K16" s="65">
        <v>150</v>
      </c>
      <c r="L16" s="65">
        <f t="shared" si="0"/>
        <v>900</v>
      </c>
      <c r="M16" s="46"/>
      <c r="N16" s="46"/>
      <c r="O16" s="47"/>
      <c r="P16" s="71">
        <f t="shared" si="1"/>
        <v>150</v>
      </c>
      <c r="Q16" s="83">
        <f t="shared" si="2"/>
        <v>6</v>
      </c>
      <c r="R16" s="84">
        <f t="shared" si="3"/>
        <v>150</v>
      </c>
      <c r="S16" s="85">
        <f t="shared" si="4"/>
        <v>900</v>
      </c>
      <c r="T16" s="88"/>
      <c r="U16" s="27"/>
    </row>
    <row r="17" spans="1:21" x14ac:dyDescent="0.3">
      <c r="A17" s="31" t="s">
        <v>168</v>
      </c>
      <c r="B17" s="15"/>
      <c r="C17" s="32"/>
      <c r="D17" s="21"/>
      <c r="E17" s="22" t="s">
        <v>523</v>
      </c>
      <c r="F17" s="39" t="s">
        <v>471</v>
      </c>
      <c r="G17" s="9" t="s">
        <v>524</v>
      </c>
      <c r="H17" s="52"/>
      <c r="I17" s="42"/>
      <c r="J17" s="42">
        <v>1</v>
      </c>
      <c r="K17" s="65">
        <v>50</v>
      </c>
      <c r="L17" s="65">
        <f t="shared" si="0"/>
        <v>50</v>
      </c>
      <c r="M17" s="46"/>
      <c r="N17" s="46"/>
      <c r="O17" s="47"/>
      <c r="P17" s="71">
        <f t="shared" si="1"/>
        <v>50</v>
      </c>
      <c r="Q17" s="83">
        <f t="shared" si="2"/>
        <v>1</v>
      </c>
      <c r="R17" s="84">
        <f t="shared" si="3"/>
        <v>50</v>
      </c>
      <c r="S17" s="85">
        <f t="shared" si="4"/>
        <v>50</v>
      </c>
      <c r="T17" s="88"/>
      <c r="U17" s="27"/>
    </row>
    <row r="18" spans="1:21" x14ac:dyDescent="0.3">
      <c r="A18" s="31" t="s">
        <v>169</v>
      </c>
      <c r="B18" s="15"/>
      <c r="C18" s="32">
        <v>44923</v>
      </c>
      <c r="D18" s="21">
        <v>285000100073</v>
      </c>
      <c r="E18" s="23" t="s">
        <v>525</v>
      </c>
      <c r="F18" s="39" t="s">
        <v>471</v>
      </c>
      <c r="G18" s="9" t="s">
        <v>526</v>
      </c>
      <c r="H18" s="52">
        <v>44923</v>
      </c>
      <c r="I18" s="42">
        <v>3269</v>
      </c>
      <c r="J18" s="75">
        <v>5</v>
      </c>
      <c r="K18" s="65">
        <v>26</v>
      </c>
      <c r="L18" s="65">
        <f t="shared" si="0"/>
        <v>130</v>
      </c>
      <c r="M18" s="46"/>
      <c r="N18" s="46"/>
      <c r="O18" s="47"/>
      <c r="P18" s="71">
        <f t="shared" si="1"/>
        <v>26</v>
      </c>
      <c r="Q18" s="83">
        <f t="shared" si="2"/>
        <v>5</v>
      </c>
      <c r="R18" s="84">
        <f t="shared" si="3"/>
        <v>26</v>
      </c>
      <c r="S18" s="85">
        <f t="shared" si="4"/>
        <v>130</v>
      </c>
      <c r="T18" s="88"/>
      <c r="U18" s="27"/>
    </row>
    <row r="19" spans="1:21" x14ac:dyDescent="0.3">
      <c r="A19" s="31" t="s">
        <v>170</v>
      </c>
      <c r="B19" s="15"/>
      <c r="C19" s="9"/>
      <c r="D19" s="21"/>
      <c r="E19" s="23" t="s">
        <v>528</v>
      </c>
      <c r="F19" s="39" t="s">
        <v>471</v>
      </c>
      <c r="G19" s="9" t="s">
        <v>527</v>
      </c>
      <c r="H19" s="41"/>
      <c r="I19" s="42"/>
      <c r="J19" s="75">
        <v>40</v>
      </c>
      <c r="K19" s="65">
        <v>10.5</v>
      </c>
      <c r="L19" s="65">
        <f t="shared" si="0"/>
        <v>420</v>
      </c>
      <c r="M19" s="46"/>
      <c r="N19" s="46"/>
      <c r="O19" s="47"/>
      <c r="P19" s="71">
        <f t="shared" si="1"/>
        <v>10.5</v>
      </c>
      <c r="Q19" s="83">
        <f t="shared" si="2"/>
        <v>40</v>
      </c>
      <c r="R19" s="84">
        <f t="shared" si="3"/>
        <v>10.5</v>
      </c>
      <c r="S19" s="85">
        <f t="shared" si="4"/>
        <v>420</v>
      </c>
      <c r="T19" s="88"/>
      <c r="U19" s="27"/>
    </row>
    <row r="20" spans="1:21" ht="28.8" x14ac:dyDescent="0.3">
      <c r="A20" s="31" t="s">
        <v>171</v>
      </c>
      <c r="B20" s="16">
        <v>205</v>
      </c>
      <c r="C20" s="32">
        <v>44813</v>
      </c>
      <c r="D20" s="21">
        <v>285200100012</v>
      </c>
      <c r="E20" s="22" t="s">
        <v>530</v>
      </c>
      <c r="F20" s="39" t="s">
        <v>471</v>
      </c>
      <c r="G20" s="9" t="s">
        <v>529</v>
      </c>
      <c r="H20" s="52">
        <v>44813</v>
      </c>
      <c r="I20" s="42"/>
      <c r="J20" s="75">
        <v>47</v>
      </c>
      <c r="K20" s="65">
        <v>5.5</v>
      </c>
      <c r="L20" s="65">
        <f t="shared" si="0"/>
        <v>258.5</v>
      </c>
      <c r="M20" s="53">
        <v>46155</v>
      </c>
      <c r="N20" s="46"/>
      <c r="O20" s="133">
        <v>3</v>
      </c>
      <c r="P20" s="71">
        <f t="shared" si="1"/>
        <v>5.5</v>
      </c>
      <c r="Q20" s="83">
        <f t="shared" si="2"/>
        <v>44</v>
      </c>
      <c r="R20" s="84">
        <f t="shared" si="3"/>
        <v>5.5</v>
      </c>
      <c r="S20" s="85">
        <f t="shared" si="4"/>
        <v>242</v>
      </c>
      <c r="T20" s="88"/>
      <c r="U20" s="27"/>
    </row>
    <row r="21" spans="1:21" x14ac:dyDescent="0.3">
      <c r="A21" s="31" t="s">
        <v>172</v>
      </c>
      <c r="B21" s="16"/>
      <c r="C21" s="32"/>
      <c r="D21" s="21"/>
      <c r="E21" s="22" t="s">
        <v>579</v>
      </c>
      <c r="F21" s="39" t="s">
        <v>471</v>
      </c>
      <c r="G21" s="9" t="s">
        <v>531</v>
      </c>
      <c r="H21" s="41"/>
      <c r="I21" s="42"/>
      <c r="J21" s="75">
        <v>5</v>
      </c>
      <c r="K21" s="65">
        <v>12.9</v>
      </c>
      <c r="L21" s="65">
        <f t="shared" si="0"/>
        <v>64.5</v>
      </c>
      <c r="M21" s="46"/>
      <c r="N21" s="46"/>
      <c r="O21" s="47"/>
      <c r="P21" s="71">
        <f t="shared" si="1"/>
        <v>12.9</v>
      </c>
      <c r="Q21" s="83">
        <f t="shared" si="2"/>
        <v>5</v>
      </c>
      <c r="R21" s="84">
        <f t="shared" si="3"/>
        <v>12.9</v>
      </c>
      <c r="S21" s="85">
        <f t="shared" si="4"/>
        <v>64.5</v>
      </c>
      <c r="T21" s="88"/>
      <c r="U21" s="27"/>
    </row>
    <row r="22" spans="1:21" x14ac:dyDescent="0.3">
      <c r="A22" s="31" t="s">
        <v>173</v>
      </c>
      <c r="B22" s="15"/>
      <c r="C22" s="9"/>
      <c r="D22" s="21"/>
      <c r="E22" s="22" t="s">
        <v>590</v>
      </c>
      <c r="F22" s="39" t="s">
        <v>471</v>
      </c>
      <c r="G22" s="9" t="s">
        <v>529</v>
      </c>
      <c r="H22" s="41"/>
      <c r="I22" s="42"/>
      <c r="J22" s="75">
        <v>8</v>
      </c>
      <c r="K22" s="65">
        <v>18.899999999999999</v>
      </c>
      <c r="L22" s="65">
        <f t="shared" si="0"/>
        <v>151.19999999999999</v>
      </c>
      <c r="M22" s="46"/>
      <c r="N22" s="46"/>
      <c r="O22" s="47"/>
      <c r="P22" s="71">
        <f t="shared" si="1"/>
        <v>18.899999999999999</v>
      </c>
      <c r="Q22" s="83">
        <f t="shared" si="2"/>
        <v>8</v>
      </c>
      <c r="R22" s="84">
        <f t="shared" si="3"/>
        <v>18.899999999999999</v>
      </c>
      <c r="S22" s="85">
        <f t="shared" si="4"/>
        <v>151.19999999999999</v>
      </c>
      <c r="T22" s="88"/>
      <c r="U22" s="27"/>
    </row>
    <row r="23" spans="1:21" x14ac:dyDescent="0.3">
      <c r="A23" s="31" t="s">
        <v>174</v>
      </c>
      <c r="B23" s="15"/>
      <c r="C23" s="9"/>
      <c r="D23" s="21"/>
      <c r="E23" s="22" t="s">
        <v>533</v>
      </c>
      <c r="F23" s="39" t="s">
        <v>471</v>
      </c>
      <c r="G23" s="9" t="s">
        <v>517</v>
      </c>
      <c r="H23" s="41"/>
      <c r="I23" s="42"/>
      <c r="J23" s="75">
        <v>13</v>
      </c>
      <c r="K23" s="65">
        <v>18</v>
      </c>
      <c r="L23" s="65">
        <f t="shared" si="0"/>
        <v>234</v>
      </c>
      <c r="M23" s="46"/>
      <c r="N23" s="46"/>
      <c r="O23" s="47"/>
      <c r="P23" s="71">
        <f t="shared" si="1"/>
        <v>18</v>
      </c>
      <c r="Q23" s="83">
        <f t="shared" si="2"/>
        <v>13</v>
      </c>
      <c r="R23" s="84">
        <f t="shared" si="3"/>
        <v>18</v>
      </c>
      <c r="S23" s="85">
        <f t="shared" si="4"/>
        <v>234</v>
      </c>
      <c r="T23" s="88"/>
      <c r="U23" s="27" t="s">
        <v>534</v>
      </c>
    </row>
    <row r="24" spans="1:21" x14ac:dyDescent="0.3">
      <c r="A24" s="31" t="s">
        <v>175</v>
      </c>
      <c r="B24" s="15"/>
      <c r="C24" s="32"/>
      <c r="D24" s="21"/>
      <c r="E24" s="22" t="s">
        <v>536</v>
      </c>
      <c r="F24" s="39" t="s">
        <v>471</v>
      </c>
      <c r="G24" s="9" t="s">
        <v>535</v>
      </c>
      <c r="H24" s="52"/>
      <c r="I24" s="42"/>
      <c r="J24" s="42">
        <v>13</v>
      </c>
      <c r="K24" s="65">
        <v>12</v>
      </c>
      <c r="L24" s="65">
        <f t="shared" si="0"/>
        <v>156</v>
      </c>
      <c r="M24" s="46"/>
      <c r="N24" s="46"/>
      <c r="O24" s="47"/>
      <c r="P24" s="71">
        <f t="shared" si="1"/>
        <v>12</v>
      </c>
      <c r="Q24" s="83">
        <f t="shared" si="2"/>
        <v>13</v>
      </c>
      <c r="R24" s="84">
        <f t="shared" si="3"/>
        <v>12</v>
      </c>
      <c r="S24" s="85">
        <f t="shared" si="4"/>
        <v>156</v>
      </c>
      <c r="T24" s="88"/>
      <c r="U24" s="27"/>
    </row>
    <row r="25" spans="1:21" x14ac:dyDescent="0.3">
      <c r="A25" s="31" t="s">
        <v>176</v>
      </c>
      <c r="B25" s="15"/>
      <c r="C25" s="32"/>
      <c r="D25" s="21"/>
      <c r="E25" s="22" t="s">
        <v>580</v>
      </c>
      <c r="F25" s="39" t="s">
        <v>471</v>
      </c>
      <c r="G25" s="9" t="s">
        <v>294</v>
      </c>
      <c r="H25" s="52"/>
      <c r="I25" s="42"/>
      <c r="J25" s="42">
        <v>71</v>
      </c>
      <c r="K25" s="65">
        <v>12.9</v>
      </c>
      <c r="L25" s="65">
        <f t="shared" si="0"/>
        <v>915.9</v>
      </c>
      <c r="M25" s="46"/>
      <c r="N25" s="46"/>
      <c r="O25" s="47"/>
      <c r="P25" s="71">
        <f t="shared" si="1"/>
        <v>12.9</v>
      </c>
      <c r="Q25" s="83">
        <f t="shared" si="2"/>
        <v>71</v>
      </c>
      <c r="R25" s="84">
        <f t="shared" si="3"/>
        <v>12.9</v>
      </c>
      <c r="S25" s="85">
        <f t="shared" si="4"/>
        <v>915.9</v>
      </c>
      <c r="T25" s="88"/>
      <c r="U25" s="27"/>
    </row>
    <row r="26" spans="1:21" x14ac:dyDescent="0.3">
      <c r="A26" s="31" t="s">
        <v>177</v>
      </c>
      <c r="B26" s="15"/>
      <c r="C26" s="9"/>
      <c r="D26" s="21"/>
      <c r="E26" s="22" t="s">
        <v>581</v>
      </c>
      <c r="F26" s="39" t="s">
        <v>471</v>
      </c>
      <c r="G26" s="9" t="s">
        <v>294</v>
      </c>
      <c r="H26" s="41"/>
      <c r="I26" s="42"/>
      <c r="J26" s="42">
        <v>9</v>
      </c>
      <c r="K26" s="65">
        <v>4.5</v>
      </c>
      <c r="L26" s="65">
        <f t="shared" si="0"/>
        <v>40.5</v>
      </c>
      <c r="M26" s="46"/>
      <c r="N26" s="46"/>
      <c r="O26" s="47"/>
      <c r="P26" s="71">
        <f t="shared" si="1"/>
        <v>4.5</v>
      </c>
      <c r="Q26" s="83">
        <f t="shared" si="2"/>
        <v>9</v>
      </c>
      <c r="R26" s="84">
        <f t="shared" si="3"/>
        <v>4.5</v>
      </c>
      <c r="S26" s="85">
        <f t="shared" si="4"/>
        <v>40.5</v>
      </c>
      <c r="T26" s="88"/>
      <c r="U26" s="27"/>
    </row>
    <row r="27" spans="1:21" x14ac:dyDescent="0.3">
      <c r="A27" s="31" t="s">
        <v>178</v>
      </c>
      <c r="B27" s="15"/>
      <c r="C27" s="32"/>
      <c r="D27" s="21"/>
      <c r="E27" s="22" t="s">
        <v>578</v>
      </c>
      <c r="F27" s="39" t="s">
        <v>471</v>
      </c>
      <c r="G27" s="9" t="s">
        <v>537</v>
      </c>
      <c r="H27" s="52"/>
      <c r="I27" s="42"/>
      <c r="J27" s="42">
        <v>63</v>
      </c>
      <c r="K27" s="65">
        <v>5.5</v>
      </c>
      <c r="L27" s="65">
        <f t="shared" si="0"/>
        <v>346.5</v>
      </c>
      <c r="M27" s="46"/>
      <c r="N27" s="46"/>
      <c r="O27" s="47"/>
      <c r="P27" s="71">
        <f t="shared" si="1"/>
        <v>5.5</v>
      </c>
      <c r="Q27" s="83">
        <f t="shared" si="2"/>
        <v>63</v>
      </c>
      <c r="R27" s="84">
        <f t="shared" si="3"/>
        <v>5.5</v>
      </c>
      <c r="S27" s="85">
        <f t="shared" si="4"/>
        <v>346.5</v>
      </c>
      <c r="T27" s="88"/>
      <c r="U27" s="27" t="s">
        <v>485</v>
      </c>
    </row>
    <row r="28" spans="1:21" x14ac:dyDescent="0.3">
      <c r="A28" s="159" t="s">
        <v>179</v>
      </c>
      <c r="B28" s="15"/>
      <c r="C28" s="32">
        <v>44923</v>
      </c>
      <c r="D28" s="21">
        <v>285400440036</v>
      </c>
      <c r="E28" s="97" t="s">
        <v>538</v>
      </c>
      <c r="F28" s="39" t="s">
        <v>471</v>
      </c>
      <c r="G28" s="9" t="s">
        <v>529</v>
      </c>
      <c r="H28" s="52">
        <v>44923</v>
      </c>
      <c r="I28" s="42">
        <v>3269</v>
      </c>
      <c r="J28" s="42">
        <v>11</v>
      </c>
      <c r="K28" s="65">
        <v>56</v>
      </c>
      <c r="L28" s="65">
        <f t="shared" si="0"/>
        <v>616</v>
      </c>
      <c r="M28" s="46"/>
      <c r="N28" s="46"/>
      <c r="O28" s="47"/>
      <c r="P28" s="74">
        <f t="shared" si="1"/>
        <v>56</v>
      </c>
      <c r="Q28" s="83">
        <f t="shared" si="2"/>
        <v>11</v>
      </c>
      <c r="R28" s="84">
        <f t="shared" si="3"/>
        <v>56</v>
      </c>
      <c r="S28" s="85">
        <f t="shared" si="4"/>
        <v>616</v>
      </c>
      <c r="T28" s="160"/>
      <c r="U28" s="162"/>
    </row>
    <row r="29" spans="1:21" x14ac:dyDescent="0.3">
      <c r="A29" s="159"/>
      <c r="B29" s="15"/>
      <c r="C29" s="32">
        <v>44923</v>
      </c>
      <c r="D29" s="21">
        <v>285400440145</v>
      </c>
      <c r="E29" s="97" t="s">
        <v>539</v>
      </c>
      <c r="F29" s="39" t="s">
        <v>471</v>
      </c>
      <c r="G29" s="9" t="s">
        <v>540</v>
      </c>
      <c r="H29" s="52">
        <v>44923</v>
      </c>
      <c r="I29" s="42">
        <v>3269</v>
      </c>
      <c r="J29" s="42">
        <v>7</v>
      </c>
      <c r="K29" s="65">
        <v>99</v>
      </c>
      <c r="L29" s="65">
        <f t="shared" si="0"/>
        <v>693</v>
      </c>
      <c r="M29" s="46"/>
      <c r="N29" s="46"/>
      <c r="O29" s="47"/>
      <c r="P29" s="74">
        <f t="shared" si="1"/>
        <v>99</v>
      </c>
      <c r="Q29" s="83">
        <f t="shared" si="2"/>
        <v>7</v>
      </c>
      <c r="R29" s="84">
        <f t="shared" si="3"/>
        <v>99</v>
      </c>
      <c r="S29" s="85">
        <f t="shared" si="4"/>
        <v>693</v>
      </c>
      <c r="T29" s="161"/>
      <c r="U29" s="163"/>
    </row>
    <row r="30" spans="1:21" x14ac:dyDescent="0.3">
      <c r="A30" s="31" t="s">
        <v>180</v>
      </c>
      <c r="B30" s="15"/>
      <c r="C30" s="9"/>
      <c r="D30" s="21"/>
      <c r="E30" s="22" t="s">
        <v>543</v>
      </c>
      <c r="F30" s="39" t="s">
        <v>471</v>
      </c>
      <c r="G30" s="9" t="s">
        <v>542</v>
      </c>
      <c r="H30" s="41"/>
      <c r="I30" s="42"/>
      <c r="J30" s="75">
        <v>10</v>
      </c>
      <c r="K30" s="65">
        <v>6</v>
      </c>
      <c r="L30" s="65">
        <f t="shared" si="0"/>
        <v>60</v>
      </c>
      <c r="M30" s="46"/>
      <c r="N30" s="46"/>
      <c r="O30" s="47"/>
      <c r="P30" s="71">
        <f t="shared" si="1"/>
        <v>6</v>
      </c>
      <c r="Q30" s="83">
        <f t="shared" si="2"/>
        <v>10</v>
      </c>
      <c r="R30" s="84">
        <f t="shared" si="3"/>
        <v>6</v>
      </c>
      <c r="S30" s="85">
        <f t="shared" si="4"/>
        <v>60</v>
      </c>
      <c r="T30" s="88"/>
      <c r="U30" s="27"/>
    </row>
    <row r="31" spans="1:21" x14ac:dyDescent="0.3">
      <c r="A31" s="31" t="s">
        <v>181</v>
      </c>
      <c r="B31" s="15"/>
      <c r="C31" s="9"/>
      <c r="D31" s="21"/>
      <c r="E31" s="22" t="s">
        <v>544</v>
      </c>
      <c r="F31" s="39" t="s">
        <v>471</v>
      </c>
      <c r="G31" s="9" t="s">
        <v>541</v>
      </c>
      <c r="H31" s="41"/>
      <c r="I31" s="42"/>
      <c r="J31" s="75">
        <v>1</v>
      </c>
      <c r="K31" s="65">
        <v>6.5</v>
      </c>
      <c r="L31" s="65">
        <f t="shared" si="0"/>
        <v>6.5</v>
      </c>
      <c r="M31" s="46"/>
      <c r="N31" s="46"/>
      <c r="O31" s="47"/>
      <c r="P31" s="71">
        <f t="shared" si="1"/>
        <v>6.5</v>
      </c>
      <c r="Q31" s="83">
        <f t="shared" si="2"/>
        <v>1</v>
      </c>
      <c r="R31" s="84">
        <f t="shared" si="3"/>
        <v>6.5</v>
      </c>
      <c r="S31" s="85">
        <f t="shared" si="4"/>
        <v>6.5</v>
      </c>
      <c r="T31" s="88"/>
      <c r="U31" s="27"/>
    </row>
    <row r="32" spans="1:21" x14ac:dyDescent="0.3">
      <c r="A32" s="31" t="s">
        <v>182</v>
      </c>
      <c r="B32" s="15">
        <v>116</v>
      </c>
      <c r="C32" s="32">
        <v>45887</v>
      </c>
      <c r="D32" s="36" t="s">
        <v>763</v>
      </c>
      <c r="E32" s="22" t="s">
        <v>764</v>
      </c>
      <c r="F32" s="39" t="s">
        <v>471</v>
      </c>
      <c r="G32" s="9" t="s">
        <v>541</v>
      </c>
      <c r="H32" s="52">
        <v>45887</v>
      </c>
      <c r="I32" s="42">
        <v>2012</v>
      </c>
      <c r="J32" s="75">
        <v>1</v>
      </c>
      <c r="K32" s="65">
        <v>5</v>
      </c>
      <c r="L32" s="65">
        <f t="shared" si="0"/>
        <v>5</v>
      </c>
      <c r="M32" s="46"/>
      <c r="N32" s="46"/>
      <c r="O32" s="47"/>
      <c r="P32" s="71">
        <f t="shared" si="1"/>
        <v>5</v>
      </c>
      <c r="Q32" s="83">
        <f t="shared" si="2"/>
        <v>1</v>
      </c>
      <c r="R32" s="84">
        <f t="shared" si="3"/>
        <v>5</v>
      </c>
      <c r="S32" s="85">
        <f t="shared" si="4"/>
        <v>5</v>
      </c>
      <c r="T32" s="88"/>
      <c r="U32" s="27"/>
    </row>
    <row r="33" spans="1:21" x14ac:dyDescent="0.3">
      <c r="A33" s="31" t="s">
        <v>183</v>
      </c>
      <c r="B33" s="16">
        <v>116</v>
      </c>
      <c r="C33" s="32">
        <v>45887</v>
      </c>
      <c r="D33" s="21">
        <v>201600210436</v>
      </c>
      <c r="E33" s="22" t="s">
        <v>546</v>
      </c>
      <c r="F33" s="39" t="s">
        <v>470</v>
      </c>
      <c r="G33" s="9" t="s">
        <v>545</v>
      </c>
      <c r="H33" s="52">
        <v>45887</v>
      </c>
      <c r="I33" s="42">
        <v>2012</v>
      </c>
      <c r="J33" s="42">
        <v>5</v>
      </c>
      <c r="K33" s="65">
        <v>170</v>
      </c>
      <c r="L33" s="65">
        <f t="shared" si="0"/>
        <v>850</v>
      </c>
      <c r="M33" s="46"/>
      <c r="N33" s="46"/>
      <c r="O33" s="47"/>
      <c r="P33" s="71">
        <f t="shared" si="1"/>
        <v>170</v>
      </c>
      <c r="Q33" s="83">
        <f t="shared" si="2"/>
        <v>5</v>
      </c>
      <c r="R33" s="84">
        <f t="shared" si="3"/>
        <v>170</v>
      </c>
      <c r="S33" s="85">
        <f t="shared" si="4"/>
        <v>850</v>
      </c>
      <c r="T33" s="88"/>
      <c r="U33" s="27"/>
    </row>
    <row r="34" spans="1:21" x14ac:dyDescent="0.3">
      <c r="A34" s="31" t="s">
        <v>184</v>
      </c>
      <c r="B34" s="16"/>
      <c r="C34" s="32"/>
      <c r="D34" s="21"/>
      <c r="E34" s="22" t="s">
        <v>547</v>
      </c>
      <c r="F34" s="39" t="s">
        <v>470</v>
      </c>
      <c r="G34" s="9" t="s">
        <v>545</v>
      </c>
      <c r="H34" s="52"/>
      <c r="I34" s="42"/>
      <c r="J34" s="42">
        <v>4</v>
      </c>
      <c r="K34" s="65">
        <v>195</v>
      </c>
      <c r="L34" s="65">
        <f t="shared" si="0"/>
        <v>780</v>
      </c>
      <c r="M34" s="53"/>
      <c r="N34" s="53"/>
      <c r="O34" s="47"/>
      <c r="P34" s="71">
        <f t="shared" si="1"/>
        <v>195</v>
      </c>
      <c r="Q34" s="83">
        <f t="shared" si="2"/>
        <v>4</v>
      </c>
      <c r="R34" s="84">
        <f t="shared" si="3"/>
        <v>195</v>
      </c>
      <c r="S34" s="85">
        <f t="shared" si="4"/>
        <v>780</v>
      </c>
      <c r="T34" s="88"/>
      <c r="U34" s="27"/>
    </row>
    <row r="35" spans="1:21" ht="28.8" x14ac:dyDescent="0.3">
      <c r="A35" s="31" t="s">
        <v>185</v>
      </c>
      <c r="B35" s="15"/>
      <c r="C35" s="9"/>
      <c r="D35" s="21"/>
      <c r="E35" s="22" t="s">
        <v>552</v>
      </c>
      <c r="F35" s="39" t="s">
        <v>470</v>
      </c>
      <c r="G35" s="9" t="s">
        <v>545</v>
      </c>
      <c r="H35" s="52"/>
      <c r="I35" s="42"/>
      <c r="J35" s="42">
        <v>9</v>
      </c>
      <c r="K35" s="65">
        <v>185</v>
      </c>
      <c r="L35" s="65">
        <f t="shared" si="0"/>
        <v>1665</v>
      </c>
      <c r="M35" s="46"/>
      <c r="N35" s="46"/>
      <c r="O35" s="47"/>
      <c r="P35" s="71">
        <f t="shared" si="1"/>
        <v>185</v>
      </c>
      <c r="Q35" s="83">
        <f t="shared" si="2"/>
        <v>9</v>
      </c>
      <c r="R35" s="84">
        <f t="shared" si="3"/>
        <v>185</v>
      </c>
      <c r="S35" s="85">
        <f t="shared" si="4"/>
        <v>1665</v>
      </c>
      <c r="T35" s="88"/>
      <c r="U35" s="27"/>
    </row>
    <row r="36" spans="1:21" x14ac:dyDescent="0.3">
      <c r="A36" s="31" t="s">
        <v>186</v>
      </c>
      <c r="B36" s="15">
        <v>117</v>
      </c>
      <c r="C36" s="32">
        <v>45862</v>
      </c>
      <c r="D36" s="21">
        <v>281600210435</v>
      </c>
      <c r="E36" s="22" t="s">
        <v>548</v>
      </c>
      <c r="F36" s="39" t="s">
        <v>470</v>
      </c>
      <c r="G36" s="9" t="s">
        <v>545</v>
      </c>
      <c r="H36" s="52">
        <v>45862</v>
      </c>
      <c r="I36" s="42">
        <v>1858</v>
      </c>
      <c r="J36" s="42">
        <v>2</v>
      </c>
      <c r="K36" s="65">
        <v>267.06</v>
      </c>
      <c r="L36" s="65">
        <f t="shared" si="0"/>
        <v>534.12</v>
      </c>
      <c r="M36" s="46"/>
      <c r="N36" s="46"/>
      <c r="O36" s="47"/>
      <c r="P36" s="71">
        <f t="shared" si="1"/>
        <v>267.06</v>
      </c>
      <c r="Q36" s="83">
        <f t="shared" si="2"/>
        <v>2</v>
      </c>
      <c r="R36" s="84">
        <f t="shared" si="3"/>
        <v>267.06</v>
      </c>
      <c r="S36" s="85">
        <f t="shared" si="4"/>
        <v>534.12</v>
      </c>
      <c r="T36" s="88"/>
      <c r="U36" s="27"/>
    </row>
    <row r="37" spans="1:21" x14ac:dyDescent="0.3">
      <c r="A37" s="31" t="s">
        <v>187</v>
      </c>
      <c r="B37" s="15"/>
      <c r="C37" s="32">
        <v>44923</v>
      </c>
      <c r="D37" s="21">
        <v>281600210531</v>
      </c>
      <c r="E37" s="22" t="s">
        <v>549</v>
      </c>
      <c r="F37" s="39" t="s">
        <v>470</v>
      </c>
      <c r="G37" s="9" t="s">
        <v>545</v>
      </c>
      <c r="H37" s="52">
        <v>44923</v>
      </c>
      <c r="I37" s="42">
        <v>3269</v>
      </c>
      <c r="J37" s="42">
        <v>1</v>
      </c>
      <c r="K37" s="76">
        <v>268</v>
      </c>
      <c r="L37" s="65">
        <f t="shared" si="0"/>
        <v>268</v>
      </c>
      <c r="M37" s="46"/>
      <c r="N37" s="46"/>
      <c r="O37" s="47"/>
      <c r="P37" s="71">
        <f t="shared" si="1"/>
        <v>268</v>
      </c>
      <c r="Q37" s="83">
        <f t="shared" si="2"/>
        <v>1</v>
      </c>
      <c r="R37" s="84">
        <f t="shared" si="3"/>
        <v>268</v>
      </c>
      <c r="S37" s="85">
        <f t="shared" si="4"/>
        <v>268</v>
      </c>
      <c r="T37" s="88"/>
      <c r="U37" s="27" t="s">
        <v>550</v>
      </c>
    </row>
    <row r="38" spans="1:21" ht="28.8" x14ac:dyDescent="0.3">
      <c r="A38" s="31" t="s">
        <v>188</v>
      </c>
      <c r="B38" s="15"/>
      <c r="C38" s="32">
        <v>44923</v>
      </c>
      <c r="D38" s="21">
        <v>281600210530</v>
      </c>
      <c r="E38" s="22" t="s">
        <v>551</v>
      </c>
      <c r="F38" s="39" t="s">
        <v>470</v>
      </c>
      <c r="G38" s="9" t="s">
        <v>545</v>
      </c>
      <c r="H38" s="52">
        <v>44923</v>
      </c>
      <c r="I38" s="42">
        <v>3269</v>
      </c>
      <c r="J38" s="101">
        <v>3</v>
      </c>
      <c r="K38" s="103">
        <v>268</v>
      </c>
      <c r="L38" s="102">
        <f t="shared" si="0"/>
        <v>804</v>
      </c>
      <c r="M38" s="46"/>
      <c r="N38" s="46"/>
      <c r="O38" s="47"/>
      <c r="P38" s="71">
        <f t="shared" si="1"/>
        <v>268</v>
      </c>
      <c r="Q38" s="83">
        <f t="shared" si="2"/>
        <v>3</v>
      </c>
      <c r="R38" s="84">
        <f t="shared" si="3"/>
        <v>268</v>
      </c>
      <c r="S38" s="85">
        <f t="shared" si="4"/>
        <v>804</v>
      </c>
      <c r="T38" s="88"/>
      <c r="U38" s="27"/>
    </row>
    <row r="39" spans="1:21" x14ac:dyDescent="0.3">
      <c r="A39" s="31" t="s">
        <v>189</v>
      </c>
      <c r="B39" s="15">
        <v>117</v>
      </c>
      <c r="C39" s="32">
        <v>45862</v>
      </c>
      <c r="D39" s="21">
        <v>281600210433</v>
      </c>
      <c r="E39" s="22" t="s">
        <v>553</v>
      </c>
      <c r="F39" s="39" t="s">
        <v>470</v>
      </c>
      <c r="G39" s="9" t="s">
        <v>545</v>
      </c>
      <c r="H39" s="52">
        <v>45862</v>
      </c>
      <c r="I39" s="42">
        <v>1858</v>
      </c>
      <c r="J39" s="42">
        <v>1</v>
      </c>
      <c r="K39" s="65">
        <v>398.82</v>
      </c>
      <c r="L39" s="65">
        <f t="shared" si="0"/>
        <v>398.82</v>
      </c>
      <c r="M39" s="46"/>
      <c r="N39" s="46"/>
      <c r="O39" s="47"/>
      <c r="P39" s="71">
        <f t="shared" si="1"/>
        <v>398.82</v>
      </c>
      <c r="Q39" s="83">
        <f t="shared" si="2"/>
        <v>1</v>
      </c>
      <c r="R39" s="84">
        <f t="shared" si="3"/>
        <v>398.82</v>
      </c>
      <c r="S39" s="85">
        <f t="shared" si="4"/>
        <v>398.82</v>
      </c>
      <c r="T39" s="87"/>
      <c r="U39" s="27"/>
    </row>
    <row r="40" spans="1:21" x14ac:dyDescent="0.3">
      <c r="A40" s="31" t="s">
        <v>190</v>
      </c>
      <c r="B40" s="15"/>
      <c r="C40" s="9"/>
      <c r="D40" s="21"/>
      <c r="E40" s="22" t="s">
        <v>554</v>
      </c>
      <c r="F40" s="39" t="s">
        <v>470</v>
      </c>
      <c r="G40" s="9" t="s">
        <v>545</v>
      </c>
      <c r="H40" s="41"/>
      <c r="I40" s="42"/>
      <c r="J40" s="42">
        <v>1</v>
      </c>
      <c r="K40" s="65">
        <v>550</v>
      </c>
      <c r="L40" s="65">
        <f t="shared" si="0"/>
        <v>550</v>
      </c>
      <c r="M40" s="53"/>
      <c r="N40" s="53"/>
      <c r="O40" s="47"/>
      <c r="P40" s="71">
        <f t="shared" si="1"/>
        <v>550</v>
      </c>
      <c r="Q40" s="83">
        <f t="shared" si="2"/>
        <v>1</v>
      </c>
      <c r="R40" s="84">
        <f t="shared" si="3"/>
        <v>550</v>
      </c>
      <c r="S40" s="85">
        <f t="shared" si="4"/>
        <v>550</v>
      </c>
      <c r="T40" s="88"/>
      <c r="U40" s="27"/>
    </row>
    <row r="41" spans="1:21" ht="28.8" x14ac:dyDescent="0.3">
      <c r="A41" s="31" t="s">
        <v>191</v>
      </c>
      <c r="B41" s="15"/>
      <c r="C41" s="9"/>
      <c r="D41" s="21"/>
      <c r="E41" s="22" t="s">
        <v>555</v>
      </c>
      <c r="F41" s="39" t="s">
        <v>470</v>
      </c>
      <c r="G41" s="9" t="s">
        <v>545</v>
      </c>
      <c r="H41" s="41"/>
      <c r="I41" s="42"/>
      <c r="J41" s="42">
        <v>1</v>
      </c>
      <c r="K41" s="65">
        <v>430</v>
      </c>
      <c r="L41" s="65">
        <f t="shared" si="0"/>
        <v>430</v>
      </c>
      <c r="M41" s="46"/>
      <c r="N41" s="46"/>
      <c r="O41" s="47"/>
      <c r="P41" s="71">
        <f t="shared" si="1"/>
        <v>430</v>
      </c>
      <c r="Q41" s="83">
        <f t="shared" si="2"/>
        <v>1</v>
      </c>
      <c r="R41" s="84">
        <f t="shared" si="3"/>
        <v>430</v>
      </c>
      <c r="S41" s="85">
        <f t="shared" si="4"/>
        <v>430</v>
      </c>
      <c r="T41" s="88"/>
      <c r="U41" s="27"/>
    </row>
    <row r="42" spans="1:21" x14ac:dyDescent="0.3">
      <c r="A42" s="31" t="s">
        <v>192</v>
      </c>
      <c r="B42" s="15"/>
      <c r="C42" s="32">
        <v>44923</v>
      </c>
      <c r="D42" s="21">
        <v>281600211024</v>
      </c>
      <c r="E42" s="22" t="s">
        <v>795</v>
      </c>
      <c r="F42" s="39" t="s">
        <v>470</v>
      </c>
      <c r="G42" s="9" t="s">
        <v>545</v>
      </c>
      <c r="H42" s="52">
        <v>44923</v>
      </c>
      <c r="I42" s="42">
        <v>3269</v>
      </c>
      <c r="J42" s="42">
        <v>1</v>
      </c>
      <c r="K42" s="65">
        <v>690</v>
      </c>
      <c r="L42" s="65">
        <f t="shared" si="0"/>
        <v>690</v>
      </c>
      <c r="M42" s="46"/>
      <c r="N42" s="46"/>
      <c r="O42" s="47"/>
      <c r="P42" s="71">
        <f t="shared" si="1"/>
        <v>690</v>
      </c>
      <c r="Q42" s="83">
        <f t="shared" si="2"/>
        <v>1</v>
      </c>
      <c r="R42" s="84">
        <f t="shared" si="3"/>
        <v>690</v>
      </c>
      <c r="S42" s="85">
        <f t="shared" si="4"/>
        <v>690</v>
      </c>
      <c r="T42" s="88"/>
      <c r="U42" s="27"/>
    </row>
    <row r="43" spans="1:21" x14ac:dyDescent="0.3">
      <c r="A43" s="31" t="s">
        <v>193</v>
      </c>
      <c r="B43" s="16"/>
      <c r="C43" s="32">
        <v>44923</v>
      </c>
      <c r="D43" s="21">
        <v>281600211023</v>
      </c>
      <c r="E43" s="22" t="s">
        <v>796</v>
      </c>
      <c r="F43" s="39" t="s">
        <v>470</v>
      </c>
      <c r="G43" s="11" t="s">
        <v>545</v>
      </c>
      <c r="H43" s="52">
        <v>44923</v>
      </c>
      <c r="I43" s="42">
        <v>3269</v>
      </c>
      <c r="J43" s="42">
        <v>1</v>
      </c>
      <c r="K43" s="65">
        <v>1060</v>
      </c>
      <c r="L43" s="65">
        <f t="shared" si="0"/>
        <v>1060</v>
      </c>
      <c r="M43" s="46"/>
      <c r="N43" s="46"/>
      <c r="O43" s="47"/>
      <c r="P43" s="71">
        <f t="shared" si="1"/>
        <v>1060</v>
      </c>
      <c r="Q43" s="83">
        <f t="shared" si="2"/>
        <v>1</v>
      </c>
      <c r="R43" s="84">
        <f t="shared" si="3"/>
        <v>1060</v>
      </c>
      <c r="S43" s="85">
        <f t="shared" si="4"/>
        <v>1060</v>
      </c>
      <c r="T43" s="88"/>
      <c r="U43" s="27" t="s">
        <v>556</v>
      </c>
    </row>
    <row r="44" spans="1:21" x14ac:dyDescent="0.3">
      <c r="A44" s="31" t="s">
        <v>194</v>
      </c>
      <c r="B44" s="16"/>
      <c r="C44" s="32"/>
      <c r="D44" s="21"/>
      <c r="E44" s="22" t="s">
        <v>808</v>
      </c>
      <c r="F44" s="39" t="s">
        <v>470</v>
      </c>
      <c r="G44" s="10" t="s">
        <v>545</v>
      </c>
      <c r="H44" s="52"/>
      <c r="I44" s="42"/>
      <c r="J44" s="42">
        <v>15</v>
      </c>
      <c r="K44" s="65">
        <v>11.4</v>
      </c>
      <c r="L44" s="65">
        <f t="shared" si="0"/>
        <v>171</v>
      </c>
      <c r="M44" s="46"/>
      <c r="N44" s="46"/>
      <c r="O44" s="47"/>
      <c r="P44" s="71">
        <f t="shared" si="1"/>
        <v>11.4</v>
      </c>
      <c r="Q44" s="83">
        <f t="shared" si="2"/>
        <v>15</v>
      </c>
      <c r="R44" s="84">
        <f t="shared" si="3"/>
        <v>11.4</v>
      </c>
      <c r="S44" s="85">
        <f t="shared" si="4"/>
        <v>171</v>
      </c>
      <c r="T44" s="88"/>
      <c r="U44" s="27"/>
    </row>
    <row r="45" spans="1:21" x14ac:dyDescent="0.3">
      <c r="A45" s="31" t="s">
        <v>195</v>
      </c>
      <c r="B45" s="15">
        <v>18</v>
      </c>
      <c r="C45" s="32">
        <v>45862</v>
      </c>
      <c r="D45" s="21">
        <v>285400440094</v>
      </c>
      <c r="E45" s="22" t="s">
        <v>780</v>
      </c>
      <c r="F45" s="39" t="s">
        <v>560</v>
      </c>
      <c r="G45" s="9" t="s">
        <v>517</v>
      </c>
      <c r="H45" s="52">
        <v>45862</v>
      </c>
      <c r="I45" s="42">
        <v>1859</v>
      </c>
      <c r="J45" s="42">
        <v>113</v>
      </c>
      <c r="K45" s="65">
        <v>6.8</v>
      </c>
      <c r="L45" s="65">
        <f t="shared" si="0"/>
        <v>768.4</v>
      </c>
      <c r="M45" s="46"/>
      <c r="N45" s="46"/>
      <c r="O45" s="47"/>
      <c r="P45" s="71">
        <f t="shared" si="1"/>
        <v>6.8</v>
      </c>
      <c r="Q45" s="83">
        <f t="shared" si="2"/>
        <v>113</v>
      </c>
      <c r="R45" s="84">
        <f t="shared" si="3"/>
        <v>6.8</v>
      </c>
      <c r="S45" s="85">
        <f t="shared" si="4"/>
        <v>768.4</v>
      </c>
      <c r="T45" s="88"/>
      <c r="U45" s="27"/>
    </row>
    <row r="46" spans="1:21" x14ac:dyDescent="0.3">
      <c r="A46" s="31" t="s">
        <v>196</v>
      </c>
      <c r="B46" s="15"/>
      <c r="C46" s="32"/>
      <c r="D46" s="21"/>
      <c r="E46" s="22" t="s">
        <v>557</v>
      </c>
      <c r="F46" s="39" t="s">
        <v>471</v>
      </c>
      <c r="G46" s="9" t="s">
        <v>517</v>
      </c>
      <c r="H46" s="52"/>
      <c r="I46" s="42"/>
      <c r="J46" s="42">
        <v>42</v>
      </c>
      <c r="K46" s="65">
        <v>16</v>
      </c>
      <c r="L46" s="65">
        <f t="shared" si="0"/>
        <v>672</v>
      </c>
      <c r="M46" s="46"/>
      <c r="N46" s="46"/>
      <c r="O46" s="47"/>
      <c r="P46" s="71">
        <f t="shared" si="1"/>
        <v>16</v>
      </c>
      <c r="Q46" s="83">
        <f t="shared" si="2"/>
        <v>42</v>
      </c>
      <c r="R46" s="84">
        <f t="shared" si="3"/>
        <v>16</v>
      </c>
      <c r="S46" s="85">
        <f t="shared" si="4"/>
        <v>672</v>
      </c>
      <c r="T46" s="88"/>
      <c r="U46" s="27"/>
    </row>
    <row r="47" spans="1:21" x14ac:dyDescent="0.3">
      <c r="A47" s="31" t="s">
        <v>197</v>
      </c>
      <c r="B47" s="15"/>
      <c r="C47" s="9"/>
      <c r="D47" s="21"/>
      <c r="E47" s="22" t="s">
        <v>559</v>
      </c>
      <c r="F47" s="39" t="s">
        <v>471</v>
      </c>
      <c r="G47" s="9" t="s">
        <v>558</v>
      </c>
      <c r="H47" s="41"/>
      <c r="I47" s="42"/>
      <c r="J47" s="42">
        <v>12</v>
      </c>
      <c r="K47" s="65">
        <v>18</v>
      </c>
      <c r="L47" s="65">
        <f t="shared" si="0"/>
        <v>216</v>
      </c>
      <c r="M47" s="46"/>
      <c r="N47" s="46"/>
      <c r="O47" s="47"/>
      <c r="P47" s="71">
        <f t="shared" si="1"/>
        <v>18</v>
      </c>
      <c r="Q47" s="83">
        <f t="shared" si="2"/>
        <v>12</v>
      </c>
      <c r="R47" s="84">
        <f t="shared" si="3"/>
        <v>18</v>
      </c>
      <c r="S47" s="85">
        <f t="shared" si="4"/>
        <v>216</v>
      </c>
      <c r="T47" s="88"/>
      <c r="U47" s="27"/>
    </row>
    <row r="48" spans="1:21" x14ac:dyDescent="0.3">
      <c r="A48" s="31" t="s">
        <v>198</v>
      </c>
      <c r="B48" s="15"/>
      <c r="C48" s="32"/>
      <c r="D48" s="21"/>
      <c r="E48" s="22" t="s">
        <v>561</v>
      </c>
      <c r="F48" s="39" t="s">
        <v>471</v>
      </c>
      <c r="G48" s="9" t="s">
        <v>529</v>
      </c>
      <c r="H48" s="41"/>
      <c r="I48" s="42"/>
      <c r="J48" s="42">
        <v>12</v>
      </c>
      <c r="K48" s="65">
        <v>45</v>
      </c>
      <c r="L48" s="65">
        <f t="shared" si="0"/>
        <v>540</v>
      </c>
      <c r="M48" s="46"/>
      <c r="N48" s="46"/>
      <c r="O48" s="133">
        <v>3</v>
      </c>
      <c r="P48" s="71">
        <f t="shared" si="1"/>
        <v>45</v>
      </c>
      <c r="Q48" s="83">
        <f t="shared" si="2"/>
        <v>9</v>
      </c>
      <c r="R48" s="84">
        <f t="shared" si="3"/>
        <v>45</v>
      </c>
      <c r="S48" s="85">
        <f t="shared" si="4"/>
        <v>405</v>
      </c>
      <c r="T48" s="88"/>
      <c r="U48" s="27" t="s">
        <v>913</v>
      </c>
    </row>
    <row r="49" spans="1:21" x14ac:dyDescent="0.3">
      <c r="A49" s="31" t="s">
        <v>199</v>
      </c>
      <c r="B49" s="15">
        <v>61</v>
      </c>
      <c r="C49" s="32">
        <v>46133</v>
      </c>
      <c r="D49" s="21">
        <v>208400030249</v>
      </c>
      <c r="E49" s="29" t="s">
        <v>618</v>
      </c>
      <c r="F49" s="39" t="s">
        <v>471</v>
      </c>
      <c r="G49" s="9" t="s">
        <v>517</v>
      </c>
      <c r="H49" s="41"/>
      <c r="I49" s="42"/>
      <c r="J49" s="42">
        <v>24</v>
      </c>
      <c r="K49" s="65">
        <v>5</v>
      </c>
      <c r="L49" s="65">
        <f t="shared" si="0"/>
        <v>120</v>
      </c>
      <c r="M49" s="46"/>
      <c r="N49" s="46"/>
      <c r="O49" s="47"/>
      <c r="P49" s="71">
        <f t="shared" si="1"/>
        <v>5</v>
      </c>
      <c r="Q49" s="83">
        <f t="shared" si="2"/>
        <v>24</v>
      </c>
      <c r="R49" s="84">
        <f t="shared" si="3"/>
        <v>5</v>
      </c>
      <c r="S49" s="85">
        <f t="shared" si="4"/>
        <v>120</v>
      </c>
      <c r="T49" s="88"/>
      <c r="U49" s="27"/>
    </row>
    <row r="50" spans="1:21" x14ac:dyDescent="0.3">
      <c r="A50" s="31" t="s">
        <v>200</v>
      </c>
      <c r="B50" s="15">
        <v>61</v>
      </c>
      <c r="C50" s="32">
        <v>46133</v>
      </c>
      <c r="D50" s="21">
        <v>285400120258</v>
      </c>
      <c r="E50" s="29" t="s">
        <v>562</v>
      </c>
      <c r="F50" s="39" t="s">
        <v>471</v>
      </c>
      <c r="G50" s="9" t="s">
        <v>517</v>
      </c>
      <c r="H50" s="52"/>
      <c r="I50" s="42"/>
      <c r="J50" s="42">
        <v>24</v>
      </c>
      <c r="K50" s="65">
        <v>9.5</v>
      </c>
      <c r="L50" s="65">
        <f t="shared" si="0"/>
        <v>228</v>
      </c>
      <c r="M50" s="46"/>
      <c r="N50" s="46"/>
      <c r="O50" s="47"/>
      <c r="P50" s="71">
        <f t="shared" si="1"/>
        <v>9.5</v>
      </c>
      <c r="Q50" s="83">
        <f t="shared" si="2"/>
        <v>24</v>
      </c>
      <c r="R50" s="84">
        <f t="shared" si="3"/>
        <v>9.5</v>
      </c>
      <c r="S50" s="85">
        <f t="shared" si="4"/>
        <v>228</v>
      </c>
      <c r="T50" s="88"/>
      <c r="U50" s="27"/>
    </row>
    <row r="51" spans="1:21" x14ac:dyDescent="0.3">
      <c r="A51" s="31" t="s">
        <v>201</v>
      </c>
      <c r="B51" s="15"/>
      <c r="C51" s="9"/>
      <c r="D51" s="21"/>
      <c r="E51" s="23" t="s">
        <v>563</v>
      </c>
      <c r="F51" s="39" t="s">
        <v>471</v>
      </c>
      <c r="G51" s="9" t="s">
        <v>565</v>
      </c>
      <c r="H51" s="41"/>
      <c r="I51" s="42"/>
      <c r="J51" s="42">
        <v>2</v>
      </c>
      <c r="K51" s="65">
        <v>120</v>
      </c>
      <c r="L51" s="65">
        <f t="shared" si="0"/>
        <v>240</v>
      </c>
      <c r="M51" s="46"/>
      <c r="N51" s="46"/>
      <c r="O51" s="47"/>
      <c r="P51" s="71">
        <f t="shared" si="1"/>
        <v>120</v>
      </c>
      <c r="Q51" s="83">
        <f t="shared" si="2"/>
        <v>2</v>
      </c>
      <c r="R51" s="84">
        <f t="shared" si="3"/>
        <v>120</v>
      </c>
      <c r="S51" s="85">
        <f t="shared" si="4"/>
        <v>240</v>
      </c>
      <c r="T51" s="88"/>
      <c r="U51" s="27" t="s">
        <v>564</v>
      </c>
    </row>
    <row r="52" spans="1:21" x14ac:dyDescent="0.3">
      <c r="A52" s="31" t="s">
        <v>202</v>
      </c>
      <c r="B52" s="15"/>
      <c r="C52" s="9"/>
      <c r="D52" s="21"/>
      <c r="E52" s="23" t="s">
        <v>566</v>
      </c>
      <c r="F52" s="39" t="s">
        <v>471</v>
      </c>
      <c r="G52" s="9" t="s">
        <v>127</v>
      </c>
      <c r="H52" s="41"/>
      <c r="I52" s="42"/>
      <c r="J52" s="75">
        <v>21</v>
      </c>
      <c r="K52" s="65">
        <v>45</v>
      </c>
      <c r="L52" s="65">
        <f t="shared" si="0"/>
        <v>945</v>
      </c>
      <c r="M52" s="46"/>
      <c r="N52" s="46"/>
      <c r="O52" s="47"/>
      <c r="P52" s="71">
        <f t="shared" si="1"/>
        <v>45</v>
      </c>
      <c r="Q52" s="83">
        <f t="shared" si="2"/>
        <v>21</v>
      </c>
      <c r="R52" s="84">
        <f t="shared" si="3"/>
        <v>45</v>
      </c>
      <c r="S52" s="85">
        <f t="shared" si="4"/>
        <v>945</v>
      </c>
      <c r="T52" s="88"/>
      <c r="U52" s="27" t="s">
        <v>567</v>
      </c>
    </row>
    <row r="53" spans="1:21" x14ac:dyDescent="0.3">
      <c r="A53" s="31" t="s">
        <v>203</v>
      </c>
      <c r="B53" s="15"/>
      <c r="C53" s="9"/>
      <c r="D53" s="21"/>
      <c r="E53" s="23" t="s">
        <v>568</v>
      </c>
      <c r="F53" s="39" t="s">
        <v>471</v>
      </c>
      <c r="G53" s="9" t="s">
        <v>125</v>
      </c>
      <c r="H53" s="41"/>
      <c r="I53" s="42"/>
      <c r="J53" s="75">
        <v>12</v>
      </c>
      <c r="K53" s="65">
        <v>65</v>
      </c>
      <c r="L53" s="65">
        <f t="shared" si="0"/>
        <v>780</v>
      </c>
      <c r="M53" s="46"/>
      <c r="N53" s="46"/>
      <c r="O53" s="47"/>
      <c r="P53" s="71">
        <f t="shared" si="1"/>
        <v>65</v>
      </c>
      <c r="Q53" s="83">
        <f t="shared" si="2"/>
        <v>12</v>
      </c>
      <c r="R53" s="84">
        <f t="shared" si="3"/>
        <v>65</v>
      </c>
      <c r="S53" s="85">
        <f t="shared" si="4"/>
        <v>780</v>
      </c>
      <c r="T53" s="88"/>
      <c r="U53" t="s">
        <v>567</v>
      </c>
    </row>
    <row r="54" spans="1:21" x14ac:dyDescent="0.3">
      <c r="A54" s="31" t="s">
        <v>204</v>
      </c>
      <c r="B54" s="15"/>
      <c r="C54" s="9"/>
      <c r="D54" s="21"/>
      <c r="E54" s="23" t="s">
        <v>569</v>
      </c>
      <c r="F54" s="39" t="s">
        <v>471</v>
      </c>
      <c r="G54" s="9" t="s">
        <v>135</v>
      </c>
      <c r="H54" s="41"/>
      <c r="I54" s="42"/>
      <c r="J54" s="75">
        <v>23</v>
      </c>
      <c r="K54" s="65">
        <v>70</v>
      </c>
      <c r="L54" s="65">
        <f t="shared" si="0"/>
        <v>1610</v>
      </c>
      <c r="M54" s="46"/>
      <c r="N54" s="46"/>
      <c r="O54" s="47"/>
      <c r="P54" s="71">
        <f t="shared" si="1"/>
        <v>70</v>
      </c>
      <c r="Q54" s="83">
        <f t="shared" si="2"/>
        <v>23</v>
      </c>
      <c r="R54" s="84">
        <f t="shared" si="3"/>
        <v>70</v>
      </c>
      <c r="S54" s="85">
        <f t="shared" si="4"/>
        <v>1610</v>
      </c>
      <c r="T54" s="88"/>
      <c r="U54" s="27" t="s">
        <v>567</v>
      </c>
    </row>
    <row r="55" spans="1:21" x14ac:dyDescent="0.3">
      <c r="A55" s="31" t="s">
        <v>205</v>
      </c>
      <c r="B55" s="15"/>
      <c r="C55" s="9"/>
      <c r="D55" s="21"/>
      <c r="E55" s="23" t="s">
        <v>570</v>
      </c>
      <c r="F55" s="39" t="s">
        <v>471</v>
      </c>
      <c r="G55" s="9" t="s">
        <v>571</v>
      </c>
      <c r="H55" s="41"/>
      <c r="I55" s="42"/>
      <c r="J55" s="75">
        <v>48</v>
      </c>
      <c r="K55" s="65">
        <v>45</v>
      </c>
      <c r="L55" s="65">
        <f t="shared" si="0"/>
        <v>2160</v>
      </c>
      <c r="M55" s="46"/>
      <c r="N55" s="46"/>
      <c r="O55" s="47"/>
      <c r="P55" s="71">
        <f t="shared" si="1"/>
        <v>45</v>
      </c>
      <c r="Q55" s="83">
        <f t="shared" si="2"/>
        <v>48</v>
      </c>
      <c r="R55" s="84">
        <f t="shared" si="3"/>
        <v>45</v>
      </c>
      <c r="S55" s="85">
        <f t="shared" si="4"/>
        <v>2160</v>
      </c>
      <c r="T55" s="88"/>
      <c r="U55" s="27" t="s">
        <v>567</v>
      </c>
    </row>
    <row r="56" spans="1:21" x14ac:dyDescent="0.3">
      <c r="A56" s="31" t="s">
        <v>206</v>
      </c>
      <c r="B56" s="15"/>
      <c r="C56" s="9"/>
      <c r="D56" s="21"/>
      <c r="E56" s="23" t="s">
        <v>572</v>
      </c>
      <c r="F56" s="39" t="s">
        <v>471</v>
      </c>
      <c r="G56" s="9" t="s">
        <v>573</v>
      </c>
      <c r="H56" s="41"/>
      <c r="I56" s="42"/>
      <c r="J56" s="75">
        <v>11</v>
      </c>
      <c r="K56" s="65">
        <v>35</v>
      </c>
      <c r="L56" s="65">
        <f t="shared" si="0"/>
        <v>385</v>
      </c>
      <c r="M56" s="46"/>
      <c r="N56" s="46"/>
      <c r="O56" s="47"/>
      <c r="P56" s="71">
        <f t="shared" si="1"/>
        <v>35</v>
      </c>
      <c r="Q56" s="83">
        <f t="shared" si="2"/>
        <v>11</v>
      </c>
      <c r="R56" s="84">
        <f t="shared" si="3"/>
        <v>35</v>
      </c>
      <c r="S56" s="85">
        <f t="shared" si="4"/>
        <v>385</v>
      </c>
      <c r="T56" s="88"/>
      <c r="U56" s="27" t="s">
        <v>567</v>
      </c>
    </row>
    <row r="57" spans="1:21" x14ac:dyDescent="0.3">
      <c r="A57" s="31" t="s">
        <v>207</v>
      </c>
      <c r="B57" s="15"/>
      <c r="C57" s="9"/>
      <c r="D57" s="36"/>
      <c r="E57" s="23" t="s">
        <v>574</v>
      </c>
      <c r="F57" s="39" t="s">
        <v>471</v>
      </c>
      <c r="G57" s="9" t="s">
        <v>127</v>
      </c>
      <c r="H57" s="41"/>
      <c r="I57" s="42"/>
      <c r="J57" s="75">
        <v>1</v>
      </c>
      <c r="K57" s="65">
        <v>48</v>
      </c>
      <c r="L57" s="65">
        <f t="shared" si="0"/>
        <v>48</v>
      </c>
      <c r="M57" s="46"/>
      <c r="N57" s="46"/>
      <c r="O57" s="47"/>
      <c r="P57" s="71">
        <f t="shared" si="1"/>
        <v>48</v>
      </c>
      <c r="Q57" s="83">
        <f t="shared" si="2"/>
        <v>1</v>
      </c>
      <c r="R57" s="84">
        <f t="shared" si="3"/>
        <v>48</v>
      </c>
      <c r="S57" s="85">
        <f t="shared" si="4"/>
        <v>48</v>
      </c>
      <c r="T57" s="88"/>
      <c r="U57" s="27" t="s">
        <v>577</v>
      </c>
    </row>
    <row r="58" spans="1:21" x14ac:dyDescent="0.3">
      <c r="A58" s="31" t="s">
        <v>208</v>
      </c>
      <c r="B58" s="15"/>
      <c r="C58" s="9"/>
      <c r="D58" s="21"/>
      <c r="E58" s="23" t="s">
        <v>575</v>
      </c>
      <c r="F58" s="39" t="s">
        <v>471</v>
      </c>
      <c r="G58" s="9" t="s">
        <v>125</v>
      </c>
      <c r="H58" s="41"/>
      <c r="I58" s="42"/>
      <c r="J58" s="75">
        <v>2</v>
      </c>
      <c r="K58" s="144">
        <v>75</v>
      </c>
      <c r="L58" s="65">
        <f t="shared" si="0"/>
        <v>150</v>
      </c>
      <c r="M58" s="46"/>
      <c r="N58" s="46"/>
      <c r="O58" s="47"/>
      <c r="P58" s="71">
        <f t="shared" si="1"/>
        <v>75</v>
      </c>
      <c r="Q58" s="83">
        <f t="shared" si="2"/>
        <v>2</v>
      </c>
      <c r="R58" s="84">
        <f t="shared" si="3"/>
        <v>75</v>
      </c>
      <c r="S58" s="85">
        <f t="shared" si="4"/>
        <v>150</v>
      </c>
      <c r="T58" s="88"/>
      <c r="U58" s="27" t="s">
        <v>577</v>
      </c>
    </row>
    <row r="59" spans="1:21" x14ac:dyDescent="0.3">
      <c r="A59" s="31" t="s">
        <v>209</v>
      </c>
      <c r="B59" s="15"/>
      <c r="C59" s="9"/>
      <c r="D59" s="21"/>
      <c r="E59" s="23" t="s">
        <v>576</v>
      </c>
      <c r="F59" s="39" t="s">
        <v>471</v>
      </c>
      <c r="G59" s="9" t="s">
        <v>571</v>
      </c>
      <c r="H59" s="41"/>
      <c r="I59" s="42"/>
      <c r="J59" s="75">
        <v>4</v>
      </c>
      <c r="K59" s="65">
        <v>78</v>
      </c>
      <c r="L59" s="65">
        <f t="shared" si="0"/>
        <v>312</v>
      </c>
      <c r="M59" s="46"/>
      <c r="N59" s="46"/>
      <c r="O59" s="47"/>
      <c r="P59" s="71">
        <f t="shared" si="1"/>
        <v>78</v>
      </c>
      <c r="Q59" s="83">
        <f t="shared" si="2"/>
        <v>4</v>
      </c>
      <c r="R59" s="84">
        <f t="shared" si="3"/>
        <v>78</v>
      </c>
      <c r="S59" s="85">
        <f t="shared" si="4"/>
        <v>312</v>
      </c>
      <c r="T59" s="88"/>
      <c r="U59" s="27"/>
    </row>
    <row r="60" spans="1:21" x14ac:dyDescent="0.3">
      <c r="A60" s="31" t="s">
        <v>210</v>
      </c>
      <c r="B60" s="15"/>
      <c r="C60" s="9"/>
      <c r="D60" s="21"/>
      <c r="E60" s="22" t="s">
        <v>582</v>
      </c>
      <c r="F60" s="39" t="s">
        <v>471</v>
      </c>
      <c r="G60" s="9" t="s">
        <v>529</v>
      </c>
      <c r="H60" s="41"/>
      <c r="I60" s="42"/>
      <c r="J60" s="75">
        <v>151</v>
      </c>
      <c r="K60" s="65">
        <v>40</v>
      </c>
      <c r="L60" s="65">
        <f t="shared" si="0"/>
        <v>6040</v>
      </c>
      <c r="M60" s="53">
        <v>46155</v>
      </c>
      <c r="N60" s="46"/>
      <c r="O60" s="133">
        <v>15</v>
      </c>
      <c r="P60" s="71">
        <f t="shared" si="1"/>
        <v>40</v>
      </c>
      <c r="Q60" s="83">
        <f t="shared" si="2"/>
        <v>136</v>
      </c>
      <c r="R60" s="84">
        <f t="shared" si="3"/>
        <v>40</v>
      </c>
      <c r="S60" s="85">
        <f t="shared" si="4"/>
        <v>5440</v>
      </c>
      <c r="T60" s="88"/>
      <c r="U60" s="27" t="s">
        <v>759</v>
      </c>
    </row>
    <row r="61" spans="1:21" x14ac:dyDescent="0.3">
      <c r="A61" s="31" t="s">
        <v>211</v>
      </c>
      <c r="B61" s="15"/>
      <c r="C61" s="9"/>
      <c r="D61" s="21"/>
      <c r="E61" s="23" t="s">
        <v>583</v>
      </c>
      <c r="F61" s="39" t="s">
        <v>471</v>
      </c>
      <c r="G61" s="9" t="s">
        <v>294</v>
      </c>
      <c r="H61" s="41"/>
      <c r="I61" s="42"/>
      <c r="J61" s="75">
        <v>1</v>
      </c>
      <c r="K61" s="65">
        <v>30</v>
      </c>
      <c r="L61" s="65">
        <f t="shared" si="0"/>
        <v>30</v>
      </c>
      <c r="M61" s="46"/>
      <c r="N61" s="46"/>
      <c r="O61" s="47"/>
      <c r="P61" s="71">
        <f t="shared" si="1"/>
        <v>30</v>
      </c>
      <c r="Q61" s="83">
        <f t="shared" si="2"/>
        <v>1</v>
      </c>
      <c r="R61" s="84">
        <f t="shared" si="3"/>
        <v>30</v>
      </c>
      <c r="S61" s="85">
        <f t="shared" si="4"/>
        <v>30</v>
      </c>
      <c r="T61" s="88"/>
      <c r="U61" s="27"/>
    </row>
    <row r="62" spans="1:21" x14ac:dyDescent="0.3">
      <c r="A62" s="31" t="s">
        <v>212</v>
      </c>
      <c r="B62" s="15"/>
      <c r="C62" s="32"/>
      <c r="D62" s="21"/>
      <c r="E62" s="97" t="s">
        <v>585</v>
      </c>
      <c r="F62" s="94" t="s">
        <v>471</v>
      </c>
      <c r="G62" s="99" t="s">
        <v>540</v>
      </c>
      <c r="H62" s="52"/>
      <c r="I62" s="42"/>
      <c r="J62" s="77">
        <v>92</v>
      </c>
      <c r="K62" s="65">
        <v>35</v>
      </c>
      <c r="L62" s="65">
        <f t="shared" si="0"/>
        <v>3220</v>
      </c>
      <c r="M62" s="46"/>
      <c r="N62" s="46"/>
      <c r="O62" s="47"/>
      <c r="P62" s="71">
        <f t="shared" si="1"/>
        <v>35</v>
      </c>
      <c r="Q62" s="83">
        <f t="shared" si="2"/>
        <v>92</v>
      </c>
      <c r="R62" s="84">
        <f t="shared" si="3"/>
        <v>35</v>
      </c>
      <c r="S62" s="85">
        <f t="shared" si="4"/>
        <v>3220</v>
      </c>
      <c r="T62" s="88"/>
      <c r="U62" s="27" t="s">
        <v>584</v>
      </c>
    </row>
    <row r="63" spans="1:21" x14ac:dyDescent="0.3">
      <c r="A63" s="31"/>
      <c r="B63" s="15"/>
      <c r="C63" s="32"/>
      <c r="D63" s="21"/>
      <c r="E63" s="98" t="s">
        <v>586</v>
      </c>
      <c r="F63" s="95" t="s">
        <v>471</v>
      </c>
      <c r="G63" s="100" t="s">
        <v>529</v>
      </c>
      <c r="H63" s="52"/>
      <c r="I63" s="42"/>
      <c r="J63" s="78">
        <v>19</v>
      </c>
      <c r="K63" s="65">
        <v>25</v>
      </c>
      <c r="L63" s="65">
        <f t="shared" si="0"/>
        <v>475</v>
      </c>
      <c r="M63" s="46"/>
      <c r="N63" s="46"/>
      <c r="O63" s="47"/>
      <c r="P63" s="71">
        <f t="shared" si="1"/>
        <v>25</v>
      </c>
      <c r="Q63" s="83">
        <f t="shared" si="2"/>
        <v>19</v>
      </c>
      <c r="R63" s="84">
        <f t="shared" si="3"/>
        <v>25</v>
      </c>
      <c r="S63" s="85">
        <f t="shared" si="4"/>
        <v>475</v>
      </c>
      <c r="T63" s="88"/>
      <c r="U63" s="27"/>
    </row>
    <row r="64" spans="1:21" x14ac:dyDescent="0.3">
      <c r="A64" s="31" t="s">
        <v>213</v>
      </c>
      <c r="B64" s="15">
        <v>298</v>
      </c>
      <c r="C64" s="32">
        <v>45257</v>
      </c>
      <c r="D64" s="21">
        <v>462247850001</v>
      </c>
      <c r="E64" s="23" t="s">
        <v>587</v>
      </c>
      <c r="F64" s="95" t="s">
        <v>471</v>
      </c>
      <c r="G64" s="9" t="s">
        <v>529</v>
      </c>
      <c r="H64" s="52">
        <v>45257</v>
      </c>
      <c r="I64" s="42"/>
      <c r="J64" s="42">
        <v>2</v>
      </c>
      <c r="K64" s="65">
        <v>80</v>
      </c>
      <c r="L64" s="65">
        <f t="shared" si="0"/>
        <v>160</v>
      </c>
      <c r="M64" s="46"/>
      <c r="N64" s="46"/>
      <c r="O64" s="47"/>
      <c r="P64" s="71">
        <f t="shared" si="1"/>
        <v>80</v>
      </c>
      <c r="Q64" s="83">
        <f t="shared" si="2"/>
        <v>2</v>
      </c>
      <c r="R64" s="84">
        <f t="shared" si="3"/>
        <v>80</v>
      </c>
      <c r="S64" s="85">
        <f t="shared" si="4"/>
        <v>160</v>
      </c>
      <c r="T64" s="88"/>
      <c r="U64" s="27"/>
    </row>
    <row r="65" spans="1:21" x14ac:dyDescent="0.3">
      <c r="A65" s="31" t="s">
        <v>214</v>
      </c>
      <c r="B65" s="15">
        <v>133</v>
      </c>
      <c r="C65" s="32">
        <v>45888</v>
      </c>
      <c r="D65" s="21">
        <v>285000100014</v>
      </c>
      <c r="E65" s="23" t="s">
        <v>588</v>
      </c>
      <c r="F65" s="95" t="s">
        <v>471</v>
      </c>
      <c r="G65" s="9" t="s">
        <v>589</v>
      </c>
      <c r="H65" s="52">
        <v>45888</v>
      </c>
      <c r="I65" s="42">
        <v>2035</v>
      </c>
      <c r="J65" s="42">
        <v>200</v>
      </c>
      <c r="K65" s="65">
        <v>7.08</v>
      </c>
      <c r="L65" s="65">
        <f t="shared" si="0"/>
        <v>1416</v>
      </c>
      <c r="M65" s="46"/>
      <c r="N65" s="46"/>
      <c r="O65" s="47"/>
      <c r="P65" s="71">
        <f t="shared" si="1"/>
        <v>7.08</v>
      </c>
      <c r="Q65" s="83">
        <v>84</v>
      </c>
      <c r="R65" s="84">
        <f t="shared" si="3"/>
        <v>7.08</v>
      </c>
      <c r="S65" s="85">
        <f t="shared" si="4"/>
        <v>594.72</v>
      </c>
      <c r="T65" s="88"/>
      <c r="U65" s="27"/>
    </row>
    <row r="66" spans="1:21" x14ac:dyDescent="0.3">
      <c r="A66" s="31" t="s">
        <v>215</v>
      </c>
      <c r="B66" s="15"/>
      <c r="C66" s="9"/>
      <c r="D66" s="21"/>
      <c r="E66" s="22" t="s">
        <v>591</v>
      </c>
      <c r="F66" s="95" t="s">
        <v>471</v>
      </c>
      <c r="G66" s="9" t="s">
        <v>558</v>
      </c>
      <c r="H66" s="41"/>
      <c r="I66" s="42"/>
      <c r="J66" s="42">
        <v>1</v>
      </c>
      <c r="K66" s="65">
        <v>12</v>
      </c>
      <c r="L66" s="65">
        <f t="shared" si="0"/>
        <v>12</v>
      </c>
      <c r="M66" s="46"/>
      <c r="N66" s="46"/>
      <c r="O66" s="47"/>
      <c r="P66" s="71">
        <f t="shared" si="1"/>
        <v>12</v>
      </c>
      <c r="Q66" s="83">
        <f t="shared" si="2"/>
        <v>1</v>
      </c>
      <c r="R66" s="84">
        <f t="shared" si="3"/>
        <v>12</v>
      </c>
      <c r="S66" s="85">
        <f t="shared" si="4"/>
        <v>12</v>
      </c>
      <c r="T66" s="88"/>
      <c r="U66" s="27"/>
    </row>
    <row r="67" spans="1:21" x14ac:dyDescent="0.3">
      <c r="A67" s="31" t="s">
        <v>216</v>
      </c>
      <c r="B67" s="15"/>
      <c r="C67" s="32"/>
      <c r="D67" s="21"/>
      <c r="E67" s="23" t="s">
        <v>768</v>
      </c>
      <c r="F67" s="95" t="s">
        <v>471</v>
      </c>
      <c r="G67" s="9" t="s">
        <v>765</v>
      </c>
      <c r="H67" s="52"/>
      <c r="I67" s="42"/>
      <c r="J67" s="42">
        <v>20</v>
      </c>
      <c r="K67" s="65">
        <v>12.5</v>
      </c>
      <c r="L67" s="65">
        <f t="shared" si="0"/>
        <v>250</v>
      </c>
      <c r="M67" s="46"/>
      <c r="N67" s="46"/>
      <c r="O67" s="47"/>
      <c r="P67" s="71">
        <f t="shared" si="1"/>
        <v>12.5</v>
      </c>
      <c r="Q67" s="83">
        <f t="shared" si="2"/>
        <v>20</v>
      </c>
      <c r="R67" s="84">
        <f t="shared" si="3"/>
        <v>12.5</v>
      </c>
      <c r="S67" s="85">
        <f t="shared" si="4"/>
        <v>250</v>
      </c>
      <c r="T67" s="88"/>
      <c r="U67" s="27"/>
    </row>
    <row r="68" spans="1:21" x14ac:dyDescent="0.3">
      <c r="A68" s="31" t="s">
        <v>217</v>
      </c>
      <c r="B68" s="15"/>
      <c r="C68" s="32"/>
      <c r="D68" s="21"/>
      <c r="E68" s="23" t="s">
        <v>769</v>
      </c>
      <c r="F68" s="95" t="s">
        <v>471</v>
      </c>
      <c r="G68" s="9" t="s">
        <v>765</v>
      </c>
      <c r="H68" s="52"/>
      <c r="I68" s="42"/>
      <c r="J68" s="42">
        <v>23</v>
      </c>
      <c r="K68" s="65">
        <v>9.1999999999999993</v>
      </c>
      <c r="L68" s="65">
        <f t="shared" si="0"/>
        <v>211.6</v>
      </c>
      <c r="M68" s="46"/>
      <c r="N68" s="46"/>
      <c r="O68" s="47"/>
      <c r="P68" s="71">
        <f t="shared" si="1"/>
        <v>9.1999999999999993</v>
      </c>
      <c r="Q68" s="83">
        <f t="shared" si="2"/>
        <v>23</v>
      </c>
      <c r="R68" s="84">
        <f t="shared" si="3"/>
        <v>9.1999999999999993</v>
      </c>
      <c r="S68" s="85">
        <f t="shared" si="4"/>
        <v>211.6</v>
      </c>
      <c r="T68" s="88"/>
      <c r="U68" s="27"/>
    </row>
    <row r="69" spans="1:21" x14ac:dyDescent="0.3">
      <c r="A69" s="31" t="s">
        <v>218</v>
      </c>
      <c r="B69" s="15"/>
      <c r="C69" s="32"/>
      <c r="D69" s="21"/>
      <c r="E69" s="23" t="s">
        <v>592</v>
      </c>
      <c r="F69" s="95" t="s">
        <v>471</v>
      </c>
      <c r="G69" s="9" t="s">
        <v>522</v>
      </c>
      <c r="H69" s="52"/>
      <c r="I69" s="42"/>
      <c r="J69" s="42">
        <v>33</v>
      </c>
      <c r="K69" s="65">
        <v>10</v>
      </c>
      <c r="L69" s="65">
        <f t="shared" ref="L69:L130" si="5">K69*J69</f>
        <v>330</v>
      </c>
      <c r="M69" s="46"/>
      <c r="N69" s="46"/>
      <c r="O69" s="47"/>
      <c r="P69" s="71">
        <f t="shared" ref="P69:P130" si="6">K69</f>
        <v>10</v>
      </c>
      <c r="Q69" s="83">
        <f t="shared" ref="Q69:Q72" si="7">J69-O69</f>
        <v>33</v>
      </c>
      <c r="R69" s="84">
        <f t="shared" ref="R69:R130" si="8">K69</f>
        <v>10</v>
      </c>
      <c r="S69" s="85">
        <f t="shared" ref="S69:S130" si="9">Q69*R69</f>
        <v>330</v>
      </c>
      <c r="T69" s="88"/>
      <c r="U69" s="27"/>
    </row>
    <row r="70" spans="1:21" x14ac:dyDescent="0.3">
      <c r="A70" s="31" t="s">
        <v>219</v>
      </c>
      <c r="B70" s="15"/>
      <c r="C70" s="32"/>
      <c r="D70" s="21"/>
      <c r="E70" s="23" t="s">
        <v>770</v>
      </c>
      <c r="F70" s="95" t="s">
        <v>471</v>
      </c>
      <c r="G70" s="9" t="s">
        <v>765</v>
      </c>
      <c r="H70" s="52"/>
      <c r="I70" s="42"/>
      <c r="J70" s="42">
        <v>18</v>
      </c>
      <c r="K70" s="65">
        <v>25</v>
      </c>
      <c r="L70" s="65">
        <f t="shared" si="5"/>
        <v>450</v>
      </c>
      <c r="M70" s="46"/>
      <c r="N70" s="46"/>
      <c r="O70" s="47"/>
      <c r="P70" s="71">
        <f t="shared" si="6"/>
        <v>25</v>
      </c>
      <c r="Q70" s="83">
        <f t="shared" si="7"/>
        <v>18</v>
      </c>
      <c r="R70" s="84">
        <f t="shared" si="8"/>
        <v>25</v>
      </c>
      <c r="S70" s="85">
        <f t="shared" si="9"/>
        <v>450</v>
      </c>
      <c r="T70" s="88"/>
      <c r="U70" s="27"/>
    </row>
    <row r="71" spans="1:21" x14ac:dyDescent="0.3">
      <c r="A71" s="31" t="s">
        <v>220</v>
      </c>
      <c r="B71" s="15"/>
      <c r="C71" s="9"/>
      <c r="D71" s="21"/>
      <c r="E71" s="22" t="s">
        <v>593</v>
      </c>
      <c r="F71" s="95" t="s">
        <v>471</v>
      </c>
      <c r="G71" s="9" t="s">
        <v>594</v>
      </c>
      <c r="H71" s="41"/>
      <c r="I71" s="42"/>
      <c r="J71" s="42">
        <v>1</v>
      </c>
      <c r="K71" s="65">
        <v>200</v>
      </c>
      <c r="L71" s="65">
        <f t="shared" si="5"/>
        <v>200</v>
      </c>
      <c r="M71" s="46"/>
      <c r="N71" s="46"/>
      <c r="O71" s="47"/>
      <c r="P71" s="71">
        <f t="shared" si="6"/>
        <v>200</v>
      </c>
      <c r="Q71" s="83">
        <f t="shared" si="7"/>
        <v>1</v>
      </c>
      <c r="R71" s="84">
        <f t="shared" si="8"/>
        <v>200</v>
      </c>
      <c r="S71" s="85">
        <f t="shared" si="9"/>
        <v>200</v>
      </c>
      <c r="T71" s="88"/>
      <c r="U71" s="27"/>
    </row>
    <row r="72" spans="1:21" x14ac:dyDescent="0.3">
      <c r="A72" s="31" t="s">
        <v>221</v>
      </c>
      <c r="B72" s="15">
        <v>18</v>
      </c>
      <c r="C72" s="32">
        <v>45862</v>
      </c>
      <c r="D72" s="21">
        <v>199200050254</v>
      </c>
      <c r="E72" s="22" t="s">
        <v>595</v>
      </c>
      <c r="F72" s="95" t="s">
        <v>471</v>
      </c>
      <c r="G72" s="9" t="s">
        <v>526</v>
      </c>
      <c r="H72" s="52">
        <v>45862</v>
      </c>
      <c r="I72" s="42">
        <v>1859</v>
      </c>
      <c r="J72" s="42">
        <v>37</v>
      </c>
      <c r="K72" s="65">
        <v>4.2</v>
      </c>
      <c r="L72" s="65">
        <f t="shared" si="5"/>
        <v>155.4</v>
      </c>
      <c r="M72" s="46"/>
      <c r="N72" s="46"/>
      <c r="O72" s="47"/>
      <c r="P72" s="71">
        <f t="shared" si="6"/>
        <v>4.2</v>
      </c>
      <c r="Q72" s="83">
        <f t="shared" si="7"/>
        <v>37</v>
      </c>
      <c r="R72" s="84">
        <f t="shared" si="8"/>
        <v>4.2</v>
      </c>
      <c r="S72" s="85">
        <f t="shared" si="9"/>
        <v>155.4</v>
      </c>
      <c r="T72" s="88"/>
      <c r="U72" s="27"/>
    </row>
    <row r="73" spans="1:21" x14ac:dyDescent="0.3">
      <c r="A73" s="31" t="s">
        <v>222</v>
      </c>
      <c r="B73" s="15"/>
      <c r="C73" s="9"/>
      <c r="D73" s="21"/>
      <c r="E73" s="22" t="s">
        <v>596</v>
      </c>
      <c r="F73" s="95" t="s">
        <v>471</v>
      </c>
      <c r="G73" s="9" t="s">
        <v>597</v>
      </c>
      <c r="H73" s="41"/>
      <c r="I73" s="42"/>
      <c r="J73" s="42">
        <v>9</v>
      </c>
      <c r="K73" s="65">
        <v>7.5</v>
      </c>
      <c r="L73" s="65">
        <f t="shared" si="5"/>
        <v>67.5</v>
      </c>
      <c r="M73" s="46"/>
      <c r="N73" s="46"/>
      <c r="O73" s="47"/>
      <c r="P73" s="71">
        <f t="shared" si="6"/>
        <v>7.5</v>
      </c>
      <c r="Q73" s="83">
        <f>J73-O73</f>
        <v>9</v>
      </c>
      <c r="R73" s="84">
        <f t="shared" si="8"/>
        <v>7.5</v>
      </c>
      <c r="S73" s="85">
        <f t="shared" si="9"/>
        <v>67.5</v>
      </c>
      <c r="T73" s="88"/>
      <c r="U73" s="27"/>
    </row>
    <row r="74" spans="1:21" x14ac:dyDescent="0.3">
      <c r="A74" s="31" t="s">
        <v>223</v>
      </c>
      <c r="B74" s="15"/>
      <c r="C74" s="32"/>
      <c r="D74" s="21"/>
      <c r="E74" s="22" t="s">
        <v>598</v>
      </c>
      <c r="F74" s="95" t="s">
        <v>471</v>
      </c>
      <c r="G74" s="9" t="s">
        <v>599</v>
      </c>
      <c r="H74" s="52"/>
      <c r="I74" s="42"/>
      <c r="J74" s="42">
        <v>20</v>
      </c>
      <c r="K74" s="65">
        <v>1.5</v>
      </c>
      <c r="L74" s="65">
        <f t="shared" si="5"/>
        <v>30</v>
      </c>
      <c r="M74" s="46"/>
      <c r="N74" s="46"/>
      <c r="O74" s="47"/>
      <c r="P74" s="71">
        <f t="shared" si="6"/>
        <v>1.5</v>
      </c>
      <c r="Q74" s="83">
        <f t="shared" ref="Q74:Q102" si="10">J74-O74</f>
        <v>20</v>
      </c>
      <c r="R74" s="84">
        <f t="shared" si="8"/>
        <v>1.5</v>
      </c>
      <c r="S74" s="85">
        <f t="shared" si="9"/>
        <v>30</v>
      </c>
      <c r="T74" s="87"/>
      <c r="U74" s="27"/>
    </row>
    <row r="75" spans="1:21" x14ac:dyDescent="0.3">
      <c r="A75" s="31" t="s">
        <v>224</v>
      </c>
      <c r="B75" s="15"/>
      <c r="C75" s="32"/>
      <c r="D75" s="21"/>
      <c r="E75" s="97" t="s">
        <v>600</v>
      </c>
      <c r="F75" s="95" t="s">
        <v>471</v>
      </c>
      <c r="G75" s="99" t="s">
        <v>522</v>
      </c>
      <c r="H75" s="55"/>
      <c r="I75" s="57"/>
      <c r="J75" s="57">
        <v>21</v>
      </c>
      <c r="K75" s="66">
        <v>7</v>
      </c>
      <c r="L75" s="65">
        <f t="shared" si="5"/>
        <v>147</v>
      </c>
      <c r="M75" s="176"/>
      <c r="N75" s="60"/>
      <c r="O75" s="174"/>
      <c r="P75" s="71">
        <f t="shared" si="6"/>
        <v>7</v>
      </c>
      <c r="Q75" s="83">
        <f t="shared" si="10"/>
        <v>21</v>
      </c>
      <c r="R75" s="84">
        <f t="shared" si="8"/>
        <v>7</v>
      </c>
      <c r="S75" s="85">
        <f t="shared" si="9"/>
        <v>147</v>
      </c>
      <c r="T75" s="87"/>
      <c r="U75" s="27"/>
    </row>
    <row r="76" spans="1:21" x14ac:dyDescent="0.3">
      <c r="A76" s="31" t="s">
        <v>225</v>
      </c>
      <c r="B76" s="15"/>
      <c r="C76" s="32"/>
      <c r="D76" s="21"/>
      <c r="E76" s="98" t="s">
        <v>601</v>
      </c>
      <c r="F76" s="95" t="s">
        <v>471</v>
      </c>
      <c r="G76" s="100" t="s">
        <v>526</v>
      </c>
      <c r="H76" s="56"/>
      <c r="I76" s="58"/>
      <c r="J76" s="63">
        <v>5</v>
      </c>
      <c r="K76" s="67">
        <v>10.9</v>
      </c>
      <c r="L76" s="65">
        <f t="shared" si="5"/>
        <v>54.5</v>
      </c>
      <c r="M76" s="177"/>
      <c r="N76" s="61"/>
      <c r="O76" s="175"/>
      <c r="P76" s="71">
        <f t="shared" si="6"/>
        <v>10.9</v>
      </c>
      <c r="Q76" s="83">
        <f t="shared" si="10"/>
        <v>5</v>
      </c>
      <c r="R76" s="84">
        <f t="shared" si="8"/>
        <v>10.9</v>
      </c>
      <c r="S76" s="85">
        <f t="shared" si="9"/>
        <v>54.5</v>
      </c>
      <c r="T76" s="87"/>
      <c r="U76" s="27"/>
    </row>
    <row r="77" spans="1:21" x14ac:dyDescent="0.3">
      <c r="A77" s="31" t="s">
        <v>226</v>
      </c>
      <c r="B77" s="15"/>
      <c r="C77" s="32"/>
      <c r="D77" s="21"/>
      <c r="E77" s="22" t="s">
        <v>602</v>
      </c>
      <c r="F77" s="39" t="s">
        <v>560</v>
      </c>
      <c r="G77" s="9" t="s">
        <v>526</v>
      </c>
      <c r="H77" s="41"/>
      <c r="I77" s="42"/>
      <c r="J77" s="42">
        <v>5</v>
      </c>
      <c r="K77" s="65">
        <v>50</v>
      </c>
      <c r="L77" s="65">
        <f t="shared" si="5"/>
        <v>250</v>
      </c>
      <c r="M77" s="46"/>
      <c r="N77" s="46"/>
      <c r="O77" s="47"/>
      <c r="P77" s="71">
        <f t="shared" si="6"/>
        <v>50</v>
      </c>
      <c r="Q77" s="83">
        <f t="shared" si="10"/>
        <v>5</v>
      </c>
      <c r="R77" s="84">
        <f t="shared" si="8"/>
        <v>50</v>
      </c>
      <c r="S77" s="85">
        <f t="shared" si="9"/>
        <v>250</v>
      </c>
      <c r="T77" s="88"/>
      <c r="U77" s="27"/>
    </row>
    <row r="78" spans="1:21" ht="28.8" x14ac:dyDescent="0.3">
      <c r="A78" s="31" t="s">
        <v>227</v>
      </c>
      <c r="B78" s="15"/>
      <c r="C78" s="32"/>
      <c r="D78" s="21"/>
      <c r="E78" s="22" t="s">
        <v>603</v>
      </c>
      <c r="F78" s="39" t="s">
        <v>560</v>
      </c>
      <c r="G78" s="9" t="s">
        <v>517</v>
      </c>
      <c r="H78" s="52"/>
      <c r="I78" s="42"/>
      <c r="J78" s="42">
        <v>10</v>
      </c>
      <c r="K78" s="65">
        <v>35</v>
      </c>
      <c r="L78" s="65">
        <f t="shared" si="5"/>
        <v>350</v>
      </c>
      <c r="M78" s="46"/>
      <c r="N78" s="46"/>
      <c r="O78" s="47"/>
      <c r="P78" s="71">
        <f t="shared" si="6"/>
        <v>35</v>
      </c>
      <c r="Q78" s="83">
        <f t="shared" si="10"/>
        <v>10</v>
      </c>
      <c r="R78" s="84">
        <f t="shared" si="8"/>
        <v>35</v>
      </c>
      <c r="S78" s="85">
        <f t="shared" si="9"/>
        <v>350</v>
      </c>
      <c r="T78" s="88"/>
      <c r="U78" s="27"/>
    </row>
    <row r="79" spans="1:21" x14ac:dyDescent="0.3">
      <c r="A79" s="31"/>
      <c r="B79" s="15"/>
      <c r="C79" s="32">
        <v>44851</v>
      </c>
      <c r="D79" s="21">
        <v>285400120508</v>
      </c>
      <c r="E79" s="22" t="s">
        <v>797</v>
      </c>
      <c r="F79" s="39" t="s">
        <v>560</v>
      </c>
      <c r="G79" s="9" t="s">
        <v>604</v>
      </c>
      <c r="H79" s="52">
        <v>44851</v>
      </c>
      <c r="I79" s="42">
        <v>2590</v>
      </c>
      <c r="J79" s="42">
        <v>9</v>
      </c>
      <c r="K79" s="65">
        <v>65</v>
      </c>
      <c r="L79" s="65">
        <f t="shared" si="5"/>
        <v>585</v>
      </c>
      <c r="M79" s="46"/>
      <c r="N79" s="46"/>
      <c r="O79" s="47"/>
      <c r="P79" s="71">
        <f t="shared" si="6"/>
        <v>65</v>
      </c>
      <c r="Q79" s="83">
        <f t="shared" si="10"/>
        <v>9</v>
      </c>
      <c r="R79" s="84">
        <f t="shared" si="8"/>
        <v>65</v>
      </c>
      <c r="S79" s="85">
        <f t="shared" si="9"/>
        <v>585</v>
      </c>
      <c r="T79" s="88"/>
      <c r="U79" s="27"/>
    </row>
    <row r="80" spans="1:21" x14ac:dyDescent="0.3">
      <c r="A80" s="31"/>
      <c r="B80" s="15"/>
      <c r="C80" s="32"/>
      <c r="D80" s="21">
        <v>3009417</v>
      </c>
      <c r="E80" s="22" t="s">
        <v>605</v>
      </c>
      <c r="F80" s="39" t="s">
        <v>560</v>
      </c>
      <c r="G80" s="9" t="s">
        <v>529</v>
      </c>
      <c r="H80" s="52"/>
      <c r="I80" s="42"/>
      <c r="J80" s="42">
        <v>1</v>
      </c>
      <c r="K80" s="65">
        <v>75</v>
      </c>
      <c r="L80" s="65">
        <f t="shared" si="5"/>
        <v>75</v>
      </c>
      <c r="M80" s="46"/>
      <c r="N80" s="46"/>
      <c r="O80" s="47"/>
      <c r="P80" s="71">
        <f t="shared" si="6"/>
        <v>75</v>
      </c>
      <c r="Q80" s="83">
        <f t="shared" si="10"/>
        <v>1</v>
      </c>
      <c r="R80" s="84">
        <f t="shared" si="8"/>
        <v>75</v>
      </c>
      <c r="S80" s="85">
        <f t="shared" si="9"/>
        <v>75</v>
      </c>
      <c r="T80" s="88"/>
      <c r="U80" s="27" t="s">
        <v>606</v>
      </c>
    </row>
    <row r="81" spans="1:21" ht="28.8" x14ac:dyDescent="0.3">
      <c r="A81" s="31" t="s">
        <v>228</v>
      </c>
      <c r="B81" s="15"/>
      <c r="C81" s="9"/>
      <c r="D81" s="21"/>
      <c r="E81" s="22" t="s">
        <v>614</v>
      </c>
      <c r="F81" s="39" t="s">
        <v>560</v>
      </c>
      <c r="G81" s="9" t="s">
        <v>607</v>
      </c>
      <c r="H81" s="41"/>
      <c r="I81" s="42"/>
      <c r="J81" s="42">
        <v>240</v>
      </c>
      <c r="K81" s="65">
        <v>0.11</v>
      </c>
      <c r="L81" s="65">
        <f t="shared" si="5"/>
        <v>26.4</v>
      </c>
      <c r="M81" s="46"/>
      <c r="N81" s="46"/>
      <c r="O81" s="47"/>
      <c r="P81" s="71">
        <f t="shared" si="6"/>
        <v>0.11</v>
      </c>
      <c r="Q81" s="83">
        <f t="shared" si="10"/>
        <v>240</v>
      </c>
      <c r="R81" s="84">
        <f t="shared" si="8"/>
        <v>0.11</v>
      </c>
      <c r="S81" s="85">
        <f t="shared" si="9"/>
        <v>26.4</v>
      </c>
      <c r="T81" s="88"/>
      <c r="U81" s="27"/>
    </row>
    <row r="82" spans="1:21" ht="28.8" x14ac:dyDescent="0.3">
      <c r="A82" s="31" t="s">
        <v>229</v>
      </c>
      <c r="B82" s="15"/>
      <c r="C82" s="9"/>
      <c r="D82" s="21"/>
      <c r="E82" s="22" t="s">
        <v>837</v>
      </c>
      <c r="F82" s="39" t="s">
        <v>560</v>
      </c>
      <c r="G82" s="9" t="s">
        <v>294</v>
      </c>
      <c r="H82" s="41"/>
      <c r="I82" s="42"/>
      <c r="J82" s="42">
        <v>120</v>
      </c>
      <c r="K82" s="65">
        <v>0.15</v>
      </c>
      <c r="L82" s="65">
        <f t="shared" si="5"/>
        <v>18</v>
      </c>
      <c r="M82" s="46"/>
      <c r="N82" s="46"/>
      <c r="O82" s="47"/>
      <c r="P82" s="71">
        <f t="shared" si="6"/>
        <v>0.15</v>
      </c>
      <c r="Q82" s="83">
        <f t="shared" si="10"/>
        <v>120</v>
      </c>
      <c r="R82" s="84">
        <f t="shared" si="8"/>
        <v>0.15</v>
      </c>
      <c r="S82" s="85">
        <f t="shared" si="9"/>
        <v>18</v>
      </c>
      <c r="T82" s="88"/>
      <c r="U82" s="27"/>
    </row>
    <row r="83" spans="1:21" x14ac:dyDescent="0.3">
      <c r="A83" s="31" t="s">
        <v>230</v>
      </c>
      <c r="B83" s="15"/>
      <c r="C83" s="32"/>
      <c r="D83" s="21"/>
      <c r="E83" s="22" t="s">
        <v>608</v>
      </c>
      <c r="F83" s="39" t="s">
        <v>560</v>
      </c>
      <c r="G83" s="9" t="s">
        <v>294</v>
      </c>
      <c r="H83" s="52"/>
      <c r="I83" s="42"/>
      <c r="J83" s="42">
        <v>20</v>
      </c>
      <c r="K83" s="65">
        <v>1.5</v>
      </c>
      <c r="L83" s="65">
        <f t="shared" si="5"/>
        <v>30</v>
      </c>
      <c r="M83" s="46"/>
      <c r="N83" s="46"/>
      <c r="O83" s="47"/>
      <c r="P83" s="71">
        <f t="shared" si="6"/>
        <v>1.5</v>
      </c>
      <c r="Q83" s="83">
        <f t="shared" si="10"/>
        <v>20</v>
      </c>
      <c r="R83" s="84">
        <f t="shared" si="8"/>
        <v>1.5</v>
      </c>
      <c r="S83" s="85">
        <f t="shared" si="9"/>
        <v>30</v>
      </c>
      <c r="T83" s="88"/>
      <c r="U83" s="27"/>
    </row>
    <row r="84" spans="1:21" x14ac:dyDescent="0.3">
      <c r="A84" s="31" t="s">
        <v>231</v>
      </c>
      <c r="B84" s="15"/>
      <c r="C84" s="9"/>
      <c r="D84" s="21"/>
      <c r="E84" s="22" t="s">
        <v>609</v>
      </c>
      <c r="F84" s="39" t="s">
        <v>560</v>
      </c>
      <c r="G84" s="9" t="s">
        <v>294</v>
      </c>
      <c r="H84" s="41"/>
      <c r="I84" s="42"/>
      <c r="J84" s="42">
        <v>18</v>
      </c>
      <c r="K84" s="65">
        <v>1.5</v>
      </c>
      <c r="L84" s="65">
        <f t="shared" si="5"/>
        <v>27</v>
      </c>
      <c r="M84" s="46"/>
      <c r="N84" s="46"/>
      <c r="O84" s="47"/>
      <c r="P84" s="71">
        <f t="shared" si="6"/>
        <v>1.5</v>
      </c>
      <c r="Q84" s="83">
        <f t="shared" si="10"/>
        <v>18</v>
      </c>
      <c r="R84" s="84">
        <f t="shared" si="8"/>
        <v>1.5</v>
      </c>
      <c r="S84" s="85">
        <f t="shared" si="9"/>
        <v>27</v>
      </c>
      <c r="T84" s="88"/>
      <c r="U84" s="27"/>
    </row>
    <row r="85" spans="1:21" x14ac:dyDescent="0.3">
      <c r="A85" s="31" t="s">
        <v>232</v>
      </c>
      <c r="B85" s="15"/>
      <c r="C85" s="9"/>
      <c r="D85" s="21"/>
      <c r="E85" s="22" t="s">
        <v>611</v>
      </c>
      <c r="F85" s="39" t="s">
        <v>560</v>
      </c>
      <c r="G85" s="9" t="s">
        <v>610</v>
      </c>
      <c r="H85" s="41"/>
      <c r="I85" s="42"/>
      <c r="J85" s="42">
        <v>1</v>
      </c>
      <c r="K85" s="65">
        <v>45</v>
      </c>
      <c r="L85" s="65">
        <f t="shared" si="5"/>
        <v>45</v>
      </c>
      <c r="M85" s="46"/>
      <c r="N85" s="46"/>
      <c r="O85" s="47"/>
      <c r="P85" s="71">
        <f t="shared" si="6"/>
        <v>45</v>
      </c>
      <c r="Q85" s="83">
        <f t="shared" si="10"/>
        <v>1</v>
      </c>
      <c r="R85" s="84">
        <f t="shared" si="8"/>
        <v>45</v>
      </c>
      <c r="S85" s="85">
        <f t="shared" si="9"/>
        <v>45</v>
      </c>
      <c r="T85" s="88"/>
      <c r="U85" s="27"/>
    </row>
    <row r="86" spans="1:21" x14ac:dyDescent="0.3">
      <c r="A86" s="31" t="s">
        <v>233</v>
      </c>
      <c r="B86" s="15"/>
      <c r="C86" s="32"/>
      <c r="D86" s="21"/>
      <c r="E86" s="23" t="s">
        <v>771</v>
      </c>
      <c r="F86" s="39" t="s">
        <v>471</v>
      </c>
      <c r="G86" s="9" t="s">
        <v>612</v>
      </c>
      <c r="H86" s="52"/>
      <c r="I86" s="42"/>
      <c r="J86" s="42">
        <v>2</v>
      </c>
      <c r="K86" s="65">
        <v>60</v>
      </c>
      <c r="L86" s="65">
        <f t="shared" si="5"/>
        <v>120</v>
      </c>
      <c r="M86" s="46"/>
      <c r="N86" s="46"/>
      <c r="O86" s="47"/>
      <c r="P86" s="71">
        <f t="shared" si="6"/>
        <v>60</v>
      </c>
      <c r="Q86" s="83">
        <f t="shared" si="10"/>
        <v>2</v>
      </c>
      <c r="R86" s="84">
        <f t="shared" si="8"/>
        <v>60</v>
      </c>
      <c r="S86" s="85">
        <f t="shared" si="9"/>
        <v>120</v>
      </c>
      <c r="T86" s="88"/>
      <c r="U86" s="27"/>
    </row>
    <row r="87" spans="1:21" x14ac:dyDescent="0.3">
      <c r="A87" s="31" t="s">
        <v>236</v>
      </c>
      <c r="B87" s="15"/>
      <c r="C87" s="9"/>
      <c r="D87" s="21"/>
      <c r="E87" s="23" t="s">
        <v>613</v>
      </c>
      <c r="F87" s="39" t="s">
        <v>471</v>
      </c>
      <c r="G87" s="9" t="s">
        <v>294</v>
      </c>
      <c r="H87" s="41"/>
      <c r="I87" s="42"/>
      <c r="J87" s="42">
        <v>2</v>
      </c>
      <c r="K87" s="65">
        <v>100</v>
      </c>
      <c r="L87" s="65">
        <f t="shared" si="5"/>
        <v>200</v>
      </c>
      <c r="M87" s="46"/>
      <c r="N87" s="46"/>
      <c r="O87" s="47"/>
      <c r="P87" s="71">
        <f t="shared" si="6"/>
        <v>100</v>
      </c>
      <c r="Q87" s="83">
        <f t="shared" si="10"/>
        <v>2</v>
      </c>
      <c r="R87" s="84">
        <f t="shared" si="8"/>
        <v>100</v>
      </c>
      <c r="S87" s="85">
        <f t="shared" si="9"/>
        <v>200</v>
      </c>
      <c r="T87" s="87"/>
      <c r="U87" s="27" t="s">
        <v>378</v>
      </c>
    </row>
    <row r="88" spans="1:21" x14ac:dyDescent="0.3">
      <c r="A88" s="31" t="s">
        <v>237</v>
      </c>
      <c r="B88" s="15"/>
      <c r="C88" s="9"/>
      <c r="D88" s="21"/>
      <c r="E88" s="98" t="s">
        <v>619</v>
      </c>
      <c r="F88" s="39" t="s">
        <v>471</v>
      </c>
      <c r="G88" s="9" t="s">
        <v>294</v>
      </c>
      <c r="H88" s="41"/>
      <c r="I88" s="42"/>
      <c r="J88" s="42">
        <v>1</v>
      </c>
      <c r="K88" s="65">
        <v>6</v>
      </c>
      <c r="L88" s="65">
        <f t="shared" si="5"/>
        <v>6</v>
      </c>
      <c r="M88" s="46"/>
      <c r="N88" s="46"/>
      <c r="O88" s="47"/>
      <c r="P88" s="71">
        <f t="shared" si="6"/>
        <v>6</v>
      </c>
      <c r="Q88" s="83">
        <f t="shared" si="10"/>
        <v>1</v>
      </c>
      <c r="R88" s="84">
        <f t="shared" si="8"/>
        <v>6</v>
      </c>
      <c r="S88" s="85">
        <f t="shared" si="9"/>
        <v>6</v>
      </c>
      <c r="T88" s="88"/>
      <c r="U88" s="27"/>
    </row>
    <row r="89" spans="1:21" x14ac:dyDescent="0.3">
      <c r="A89" s="31" t="s">
        <v>238</v>
      </c>
      <c r="B89" s="15"/>
      <c r="C89" s="9"/>
      <c r="D89" s="21"/>
      <c r="E89" s="23" t="s">
        <v>620</v>
      </c>
      <c r="F89" s="39" t="s">
        <v>471</v>
      </c>
      <c r="G89" s="9" t="s">
        <v>529</v>
      </c>
      <c r="H89" s="52"/>
      <c r="I89" s="42"/>
      <c r="J89" s="42">
        <v>18</v>
      </c>
      <c r="K89" s="65">
        <v>65</v>
      </c>
      <c r="L89" s="65">
        <f t="shared" si="5"/>
        <v>1170</v>
      </c>
      <c r="M89" s="46"/>
      <c r="N89" s="46"/>
      <c r="O89" s="47"/>
      <c r="P89" s="71">
        <f t="shared" si="6"/>
        <v>65</v>
      </c>
      <c r="Q89" s="83">
        <f t="shared" si="10"/>
        <v>18</v>
      </c>
      <c r="R89" s="84">
        <f t="shared" si="8"/>
        <v>65</v>
      </c>
      <c r="S89" s="85">
        <f t="shared" si="9"/>
        <v>1170</v>
      </c>
      <c r="T89" s="88"/>
      <c r="U89" s="27"/>
    </row>
    <row r="90" spans="1:21" x14ac:dyDescent="0.3">
      <c r="A90" s="31" t="s">
        <v>239</v>
      </c>
      <c r="B90" s="15"/>
      <c r="C90" s="32"/>
      <c r="D90" s="21"/>
      <c r="E90" s="23" t="s">
        <v>620</v>
      </c>
      <c r="F90" s="39" t="s">
        <v>471</v>
      </c>
      <c r="G90" s="9" t="s">
        <v>294</v>
      </c>
      <c r="H90" s="52"/>
      <c r="I90" s="42"/>
      <c r="J90" s="42">
        <v>9</v>
      </c>
      <c r="K90" s="65">
        <v>65</v>
      </c>
      <c r="L90" s="65">
        <f t="shared" si="5"/>
        <v>585</v>
      </c>
      <c r="M90" s="46"/>
      <c r="N90" s="46"/>
      <c r="O90" s="47"/>
      <c r="P90" s="71">
        <f t="shared" si="6"/>
        <v>65</v>
      </c>
      <c r="Q90" s="83">
        <f t="shared" si="10"/>
        <v>9</v>
      </c>
      <c r="R90" s="84">
        <f t="shared" si="8"/>
        <v>65</v>
      </c>
      <c r="S90" s="85">
        <f t="shared" si="9"/>
        <v>585</v>
      </c>
      <c r="T90" s="88"/>
      <c r="U90" s="27"/>
    </row>
    <row r="91" spans="1:21" x14ac:dyDescent="0.3">
      <c r="A91" s="31" t="s">
        <v>240</v>
      </c>
      <c r="B91" s="15"/>
      <c r="C91" s="9"/>
      <c r="D91" s="21"/>
      <c r="E91" s="22" t="s">
        <v>621</v>
      </c>
      <c r="F91" s="39" t="s">
        <v>471</v>
      </c>
      <c r="G91" s="9" t="s">
        <v>294</v>
      </c>
      <c r="H91" s="41"/>
      <c r="I91" s="42"/>
      <c r="J91" s="42">
        <v>9</v>
      </c>
      <c r="K91" s="65">
        <v>25</v>
      </c>
      <c r="L91" s="65">
        <f t="shared" si="5"/>
        <v>225</v>
      </c>
      <c r="M91" s="46"/>
      <c r="N91" s="46"/>
      <c r="O91" s="47"/>
      <c r="P91" s="71">
        <f t="shared" si="6"/>
        <v>25</v>
      </c>
      <c r="Q91" s="83">
        <f t="shared" si="10"/>
        <v>9</v>
      </c>
      <c r="R91" s="84">
        <f t="shared" si="8"/>
        <v>25</v>
      </c>
      <c r="S91" s="85">
        <f t="shared" si="9"/>
        <v>225</v>
      </c>
      <c r="T91" s="88"/>
      <c r="U91" s="27"/>
    </row>
    <row r="92" spans="1:21" x14ac:dyDescent="0.3">
      <c r="A92" s="31" t="s">
        <v>241</v>
      </c>
      <c r="B92" s="15"/>
      <c r="C92" s="9"/>
      <c r="D92" s="21"/>
      <c r="E92" s="23" t="s">
        <v>622</v>
      </c>
      <c r="F92" s="39" t="s">
        <v>471</v>
      </c>
      <c r="G92" s="9" t="s">
        <v>623</v>
      </c>
      <c r="H92" s="41"/>
      <c r="I92" s="42"/>
      <c r="J92" s="42">
        <v>1</v>
      </c>
      <c r="K92" s="65">
        <v>90</v>
      </c>
      <c r="L92" s="65">
        <f t="shared" si="5"/>
        <v>90</v>
      </c>
      <c r="M92" s="46"/>
      <c r="N92" s="46"/>
      <c r="O92" s="47"/>
      <c r="P92" s="71">
        <f t="shared" si="6"/>
        <v>90</v>
      </c>
      <c r="Q92" s="83">
        <f t="shared" si="10"/>
        <v>1</v>
      </c>
      <c r="R92" s="84">
        <f t="shared" si="8"/>
        <v>90</v>
      </c>
      <c r="S92" s="85">
        <f t="shared" si="9"/>
        <v>90</v>
      </c>
      <c r="T92" s="88"/>
      <c r="U92" s="27"/>
    </row>
    <row r="93" spans="1:21" x14ac:dyDescent="0.3">
      <c r="A93" s="31" t="s">
        <v>242</v>
      </c>
      <c r="B93" s="15"/>
      <c r="C93" s="32"/>
      <c r="D93" s="21"/>
      <c r="E93" s="113" t="s">
        <v>634</v>
      </c>
      <c r="F93" s="105" t="s">
        <v>471</v>
      </c>
      <c r="G93" s="4" t="s">
        <v>294</v>
      </c>
      <c r="J93" s="104">
        <v>4</v>
      </c>
      <c r="K93" s="102">
        <v>0.6</v>
      </c>
      <c r="L93" s="65">
        <f t="shared" si="5"/>
        <v>2.4</v>
      </c>
      <c r="M93" s="46"/>
      <c r="N93" s="46"/>
      <c r="O93" s="47"/>
      <c r="P93" s="71">
        <f t="shared" si="6"/>
        <v>0.6</v>
      </c>
      <c r="Q93" s="83">
        <f t="shared" si="10"/>
        <v>4</v>
      </c>
      <c r="R93" s="84">
        <f t="shared" si="8"/>
        <v>0.6</v>
      </c>
      <c r="S93" s="85">
        <f t="shared" si="9"/>
        <v>2.4</v>
      </c>
      <c r="T93" s="88"/>
      <c r="U93" s="27"/>
    </row>
    <row r="94" spans="1:21" x14ac:dyDescent="0.3">
      <c r="A94" s="31" t="s">
        <v>243</v>
      </c>
      <c r="B94" s="15"/>
      <c r="C94" s="32"/>
      <c r="D94" s="21"/>
      <c r="E94" s="113" t="s">
        <v>635</v>
      </c>
      <c r="F94" s="105" t="s">
        <v>471</v>
      </c>
      <c r="G94" s="4" t="s">
        <v>294</v>
      </c>
      <c r="J94" s="104">
        <v>9</v>
      </c>
      <c r="K94" s="102">
        <v>1.5</v>
      </c>
      <c r="L94" s="65">
        <f t="shared" si="5"/>
        <v>13.5</v>
      </c>
      <c r="M94" s="46"/>
      <c r="N94" s="46"/>
      <c r="O94" s="47"/>
      <c r="P94" s="71">
        <f t="shared" si="6"/>
        <v>1.5</v>
      </c>
      <c r="Q94" s="83">
        <f t="shared" si="10"/>
        <v>9</v>
      </c>
      <c r="R94" s="84">
        <f t="shared" si="8"/>
        <v>1.5</v>
      </c>
      <c r="S94" s="85">
        <f t="shared" si="9"/>
        <v>13.5</v>
      </c>
      <c r="T94" s="88"/>
      <c r="U94" s="27"/>
    </row>
    <row r="95" spans="1:21" x14ac:dyDescent="0.3">
      <c r="A95" s="31" t="s">
        <v>244</v>
      </c>
      <c r="B95" s="15"/>
      <c r="C95" s="9"/>
      <c r="D95" s="21"/>
      <c r="E95" s="113" t="s">
        <v>636</v>
      </c>
      <c r="F95" s="105" t="s">
        <v>471</v>
      </c>
      <c r="G95" s="4" t="s">
        <v>294</v>
      </c>
      <c r="J95" s="104">
        <v>1</v>
      </c>
      <c r="K95" s="102">
        <v>1.8</v>
      </c>
      <c r="L95" s="65">
        <f t="shared" si="5"/>
        <v>1.8</v>
      </c>
      <c r="M95" s="46"/>
      <c r="N95" s="46"/>
      <c r="O95" s="47"/>
      <c r="P95" s="71">
        <f t="shared" si="6"/>
        <v>1.8</v>
      </c>
      <c r="Q95" s="83">
        <f t="shared" si="10"/>
        <v>1</v>
      </c>
      <c r="R95" s="84">
        <f t="shared" si="8"/>
        <v>1.8</v>
      </c>
      <c r="S95" s="85">
        <f t="shared" si="9"/>
        <v>1.8</v>
      </c>
      <c r="T95" s="88"/>
      <c r="U95" s="27"/>
    </row>
    <row r="96" spans="1:21" x14ac:dyDescent="0.3">
      <c r="A96" s="31" t="s">
        <v>245</v>
      </c>
      <c r="B96" s="15"/>
      <c r="C96" s="9"/>
      <c r="D96" s="21"/>
      <c r="E96" s="113" t="s">
        <v>637</v>
      </c>
      <c r="F96" s="105" t="s">
        <v>471</v>
      </c>
      <c r="G96" s="4" t="s">
        <v>294</v>
      </c>
      <c r="J96" s="104">
        <v>6</v>
      </c>
      <c r="K96" s="102">
        <v>2.2000000000000002</v>
      </c>
      <c r="L96" s="65">
        <f t="shared" si="5"/>
        <v>13.200000000000001</v>
      </c>
      <c r="M96" s="46"/>
      <c r="N96" s="46"/>
      <c r="O96" s="47"/>
      <c r="P96" s="71">
        <f t="shared" si="6"/>
        <v>2.2000000000000002</v>
      </c>
      <c r="Q96" s="83">
        <f t="shared" si="10"/>
        <v>6</v>
      </c>
      <c r="R96" s="84">
        <f t="shared" si="8"/>
        <v>2.2000000000000002</v>
      </c>
      <c r="S96" s="85">
        <f t="shared" si="9"/>
        <v>13.200000000000001</v>
      </c>
      <c r="T96" s="88"/>
      <c r="U96" s="27"/>
    </row>
    <row r="97" spans="1:21" x14ac:dyDescent="0.3">
      <c r="A97" s="31" t="s">
        <v>246</v>
      </c>
      <c r="B97" s="15"/>
      <c r="C97" s="9"/>
      <c r="D97" s="21"/>
      <c r="E97" s="113" t="s">
        <v>638</v>
      </c>
      <c r="F97" s="105" t="s">
        <v>471</v>
      </c>
      <c r="G97" s="4" t="s">
        <v>294</v>
      </c>
      <c r="J97" s="104">
        <v>9</v>
      </c>
      <c r="K97" s="102">
        <v>2.8</v>
      </c>
      <c r="L97" s="65">
        <f t="shared" si="5"/>
        <v>25.2</v>
      </c>
      <c r="M97" s="46"/>
      <c r="N97" s="46"/>
      <c r="O97" s="47"/>
      <c r="P97" s="71">
        <f t="shared" si="6"/>
        <v>2.8</v>
      </c>
      <c r="Q97" s="83">
        <f t="shared" si="10"/>
        <v>9</v>
      </c>
      <c r="R97" s="84">
        <f t="shared" si="8"/>
        <v>2.8</v>
      </c>
      <c r="S97" s="85">
        <f t="shared" si="9"/>
        <v>25.2</v>
      </c>
      <c r="T97" s="88"/>
      <c r="U97" s="27"/>
    </row>
    <row r="98" spans="1:21" x14ac:dyDescent="0.3">
      <c r="A98" s="31" t="s">
        <v>247</v>
      </c>
      <c r="B98" s="15"/>
      <c r="C98" s="9"/>
      <c r="D98" s="21"/>
      <c r="E98" s="113" t="s">
        <v>639</v>
      </c>
      <c r="F98" s="105" t="s">
        <v>471</v>
      </c>
      <c r="G98" s="4" t="s">
        <v>294</v>
      </c>
      <c r="J98" s="104">
        <v>9</v>
      </c>
      <c r="K98" s="102">
        <v>4.5</v>
      </c>
      <c r="L98" s="65">
        <f t="shared" si="5"/>
        <v>40.5</v>
      </c>
      <c r="M98" s="46"/>
      <c r="N98" s="46"/>
      <c r="O98" s="47"/>
      <c r="P98" s="71">
        <f t="shared" si="6"/>
        <v>4.5</v>
      </c>
      <c r="Q98" s="83">
        <f t="shared" si="10"/>
        <v>9</v>
      </c>
      <c r="R98" s="84">
        <f t="shared" si="8"/>
        <v>4.5</v>
      </c>
      <c r="S98" s="85">
        <f t="shared" si="9"/>
        <v>40.5</v>
      </c>
      <c r="T98" s="88"/>
      <c r="U98" s="27"/>
    </row>
    <row r="99" spans="1:21" x14ac:dyDescent="0.3">
      <c r="A99" s="31" t="s">
        <v>248</v>
      </c>
      <c r="B99" s="15"/>
      <c r="C99" s="9"/>
      <c r="D99" s="21"/>
      <c r="E99" s="113" t="s">
        <v>640</v>
      </c>
      <c r="F99" s="105" t="s">
        <v>471</v>
      </c>
      <c r="G99" s="4" t="s">
        <v>294</v>
      </c>
      <c r="J99" s="104">
        <v>1</v>
      </c>
      <c r="K99" s="102">
        <v>6.5</v>
      </c>
      <c r="L99" s="65">
        <f t="shared" si="5"/>
        <v>6.5</v>
      </c>
      <c r="M99" s="46"/>
      <c r="N99" s="46"/>
      <c r="O99" s="47"/>
      <c r="P99" s="71">
        <f t="shared" si="6"/>
        <v>6.5</v>
      </c>
      <c r="Q99" s="83">
        <f t="shared" si="10"/>
        <v>1</v>
      </c>
      <c r="R99" s="84">
        <f t="shared" si="8"/>
        <v>6.5</v>
      </c>
      <c r="S99" s="85">
        <f t="shared" si="9"/>
        <v>6.5</v>
      </c>
      <c r="T99" s="88"/>
      <c r="U99" s="27"/>
    </row>
    <row r="100" spans="1:21" x14ac:dyDescent="0.3">
      <c r="A100" s="31" t="s">
        <v>249</v>
      </c>
      <c r="B100" s="15"/>
      <c r="C100" s="9"/>
      <c r="D100" s="21"/>
      <c r="E100" s="113" t="s">
        <v>641</v>
      </c>
      <c r="F100" s="105" t="s">
        <v>471</v>
      </c>
      <c r="G100" s="9" t="s">
        <v>294</v>
      </c>
      <c r="H100" s="41"/>
      <c r="I100" s="42"/>
      <c r="J100" s="42">
        <v>4</v>
      </c>
      <c r="K100" s="65">
        <v>8</v>
      </c>
      <c r="L100" s="65">
        <f t="shared" si="5"/>
        <v>32</v>
      </c>
      <c r="M100" s="46"/>
      <c r="N100" s="46"/>
      <c r="O100" s="47"/>
      <c r="P100" s="71">
        <f t="shared" si="6"/>
        <v>8</v>
      </c>
      <c r="Q100" s="83">
        <f t="shared" si="10"/>
        <v>4</v>
      </c>
      <c r="R100" s="84">
        <f t="shared" si="8"/>
        <v>8</v>
      </c>
      <c r="S100" s="85">
        <f t="shared" si="9"/>
        <v>32</v>
      </c>
      <c r="T100" s="88"/>
      <c r="U100" s="27"/>
    </row>
    <row r="101" spans="1:21" x14ac:dyDescent="0.3">
      <c r="A101" s="31" t="s">
        <v>250</v>
      </c>
      <c r="B101" s="15"/>
      <c r="C101" s="9"/>
      <c r="D101" s="21"/>
      <c r="E101" s="113" t="s">
        <v>642</v>
      </c>
      <c r="F101" s="105" t="s">
        <v>471</v>
      </c>
      <c r="G101" s="9" t="s">
        <v>294</v>
      </c>
      <c r="H101" s="41"/>
      <c r="I101" s="42"/>
      <c r="J101" s="42">
        <v>2</v>
      </c>
      <c r="K101" s="65">
        <v>10</v>
      </c>
      <c r="L101" s="65">
        <f t="shared" si="5"/>
        <v>20</v>
      </c>
      <c r="M101" s="46"/>
      <c r="N101" s="46"/>
      <c r="O101" s="47"/>
      <c r="P101" s="71">
        <f t="shared" si="6"/>
        <v>10</v>
      </c>
      <c r="Q101" s="83">
        <f t="shared" si="10"/>
        <v>2</v>
      </c>
      <c r="R101" s="84">
        <f t="shared" si="8"/>
        <v>10</v>
      </c>
      <c r="S101" s="85">
        <f t="shared" si="9"/>
        <v>20</v>
      </c>
      <c r="T101" s="88"/>
      <c r="U101" s="27"/>
    </row>
    <row r="102" spans="1:21" x14ac:dyDescent="0.3">
      <c r="A102" s="31" t="s">
        <v>251</v>
      </c>
      <c r="B102" s="15"/>
      <c r="C102" s="32"/>
      <c r="D102" s="36"/>
      <c r="E102" s="22" t="s">
        <v>675</v>
      </c>
      <c r="F102" s="105" t="s">
        <v>471</v>
      </c>
      <c r="G102" s="9" t="s">
        <v>676</v>
      </c>
      <c r="H102" s="52"/>
      <c r="I102" s="42"/>
      <c r="J102" s="42">
        <v>25</v>
      </c>
      <c r="K102" s="65">
        <v>33</v>
      </c>
      <c r="L102" s="65">
        <f t="shared" si="5"/>
        <v>825</v>
      </c>
      <c r="M102" s="46"/>
      <c r="N102" s="46"/>
      <c r="O102" s="47"/>
      <c r="P102" s="71">
        <f t="shared" si="6"/>
        <v>33</v>
      </c>
      <c r="Q102" s="83">
        <f t="shared" si="10"/>
        <v>25</v>
      </c>
      <c r="R102" s="84">
        <f t="shared" si="8"/>
        <v>33</v>
      </c>
      <c r="S102" s="85">
        <f t="shared" si="9"/>
        <v>825</v>
      </c>
      <c r="T102" s="88"/>
      <c r="U102" s="27"/>
    </row>
    <row r="103" spans="1:21" x14ac:dyDescent="0.3">
      <c r="A103" s="31" t="s">
        <v>252</v>
      </c>
      <c r="B103" s="15"/>
      <c r="C103" s="9"/>
      <c r="D103" s="21"/>
      <c r="E103" s="22" t="s">
        <v>839</v>
      </c>
      <c r="F103" s="105" t="s">
        <v>471</v>
      </c>
      <c r="G103" s="9" t="s">
        <v>677</v>
      </c>
      <c r="H103" s="41"/>
      <c r="I103" s="42"/>
      <c r="J103" s="42">
        <v>2</v>
      </c>
      <c r="K103" s="65">
        <v>45</v>
      </c>
      <c r="L103" s="65">
        <f t="shared" si="5"/>
        <v>90</v>
      </c>
      <c r="M103" s="46"/>
      <c r="N103" s="46"/>
      <c r="O103" s="47"/>
      <c r="P103" s="71">
        <f t="shared" si="6"/>
        <v>45</v>
      </c>
      <c r="Q103" s="83">
        <f>J103-O103</f>
        <v>2</v>
      </c>
      <c r="R103" s="84">
        <f t="shared" si="8"/>
        <v>45</v>
      </c>
      <c r="S103" s="85">
        <f t="shared" si="9"/>
        <v>90</v>
      </c>
      <c r="T103" s="88"/>
      <c r="U103" s="27"/>
    </row>
    <row r="104" spans="1:21" x14ac:dyDescent="0.3">
      <c r="A104" s="31" t="s">
        <v>253</v>
      </c>
      <c r="B104" s="15"/>
      <c r="C104" s="32"/>
      <c r="D104" s="36"/>
      <c r="E104" s="22" t="s">
        <v>840</v>
      </c>
      <c r="F104" s="105" t="s">
        <v>471</v>
      </c>
      <c r="G104" s="9" t="s">
        <v>695</v>
      </c>
      <c r="H104" s="52"/>
      <c r="I104" s="42"/>
      <c r="J104" s="42">
        <v>1</v>
      </c>
      <c r="K104" s="65">
        <v>170</v>
      </c>
      <c r="L104" s="65">
        <f t="shared" si="5"/>
        <v>170</v>
      </c>
      <c r="M104" s="46"/>
      <c r="N104" s="46"/>
      <c r="O104" s="47"/>
      <c r="P104" s="71">
        <f t="shared" si="6"/>
        <v>170</v>
      </c>
      <c r="Q104" s="83">
        <f t="shared" ref="Q104:Q143" si="11">J104-O104</f>
        <v>1</v>
      </c>
      <c r="R104" s="84">
        <f t="shared" si="8"/>
        <v>170</v>
      </c>
      <c r="S104" s="85">
        <f t="shared" si="9"/>
        <v>170</v>
      </c>
      <c r="T104" s="88"/>
      <c r="U104" s="27" t="s">
        <v>838</v>
      </c>
    </row>
    <row r="105" spans="1:21" x14ac:dyDescent="0.3">
      <c r="A105" s="31" t="s">
        <v>254</v>
      </c>
      <c r="B105" s="15"/>
      <c r="C105" s="9"/>
      <c r="D105" s="21"/>
      <c r="E105" s="22" t="s">
        <v>691</v>
      </c>
      <c r="F105" s="39" t="s">
        <v>694</v>
      </c>
      <c r="G105" s="9" t="s">
        <v>692</v>
      </c>
      <c r="H105" s="41"/>
      <c r="I105" s="42"/>
      <c r="J105" s="42">
        <v>2</v>
      </c>
      <c r="K105" s="65">
        <v>15</v>
      </c>
      <c r="L105" s="65">
        <f t="shared" si="5"/>
        <v>30</v>
      </c>
      <c r="M105" s="46"/>
      <c r="N105" s="46"/>
      <c r="O105" s="47"/>
      <c r="P105" s="71">
        <f t="shared" si="6"/>
        <v>15</v>
      </c>
      <c r="Q105" s="83">
        <f t="shared" si="11"/>
        <v>2</v>
      </c>
      <c r="R105" s="84">
        <f t="shared" si="8"/>
        <v>15</v>
      </c>
      <c r="S105" s="85">
        <f t="shared" si="9"/>
        <v>30</v>
      </c>
      <c r="T105" s="88"/>
      <c r="U105" s="27"/>
    </row>
    <row r="106" spans="1:21" x14ac:dyDescent="0.3">
      <c r="A106" s="31" t="s">
        <v>255</v>
      </c>
      <c r="B106" s="15"/>
      <c r="C106" s="32"/>
      <c r="D106" s="36"/>
      <c r="E106" s="22" t="s">
        <v>693</v>
      </c>
      <c r="F106" s="39" t="s">
        <v>694</v>
      </c>
      <c r="G106" s="9" t="s">
        <v>778</v>
      </c>
      <c r="H106" s="52"/>
      <c r="I106" s="42"/>
      <c r="J106" s="42">
        <v>7</v>
      </c>
      <c r="K106" s="65">
        <v>8.5</v>
      </c>
      <c r="L106" s="65">
        <f t="shared" si="5"/>
        <v>59.5</v>
      </c>
      <c r="M106" s="46"/>
      <c r="N106" s="46"/>
      <c r="O106" s="47"/>
      <c r="P106" s="71">
        <f t="shared" si="6"/>
        <v>8.5</v>
      </c>
      <c r="Q106" s="83">
        <f t="shared" si="11"/>
        <v>7</v>
      </c>
      <c r="R106" s="84">
        <f t="shared" si="8"/>
        <v>8.5</v>
      </c>
      <c r="S106" s="85">
        <f t="shared" si="9"/>
        <v>59.5</v>
      </c>
      <c r="T106" s="88"/>
      <c r="U106" s="27"/>
    </row>
    <row r="107" spans="1:21" x14ac:dyDescent="0.3">
      <c r="A107" s="31" t="s">
        <v>256</v>
      </c>
      <c r="B107" s="15"/>
      <c r="C107" s="32">
        <v>45526</v>
      </c>
      <c r="D107" s="21">
        <v>890200010017</v>
      </c>
      <c r="E107" s="22" t="s">
        <v>696</v>
      </c>
      <c r="F107" s="39" t="s">
        <v>694</v>
      </c>
      <c r="G107" s="9" t="s">
        <v>294</v>
      </c>
      <c r="H107" s="52">
        <v>45526</v>
      </c>
      <c r="I107" s="42">
        <v>2293</v>
      </c>
      <c r="J107" s="42">
        <v>3</v>
      </c>
      <c r="K107" s="65">
        <v>25</v>
      </c>
      <c r="L107" s="65">
        <f t="shared" si="5"/>
        <v>75</v>
      </c>
      <c r="M107" s="46"/>
      <c r="N107" s="46"/>
      <c r="O107" s="47"/>
      <c r="P107" s="71">
        <f t="shared" si="6"/>
        <v>25</v>
      </c>
      <c r="Q107" s="83">
        <f t="shared" si="11"/>
        <v>3</v>
      </c>
      <c r="R107" s="84">
        <f t="shared" si="8"/>
        <v>25</v>
      </c>
      <c r="S107" s="85">
        <f t="shared" si="9"/>
        <v>75</v>
      </c>
      <c r="T107" s="88"/>
      <c r="U107" s="27" t="s">
        <v>697</v>
      </c>
    </row>
    <row r="108" spans="1:21" x14ac:dyDescent="0.3">
      <c r="A108" s="31" t="s">
        <v>257</v>
      </c>
      <c r="B108" s="15"/>
      <c r="C108" s="32">
        <v>45526</v>
      </c>
      <c r="D108" s="21">
        <v>805000050105</v>
      </c>
      <c r="E108" s="22" t="s">
        <v>787</v>
      </c>
      <c r="F108" s="39" t="s">
        <v>694</v>
      </c>
      <c r="G108" s="9" t="s">
        <v>294</v>
      </c>
      <c r="H108" s="52">
        <v>45526</v>
      </c>
      <c r="I108" s="42">
        <v>2293</v>
      </c>
      <c r="J108" s="42">
        <v>11</v>
      </c>
      <c r="K108" s="65">
        <v>5.9</v>
      </c>
      <c r="L108" s="65">
        <f t="shared" si="5"/>
        <v>64.900000000000006</v>
      </c>
      <c r="M108" s="46"/>
      <c r="N108" s="46"/>
      <c r="O108" s="47"/>
      <c r="P108" s="71">
        <f t="shared" si="6"/>
        <v>5.9</v>
      </c>
      <c r="Q108" s="83">
        <f t="shared" si="11"/>
        <v>11</v>
      </c>
      <c r="R108" s="84">
        <f t="shared" si="8"/>
        <v>5.9</v>
      </c>
      <c r="S108" s="85">
        <f t="shared" si="9"/>
        <v>64.900000000000006</v>
      </c>
      <c r="T108" s="88"/>
      <c r="U108" s="27" t="s">
        <v>700</v>
      </c>
    </row>
    <row r="109" spans="1:21" x14ac:dyDescent="0.3">
      <c r="A109" s="31" t="s">
        <v>258</v>
      </c>
      <c r="B109" s="15"/>
      <c r="C109" s="9"/>
      <c r="D109" s="21"/>
      <c r="E109" s="22" t="s">
        <v>698</v>
      </c>
      <c r="F109" s="39" t="s">
        <v>694</v>
      </c>
      <c r="G109" s="9" t="s">
        <v>699</v>
      </c>
      <c r="H109" s="41"/>
      <c r="I109" s="42"/>
      <c r="J109" s="42">
        <v>3</v>
      </c>
      <c r="K109" s="65">
        <v>7.5</v>
      </c>
      <c r="L109" s="65">
        <f t="shared" si="5"/>
        <v>22.5</v>
      </c>
      <c r="M109" s="46"/>
      <c r="N109" s="46"/>
      <c r="O109" s="47"/>
      <c r="P109" s="71">
        <f t="shared" si="6"/>
        <v>7.5</v>
      </c>
      <c r="Q109" s="83">
        <f t="shared" si="11"/>
        <v>3</v>
      </c>
      <c r="R109" s="84">
        <f t="shared" si="8"/>
        <v>7.5</v>
      </c>
      <c r="S109" s="85">
        <f t="shared" si="9"/>
        <v>22.5</v>
      </c>
      <c r="T109" s="88"/>
      <c r="U109" s="27"/>
    </row>
    <row r="110" spans="1:21" x14ac:dyDescent="0.3">
      <c r="A110" s="31" t="s">
        <v>259</v>
      </c>
      <c r="B110" s="15"/>
      <c r="C110" s="9"/>
      <c r="D110" s="21"/>
      <c r="E110" s="22" t="s">
        <v>701</v>
      </c>
      <c r="F110" s="39" t="s">
        <v>471</v>
      </c>
      <c r="G110" s="9" t="s">
        <v>702</v>
      </c>
      <c r="H110" s="41"/>
      <c r="I110" s="42"/>
      <c r="J110" s="42">
        <v>11</v>
      </c>
      <c r="K110" s="65">
        <v>2</v>
      </c>
      <c r="L110" s="65">
        <f t="shared" si="5"/>
        <v>22</v>
      </c>
      <c r="M110" s="46"/>
      <c r="N110" s="46"/>
      <c r="O110" s="47"/>
      <c r="P110" s="71">
        <f t="shared" si="6"/>
        <v>2</v>
      </c>
      <c r="Q110" s="83">
        <f t="shared" si="11"/>
        <v>11</v>
      </c>
      <c r="R110" s="84">
        <f t="shared" si="8"/>
        <v>2</v>
      </c>
      <c r="S110" s="85">
        <f t="shared" si="9"/>
        <v>22</v>
      </c>
      <c r="T110" s="88"/>
      <c r="U110" s="27"/>
    </row>
    <row r="111" spans="1:21" ht="15" thickBot="1" x14ac:dyDescent="0.35">
      <c r="A111" s="31" t="s">
        <v>260</v>
      </c>
      <c r="B111" s="17"/>
      <c r="C111" s="140">
        <v>45526</v>
      </c>
      <c r="D111" s="21">
        <v>805000080092</v>
      </c>
      <c r="E111" s="22" t="s">
        <v>788</v>
      </c>
      <c r="F111" s="39" t="s">
        <v>471</v>
      </c>
      <c r="G111" s="9" t="s">
        <v>294</v>
      </c>
      <c r="H111" s="52">
        <v>45526</v>
      </c>
      <c r="I111" s="42">
        <v>2293</v>
      </c>
      <c r="J111" s="42">
        <v>2</v>
      </c>
      <c r="K111" s="65">
        <v>81.3</v>
      </c>
      <c r="L111" s="65">
        <f t="shared" si="5"/>
        <v>162.6</v>
      </c>
      <c r="M111" s="46"/>
      <c r="N111" s="46"/>
      <c r="O111" s="47"/>
      <c r="P111" s="71">
        <f t="shared" si="6"/>
        <v>81.3</v>
      </c>
      <c r="Q111" s="83">
        <f t="shared" si="11"/>
        <v>2</v>
      </c>
      <c r="R111" s="84">
        <f t="shared" si="8"/>
        <v>81.3</v>
      </c>
      <c r="S111" s="85">
        <f t="shared" si="9"/>
        <v>162.6</v>
      </c>
      <c r="T111" s="88"/>
      <c r="U111" s="27" t="s">
        <v>703</v>
      </c>
    </row>
    <row r="112" spans="1:21" ht="15" thickBot="1" x14ac:dyDescent="0.35">
      <c r="A112" s="31" t="s">
        <v>261</v>
      </c>
      <c r="B112" s="19"/>
      <c r="C112" s="139">
        <v>45526</v>
      </c>
      <c r="D112" s="33">
        <v>805000030099</v>
      </c>
      <c r="E112" s="23" t="s">
        <v>784</v>
      </c>
      <c r="F112" s="39" t="s">
        <v>471</v>
      </c>
      <c r="G112" s="9" t="s">
        <v>294</v>
      </c>
      <c r="H112" s="52">
        <v>45526</v>
      </c>
      <c r="I112" s="42">
        <v>2293</v>
      </c>
      <c r="J112" s="42">
        <v>2</v>
      </c>
      <c r="K112" s="65">
        <v>87.5</v>
      </c>
      <c r="L112" s="65">
        <f>K112*J112</f>
        <v>175</v>
      </c>
      <c r="M112" s="46"/>
      <c r="N112" s="46"/>
      <c r="O112" s="47"/>
      <c r="P112" s="71">
        <f t="shared" si="6"/>
        <v>87.5</v>
      </c>
      <c r="Q112" s="83">
        <f>J112-O112</f>
        <v>2</v>
      </c>
      <c r="R112" s="84">
        <f t="shared" si="8"/>
        <v>87.5</v>
      </c>
      <c r="S112" s="85">
        <f t="shared" si="9"/>
        <v>175</v>
      </c>
      <c r="T112" s="88"/>
      <c r="U112" s="27" t="s">
        <v>704</v>
      </c>
    </row>
    <row r="113" spans="1:21" ht="15" thickBot="1" x14ac:dyDescent="0.35">
      <c r="A113" s="31" t="s">
        <v>262</v>
      </c>
      <c r="B113" s="17"/>
      <c r="C113" s="139">
        <v>45526</v>
      </c>
      <c r="D113" s="33">
        <v>899600130022</v>
      </c>
      <c r="E113" s="22" t="s">
        <v>786</v>
      </c>
      <c r="F113" s="39" t="s">
        <v>471</v>
      </c>
      <c r="G113" s="9" t="s">
        <v>294</v>
      </c>
      <c r="H113" s="139">
        <v>45526</v>
      </c>
      <c r="I113" s="42">
        <v>2293</v>
      </c>
      <c r="J113" s="42">
        <v>2</v>
      </c>
      <c r="K113" s="65">
        <v>21.4</v>
      </c>
      <c r="L113" s="65">
        <f>K113*J113</f>
        <v>42.8</v>
      </c>
      <c r="M113" s="46"/>
      <c r="N113" s="46"/>
      <c r="O113" s="47"/>
      <c r="P113" s="71">
        <f t="shared" si="6"/>
        <v>21.4</v>
      </c>
      <c r="Q113" s="83">
        <f>J113-O113</f>
        <v>2</v>
      </c>
      <c r="R113" s="84">
        <f t="shared" si="8"/>
        <v>21.4</v>
      </c>
      <c r="S113" s="85">
        <f t="shared" si="9"/>
        <v>42.8</v>
      </c>
      <c r="T113" s="88"/>
      <c r="U113" s="27"/>
    </row>
    <row r="114" spans="1:21" x14ac:dyDescent="0.3">
      <c r="A114" s="31" t="s">
        <v>263</v>
      </c>
      <c r="B114" s="15"/>
      <c r="C114" s="139">
        <v>45526</v>
      </c>
      <c r="D114" s="33">
        <v>805000030132</v>
      </c>
      <c r="E114" s="23" t="s">
        <v>785</v>
      </c>
      <c r="F114" s="39" t="s">
        <v>471</v>
      </c>
      <c r="G114" s="9" t="s">
        <v>294</v>
      </c>
      <c r="H114" s="52">
        <v>45526</v>
      </c>
      <c r="I114" s="42">
        <v>2293</v>
      </c>
      <c r="J114" s="42">
        <v>2</v>
      </c>
      <c r="K114" s="65">
        <v>17.5</v>
      </c>
      <c r="L114" s="65">
        <f t="shared" si="5"/>
        <v>35</v>
      </c>
      <c r="M114" s="46"/>
      <c r="N114" s="46"/>
      <c r="O114" s="47"/>
      <c r="P114" s="71">
        <f t="shared" si="6"/>
        <v>17.5</v>
      </c>
      <c r="Q114" s="83">
        <f t="shared" si="11"/>
        <v>2</v>
      </c>
      <c r="R114" s="84">
        <f t="shared" si="8"/>
        <v>17.5</v>
      </c>
      <c r="S114" s="85">
        <f t="shared" si="9"/>
        <v>35</v>
      </c>
      <c r="T114" s="88"/>
      <c r="U114" s="27"/>
    </row>
    <row r="115" spans="1:21" x14ac:dyDescent="0.3">
      <c r="A115" s="31" t="s">
        <v>264</v>
      </c>
      <c r="B115" s="15"/>
      <c r="C115" s="32"/>
      <c r="D115" s="33"/>
      <c r="E115" s="23" t="s">
        <v>714</v>
      </c>
      <c r="F115" s="39" t="s">
        <v>471</v>
      </c>
      <c r="G115" s="9" t="s">
        <v>777</v>
      </c>
      <c r="H115" s="52"/>
      <c r="I115" s="42"/>
      <c r="J115" s="42">
        <v>3</v>
      </c>
      <c r="K115" s="65">
        <v>35</v>
      </c>
      <c r="L115" s="65">
        <f t="shared" si="5"/>
        <v>105</v>
      </c>
      <c r="M115" s="46"/>
      <c r="N115" s="46"/>
      <c r="O115" s="47"/>
      <c r="P115" s="71">
        <f t="shared" si="6"/>
        <v>35</v>
      </c>
      <c r="Q115" s="83">
        <f t="shared" si="11"/>
        <v>3</v>
      </c>
      <c r="R115" s="84">
        <f t="shared" si="8"/>
        <v>35</v>
      </c>
      <c r="S115" s="85">
        <f t="shared" si="9"/>
        <v>105</v>
      </c>
      <c r="T115" s="88"/>
      <c r="U115" s="27"/>
    </row>
    <row r="116" spans="1:21" x14ac:dyDescent="0.3">
      <c r="A116" s="31" t="s">
        <v>265</v>
      </c>
      <c r="B116" s="15"/>
      <c r="C116" s="9"/>
      <c r="D116" s="33" t="s">
        <v>707</v>
      </c>
      <c r="E116" s="22" t="s">
        <v>705</v>
      </c>
      <c r="F116" s="39" t="s">
        <v>471</v>
      </c>
      <c r="G116" s="9" t="s">
        <v>706</v>
      </c>
      <c r="H116" s="41"/>
      <c r="I116" s="42"/>
      <c r="J116" s="42">
        <v>1</v>
      </c>
      <c r="K116" s="65">
        <v>180</v>
      </c>
      <c r="L116" s="65">
        <f t="shared" si="5"/>
        <v>180</v>
      </c>
      <c r="M116" s="46"/>
      <c r="N116" s="46"/>
      <c r="O116" s="47"/>
      <c r="P116" s="71">
        <f t="shared" si="6"/>
        <v>180</v>
      </c>
      <c r="Q116" s="83">
        <f t="shared" si="11"/>
        <v>1</v>
      </c>
      <c r="R116" s="84">
        <f t="shared" si="8"/>
        <v>180</v>
      </c>
      <c r="S116" s="85">
        <f t="shared" si="9"/>
        <v>180</v>
      </c>
      <c r="T116" s="88"/>
      <c r="U116" s="27" t="s">
        <v>708</v>
      </c>
    </row>
    <row r="117" spans="1:21" x14ac:dyDescent="0.3">
      <c r="A117" s="31" t="s">
        <v>266</v>
      </c>
      <c r="B117" s="15"/>
      <c r="C117" s="9"/>
      <c r="D117" s="33"/>
      <c r="E117" s="23" t="s">
        <v>709</v>
      </c>
      <c r="F117" s="39" t="s">
        <v>471</v>
      </c>
      <c r="G117" s="9" t="s">
        <v>146</v>
      </c>
      <c r="H117" s="41"/>
      <c r="I117" s="42"/>
      <c r="J117" s="42">
        <v>1</v>
      </c>
      <c r="K117" s="65">
        <v>65</v>
      </c>
      <c r="L117" s="65">
        <f t="shared" si="5"/>
        <v>65</v>
      </c>
      <c r="M117" s="46"/>
      <c r="N117" s="46"/>
      <c r="O117" s="47"/>
      <c r="P117" s="71">
        <f t="shared" si="6"/>
        <v>65</v>
      </c>
      <c r="Q117" s="83">
        <f t="shared" si="11"/>
        <v>1</v>
      </c>
      <c r="R117" s="84">
        <f t="shared" si="8"/>
        <v>65</v>
      </c>
      <c r="S117" s="85">
        <f t="shared" si="9"/>
        <v>65</v>
      </c>
      <c r="T117" s="88"/>
      <c r="U117" s="27"/>
    </row>
    <row r="118" spans="1:21" x14ac:dyDescent="0.3">
      <c r="A118" s="31" t="s">
        <v>267</v>
      </c>
      <c r="B118" s="17"/>
      <c r="C118" s="59"/>
      <c r="D118" s="33"/>
      <c r="E118" s="23" t="s">
        <v>711</v>
      </c>
      <c r="F118" s="39" t="s">
        <v>471</v>
      </c>
      <c r="G118" s="9" t="s">
        <v>710</v>
      </c>
      <c r="H118" s="52"/>
      <c r="I118" s="42"/>
      <c r="J118" s="42">
        <v>1</v>
      </c>
      <c r="K118" s="65">
        <v>40</v>
      </c>
      <c r="L118" s="65">
        <f t="shared" si="5"/>
        <v>40</v>
      </c>
      <c r="M118" s="46"/>
      <c r="N118" s="46"/>
      <c r="O118" s="47"/>
      <c r="P118" s="71">
        <f t="shared" si="6"/>
        <v>40</v>
      </c>
      <c r="Q118" s="83">
        <f t="shared" si="11"/>
        <v>1</v>
      </c>
      <c r="R118" s="84">
        <f t="shared" si="8"/>
        <v>40</v>
      </c>
      <c r="S118" s="85">
        <f t="shared" si="9"/>
        <v>40</v>
      </c>
      <c r="T118" s="88"/>
      <c r="U118" s="27"/>
    </row>
    <row r="119" spans="1:21" x14ac:dyDescent="0.3">
      <c r="A119" s="31" t="s">
        <v>268</v>
      </c>
      <c r="B119" s="15"/>
      <c r="C119" s="32"/>
      <c r="D119" s="33"/>
      <c r="E119" s="22" t="s">
        <v>712</v>
      </c>
      <c r="F119" s="39" t="s">
        <v>471</v>
      </c>
      <c r="G119" s="9" t="s">
        <v>362</v>
      </c>
      <c r="H119" s="52"/>
      <c r="I119" s="42"/>
      <c r="J119" s="42">
        <v>1</v>
      </c>
      <c r="K119" s="65"/>
      <c r="L119" s="65">
        <f t="shared" si="5"/>
        <v>0</v>
      </c>
      <c r="M119" s="46"/>
      <c r="N119" s="46"/>
      <c r="O119" s="47"/>
      <c r="P119" s="71">
        <f t="shared" si="6"/>
        <v>0</v>
      </c>
      <c r="Q119" s="83">
        <f t="shared" si="11"/>
        <v>1</v>
      </c>
      <c r="R119" s="84">
        <f t="shared" si="8"/>
        <v>0</v>
      </c>
      <c r="S119" s="85">
        <f t="shared" si="9"/>
        <v>0</v>
      </c>
      <c r="T119" s="88"/>
      <c r="U119" s="27"/>
    </row>
    <row r="120" spans="1:21" x14ac:dyDescent="0.3">
      <c r="A120" s="31" t="s">
        <v>269</v>
      </c>
      <c r="B120" s="15"/>
      <c r="C120" s="9"/>
      <c r="D120" s="33"/>
      <c r="E120" s="22" t="s">
        <v>713</v>
      </c>
      <c r="F120" s="39" t="s">
        <v>471</v>
      </c>
      <c r="G120" s="9" t="s">
        <v>130</v>
      </c>
      <c r="H120" s="41"/>
      <c r="I120" s="42"/>
      <c r="J120" s="42">
        <v>1</v>
      </c>
      <c r="K120" s="65">
        <v>449</v>
      </c>
      <c r="L120" s="65">
        <f t="shared" si="5"/>
        <v>449</v>
      </c>
      <c r="M120" s="46"/>
      <c r="N120" s="46"/>
      <c r="O120" s="47"/>
      <c r="P120" s="71">
        <f t="shared" si="6"/>
        <v>449</v>
      </c>
      <c r="Q120" s="83">
        <f t="shared" si="11"/>
        <v>1</v>
      </c>
      <c r="R120" s="84">
        <f t="shared" si="8"/>
        <v>449</v>
      </c>
      <c r="S120" s="85">
        <f t="shared" si="9"/>
        <v>449</v>
      </c>
      <c r="T120" s="88"/>
      <c r="U120" s="27"/>
    </row>
    <row r="121" spans="1:21" x14ac:dyDescent="0.3">
      <c r="A121" s="31" t="s">
        <v>270</v>
      </c>
      <c r="B121" s="15"/>
      <c r="C121" s="9"/>
      <c r="D121" s="33"/>
      <c r="E121" s="23" t="s">
        <v>714</v>
      </c>
      <c r="F121" s="39" t="s">
        <v>471</v>
      </c>
      <c r="G121" s="9" t="s">
        <v>710</v>
      </c>
      <c r="H121" s="41"/>
      <c r="I121" s="42"/>
      <c r="J121" s="42">
        <v>1</v>
      </c>
      <c r="K121" s="65">
        <v>65</v>
      </c>
      <c r="L121" s="65">
        <f t="shared" si="5"/>
        <v>65</v>
      </c>
      <c r="M121" s="46"/>
      <c r="N121" s="46"/>
      <c r="O121" s="47"/>
      <c r="P121" s="71">
        <f t="shared" si="6"/>
        <v>65</v>
      </c>
      <c r="Q121" s="83">
        <f t="shared" si="11"/>
        <v>1</v>
      </c>
      <c r="R121" s="84">
        <f t="shared" si="8"/>
        <v>65</v>
      </c>
      <c r="S121" s="85">
        <f t="shared" si="9"/>
        <v>65</v>
      </c>
      <c r="T121" s="88"/>
      <c r="U121" s="27"/>
    </row>
    <row r="122" spans="1:21" x14ac:dyDescent="0.3">
      <c r="A122" s="31" t="s">
        <v>271</v>
      </c>
      <c r="B122" s="15"/>
      <c r="C122" s="9"/>
      <c r="D122" s="33"/>
      <c r="E122" s="22" t="s">
        <v>715</v>
      </c>
      <c r="F122" s="39" t="s">
        <v>471</v>
      </c>
      <c r="G122" s="9" t="s">
        <v>716</v>
      </c>
      <c r="H122" s="41"/>
      <c r="I122" s="42"/>
      <c r="J122" s="42">
        <v>1</v>
      </c>
      <c r="K122" s="65">
        <v>60</v>
      </c>
      <c r="L122" s="65">
        <f t="shared" si="5"/>
        <v>60</v>
      </c>
      <c r="M122" s="46"/>
      <c r="N122" s="46"/>
      <c r="O122" s="47"/>
      <c r="P122" s="71">
        <f t="shared" si="6"/>
        <v>60</v>
      </c>
      <c r="Q122" s="83">
        <f t="shared" si="11"/>
        <v>1</v>
      </c>
      <c r="R122" s="84">
        <f t="shared" si="8"/>
        <v>60</v>
      </c>
      <c r="S122" s="85">
        <f t="shared" si="9"/>
        <v>60</v>
      </c>
      <c r="T122" s="88"/>
      <c r="U122" s="27"/>
    </row>
    <row r="123" spans="1:21" x14ac:dyDescent="0.3">
      <c r="A123" s="31" t="s">
        <v>272</v>
      </c>
      <c r="B123" s="15"/>
      <c r="C123" s="9"/>
      <c r="D123" s="33"/>
      <c r="E123" s="22" t="s">
        <v>841</v>
      </c>
      <c r="F123" s="39" t="s">
        <v>471</v>
      </c>
      <c r="G123" s="9" t="s">
        <v>323</v>
      </c>
      <c r="H123" s="41"/>
      <c r="I123" s="42"/>
      <c r="J123" s="42">
        <v>1</v>
      </c>
      <c r="K123" s="65">
        <v>300</v>
      </c>
      <c r="L123" s="65">
        <f t="shared" si="5"/>
        <v>300</v>
      </c>
      <c r="M123" s="46"/>
      <c r="N123" s="46"/>
      <c r="O123" s="47"/>
      <c r="P123" s="71">
        <f t="shared" si="6"/>
        <v>300</v>
      </c>
      <c r="Q123" s="83">
        <f t="shared" si="11"/>
        <v>1</v>
      </c>
      <c r="R123" s="84">
        <f t="shared" si="8"/>
        <v>300</v>
      </c>
      <c r="S123" s="85">
        <f t="shared" si="9"/>
        <v>300</v>
      </c>
      <c r="T123" s="88"/>
      <c r="U123" s="27"/>
    </row>
    <row r="124" spans="1:21" x14ac:dyDescent="0.3">
      <c r="A124" s="31" t="s">
        <v>273</v>
      </c>
      <c r="B124" s="17"/>
      <c r="C124" s="18"/>
      <c r="D124" s="37"/>
      <c r="E124" s="30" t="s">
        <v>762</v>
      </c>
      <c r="F124" s="40" t="s">
        <v>471</v>
      </c>
      <c r="G124" s="18" t="s">
        <v>717</v>
      </c>
      <c r="H124" s="41"/>
      <c r="I124" s="43"/>
      <c r="J124" s="43">
        <v>1</v>
      </c>
      <c r="K124" s="65">
        <v>850</v>
      </c>
      <c r="L124" s="65">
        <v>6799</v>
      </c>
      <c r="M124" s="46"/>
      <c r="N124" s="62"/>
      <c r="O124" s="48"/>
      <c r="P124" s="71">
        <f t="shared" si="6"/>
        <v>850</v>
      </c>
      <c r="Q124" s="83">
        <f t="shared" si="11"/>
        <v>1</v>
      </c>
      <c r="R124" s="84">
        <f t="shared" si="8"/>
        <v>850</v>
      </c>
      <c r="S124" s="85">
        <f t="shared" si="9"/>
        <v>850</v>
      </c>
      <c r="T124" s="89"/>
      <c r="U124" s="28"/>
    </row>
    <row r="125" spans="1:21" x14ac:dyDescent="0.3">
      <c r="A125" s="31" t="s">
        <v>379</v>
      </c>
      <c r="B125" s="15"/>
      <c r="C125" s="9"/>
      <c r="D125" s="33"/>
      <c r="E125" s="22" t="s">
        <v>718</v>
      </c>
      <c r="F125" s="39" t="s">
        <v>719</v>
      </c>
      <c r="G125" s="9" t="s">
        <v>294</v>
      </c>
      <c r="H125" s="41"/>
      <c r="I125" s="42"/>
      <c r="J125" s="42">
        <v>1</v>
      </c>
      <c r="K125" s="65">
        <v>700</v>
      </c>
      <c r="L125" s="65">
        <f t="shared" si="5"/>
        <v>700</v>
      </c>
      <c r="M125" s="46"/>
      <c r="N125" s="46"/>
      <c r="O125" s="47"/>
      <c r="P125" s="71">
        <f t="shared" si="6"/>
        <v>700</v>
      </c>
      <c r="Q125" s="83">
        <f t="shared" si="11"/>
        <v>1</v>
      </c>
      <c r="R125" s="84">
        <f t="shared" si="8"/>
        <v>700</v>
      </c>
      <c r="S125" s="85">
        <f t="shared" si="9"/>
        <v>700</v>
      </c>
      <c r="T125" s="88"/>
      <c r="U125" s="27"/>
    </row>
    <row r="126" spans="1:21" x14ac:dyDescent="0.3">
      <c r="A126" s="31" t="s">
        <v>380</v>
      </c>
      <c r="B126" s="15">
        <v>62</v>
      </c>
      <c r="C126" s="32">
        <v>46133</v>
      </c>
      <c r="D126" s="130" t="s">
        <v>731</v>
      </c>
      <c r="E126" s="23" t="s">
        <v>730</v>
      </c>
      <c r="F126" s="39" t="s">
        <v>471</v>
      </c>
      <c r="G126" s="9" t="s">
        <v>130</v>
      </c>
      <c r="H126" s="41"/>
      <c r="I126" s="42"/>
      <c r="J126" s="42">
        <v>53</v>
      </c>
      <c r="K126" s="65">
        <v>6.5</v>
      </c>
      <c r="L126" s="65">
        <f>K126*J126</f>
        <v>344.5</v>
      </c>
      <c r="M126" s="46"/>
      <c r="N126" s="46"/>
      <c r="O126" s="47"/>
      <c r="P126" s="71">
        <f>K126</f>
        <v>6.5</v>
      </c>
      <c r="Q126" s="83">
        <f t="shared" si="11"/>
        <v>53</v>
      </c>
      <c r="R126" s="84">
        <f>K126</f>
        <v>6.5</v>
      </c>
      <c r="S126" s="85">
        <f t="shared" si="9"/>
        <v>344.5</v>
      </c>
      <c r="T126" s="88"/>
      <c r="U126" s="27"/>
    </row>
    <row r="127" spans="1:21" x14ac:dyDescent="0.3">
      <c r="A127" s="31" t="s">
        <v>381</v>
      </c>
      <c r="B127" s="15"/>
      <c r="C127" s="9"/>
      <c r="D127" s="33"/>
      <c r="E127" s="23" t="s">
        <v>720</v>
      </c>
      <c r="F127" s="39" t="s">
        <v>471</v>
      </c>
      <c r="G127" s="9" t="s">
        <v>130</v>
      </c>
      <c r="H127" s="41"/>
      <c r="I127" s="42"/>
      <c r="J127" s="42">
        <v>2</v>
      </c>
      <c r="K127" s="65">
        <v>35</v>
      </c>
      <c r="L127" s="65">
        <f>K127*J127</f>
        <v>70</v>
      </c>
      <c r="M127" s="46"/>
      <c r="N127" s="46"/>
      <c r="O127" s="47"/>
      <c r="P127" s="71">
        <f>K127</f>
        <v>35</v>
      </c>
      <c r="Q127" s="83">
        <f t="shared" si="11"/>
        <v>2</v>
      </c>
      <c r="R127" s="84">
        <f>K127</f>
        <v>35</v>
      </c>
      <c r="S127" s="85">
        <f t="shared" si="9"/>
        <v>70</v>
      </c>
      <c r="T127" s="88"/>
      <c r="U127" s="27"/>
    </row>
    <row r="128" spans="1:21" x14ac:dyDescent="0.3">
      <c r="A128" s="31" t="s">
        <v>382</v>
      </c>
      <c r="B128" s="15"/>
      <c r="C128" s="9"/>
      <c r="D128" s="33"/>
      <c r="E128" s="23" t="s">
        <v>721</v>
      </c>
      <c r="F128" s="39" t="s">
        <v>471</v>
      </c>
      <c r="G128" s="9" t="s">
        <v>146</v>
      </c>
      <c r="H128" s="41"/>
      <c r="I128" s="42"/>
      <c r="J128" s="42">
        <v>12</v>
      </c>
      <c r="K128" s="65">
        <v>45</v>
      </c>
      <c r="L128" s="65">
        <f t="shared" si="5"/>
        <v>540</v>
      </c>
      <c r="M128" s="46"/>
      <c r="N128" s="46"/>
      <c r="O128" s="47"/>
      <c r="P128" s="71">
        <f t="shared" si="6"/>
        <v>45</v>
      </c>
      <c r="Q128" s="83">
        <f t="shared" si="11"/>
        <v>12</v>
      </c>
      <c r="R128" s="84">
        <f t="shared" si="8"/>
        <v>45</v>
      </c>
      <c r="S128" s="85">
        <f t="shared" si="9"/>
        <v>540</v>
      </c>
      <c r="T128" s="88"/>
      <c r="U128" s="27"/>
    </row>
    <row r="129" spans="1:21" x14ac:dyDescent="0.3">
      <c r="A129" s="31" t="s">
        <v>383</v>
      </c>
      <c r="B129" s="15"/>
      <c r="C129" s="9"/>
      <c r="D129" s="33"/>
      <c r="E129" s="23" t="s">
        <v>720</v>
      </c>
      <c r="F129" s="39" t="s">
        <v>471</v>
      </c>
      <c r="G129" s="9" t="s">
        <v>716</v>
      </c>
      <c r="H129" s="41"/>
      <c r="I129" s="42"/>
      <c r="J129" s="42">
        <v>24</v>
      </c>
      <c r="K129" s="65">
        <v>55</v>
      </c>
      <c r="L129" s="65">
        <f t="shared" si="5"/>
        <v>1320</v>
      </c>
      <c r="M129" s="46"/>
      <c r="N129" s="46"/>
      <c r="O129" s="47"/>
      <c r="P129" s="71">
        <f t="shared" si="6"/>
        <v>55</v>
      </c>
      <c r="Q129" s="83">
        <f t="shared" si="11"/>
        <v>24</v>
      </c>
      <c r="R129" s="84">
        <f t="shared" si="8"/>
        <v>55</v>
      </c>
      <c r="S129" s="85">
        <f t="shared" si="9"/>
        <v>1320</v>
      </c>
      <c r="T129" s="88"/>
      <c r="U129" s="27"/>
    </row>
    <row r="130" spans="1:21" x14ac:dyDescent="0.3">
      <c r="A130" s="31" t="s">
        <v>384</v>
      </c>
      <c r="B130" s="15"/>
      <c r="C130" s="9"/>
      <c r="D130" s="33"/>
      <c r="E130" s="23" t="s">
        <v>722</v>
      </c>
      <c r="F130" s="39" t="s">
        <v>471</v>
      </c>
      <c r="G130" s="9" t="s">
        <v>146</v>
      </c>
      <c r="H130" s="41"/>
      <c r="I130" s="42"/>
      <c r="J130" s="42">
        <v>3</v>
      </c>
      <c r="K130" s="65">
        <v>15</v>
      </c>
      <c r="L130" s="65">
        <f t="shared" si="5"/>
        <v>45</v>
      </c>
      <c r="M130" s="46"/>
      <c r="N130" s="46"/>
      <c r="O130" s="47"/>
      <c r="P130" s="71">
        <f t="shared" si="6"/>
        <v>15</v>
      </c>
      <c r="Q130" s="83">
        <f t="shared" si="11"/>
        <v>3</v>
      </c>
      <c r="R130" s="84">
        <f t="shared" si="8"/>
        <v>15</v>
      </c>
      <c r="S130" s="85">
        <f t="shared" si="9"/>
        <v>45</v>
      </c>
      <c r="T130" s="87"/>
      <c r="U130" s="27"/>
    </row>
    <row r="131" spans="1:21" x14ac:dyDescent="0.3">
      <c r="A131" s="31" t="s">
        <v>385</v>
      </c>
      <c r="B131" s="15"/>
      <c r="C131" s="32">
        <v>45407</v>
      </c>
      <c r="D131" s="130" t="s">
        <v>790</v>
      </c>
      <c r="E131" s="23" t="s">
        <v>723</v>
      </c>
      <c r="F131" s="39" t="s">
        <v>471</v>
      </c>
      <c r="G131" s="9" t="s">
        <v>146</v>
      </c>
      <c r="H131" s="52">
        <v>45407</v>
      </c>
      <c r="I131" s="42">
        <v>1171</v>
      </c>
      <c r="J131" s="42">
        <v>7</v>
      </c>
      <c r="K131" s="65">
        <v>9.5</v>
      </c>
      <c r="L131" s="65">
        <f t="shared" ref="L131:L191" si="12">K131*J131</f>
        <v>66.5</v>
      </c>
      <c r="M131" s="46"/>
      <c r="N131" s="46"/>
      <c r="O131" s="47"/>
      <c r="P131" s="71">
        <f t="shared" ref="P131:P191" si="13">K131</f>
        <v>9.5</v>
      </c>
      <c r="Q131" s="83">
        <f t="shared" si="11"/>
        <v>7</v>
      </c>
      <c r="R131" s="84">
        <f t="shared" ref="R131:R191" si="14">K131</f>
        <v>9.5</v>
      </c>
      <c r="S131" s="85">
        <f t="shared" ref="S131:S191" si="15">Q131*R131</f>
        <v>66.5</v>
      </c>
      <c r="T131" s="87"/>
      <c r="U131" s="27"/>
    </row>
    <row r="132" spans="1:21" x14ac:dyDescent="0.3">
      <c r="A132" s="31" t="s">
        <v>386</v>
      </c>
      <c r="B132" s="15"/>
      <c r="C132" s="9"/>
      <c r="D132" s="33"/>
      <c r="E132" s="22" t="s">
        <v>724</v>
      </c>
      <c r="F132" s="39" t="s">
        <v>471</v>
      </c>
      <c r="G132" s="9" t="s">
        <v>374</v>
      </c>
      <c r="H132" s="41"/>
      <c r="I132" s="42"/>
      <c r="J132" s="42">
        <v>8</v>
      </c>
      <c r="K132" s="65">
        <v>30</v>
      </c>
      <c r="L132" s="65">
        <f t="shared" si="12"/>
        <v>240</v>
      </c>
      <c r="M132" s="46"/>
      <c r="N132" s="46"/>
      <c r="O132" s="47"/>
      <c r="P132" s="71">
        <f t="shared" si="13"/>
        <v>30</v>
      </c>
      <c r="Q132" s="83">
        <f t="shared" si="11"/>
        <v>8</v>
      </c>
      <c r="R132" s="84">
        <f t="shared" si="14"/>
        <v>30</v>
      </c>
      <c r="S132" s="85">
        <f t="shared" si="15"/>
        <v>240</v>
      </c>
      <c r="T132" s="87"/>
      <c r="U132" s="27"/>
    </row>
    <row r="133" spans="1:21" x14ac:dyDescent="0.3">
      <c r="A133" s="31" t="s">
        <v>387</v>
      </c>
      <c r="B133" s="15"/>
      <c r="C133" s="32">
        <v>45407</v>
      </c>
      <c r="D133" s="130" t="s">
        <v>791</v>
      </c>
      <c r="E133" s="22" t="s">
        <v>725</v>
      </c>
      <c r="F133" s="39" t="s">
        <v>471</v>
      </c>
      <c r="G133" s="9" t="s">
        <v>374</v>
      </c>
      <c r="H133" s="52">
        <v>45407</v>
      </c>
      <c r="I133" s="42">
        <v>1171</v>
      </c>
      <c r="J133" s="42">
        <v>8</v>
      </c>
      <c r="K133" s="65">
        <v>8</v>
      </c>
      <c r="L133" s="65">
        <f t="shared" si="12"/>
        <v>64</v>
      </c>
      <c r="M133" s="46"/>
      <c r="N133" s="46"/>
      <c r="O133" s="47"/>
      <c r="P133" s="71">
        <f t="shared" si="13"/>
        <v>8</v>
      </c>
      <c r="Q133" s="83">
        <f t="shared" si="11"/>
        <v>8</v>
      </c>
      <c r="R133" s="84">
        <f t="shared" si="14"/>
        <v>8</v>
      </c>
      <c r="S133" s="85">
        <f t="shared" si="15"/>
        <v>64</v>
      </c>
      <c r="T133" s="87"/>
      <c r="U133" s="27"/>
    </row>
    <row r="134" spans="1:21" x14ac:dyDescent="0.3">
      <c r="A134" s="31" t="s">
        <v>388</v>
      </c>
      <c r="B134" s="15">
        <v>18</v>
      </c>
      <c r="C134" s="32">
        <v>45862</v>
      </c>
      <c r="D134" s="130" t="s">
        <v>779</v>
      </c>
      <c r="E134" s="22" t="s">
        <v>726</v>
      </c>
      <c r="F134" s="39" t="s">
        <v>471</v>
      </c>
      <c r="G134" s="9" t="s">
        <v>374</v>
      </c>
      <c r="H134" s="52"/>
      <c r="I134" s="42"/>
      <c r="J134" s="42">
        <v>7</v>
      </c>
      <c r="K134" s="65">
        <v>4</v>
      </c>
      <c r="L134" s="65">
        <f t="shared" si="12"/>
        <v>28</v>
      </c>
      <c r="M134" s="46"/>
      <c r="N134" s="46"/>
      <c r="O134" s="47"/>
      <c r="P134" s="71">
        <f t="shared" si="13"/>
        <v>4</v>
      </c>
      <c r="Q134" s="83">
        <f t="shared" si="11"/>
        <v>7</v>
      </c>
      <c r="R134" s="84">
        <f t="shared" si="14"/>
        <v>4</v>
      </c>
      <c r="S134" s="85">
        <f t="shared" si="15"/>
        <v>28</v>
      </c>
      <c r="T134" s="87"/>
      <c r="U134" s="27"/>
    </row>
    <row r="135" spans="1:21" x14ac:dyDescent="0.3">
      <c r="A135" s="31" t="s">
        <v>389</v>
      </c>
      <c r="B135" s="15"/>
      <c r="C135" s="32"/>
      <c r="D135" s="33"/>
      <c r="E135" s="22" t="s">
        <v>727</v>
      </c>
      <c r="F135" s="39" t="s">
        <v>471</v>
      </c>
      <c r="G135" s="9" t="s">
        <v>130</v>
      </c>
      <c r="H135" s="52"/>
      <c r="I135" s="42"/>
      <c r="J135" s="42">
        <v>10</v>
      </c>
      <c r="K135" s="65">
        <v>8</v>
      </c>
      <c r="L135" s="65">
        <f t="shared" si="12"/>
        <v>80</v>
      </c>
      <c r="M135" s="46"/>
      <c r="N135" s="46"/>
      <c r="O135" s="47"/>
      <c r="P135" s="71">
        <f t="shared" si="13"/>
        <v>8</v>
      </c>
      <c r="Q135" s="83">
        <f t="shared" si="11"/>
        <v>10</v>
      </c>
      <c r="R135" s="84">
        <f t="shared" si="14"/>
        <v>8</v>
      </c>
      <c r="S135" s="85">
        <f t="shared" si="15"/>
        <v>80</v>
      </c>
      <c r="T135" s="87"/>
      <c r="U135" s="27"/>
    </row>
    <row r="136" spans="1:21" x14ac:dyDescent="0.3">
      <c r="A136" s="31" t="s">
        <v>390</v>
      </c>
      <c r="B136" s="15">
        <v>18</v>
      </c>
      <c r="C136" s="32">
        <v>45862</v>
      </c>
      <c r="D136" s="130" t="s">
        <v>779</v>
      </c>
      <c r="E136" s="22" t="s">
        <v>727</v>
      </c>
      <c r="F136" s="39" t="s">
        <v>471</v>
      </c>
      <c r="G136" s="9" t="s">
        <v>374</v>
      </c>
      <c r="H136" s="41"/>
      <c r="I136" s="42"/>
      <c r="J136" s="42">
        <v>9</v>
      </c>
      <c r="K136" s="65">
        <v>4</v>
      </c>
      <c r="L136" s="65">
        <f t="shared" si="12"/>
        <v>36</v>
      </c>
      <c r="M136" s="46"/>
      <c r="N136" s="46"/>
      <c r="O136" s="47"/>
      <c r="P136" s="71">
        <f t="shared" si="13"/>
        <v>4</v>
      </c>
      <c r="Q136" s="83">
        <f t="shared" si="11"/>
        <v>9</v>
      </c>
      <c r="R136" s="84">
        <f t="shared" si="14"/>
        <v>4</v>
      </c>
      <c r="S136" s="85">
        <f t="shared" si="15"/>
        <v>36</v>
      </c>
      <c r="T136" s="87"/>
      <c r="U136" s="27"/>
    </row>
    <row r="137" spans="1:21" x14ac:dyDescent="0.3">
      <c r="A137" s="31" t="s">
        <v>391</v>
      </c>
      <c r="B137" s="15"/>
      <c r="C137" s="9"/>
      <c r="D137" s="33"/>
      <c r="E137" s="22" t="s">
        <v>728</v>
      </c>
      <c r="F137" s="39" t="s">
        <v>471</v>
      </c>
      <c r="G137" s="9" t="s">
        <v>374</v>
      </c>
      <c r="H137" s="41"/>
      <c r="I137" s="42"/>
      <c r="J137" s="42">
        <v>4</v>
      </c>
      <c r="K137" s="65">
        <v>16</v>
      </c>
      <c r="L137" s="65">
        <f t="shared" si="12"/>
        <v>64</v>
      </c>
      <c r="M137" s="46"/>
      <c r="N137" s="46"/>
      <c r="O137" s="47"/>
      <c r="P137" s="71">
        <f t="shared" si="13"/>
        <v>16</v>
      </c>
      <c r="Q137" s="83">
        <f t="shared" si="11"/>
        <v>4</v>
      </c>
      <c r="R137" s="84">
        <f t="shared" si="14"/>
        <v>16</v>
      </c>
      <c r="S137" s="85">
        <f t="shared" si="15"/>
        <v>64</v>
      </c>
      <c r="T137" s="87"/>
      <c r="U137" s="27"/>
    </row>
    <row r="138" spans="1:21" x14ac:dyDescent="0.3">
      <c r="A138" s="31" t="s">
        <v>392</v>
      </c>
      <c r="B138" s="15"/>
      <c r="C138" s="32">
        <v>45407</v>
      </c>
      <c r="D138" s="130" t="s">
        <v>792</v>
      </c>
      <c r="E138" s="22" t="s">
        <v>793</v>
      </c>
      <c r="F138" s="39" t="s">
        <v>471</v>
      </c>
      <c r="G138" s="9" t="s">
        <v>729</v>
      </c>
      <c r="H138" s="52">
        <v>45407</v>
      </c>
      <c r="I138" s="42">
        <v>1171</v>
      </c>
      <c r="J138" s="42">
        <v>9</v>
      </c>
      <c r="K138" s="65">
        <v>38</v>
      </c>
      <c r="L138" s="65">
        <f t="shared" si="12"/>
        <v>342</v>
      </c>
      <c r="M138" s="46"/>
      <c r="N138" s="46"/>
      <c r="O138" s="47"/>
      <c r="P138" s="71">
        <f t="shared" si="13"/>
        <v>38</v>
      </c>
      <c r="Q138" s="83">
        <f t="shared" si="11"/>
        <v>9</v>
      </c>
      <c r="R138" s="84">
        <f t="shared" si="14"/>
        <v>38</v>
      </c>
      <c r="S138" s="85">
        <f t="shared" si="15"/>
        <v>342</v>
      </c>
      <c r="T138" s="87"/>
      <c r="U138" s="27"/>
    </row>
    <row r="139" spans="1:21" x14ac:dyDescent="0.3">
      <c r="A139" s="31" t="s">
        <v>393</v>
      </c>
      <c r="B139" s="15">
        <v>205</v>
      </c>
      <c r="C139" s="32">
        <v>44813</v>
      </c>
      <c r="D139" s="33">
        <v>208000090199</v>
      </c>
      <c r="E139" s="22" t="s">
        <v>799</v>
      </c>
      <c r="F139" s="39" t="s">
        <v>694</v>
      </c>
      <c r="G139" s="9" t="s">
        <v>803</v>
      </c>
      <c r="H139" s="52">
        <v>44813</v>
      </c>
      <c r="I139" s="42"/>
      <c r="J139" s="42">
        <v>23</v>
      </c>
      <c r="K139" s="65">
        <v>12</v>
      </c>
      <c r="L139" s="65">
        <f t="shared" si="12"/>
        <v>276</v>
      </c>
      <c r="M139" s="46"/>
      <c r="N139" s="46"/>
      <c r="O139" s="47"/>
      <c r="P139" s="71">
        <f t="shared" si="13"/>
        <v>12</v>
      </c>
      <c r="Q139" s="83">
        <f t="shared" si="11"/>
        <v>23</v>
      </c>
      <c r="R139" s="84">
        <f t="shared" si="14"/>
        <v>12</v>
      </c>
      <c r="S139" s="85">
        <f t="shared" si="15"/>
        <v>276</v>
      </c>
      <c r="T139" s="88"/>
      <c r="U139" s="27"/>
    </row>
    <row r="140" spans="1:21" x14ac:dyDescent="0.3">
      <c r="A140" s="31" t="s">
        <v>394</v>
      </c>
      <c r="B140" s="15"/>
      <c r="C140" s="9"/>
      <c r="D140" s="33"/>
      <c r="E140" s="22" t="s">
        <v>800</v>
      </c>
      <c r="F140" s="39" t="s">
        <v>694</v>
      </c>
      <c r="G140" s="9" t="s">
        <v>803</v>
      </c>
      <c r="H140" s="41"/>
      <c r="I140" s="42"/>
      <c r="J140" s="42">
        <v>10</v>
      </c>
      <c r="K140" s="65">
        <v>7.5</v>
      </c>
      <c r="L140" s="65">
        <f t="shared" si="12"/>
        <v>75</v>
      </c>
      <c r="M140" s="46"/>
      <c r="N140" s="46"/>
      <c r="O140" s="47"/>
      <c r="P140" s="71">
        <f t="shared" si="13"/>
        <v>7.5</v>
      </c>
      <c r="Q140" s="83">
        <f t="shared" si="11"/>
        <v>10</v>
      </c>
      <c r="R140" s="84">
        <f t="shared" si="14"/>
        <v>7.5</v>
      </c>
      <c r="S140" s="85">
        <f t="shared" si="15"/>
        <v>75</v>
      </c>
      <c r="T140" s="88"/>
      <c r="U140" s="27"/>
    </row>
    <row r="141" spans="1:21" x14ac:dyDescent="0.3">
      <c r="A141" s="31" t="s">
        <v>395</v>
      </c>
      <c r="B141" s="15"/>
      <c r="C141" s="9"/>
      <c r="D141" s="33"/>
      <c r="E141" s="22" t="s">
        <v>801</v>
      </c>
      <c r="F141" s="39" t="s">
        <v>694</v>
      </c>
      <c r="G141" s="9" t="s">
        <v>803</v>
      </c>
      <c r="H141" s="41"/>
      <c r="I141" s="42"/>
      <c r="J141" s="42">
        <v>12</v>
      </c>
      <c r="K141" s="65">
        <v>5.5</v>
      </c>
      <c r="L141" s="65">
        <f t="shared" si="12"/>
        <v>66</v>
      </c>
      <c r="M141" s="53">
        <v>46155</v>
      </c>
      <c r="N141" s="46"/>
      <c r="O141" s="133">
        <v>6</v>
      </c>
      <c r="P141" s="71">
        <f t="shared" si="13"/>
        <v>5.5</v>
      </c>
      <c r="Q141" s="83">
        <f t="shared" si="11"/>
        <v>6</v>
      </c>
      <c r="R141" s="84">
        <f t="shared" si="14"/>
        <v>5.5</v>
      </c>
      <c r="S141" s="85">
        <f t="shared" si="15"/>
        <v>33</v>
      </c>
      <c r="T141" s="88"/>
      <c r="U141" s="27"/>
    </row>
    <row r="142" spans="1:21" x14ac:dyDescent="0.3">
      <c r="A142" s="31" t="s">
        <v>396</v>
      </c>
      <c r="B142" s="15">
        <v>205</v>
      </c>
      <c r="C142" s="32">
        <v>44813</v>
      </c>
      <c r="D142" s="33">
        <v>208000091080</v>
      </c>
      <c r="E142" s="22" t="s">
        <v>802</v>
      </c>
      <c r="F142" s="39" t="s">
        <v>694</v>
      </c>
      <c r="G142" s="9" t="s">
        <v>803</v>
      </c>
      <c r="H142" s="52">
        <v>44813</v>
      </c>
      <c r="I142" s="42"/>
      <c r="J142" s="42">
        <v>8</v>
      </c>
      <c r="K142" s="65">
        <v>17.8</v>
      </c>
      <c r="L142" s="65">
        <f t="shared" si="12"/>
        <v>142.4</v>
      </c>
      <c r="M142" s="46"/>
      <c r="N142" s="46"/>
      <c r="O142" s="47"/>
      <c r="P142" s="71">
        <f t="shared" si="13"/>
        <v>17.8</v>
      </c>
      <c r="Q142" s="83">
        <f t="shared" si="11"/>
        <v>8</v>
      </c>
      <c r="R142" s="84">
        <f t="shared" si="14"/>
        <v>17.8</v>
      </c>
      <c r="S142" s="85">
        <f t="shared" si="15"/>
        <v>142.4</v>
      </c>
      <c r="T142" s="88"/>
      <c r="U142" s="27"/>
    </row>
    <row r="143" spans="1:21" x14ac:dyDescent="0.3">
      <c r="A143" s="31" t="s">
        <v>397</v>
      </c>
      <c r="B143" s="15">
        <v>62</v>
      </c>
      <c r="C143" s="32">
        <v>46133</v>
      </c>
      <c r="D143" s="130" t="s">
        <v>733</v>
      </c>
      <c r="E143" s="22" t="s">
        <v>732</v>
      </c>
      <c r="F143" s="39" t="s">
        <v>471</v>
      </c>
      <c r="G143" s="9" t="s">
        <v>294</v>
      </c>
      <c r="H143" s="41"/>
      <c r="I143" s="42"/>
      <c r="J143" s="42">
        <v>30</v>
      </c>
      <c r="K143" s="65">
        <v>100</v>
      </c>
      <c r="L143" s="65">
        <f t="shared" si="12"/>
        <v>3000</v>
      </c>
      <c r="M143" s="46"/>
      <c r="N143" s="46"/>
      <c r="O143" s="47"/>
      <c r="P143" s="71">
        <f t="shared" si="13"/>
        <v>100</v>
      </c>
      <c r="Q143" s="83">
        <f t="shared" si="11"/>
        <v>30</v>
      </c>
      <c r="R143" s="84">
        <f t="shared" si="14"/>
        <v>100</v>
      </c>
      <c r="S143" s="85">
        <f t="shared" si="15"/>
        <v>3000</v>
      </c>
      <c r="T143" s="88"/>
      <c r="U143" s="27"/>
    </row>
    <row r="144" spans="1:21" x14ac:dyDescent="0.3">
      <c r="A144" s="31" t="s">
        <v>399</v>
      </c>
      <c r="B144" s="15">
        <v>62</v>
      </c>
      <c r="C144" s="32">
        <v>46133</v>
      </c>
      <c r="D144" s="130" t="s">
        <v>734</v>
      </c>
      <c r="E144" s="22" t="s">
        <v>735</v>
      </c>
      <c r="F144" s="39" t="s">
        <v>471</v>
      </c>
      <c r="G144" s="9" t="s">
        <v>294</v>
      </c>
      <c r="H144" s="41"/>
      <c r="I144" s="42"/>
      <c r="J144" s="42">
        <v>17</v>
      </c>
      <c r="K144" s="65">
        <v>47.5</v>
      </c>
      <c r="L144" s="65">
        <f t="shared" si="12"/>
        <v>807.5</v>
      </c>
      <c r="M144" s="46"/>
      <c r="N144" s="46"/>
      <c r="O144" s="47"/>
      <c r="P144" s="71">
        <f t="shared" si="13"/>
        <v>47.5</v>
      </c>
      <c r="Q144" s="83">
        <f>J144-O144</f>
        <v>17</v>
      </c>
      <c r="R144" s="84">
        <f t="shared" si="14"/>
        <v>47.5</v>
      </c>
      <c r="S144" s="85">
        <f t="shared" si="15"/>
        <v>807.5</v>
      </c>
      <c r="T144" s="88"/>
      <c r="U144" s="27"/>
    </row>
    <row r="145" spans="1:21" x14ac:dyDescent="0.3">
      <c r="A145" s="31" t="s">
        <v>400</v>
      </c>
      <c r="B145" s="15">
        <v>62</v>
      </c>
      <c r="C145" s="32">
        <v>46133</v>
      </c>
      <c r="D145" s="33">
        <v>201700020415</v>
      </c>
      <c r="E145" s="22" t="s">
        <v>736</v>
      </c>
      <c r="F145" s="39" t="s">
        <v>471</v>
      </c>
      <c r="G145" s="9" t="s">
        <v>737</v>
      </c>
      <c r="H145" s="52"/>
      <c r="I145" s="42"/>
      <c r="J145" s="42">
        <v>2</v>
      </c>
      <c r="K145" s="65">
        <v>33</v>
      </c>
      <c r="L145" s="65">
        <f t="shared" si="12"/>
        <v>66</v>
      </c>
      <c r="M145" s="46"/>
      <c r="N145" s="46"/>
      <c r="O145" s="47"/>
      <c r="P145" s="71">
        <f t="shared" si="13"/>
        <v>33</v>
      </c>
      <c r="Q145" s="83">
        <f t="shared" ref="Q145:Q235" si="16">J145-O145</f>
        <v>2</v>
      </c>
      <c r="R145" s="84">
        <f t="shared" si="14"/>
        <v>33</v>
      </c>
      <c r="S145" s="85">
        <f t="shared" si="15"/>
        <v>66</v>
      </c>
      <c r="T145" s="88"/>
      <c r="U145" s="27"/>
    </row>
    <row r="146" spans="1:21" x14ac:dyDescent="0.3">
      <c r="A146" s="31" t="s">
        <v>401</v>
      </c>
      <c r="B146" s="15">
        <v>62</v>
      </c>
      <c r="C146" s="32">
        <v>46133</v>
      </c>
      <c r="D146" s="33">
        <v>201700140344</v>
      </c>
      <c r="E146" s="22" t="s">
        <v>738</v>
      </c>
      <c r="F146" s="39" t="s">
        <v>471</v>
      </c>
      <c r="G146" s="9" t="s">
        <v>739</v>
      </c>
      <c r="H146" s="41"/>
      <c r="I146" s="42"/>
      <c r="J146" s="42">
        <v>2</v>
      </c>
      <c r="K146" s="65">
        <v>98</v>
      </c>
      <c r="L146" s="65">
        <f t="shared" si="12"/>
        <v>196</v>
      </c>
      <c r="M146" s="46"/>
      <c r="N146" s="46"/>
      <c r="O146" s="47"/>
      <c r="P146" s="71">
        <f t="shared" si="13"/>
        <v>98</v>
      </c>
      <c r="Q146" s="83">
        <f t="shared" si="16"/>
        <v>2</v>
      </c>
      <c r="R146" s="84">
        <f t="shared" si="14"/>
        <v>98</v>
      </c>
      <c r="S146" s="85">
        <f t="shared" si="15"/>
        <v>196</v>
      </c>
      <c r="T146" s="88"/>
      <c r="U146" s="27"/>
    </row>
    <row r="147" spans="1:21" x14ac:dyDescent="0.3">
      <c r="A147" s="31" t="s">
        <v>402</v>
      </c>
      <c r="B147" s="15">
        <v>18</v>
      </c>
      <c r="C147" s="32">
        <v>45862</v>
      </c>
      <c r="D147" s="33">
        <v>503300090159</v>
      </c>
      <c r="E147" s="22" t="s">
        <v>781</v>
      </c>
      <c r="F147" s="39" t="s">
        <v>471</v>
      </c>
      <c r="G147" s="9" t="s">
        <v>294</v>
      </c>
      <c r="H147" s="41"/>
      <c r="I147" s="42"/>
      <c r="J147" s="42">
        <v>1</v>
      </c>
      <c r="K147" s="65">
        <v>280</v>
      </c>
      <c r="L147" s="65">
        <f t="shared" si="12"/>
        <v>280</v>
      </c>
      <c r="M147" s="46"/>
      <c r="N147" s="46"/>
      <c r="O147" s="47"/>
      <c r="P147" s="71">
        <f t="shared" si="13"/>
        <v>280</v>
      </c>
      <c r="Q147" s="83">
        <f t="shared" si="16"/>
        <v>1</v>
      </c>
      <c r="R147" s="84">
        <f t="shared" si="14"/>
        <v>280</v>
      </c>
      <c r="S147" s="85">
        <f t="shared" si="15"/>
        <v>280</v>
      </c>
      <c r="T147" s="88"/>
      <c r="U147" s="27"/>
    </row>
    <row r="148" spans="1:21" ht="28.8" x14ac:dyDescent="0.3">
      <c r="A148" s="31" t="s">
        <v>403</v>
      </c>
      <c r="B148" s="15"/>
      <c r="C148" s="32">
        <v>45526</v>
      </c>
      <c r="D148" s="33">
        <v>419200020467</v>
      </c>
      <c r="E148" s="22" t="s">
        <v>783</v>
      </c>
      <c r="F148" s="39" t="s">
        <v>471</v>
      </c>
      <c r="G148" s="9" t="s">
        <v>294</v>
      </c>
      <c r="H148" s="52">
        <v>45526</v>
      </c>
      <c r="I148" s="42">
        <v>2258</v>
      </c>
      <c r="J148" s="42">
        <v>2</v>
      </c>
      <c r="K148" s="65">
        <v>193.8</v>
      </c>
      <c r="L148" s="65">
        <f t="shared" si="12"/>
        <v>387.6</v>
      </c>
      <c r="M148" s="46"/>
      <c r="N148" s="46"/>
      <c r="O148" s="47"/>
      <c r="P148" s="71">
        <f t="shared" si="13"/>
        <v>193.8</v>
      </c>
      <c r="Q148" s="83">
        <f t="shared" si="16"/>
        <v>2</v>
      </c>
      <c r="R148" s="84">
        <f t="shared" si="14"/>
        <v>193.8</v>
      </c>
      <c r="S148" s="85">
        <f t="shared" si="15"/>
        <v>387.6</v>
      </c>
      <c r="T148" s="88"/>
      <c r="U148" s="27"/>
    </row>
    <row r="149" spans="1:21" x14ac:dyDescent="0.3">
      <c r="A149" s="31" t="s">
        <v>404</v>
      </c>
      <c r="B149" s="15"/>
      <c r="C149" s="32">
        <v>45524</v>
      </c>
      <c r="D149" s="33">
        <v>135000130004</v>
      </c>
      <c r="E149" s="22" t="s">
        <v>497</v>
      </c>
      <c r="F149" s="39" t="s">
        <v>471</v>
      </c>
      <c r="G149" s="9" t="s">
        <v>294</v>
      </c>
      <c r="H149" s="52">
        <v>45526</v>
      </c>
      <c r="I149" s="42">
        <v>2258</v>
      </c>
      <c r="J149" s="42">
        <v>1</v>
      </c>
      <c r="K149" s="65">
        <v>24</v>
      </c>
      <c r="L149" s="65">
        <f t="shared" si="12"/>
        <v>24</v>
      </c>
      <c r="M149" s="46"/>
      <c r="N149" s="46"/>
      <c r="O149" s="47"/>
      <c r="P149" s="71">
        <f t="shared" si="13"/>
        <v>24</v>
      </c>
      <c r="Q149" s="83">
        <f t="shared" si="16"/>
        <v>1</v>
      </c>
      <c r="R149" s="84">
        <f t="shared" si="14"/>
        <v>24</v>
      </c>
      <c r="S149" s="85">
        <f t="shared" si="15"/>
        <v>24</v>
      </c>
      <c r="T149" s="88"/>
      <c r="U149" s="27"/>
    </row>
    <row r="150" spans="1:21" x14ac:dyDescent="0.3">
      <c r="A150" s="31" t="s">
        <v>405</v>
      </c>
      <c r="B150" s="15">
        <v>298</v>
      </c>
      <c r="C150" s="32">
        <v>45257</v>
      </c>
      <c r="D150" s="130" t="s">
        <v>794</v>
      </c>
      <c r="E150" s="22" t="s">
        <v>835</v>
      </c>
      <c r="F150" s="39" t="s">
        <v>471</v>
      </c>
      <c r="G150" s="9" t="s">
        <v>836</v>
      </c>
      <c r="H150" s="52">
        <v>45257</v>
      </c>
      <c r="I150" s="42"/>
      <c r="J150" s="42">
        <v>10</v>
      </c>
      <c r="K150" s="65">
        <v>10</v>
      </c>
      <c r="L150" s="65">
        <f t="shared" si="12"/>
        <v>100</v>
      </c>
      <c r="M150" s="46"/>
      <c r="N150" s="46"/>
      <c r="O150" s="47"/>
      <c r="P150" s="71">
        <f t="shared" si="13"/>
        <v>10</v>
      </c>
      <c r="Q150" s="83">
        <f t="shared" si="16"/>
        <v>10</v>
      </c>
      <c r="R150" s="84">
        <f t="shared" si="14"/>
        <v>10</v>
      </c>
      <c r="S150" s="85">
        <f t="shared" si="15"/>
        <v>100</v>
      </c>
      <c r="T150" s="88"/>
      <c r="U150" s="27"/>
    </row>
    <row r="151" spans="1:21" x14ac:dyDescent="0.3">
      <c r="A151" s="31" t="s">
        <v>406</v>
      </c>
      <c r="B151" s="15"/>
      <c r="C151" s="9"/>
      <c r="D151" s="33"/>
      <c r="E151" s="22" t="s">
        <v>877</v>
      </c>
      <c r="F151" s="39" t="s">
        <v>471</v>
      </c>
      <c r="G151" s="9" t="s">
        <v>294</v>
      </c>
      <c r="H151" s="41"/>
      <c r="I151" s="42"/>
      <c r="J151" s="42">
        <v>3</v>
      </c>
      <c r="K151" s="65">
        <v>120</v>
      </c>
      <c r="L151" s="65">
        <f t="shared" si="12"/>
        <v>360</v>
      </c>
      <c r="M151" s="46"/>
      <c r="N151" s="46"/>
      <c r="O151" s="47"/>
      <c r="P151" s="71">
        <f t="shared" si="13"/>
        <v>120</v>
      </c>
      <c r="Q151" s="83">
        <f t="shared" si="16"/>
        <v>3</v>
      </c>
      <c r="R151" s="84">
        <f t="shared" si="14"/>
        <v>120</v>
      </c>
      <c r="S151" s="85">
        <f t="shared" si="15"/>
        <v>360</v>
      </c>
      <c r="T151" s="88"/>
      <c r="U151" s="27"/>
    </row>
    <row r="152" spans="1:21" x14ac:dyDescent="0.3">
      <c r="A152" s="31" t="s">
        <v>407</v>
      </c>
      <c r="B152" s="15"/>
      <c r="C152" s="9"/>
      <c r="D152" s="33"/>
      <c r="E152" s="22" t="s">
        <v>878</v>
      </c>
      <c r="F152" s="39" t="s">
        <v>471</v>
      </c>
      <c r="G152" s="9" t="s">
        <v>811</v>
      </c>
      <c r="H152" s="41"/>
      <c r="I152" s="42"/>
      <c r="J152" s="42">
        <v>89</v>
      </c>
      <c r="K152" s="65">
        <v>1.2</v>
      </c>
      <c r="L152" s="65">
        <f t="shared" si="12"/>
        <v>106.8</v>
      </c>
      <c r="M152" s="46"/>
      <c r="N152" s="46"/>
      <c r="O152" s="47"/>
      <c r="P152" s="71">
        <f t="shared" si="13"/>
        <v>1.2</v>
      </c>
      <c r="Q152" s="83">
        <f t="shared" si="16"/>
        <v>89</v>
      </c>
      <c r="R152" s="84">
        <f t="shared" si="14"/>
        <v>1.2</v>
      </c>
      <c r="S152" s="85">
        <f t="shared" si="15"/>
        <v>106.8</v>
      </c>
      <c r="T152" s="88"/>
      <c r="U152" s="27"/>
    </row>
    <row r="153" spans="1:21" x14ac:dyDescent="0.3">
      <c r="A153" s="31" t="s">
        <v>408</v>
      </c>
      <c r="B153" s="15"/>
      <c r="C153" s="9"/>
      <c r="D153" s="33"/>
      <c r="E153" s="22" t="s">
        <v>813</v>
      </c>
      <c r="F153" s="39" t="s">
        <v>471</v>
      </c>
      <c r="G153" s="9" t="s">
        <v>812</v>
      </c>
      <c r="H153" s="41"/>
      <c r="I153" s="42"/>
      <c r="J153" s="42">
        <v>100</v>
      </c>
      <c r="K153" s="65">
        <v>1.2</v>
      </c>
      <c r="L153" s="65">
        <f t="shared" si="12"/>
        <v>120</v>
      </c>
      <c r="M153" s="46"/>
      <c r="N153" s="46"/>
      <c r="O153" s="47"/>
      <c r="P153" s="71">
        <f t="shared" si="13"/>
        <v>1.2</v>
      </c>
      <c r="Q153" s="83">
        <f t="shared" si="16"/>
        <v>100</v>
      </c>
      <c r="R153" s="84">
        <f t="shared" si="14"/>
        <v>1.2</v>
      </c>
      <c r="S153" s="85">
        <f t="shared" si="15"/>
        <v>120</v>
      </c>
      <c r="T153" s="88"/>
      <c r="U153" s="27"/>
    </row>
    <row r="154" spans="1:21" x14ac:dyDescent="0.3">
      <c r="A154" s="31" t="s">
        <v>409</v>
      </c>
      <c r="B154" s="15"/>
      <c r="C154" s="9"/>
      <c r="D154" s="33"/>
      <c r="E154" s="22" t="s">
        <v>814</v>
      </c>
      <c r="F154" s="39" t="s">
        <v>471</v>
      </c>
      <c r="G154" s="9" t="s">
        <v>817</v>
      </c>
      <c r="H154" s="41"/>
      <c r="I154" s="42"/>
      <c r="J154" s="42">
        <v>2</v>
      </c>
      <c r="K154" s="65">
        <v>125</v>
      </c>
      <c r="L154" s="65">
        <f t="shared" si="12"/>
        <v>250</v>
      </c>
      <c r="M154" s="46"/>
      <c r="N154" s="46"/>
      <c r="O154" s="47"/>
      <c r="P154" s="71">
        <f t="shared" si="13"/>
        <v>125</v>
      </c>
      <c r="Q154" s="83">
        <f t="shared" si="16"/>
        <v>2</v>
      </c>
      <c r="R154" s="84">
        <f t="shared" si="14"/>
        <v>125</v>
      </c>
      <c r="S154" s="85">
        <f t="shared" si="15"/>
        <v>250</v>
      </c>
      <c r="T154" s="87">
        <v>44166</v>
      </c>
      <c r="U154" s="27" t="s">
        <v>815</v>
      </c>
    </row>
    <row r="155" spans="1:21" x14ac:dyDescent="0.3">
      <c r="A155" s="31" t="s">
        <v>410</v>
      </c>
      <c r="B155" s="15">
        <v>64</v>
      </c>
      <c r="C155" s="32">
        <v>45057</v>
      </c>
      <c r="D155" s="33">
        <v>737100010023</v>
      </c>
      <c r="E155" s="22" t="s">
        <v>864</v>
      </c>
      <c r="F155" s="39" t="s">
        <v>471</v>
      </c>
      <c r="G155" s="9" t="s">
        <v>294</v>
      </c>
      <c r="H155" s="52"/>
      <c r="I155" s="42"/>
      <c r="J155" s="42">
        <v>2</v>
      </c>
      <c r="K155" s="65">
        <v>20</v>
      </c>
      <c r="L155" s="65">
        <f t="shared" si="12"/>
        <v>40</v>
      </c>
      <c r="M155" s="53">
        <v>45057</v>
      </c>
      <c r="N155" s="46">
        <v>1106</v>
      </c>
      <c r="O155" s="47"/>
      <c r="P155" s="71">
        <f t="shared" si="13"/>
        <v>20</v>
      </c>
      <c r="Q155" s="83">
        <f t="shared" si="16"/>
        <v>2</v>
      </c>
      <c r="R155" s="84">
        <f t="shared" si="14"/>
        <v>20</v>
      </c>
      <c r="S155" s="85">
        <f t="shared" si="15"/>
        <v>40</v>
      </c>
      <c r="T155" s="88"/>
      <c r="U155" s="27" t="s">
        <v>378</v>
      </c>
    </row>
    <row r="156" spans="1:21" x14ac:dyDescent="0.3">
      <c r="A156" s="31" t="s">
        <v>411</v>
      </c>
      <c r="B156" s="15"/>
      <c r="C156" s="9"/>
      <c r="D156" s="33"/>
      <c r="E156" s="22" t="s">
        <v>816</v>
      </c>
      <c r="F156" s="39" t="s">
        <v>471</v>
      </c>
      <c r="G156" s="9" t="s">
        <v>294</v>
      </c>
      <c r="H156" s="41"/>
      <c r="I156" s="42"/>
      <c r="J156" s="42">
        <v>1</v>
      </c>
      <c r="K156" s="65">
        <v>50</v>
      </c>
      <c r="L156" s="65">
        <f t="shared" si="12"/>
        <v>50</v>
      </c>
      <c r="M156" s="46"/>
      <c r="N156" s="46"/>
      <c r="O156" s="47"/>
      <c r="P156" s="71">
        <f t="shared" si="13"/>
        <v>50</v>
      </c>
      <c r="Q156" s="83">
        <f t="shared" si="16"/>
        <v>1</v>
      </c>
      <c r="R156" s="84">
        <f t="shared" si="14"/>
        <v>50</v>
      </c>
      <c r="S156" s="85">
        <f t="shared" si="15"/>
        <v>50</v>
      </c>
      <c r="T156" s="87"/>
      <c r="U156" s="27"/>
    </row>
    <row r="157" spans="1:21" x14ac:dyDescent="0.3">
      <c r="A157" s="31" t="s">
        <v>412</v>
      </c>
      <c r="B157" s="15"/>
      <c r="C157" s="9"/>
      <c r="D157" s="33"/>
      <c r="E157" s="23" t="s">
        <v>819</v>
      </c>
      <c r="F157" s="39" t="s">
        <v>471</v>
      </c>
      <c r="G157" s="9" t="s">
        <v>818</v>
      </c>
      <c r="H157" s="41"/>
      <c r="I157" s="42"/>
      <c r="J157" s="42">
        <v>8</v>
      </c>
      <c r="K157" s="65">
        <v>35</v>
      </c>
      <c r="L157" s="65">
        <f t="shared" si="12"/>
        <v>280</v>
      </c>
      <c r="M157" s="46"/>
      <c r="N157" s="46"/>
      <c r="O157" s="47"/>
      <c r="P157" s="71">
        <f t="shared" si="13"/>
        <v>35</v>
      </c>
      <c r="Q157" s="83">
        <f t="shared" si="16"/>
        <v>8</v>
      </c>
      <c r="R157" s="84">
        <f t="shared" si="14"/>
        <v>35</v>
      </c>
      <c r="S157" s="85">
        <f t="shared" si="15"/>
        <v>280</v>
      </c>
      <c r="T157" s="87">
        <v>44456</v>
      </c>
      <c r="U157" s="27" t="s">
        <v>29</v>
      </c>
    </row>
    <row r="158" spans="1:21" x14ac:dyDescent="0.3">
      <c r="A158" s="31" t="s">
        <v>413</v>
      </c>
      <c r="B158" s="15"/>
      <c r="C158" s="9"/>
      <c r="D158" s="33"/>
      <c r="E158" s="23" t="s">
        <v>820</v>
      </c>
      <c r="F158" s="39" t="s">
        <v>471</v>
      </c>
      <c r="G158" s="9" t="s">
        <v>821</v>
      </c>
      <c r="H158" s="41"/>
      <c r="I158" s="42"/>
      <c r="J158" s="42">
        <v>5</v>
      </c>
      <c r="K158" s="65">
        <v>30</v>
      </c>
      <c r="L158" s="65">
        <f t="shared" si="12"/>
        <v>150</v>
      </c>
      <c r="M158" s="46"/>
      <c r="N158" s="46"/>
      <c r="O158" s="47"/>
      <c r="P158" s="71">
        <f t="shared" si="13"/>
        <v>30</v>
      </c>
      <c r="Q158" s="83">
        <f t="shared" si="16"/>
        <v>5</v>
      </c>
      <c r="R158" s="84">
        <f t="shared" si="14"/>
        <v>30</v>
      </c>
      <c r="S158" s="85">
        <f t="shared" si="15"/>
        <v>150</v>
      </c>
      <c r="T158" s="87">
        <v>44713</v>
      </c>
      <c r="U158" s="27" t="s">
        <v>29</v>
      </c>
    </row>
    <row r="159" spans="1:21" x14ac:dyDescent="0.3">
      <c r="A159" s="31" t="s">
        <v>414</v>
      </c>
      <c r="B159" s="15"/>
      <c r="C159" s="32"/>
      <c r="D159" s="33"/>
      <c r="E159" s="22" t="s">
        <v>879</v>
      </c>
      <c r="F159" s="39" t="s">
        <v>471</v>
      </c>
      <c r="G159" s="9" t="s">
        <v>817</v>
      </c>
      <c r="H159" s="52"/>
      <c r="I159" s="42"/>
      <c r="J159" s="42">
        <v>6</v>
      </c>
      <c r="K159" s="65">
        <v>9.5</v>
      </c>
      <c r="L159" s="65">
        <f t="shared" si="12"/>
        <v>57</v>
      </c>
      <c r="M159" s="46"/>
      <c r="N159" s="46"/>
      <c r="O159" s="47"/>
      <c r="P159" s="71">
        <f t="shared" si="13"/>
        <v>9.5</v>
      </c>
      <c r="Q159" s="83">
        <f t="shared" si="16"/>
        <v>6</v>
      </c>
      <c r="R159" s="84">
        <f t="shared" si="14"/>
        <v>9.5</v>
      </c>
      <c r="S159" s="85">
        <f t="shared" si="15"/>
        <v>57</v>
      </c>
      <c r="T159" s="87">
        <v>45078</v>
      </c>
      <c r="U159" s="27" t="s">
        <v>29</v>
      </c>
    </row>
    <row r="160" spans="1:21" x14ac:dyDescent="0.3">
      <c r="A160" s="31" t="s">
        <v>415</v>
      </c>
      <c r="B160" s="15"/>
      <c r="C160" s="32"/>
      <c r="D160" s="33"/>
      <c r="E160" s="22" t="s">
        <v>823</v>
      </c>
      <c r="F160" s="39" t="s">
        <v>471</v>
      </c>
      <c r="G160" s="9" t="s">
        <v>822</v>
      </c>
      <c r="H160" s="52"/>
      <c r="I160" s="42"/>
      <c r="J160" s="42">
        <v>4</v>
      </c>
      <c r="K160" s="65">
        <v>40</v>
      </c>
      <c r="L160" s="65">
        <f t="shared" si="12"/>
        <v>160</v>
      </c>
      <c r="M160" s="46"/>
      <c r="N160" s="46"/>
      <c r="O160" s="47"/>
      <c r="P160" s="71">
        <f t="shared" si="13"/>
        <v>40</v>
      </c>
      <c r="Q160" s="83">
        <f t="shared" si="16"/>
        <v>4</v>
      </c>
      <c r="R160" s="84">
        <f t="shared" si="14"/>
        <v>40</v>
      </c>
      <c r="S160" s="85">
        <f t="shared" si="15"/>
        <v>160</v>
      </c>
      <c r="T160" s="87">
        <v>45809</v>
      </c>
      <c r="U160" s="27" t="s">
        <v>29</v>
      </c>
    </row>
    <row r="161" spans="1:21" x14ac:dyDescent="0.3">
      <c r="A161" s="31" t="s">
        <v>417</v>
      </c>
      <c r="B161" s="15"/>
      <c r="C161" s="9"/>
      <c r="D161" s="33"/>
      <c r="E161" s="22" t="s">
        <v>880</v>
      </c>
      <c r="F161" s="39" t="s">
        <v>510</v>
      </c>
      <c r="G161" s="9" t="s">
        <v>294</v>
      </c>
      <c r="H161" s="41"/>
      <c r="I161" s="42"/>
      <c r="J161" s="42">
        <v>2</v>
      </c>
      <c r="K161" s="65">
        <v>25</v>
      </c>
      <c r="L161" s="65">
        <f t="shared" si="12"/>
        <v>50</v>
      </c>
      <c r="M161" s="46"/>
      <c r="N161" s="46"/>
      <c r="O161" s="47"/>
      <c r="P161" s="71">
        <f t="shared" si="13"/>
        <v>25</v>
      </c>
      <c r="Q161" s="83">
        <f t="shared" si="16"/>
        <v>2</v>
      </c>
      <c r="R161" s="84">
        <f t="shared" si="14"/>
        <v>25</v>
      </c>
      <c r="S161" s="85">
        <f t="shared" si="15"/>
        <v>50</v>
      </c>
      <c r="T161" s="88"/>
      <c r="U161" s="27"/>
    </row>
    <row r="162" spans="1:21" x14ac:dyDescent="0.3">
      <c r="A162" s="31" t="s">
        <v>418</v>
      </c>
      <c r="B162" s="16">
        <v>308</v>
      </c>
      <c r="C162" s="32">
        <v>44916</v>
      </c>
      <c r="D162" s="33">
        <v>737100040010</v>
      </c>
      <c r="E162" s="22" t="s">
        <v>865</v>
      </c>
      <c r="F162" s="39" t="s">
        <v>824</v>
      </c>
      <c r="G162" s="9" t="s">
        <v>294</v>
      </c>
      <c r="H162" s="52"/>
      <c r="I162" s="42"/>
      <c r="J162" s="42">
        <v>7</v>
      </c>
      <c r="K162" s="65">
        <v>10.8</v>
      </c>
      <c r="L162" s="65">
        <f t="shared" si="12"/>
        <v>75.600000000000009</v>
      </c>
      <c r="M162" s="53">
        <v>44916</v>
      </c>
      <c r="N162" s="46">
        <v>3220</v>
      </c>
      <c r="O162" s="47"/>
      <c r="P162" s="71">
        <f t="shared" si="13"/>
        <v>10.8</v>
      </c>
      <c r="Q162" s="83">
        <f t="shared" si="16"/>
        <v>7</v>
      </c>
      <c r="R162" s="84">
        <f t="shared" si="14"/>
        <v>10.8</v>
      </c>
      <c r="S162" s="85">
        <f t="shared" si="15"/>
        <v>75.600000000000009</v>
      </c>
      <c r="T162" s="88"/>
      <c r="U162" s="27"/>
    </row>
    <row r="163" spans="1:21" x14ac:dyDescent="0.3">
      <c r="A163" s="31" t="s">
        <v>419</v>
      </c>
      <c r="B163" s="15"/>
      <c r="C163" s="32"/>
      <c r="D163" s="33"/>
      <c r="E163" s="23" t="s">
        <v>825</v>
      </c>
      <c r="F163" s="39" t="s">
        <v>471</v>
      </c>
      <c r="G163" s="9" t="s">
        <v>294</v>
      </c>
      <c r="H163" s="52"/>
      <c r="I163" s="42"/>
      <c r="J163" s="42">
        <v>5</v>
      </c>
      <c r="K163" s="65">
        <v>25</v>
      </c>
      <c r="L163" s="65">
        <f t="shared" si="12"/>
        <v>125</v>
      </c>
      <c r="M163" s="46"/>
      <c r="N163" s="46"/>
      <c r="O163" s="47"/>
      <c r="P163" s="71">
        <f t="shared" si="13"/>
        <v>25</v>
      </c>
      <c r="Q163" s="83">
        <f t="shared" si="16"/>
        <v>5</v>
      </c>
      <c r="R163" s="84">
        <f t="shared" si="14"/>
        <v>25</v>
      </c>
      <c r="S163" s="85">
        <f t="shared" si="15"/>
        <v>125</v>
      </c>
      <c r="T163" s="88"/>
      <c r="U163" s="27"/>
    </row>
    <row r="164" spans="1:21" x14ac:dyDescent="0.3">
      <c r="A164" s="31" t="s">
        <v>420</v>
      </c>
      <c r="B164" s="15"/>
      <c r="C164" s="32"/>
      <c r="D164" s="33"/>
      <c r="E164" s="22" t="s">
        <v>826</v>
      </c>
      <c r="F164" s="39" t="s">
        <v>471</v>
      </c>
      <c r="G164" s="9" t="s">
        <v>821</v>
      </c>
      <c r="H164" s="52"/>
      <c r="I164" s="42"/>
      <c r="J164" s="42">
        <v>8</v>
      </c>
      <c r="K164" s="65">
        <v>12</v>
      </c>
      <c r="L164" s="65">
        <f t="shared" si="12"/>
        <v>96</v>
      </c>
      <c r="M164" s="46"/>
      <c r="N164" s="46"/>
      <c r="O164" s="47"/>
      <c r="P164" s="71">
        <f t="shared" si="13"/>
        <v>12</v>
      </c>
      <c r="Q164" s="83">
        <f t="shared" si="16"/>
        <v>8</v>
      </c>
      <c r="R164" s="84">
        <f t="shared" si="14"/>
        <v>12</v>
      </c>
      <c r="S164" s="85">
        <f t="shared" si="15"/>
        <v>96</v>
      </c>
      <c r="T164" s="88"/>
      <c r="U164" s="27"/>
    </row>
    <row r="165" spans="1:21" x14ac:dyDescent="0.3">
      <c r="A165" s="31" t="s">
        <v>421</v>
      </c>
      <c r="B165" s="15"/>
      <c r="C165" s="9"/>
      <c r="D165" s="33"/>
      <c r="E165" s="22" t="s">
        <v>827</v>
      </c>
      <c r="F165" s="39" t="s">
        <v>471</v>
      </c>
      <c r="G165" s="9" t="s">
        <v>294</v>
      </c>
      <c r="H165" s="41"/>
      <c r="I165" s="42"/>
      <c r="J165" s="42">
        <v>4</v>
      </c>
      <c r="K165" s="65">
        <v>50</v>
      </c>
      <c r="L165" s="65">
        <f t="shared" si="12"/>
        <v>200</v>
      </c>
      <c r="M165" s="46"/>
      <c r="N165" s="46"/>
      <c r="O165" s="47"/>
      <c r="P165" s="71">
        <f t="shared" si="13"/>
        <v>50</v>
      </c>
      <c r="Q165" s="83">
        <f t="shared" si="16"/>
        <v>4</v>
      </c>
      <c r="R165" s="84">
        <f t="shared" si="14"/>
        <v>50</v>
      </c>
      <c r="S165" s="85">
        <f t="shared" si="15"/>
        <v>200</v>
      </c>
      <c r="T165" s="88"/>
      <c r="U165" s="27"/>
    </row>
    <row r="166" spans="1:21" x14ac:dyDescent="0.3">
      <c r="A166" s="31" t="s">
        <v>422</v>
      </c>
      <c r="B166" s="15"/>
      <c r="C166" s="9"/>
      <c r="D166" s="33"/>
      <c r="E166" s="22" t="s">
        <v>828</v>
      </c>
      <c r="F166" s="39" t="s">
        <v>471</v>
      </c>
      <c r="G166" s="10" t="s">
        <v>294</v>
      </c>
      <c r="H166" s="41"/>
      <c r="I166" s="42"/>
      <c r="J166" s="42">
        <v>3</v>
      </c>
      <c r="K166" s="65">
        <v>8</v>
      </c>
      <c r="L166" s="65">
        <f t="shared" si="12"/>
        <v>24</v>
      </c>
      <c r="M166" s="46"/>
      <c r="N166" s="46"/>
      <c r="O166" s="47"/>
      <c r="P166" s="71">
        <f t="shared" si="13"/>
        <v>8</v>
      </c>
      <c r="Q166" s="83">
        <f t="shared" si="16"/>
        <v>3</v>
      </c>
      <c r="R166" s="84">
        <f t="shared" si="14"/>
        <v>8</v>
      </c>
      <c r="S166" s="85">
        <f t="shared" si="15"/>
        <v>24</v>
      </c>
      <c r="T166" s="87"/>
      <c r="U166" s="27"/>
    </row>
    <row r="167" spans="1:21" x14ac:dyDescent="0.3">
      <c r="A167" s="31" t="s">
        <v>423</v>
      </c>
      <c r="B167" s="15"/>
      <c r="C167" s="9"/>
      <c r="D167" s="33"/>
      <c r="E167" s="22" t="s">
        <v>829</v>
      </c>
      <c r="F167" s="39" t="s">
        <v>471</v>
      </c>
      <c r="G167" s="10" t="s">
        <v>294</v>
      </c>
      <c r="H167" s="41"/>
      <c r="I167" s="42"/>
      <c r="J167" s="42">
        <v>1</v>
      </c>
      <c r="K167" s="65">
        <v>7</v>
      </c>
      <c r="L167" s="65">
        <f t="shared" si="12"/>
        <v>7</v>
      </c>
      <c r="M167" s="46"/>
      <c r="N167" s="46"/>
      <c r="O167" s="47"/>
      <c r="P167" s="71">
        <f t="shared" si="13"/>
        <v>7</v>
      </c>
      <c r="Q167" s="83">
        <f t="shared" si="16"/>
        <v>1</v>
      </c>
      <c r="R167" s="84">
        <f t="shared" si="14"/>
        <v>7</v>
      </c>
      <c r="S167" s="85">
        <f t="shared" si="15"/>
        <v>7</v>
      </c>
      <c r="T167" s="87"/>
      <c r="U167" s="27"/>
    </row>
    <row r="168" spans="1:21" x14ac:dyDescent="0.3">
      <c r="A168" s="31" t="s">
        <v>424</v>
      </c>
      <c r="B168" s="15"/>
      <c r="C168" s="32">
        <v>43834</v>
      </c>
      <c r="D168" s="33" t="s">
        <v>870</v>
      </c>
      <c r="E168" s="22" t="s">
        <v>830</v>
      </c>
      <c r="F168" s="39" t="s">
        <v>471</v>
      </c>
      <c r="G168" s="10" t="s">
        <v>809</v>
      </c>
      <c r="H168" s="41"/>
      <c r="I168" s="42"/>
      <c r="J168" s="42">
        <v>5</v>
      </c>
      <c r="K168" s="65">
        <v>191.2</v>
      </c>
      <c r="L168" s="65">
        <f t="shared" si="12"/>
        <v>956</v>
      </c>
      <c r="M168" s="53">
        <v>44139</v>
      </c>
      <c r="N168" s="46">
        <v>1760</v>
      </c>
      <c r="O168" s="47"/>
      <c r="P168" s="71">
        <f t="shared" si="13"/>
        <v>191.2</v>
      </c>
      <c r="Q168" s="83">
        <f t="shared" si="16"/>
        <v>5</v>
      </c>
      <c r="R168" s="84">
        <f t="shared" si="14"/>
        <v>191.2</v>
      </c>
      <c r="S168" s="85">
        <f t="shared" si="15"/>
        <v>956</v>
      </c>
      <c r="T168" s="87"/>
      <c r="U168" s="27" t="s">
        <v>832</v>
      </c>
    </row>
    <row r="169" spans="1:21" x14ac:dyDescent="0.3">
      <c r="A169" s="31" t="s">
        <v>425</v>
      </c>
      <c r="B169" s="15"/>
      <c r="C169" s="9"/>
      <c r="D169" s="33"/>
      <c r="E169" s="22" t="s">
        <v>47</v>
      </c>
      <c r="F169" s="39" t="s">
        <v>471</v>
      </c>
      <c r="G169" s="9" t="s">
        <v>809</v>
      </c>
      <c r="H169" s="41"/>
      <c r="I169" s="42"/>
      <c r="J169" s="42">
        <v>1</v>
      </c>
      <c r="K169" s="65">
        <v>90</v>
      </c>
      <c r="L169" s="65">
        <f t="shared" si="12"/>
        <v>90</v>
      </c>
      <c r="M169" s="46"/>
      <c r="N169" s="46"/>
      <c r="O169" s="47"/>
      <c r="P169" s="71">
        <f t="shared" si="13"/>
        <v>90</v>
      </c>
      <c r="Q169" s="83">
        <f t="shared" si="16"/>
        <v>1</v>
      </c>
      <c r="R169" s="84">
        <f t="shared" si="14"/>
        <v>90</v>
      </c>
      <c r="S169" s="85">
        <f t="shared" si="15"/>
        <v>90</v>
      </c>
      <c r="T169" s="88"/>
      <c r="U169" s="27" t="s">
        <v>832</v>
      </c>
    </row>
    <row r="170" spans="1:21" x14ac:dyDescent="0.3">
      <c r="A170" s="31" t="s">
        <v>426</v>
      </c>
      <c r="B170" s="15"/>
      <c r="C170" s="32"/>
      <c r="D170" s="33"/>
      <c r="E170" s="23" t="s">
        <v>831</v>
      </c>
      <c r="F170" s="39" t="s">
        <v>471</v>
      </c>
      <c r="G170" s="9" t="s">
        <v>294</v>
      </c>
      <c r="H170" s="52"/>
      <c r="I170" s="42"/>
      <c r="J170" s="42">
        <v>21</v>
      </c>
      <c r="K170" s="65">
        <v>0.5</v>
      </c>
      <c r="L170" s="65">
        <f t="shared" si="12"/>
        <v>10.5</v>
      </c>
      <c r="M170" s="46"/>
      <c r="N170" s="46"/>
      <c r="O170" s="47"/>
      <c r="P170" s="71">
        <f t="shared" si="13"/>
        <v>0.5</v>
      </c>
      <c r="Q170" s="83">
        <v>70</v>
      </c>
      <c r="R170" s="84">
        <f t="shared" si="14"/>
        <v>0.5</v>
      </c>
      <c r="S170" s="85">
        <f t="shared" si="15"/>
        <v>35</v>
      </c>
      <c r="T170" s="87"/>
      <c r="U170" s="27"/>
    </row>
    <row r="171" spans="1:21" x14ac:dyDescent="0.3">
      <c r="A171" s="31" t="s">
        <v>427</v>
      </c>
      <c r="B171" s="15"/>
      <c r="C171" s="9"/>
      <c r="D171" s="33" t="s">
        <v>870</v>
      </c>
      <c r="E171" s="23" t="s">
        <v>833</v>
      </c>
      <c r="F171" s="39" t="s">
        <v>471</v>
      </c>
      <c r="G171" s="9" t="s">
        <v>809</v>
      </c>
      <c r="H171" s="41"/>
      <c r="I171" s="42"/>
      <c r="J171" s="42">
        <v>32</v>
      </c>
      <c r="K171" s="65">
        <v>191.2</v>
      </c>
      <c r="L171" s="65">
        <f t="shared" si="12"/>
        <v>6118.4</v>
      </c>
      <c r="M171" s="46"/>
      <c r="N171" s="46"/>
      <c r="O171" s="47"/>
      <c r="P171" s="71">
        <f t="shared" si="13"/>
        <v>191.2</v>
      </c>
      <c r="Q171" s="83">
        <f t="shared" si="16"/>
        <v>32</v>
      </c>
      <c r="R171" s="84">
        <f t="shared" si="14"/>
        <v>191.2</v>
      </c>
      <c r="S171" s="85">
        <f t="shared" si="15"/>
        <v>6118.4</v>
      </c>
      <c r="T171" s="87"/>
      <c r="U171" s="27"/>
    </row>
    <row r="172" spans="1:21" x14ac:dyDescent="0.3">
      <c r="A172" s="31" t="s">
        <v>428</v>
      </c>
      <c r="B172" s="15"/>
      <c r="C172" s="32">
        <v>44146</v>
      </c>
      <c r="D172" s="33" t="s">
        <v>869</v>
      </c>
      <c r="E172" s="23" t="s">
        <v>834</v>
      </c>
      <c r="F172" s="39" t="s">
        <v>868</v>
      </c>
      <c r="G172" s="9"/>
      <c r="H172" s="41"/>
      <c r="I172" s="42"/>
      <c r="J172" s="42">
        <v>2</v>
      </c>
      <c r="K172" s="65">
        <v>13.68</v>
      </c>
      <c r="L172" s="65">
        <f t="shared" si="12"/>
        <v>27.36</v>
      </c>
      <c r="M172" s="53">
        <v>44146</v>
      </c>
      <c r="N172" s="46">
        <v>1889</v>
      </c>
      <c r="O172" s="47"/>
      <c r="P172" s="71">
        <f t="shared" si="13"/>
        <v>13.68</v>
      </c>
      <c r="Q172" s="83">
        <f t="shared" si="16"/>
        <v>2</v>
      </c>
      <c r="R172" s="84">
        <f t="shared" si="14"/>
        <v>13.68</v>
      </c>
      <c r="S172" s="85">
        <f t="shared" si="15"/>
        <v>27.36</v>
      </c>
      <c r="T172" s="88"/>
      <c r="U172" s="27"/>
    </row>
    <row r="173" spans="1:21" x14ac:dyDescent="0.3">
      <c r="A173" s="31" t="s">
        <v>429</v>
      </c>
      <c r="B173" s="15"/>
      <c r="C173" s="9"/>
      <c r="D173" s="33">
        <v>501100220003</v>
      </c>
      <c r="E173" s="23" t="s">
        <v>970</v>
      </c>
      <c r="F173" s="105" t="s">
        <v>471</v>
      </c>
      <c r="G173" s="151" t="s">
        <v>294</v>
      </c>
      <c r="H173" s="41"/>
      <c r="I173" s="42"/>
      <c r="J173" s="42">
        <v>35</v>
      </c>
      <c r="K173" s="65">
        <v>4.2</v>
      </c>
      <c r="L173" s="65">
        <f t="shared" si="12"/>
        <v>147</v>
      </c>
      <c r="M173" s="53">
        <v>45287</v>
      </c>
      <c r="N173" s="46">
        <v>3036</v>
      </c>
      <c r="O173" s="47"/>
      <c r="P173" s="71">
        <f t="shared" si="13"/>
        <v>4.2</v>
      </c>
      <c r="Q173" s="83">
        <f t="shared" si="16"/>
        <v>35</v>
      </c>
      <c r="R173" s="84">
        <f t="shared" si="14"/>
        <v>4.2</v>
      </c>
      <c r="S173" s="85">
        <f t="shared" si="15"/>
        <v>147</v>
      </c>
      <c r="T173" s="88"/>
      <c r="U173" s="27"/>
    </row>
    <row r="174" spans="1:21" x14ac:dyDescent="0.3">
      <c r="A174" s="31" t="s">
        <v>430</v>
      </c>
      <c r="B174" s="15"/>
      <c r="C174" s="9"/>
      <c r="D174" s="33"/>
      <c r="E174" s="23" t="s">
        <v>845</v>
      </c>
      <c r="F174" s="39" t="s">
        <v>471</v>
      </c>
      <c r="G174" s="9"/>
      <c r="H174" s="41"/>
      <c r="I174" s="42"/>
      <c r="J174" s="42">
        <v>21</v>
      </c>
      <c r="K174" s="65">
        <v>4.2</v>
      </c>
      <c r="L174" s="65">
        <f t="shared" si="12"/>
        <v>88.2</v>
      </c>
      <c r="M174" s="46"/>
      <c r="N174" s="46"/>
      <c r="O174" s="47"/>
      <c r="P174" s="71">
        <f t="shared" si="13"/>
        <v>4.2</v>
      </c>
      <c r="Q174" s="83">
        <f t="shared" si="16"/>
        <v>21</v>
      </c>
      <c r="R174" s="84">
        <f t="shared" si="14"/>
        <v>4.2</v>
      </c>
      <c r="S174" s="85">
        <f t="shared" si="15"/>
        <v>88.2</v>
      </c>
      <c r="T174" s="88"/>
      <c r="U174" s="27"/>
    </row>
    <row r="175" spans="1:21" x14ac:dyDescent="0.3">
      <c r="A175" s="31" t="s">
        <v>431</v>
      </c>
      <c r="B175" s="15"/>
      <c r="C175" s="9"/>
      <c r="D175" s="33"/>
      <c r="E175" s="22" t="s">
        <v>842</v>
      </c>
      <c r="F175" s="39" t="s">
        <v>719</v>
      </c>
      <c r="G175" s="9"/>
      <c r="H175" s="41"/>
      <c r="I175" s="42"/>
      <c r="J175" s="42">
        <v>1</v>
      </c>
      <c r="K175" s="65">
        <v>450</v>
      </c>
      <c r="L175" s="65">
        <f t="shared" si="12"/>
        <v>450</v>
      </c>
      <c r="M175" s="46"/>
      <c r="N175" s="46"/>
      <c r="O175" s="47"/>
      <c r="P175" s="71">
        <f t="shared" si="13"/>
        <v>450</v>
      </c>
      <c r="Q175" s="83">
        <f t="shared" si="16"/>
        <v>1</v>
      </c>
      <c r="R175" s="84">
        <f t="shared" si="14"/>
        <v>450</v>
      </c>
      <c r="S175" s="85">
        <f t="shared" si="15"/>
        <v>450</v>
      </c>
      <c r="T175" s="88"/>
      <c r="U175" s="27"/>
    </row>
    <row r="176" spans="1:21" x14ac:dyDescent="0.3">
      <c r="A176" s="31" t="s">
        <v>432</v>
      </c>
      <c r="B176" s="15"/>
      <c r="C176" s="9"/>
      <c r="D176" s="33"/>
      <c r="E176" s="23" t="s">
        <v>843</v>
      </c>
      <c r="F176" s="39" t="s">
        <v>471</v>
      </c>
      <c r="G176" s="9"/>
      <c r="H176" s="41"/>
      <c r="I176" s="42"/>
      <c r="J176" s="42">
        <v>200</v>
      </c>
      <c r="K176" s="65">
        <v>0.45</v>
      </c>
      <c r="L176" s="65">
        <f t="shared" si="12"/>
        <v>90</v>
      </c>
      <c r="M176" s="46"/>
      <c r="N176" s="46"/>
      <c r="O176" s="47"/>
      <c r="P176" s="71">
        <f t="shared" si="13"/>
        <v>0.45</v>
      </c>
      <c r="Q176" s="83">
        <f t="shared" si="16"/>
        <v>200</v>
      </c>
      <c r="R176" s="84">
        <f t="shared" si="14"/>
        <v>0.45</v>
      </c>
      <c r="S176" s="85">
        <f t="shared" si="15"/>
        <v>90</v>
      </c>
      <c r="T176" s="88"/>
      <c r="U176" s="27"/>
    </row>
    <row r="177" spans="1:21" x14ac:dyDescent="0.3">
      <c r="A177" s="31" t="s">
        <v>433</v>
      </c>
      <c r="B177" s="15"/>
      <c r="C177" s="9"/>
      <c r="D177" s="33"/>
      <c r="E177" s="23" t="s">
        <v>844</v>
      </c>
      <c r="F177" s="39" t="s">
        <v>471</v>
      </c>
      <c r="G177" s="9"/>
      <c r="H177" s="41"/>
      <c r="I177" s="42"/>
      <c r="J177" s="42">
        <v>30</v>
      </c>
      <c r="K177" s="65">
        <v>0.45</v>
      </c>
      <c r="L177" s="65">
        <f t="shared" si="12"/>
        <v>13.5</v>
      </c>
      <c r="M177" s="46"/>
      <c r="N177" s="46"/>
      <c r="O177" s="47"/>
      <c r="P177" s="71">
        <f t="shared" si="13"/>
        <v>0.45</v>
      </c>
      <c r="Q177" s="83">
        <f t="shared" si="16"/>
        <v>30</v>
      </c>
      <c r="R177" s="84">
        <f t="shared" si="14"/>
        <v>0.45</v>
      </c>
      <c r="S177" s="85">
        <f t="shared" si="15"/>
        <v>13.5</v>
      </c>
      <c r="T177" s="88"/>
      <c r="U177" s="27"/>
    </row>
    <row r="178" spans="1:21" x14ac:dyDescent="0.3">
      <c r="A178" s="31" t="s">
        <v>434</v>
      </c>
      <c r="B178" s="15"/>
      <c r="C178" s="9"/>
      <c r="D178" s="33"/>
      <c r="E178" s="23" t="s">
        <v>846</v>
      </c>
      <c r="F178" s="39" t="s">
        <v>471</v>
      </c>
      <c r="G178" s="9"/>
      <c r="H178" s="41"/>
      <c r="I178" s="42"/>
      <c r="J178" s="42">
        <v>15</v>
      </c>
      <c r="K178" s="65">
        <v>4.2</v>
      </c>
      <c r="L178" s="65">
        <f t="shared" si="12"/>
        <v>63</v>
      </c>
      <c r="M178" s="46"/>
      <c r="N178" s="46"/>
      <c r="O178" s="47"/>
      <c r="P178" s="71">
        <f t="shared" si="13"/>
        <v>4.2</v>
      </c>
      <c r="Q178" s="83">
        <f t="shared" si="16"/>
        <v>15</v>
      </c>
      <c r="R178" s="84">
        <f t="shared" si="14"/>
        <v>4.2</v>
      </c>
      <c r="S178" s="85">
        <f t="shared" si="15"/>
        <v>63</v>
      </c>
      <c r="T178" s="88"/>
      <c r="U178" s="27" t="s">
        <v>378</v>
      </c>
    </row>
    <row r="179" spans="1:21" x14ac:dyDescent="0.3">
      <c r="A179" s="31" t="s">
        <v>435</v>
      </c>
      <c r="B179" s="15"/>
      <c r="C179" s="9"/>
      <c r="D179" s="33"/>
      <c r="E179" s="22" t="s">
        <v>847</v>
      </c>
      <c r="F179" s="39" t="s">
        <v>471</v>
      </c>
      <c r="G179" s="9" t="s">
        <v>325</v>
      </c>
      <c r="H179" s="41"/>
      <c r="I179" s="42"/>
      <c r="J179" s="42">
        <v>2</v>
      </c>
      <c r="K179" s="65">
        <v>12</v>
      </c>
      <c r="L179" s="65">
        <f t="shared" si="12"/>
        <v>24</v>
      </c>
      <c r="M179" s="46"/>
      <c r="N179" s="46"/>
      <c r="O179" s="47"/>
      <c r="P179" s="71">
        <f t="shared" si="13"/>
        <v>12</v>
      </c>
      <c r="Q179" s="83">
        <f t="shared" si="16"/>
        <v>2</v>
      </c>
      <c r="R179" s="84">
        <f t="shared" si="14"/>
        <v>12</v>
      </c>
      <c r="S179" s="85">
        <f t="shared" si="15"/>
        <v>24</v>
      </c>
      <c r="T179" s="88"/>
      <c r="U179" s="27" t="s">
        <v>848</v>
      </c>
    </row>
    <row r="180" spans="1:21" x14ac:dyDescent="0.3">
      <c r="A180" s="31" t="s">
        <v>436</v>
      </c>
      <c r="B180" s="17"/>
      <c r="C180" s="59"/>
      <c r="D180" s="33"/>
      <c r="E180" s="23" t="s">
        <v>943</v>
      </c>
      <c r="F180" s="39" t="s">
        <v>719</v>
      </c>
      <c r="G180" s="9" t="s">
        <v>849</v>
      </c>
      <c r="H180" s="52"/>
      <c r="I180" s="42"/>
      <c r="J180" s="42">
        <v>125</v>
      </c>
      <c r="K180" s="65">
        <v>1.2</v>
      </c>
      <c r="L180" s="65">
        <f t="shared" si="12"/>
        <v>150</v>
      </c>
      <c r="M180" s="46"/>
      <c r="N180" s="46"/>
      <c r="O180" s="47"/>
      <c r="P180" s="71">
        <f t="shared" si="13"/>
        <v>1.2</v>
      </c>
      <c r="Q180" s="83">
        <f t="shared" si="16"/>
        <v>125</v>
      </c>
      <c r="R180" s="84">
        <f t="shared" si="14"/>
        <v>1.2</v>
      </c>
      <c r="S180" s="85">
        <f t="shared" si="15"/>
        <v>150</v>
      </c>
      <c r="T180" s="88"/>
      <c r="U180" s="27"/>
    </row>
    <row r="181" spans="1:21" x14ac:dyDescent="0.3">
      <c r="A181" s="31" t="s">
        <v>437</v>
      </c>
      <c r="B181" s="15"/>
      <c r="C181" s="32">
        <v>44047</v>
      </c>
      <c r="D181" s="33" t="s">
        <v>873</v>
      </c>
      <c r="E181" s="23" t="s">
        <v>872</v>
      </c>
      <c r="F181" s="39" t="s">
        <v>471</v>
      </c>
      <c r="G181" s="9" t="s">
        <v>850</v>
      </c>
      <c r="H181" s="52"/>
      <c r="I181" s="42"/>
      <c r="J181" s="42">
        <v>69</v>
      </c>
      <c r="K181" s="65">
        <v>3.5</v>
      </c>
      <c r="L181" s="65">
        <f t="shared" si="12"/>
        <v>241.5</v>
      </c>
      <c r="M181" s="53">
        <v>44047</v>
      </c>
      <c r="N181" s="46">
        <v>1110</v>
      </c>
      <c r="O181" s="47"/>
      <c r="P181" s="71">
        <f t="shared" si="13"/>
        <v>3.5</v>
      </c>
      <c r="Q181" s="83">
        <f t="shared" si="16"/>
        <v>69</v>
      </c>
      <c r="R181" s="84">
        <f t="shared" si="14"/>
        <v>3.5</v>
      </c>
      <c r="S181" s="85">
        <f t="shared" si="15"/>
        <v>241.5</v>
      </c>
      <c r="T181" s="88"/>
      <c r="U181" s="27"/>
    </row>
    <row r="182" spans="1:21" ht="18" customHeight="1" x14ac:dyDescent="0.3">
      <c r="A182" s="31" t="s">
        <v>438</v>
      </c>
      <c r="B182" s="15"/>
      <c r="C182" s="32"/>
      <c r="D182" s="33"/>
      <c r="E182" s="22" t="s">
        <v>852</v>
      </c>
      <c r="F182" s="39" t="s">
        <v>471</v>
      </c>
      <c r="G182" s="9" t="s">
        <v>851</v>
      </c>
      <c r="H182" s="52"/>
      <c r="I182" s="42"/>
      <c r="J182" s="42">
        <v>2</v>
      </c>
      <c r="K182" s="65">
        <v>14</v>
      </c>
      <c r="L182" s="65">
        <f t="shared" si="12"/>
        <v>28</v>
      </c>
      <c r="M182" s="46"/>
      <c r="N182" s="46"/>
      <c r="O182" s="47"/>
      <c r="P182" s="71">
        <f t="shared" si="13"/>
        <v>14</v>
      </c>
      <c r="Q182" s="83">
        <f t="shared" si="16"/>
        <v>2</v>
      </c>
      <c r="R182" s="84">
        <f t="shared" si="14"/>
        <v>14</v>
      </c>
      <c r="S182" s="85">
        <f t="shared" si="15"/>
        <v>28</v>
      </c>
      <c r="T182" s="87"/>
      <c r="U182" s="27"/>
    </row>
    <row r="183" spans="1:21" ht="15.6" customHeight="1" x14ac:dyDescent="0.3">
      <c r="A183" s="31" t="s">
        <v>439</v>
      </c>
      <c r="B183" s="15"/>
      <c r="C183" s="9"/>
      <c r="D183" s="33"/>
      <c r="E183" s="145" t="s">
        <v>853</v>
      </c>
      <c r="F183" s="39" t="s">
        <v>471</v>
      </c>
      <c r="G183" s="9" t="s">
        <v>854</v>
      </c>
      <c r="H183" s="41"/>
      <c r="I183" s="42"/>
      <c r="J183" s="42">
        <v>3</v>
      </c>
      <c r="K183" s="65">
        <v>700</v>
      </c>
      <c r="L183" s="65">
        <f t="shared" si="12"/>
        <v>2100</v>
      </c>
      <c r="M183" s="46"/>
      <c r="N183" s="46"/>
      <c r="O183" s="47"/>
      <c r="P183" s="71">
        <f t="shared" si="13"/>
        <v>700</v>
      </c>
      <c r="Q183" s="83">
        <f t="shared" si="16"/>
        <v>3</v>
      </c>
      <c r="R183" s="84">
        <f t="shared" si="14"/>
        <v>700</v>
      </c>
      <c r="S183" s="85">
        <f t="shared" si="15"/>
        <v>2100</v>
      </c>
      <c r="T183" s="88"/>
      <c r="U183" s="27"/>
    </row>
    <row r="184" spans="1:21" x14ac:dyDescent="0.3">
      <c r="A184" s="31" t="s">
        <v>440</v>
      </c>
      <c r="B184" s="15"/>
      <c r="C184" s="9"/>
      <c r="D184" s="33"/>
      <c r="E184" s="23" t="s">
        <v>855</v>
      </c>
      <c r="F184" s="39" t="s">
        <v>471</v>
      </c>
      <c r="G184" s="9" t="s">
        <v>294</v>
      </c>
      <c r="H184" s="41"/>
      <c r="I184" s="42"/>
      <c r="J184" s="42">
        <v>18</v>
      </c>
      <c r="K184" s="65">
        <v>15</v>
      </c>
      <c r="L184" s="65">
        <f t="shared" si="12"/>
        <v>270</v>
      </c>
      <c r="M184" s="46"/>
      <c r="N184" s="46"/>
      <c r="O184" s="47"/>
      <c r="P184" s="71">
        <f t="shared" si="13"/>
        <v>15</v>
      </c>
      <c r="Q184" s="83">
        <f t="shared" si="16"/>
        <v>18</v>
      </c>
      <c r="R184" s="84">
        <f t="shared" si="14"/>
        <v>15</v>
      </c>
      <c r="S184" s="85">
        <f t="shared" si="15"/>
        <v>270</v>
      </c>
      <c r="T184" s="88"/>
      <c r="U184" s="27"/>
    </row>
    <row r="185" spans="1:21" x14ac:dyDescent="0.3">
      <c r="A185" s="31" t="s">
        <v>441</v>
      </c>
      <c r="B185" s="15"/>
      <c r="C185" s="32"/>
      <c r="D185" s="33"/>
      <c r="E185" s="23" t="s">
        <v>944</v>
      </c>
      <c r="F185" s="39" t="s">
        <v>471</v>
      </c>
      <c r="G185" s="9" t="s">
        <v>294</v>
      </c>
      <c r="H185" s="52"/>
      <c r="I185" s="42"/>
      <c r="J185" s="42">
        <v>9</v>
      </c>
      <c r="K185" s="65">
        <v>22</v>
      </c>
      <c r="L185" s="65">
        <f t="shared" si="12"/>
        <v>198</v>
      </c>
      <c r="M185" s="46"/>
      <c r="N185" s="46"/>
      <c r="O185" s="47"/>
      <c r="P185" s="71">
        <f t="shared" si="13"/>
        <v>22</v>
      </c>
      <c r="Q185" s="83">
        <f t="shared" si="16"/>
        <v>9</v>
      </c>
      <c r="R185" s="84">
        <f t="shared" si="14"/>
        <v>22</v>
      </c>
      <c r="S185" s="85">
        <f t="shared" si="15"/>
        <v>198</v>
      </c>
      <c r="T185" s="88"/>
      <c r="U185" s="27"/>
    </row>
    <row r="186" spans="1:21" x14ac:dyDescent="0.3">
      <c r="A186" s="31" t="s">
        <v>442</v>
      </c>
      <c r="B186" s="15"/>
      <c r="C186" s="9"/>
      <c r="D186" s="33"/>
      <c r="E186" s="22" t="s">
        <v>856</v>
      </c>
      <c r="F186" s="39" t="s">
        <v>471</v>
      </c>
      <c r="G186" s="9"/>
      <c r="H186" s="41"/>
      <c r="I186" s="42"/>
      <c r="J186" s="42">
        <v>4</v>
      </c>
      <c r="K186" s="65">
        <v>13</v>
      </c>
      <c r="L186" s="65">
        <f t="shared" si="12"/>
        <v>52</v>
      </c>
      <c r="M186" s="46"/>
      <c r="N186" s="46"/>
      <c r="O186" s="47"/>
      <c r="P186" s="71">
        <f t="shared" si="13"/>
        <v>13</v>
      </c>
      <c r="Q186" s="83">
        <f t="shared" si="16"/>
        <v>4</v>
      </c>
      <c r="R186" s="84">
        <f t="shared" si="14"/>
        <v>13</v>
      </c>
      <c r="S186" s="85">
        <f t="shared" si="15"/>
        <v>52</v>
      </c>
      <c r="T186" s="88"/>
      <c r="U186" s="27" t="s">
        <v>378</v>
      </c>
    </row>
    <row r="187" spans="1:21" x14ac:dyDescent="0.3">
      <c r="A187" s="31" t="s">
        <v>443</v>
      </c>
      <c r="B187" s="15"/>
      <c r="C187" s="32"/>
      <c r="D187" s="33" t="s">
        <v>876</v>
      </c>
      <c r="E187" s="23" t="s">
        <v>875</v>
      </c>
      <c r="F187" s="39" t="s">
        <v>719</v>
      </c>
      <c r="G187" s="9"/>
      <c r="H187" s="52"/>
      <c r="I187" s="42"/>
      <c r="J187" s="42">
        <v>5</v>
      </c>
      <c r="K187" s="65">
        <v>14</v>
      </c>
      <c r="L187" s="65">
        <f t="shared" si="12"/>
        <v>70</v>
      </c>
      <c r="M187" s="46"/>
      <c r="N187" s="46"/>
      <c r="O187" s="47"/>
      <c r="P187" s="71">
        <f t="shared" si="13"/>
        <v>14</v>
      </c>
      <c r="Q187" s="83">
        <f t="shared" si="16"/>
        <v>5</v>
      </c>
      <c r="R187" s="84">
        <f t="shared" si="14"/>
        <v>14</v>
      </c>
      <c r="S187" s="85">
        <f t="shared" si="15"/>
        <v>70</v>
      </c>
      <c r="T187" s="88"/>
      <c r="U187" s="27" t="s">
        <v>860</v>
      </c>
    </row>
    <row r="188" spans="1:21" x14ac:dyDescent="0.3">
      <c r="A188" s="31"/>
      <c r="B188" s="15"/>
      <c r="C188" s="32"/>
      <c r="D188" s="33" t="s">
        <v>876</v>
      </c>
      <c r="E188" s="23" t="s">
        <v>874</v>
      </c>
      <c r="F188" s="39" t="s">
        <v>719</v>
      </c>
      <c r="G188" s="9"/>
      <c r="H188" s="52"/>
      <c r="I188" s="42"/>
      <c r="J188" s="42">
        <v>2</v>
      </c>
      <c r="K188" s="65">
        <v>14</v>
      </c>
      <c r="L188" s="65">
        <f t="shared" si="12"/>
        <v>28</v>
      </c>
      <c r="M188" s="46"/>
      <c r="N188" s="46"/>
      <c r="O188" s="47"/>
      <c r="P188" s="71"/>
      <c r="Q188" s="83">
        <f t="shared" si="16"/>
        <v>2</v>
      </c>
      <c r="R188" s="84"/>
      <c r="S188" s="85"/>
      <c r="T188" s="88"/>
      <c r="U188" s="27"/>
    </row>
    <row r="189" spans="1:21" x14ac:dyDescent="0.3">
      <c r="A189" s="31" t="s">
        <v>444</v>
      </c>
      <c r="B189" s="16"/>
      <c r="C189" s="32"/>
      <c r="D189" s="33"/>
      <c r="E189" s="23" t="s">
        <v>857</v>
      </c>
      <c r="F189" s="39" t="s">
        <v>471</v>
      </c>
      <c r="G189" s="9"/>
      <c r="H189" s="52"/>
      <c r="I189" s="42"/>
      <c r="J189" s="42">
        <v>1</v>
      </c>
      <c r="K189" s="65">
        <v>55</v>
      </c>
      <c r="L189" s="65">
        <f t="shared" si="12"/>
        <v>55</v>
      </c>
      <c r="M189" s="46"/>
      <c r="N189" s="46"/>
      <c r="O189" s="47"/>
      <c r="P189" s="71">
        <f t="shared" si="13"/>
        <v>55</v>
      </c>
      <c r="Q189" s="83">
        <f t="shared" si="16"/>
        <v>1</v>
      </c>
      <c r="R189" s="84">
        <f t="shared" si="14"/>
        <v>55</v>
      </c>
      <c r="S189" s="85">
        <f t="shared" si="15"/>
        <v>55</v>
      </c>
      <c r="T189" s="88"/>
      <c r="U189" s="27" t="s">
        <v>860</v>
      </c>
    </row>
    <row r="190" spans="1:21" x14ac:dyDescent="0.3">
      <c r="A190" s="31" t="s">
        <v>445</v>
      </c>
      <c r="B190" s="15"/>
      <c r="C190" s="32"/>
      <c r="D190" s="33"/>
      <c r="E190" s="23" t="s">
        <v>858</v>
      </c>
      <c r="F190" s="39" t="s">
        <v>471</v>
      </c>
      <c r="G190" s="9"/>
      <c r="H190" s="52"/>
      <c r="I190" s="42"/>
      <c r="J190" s="42">
        <v>1</v>
      </c>
      <c r="K190" s="65">
        <v>29.9</v>
      </c>
      <c r="L190" s="65">
        <f t="shared" si="12"/>
        <v>29.9</v>
      </c>
      <c r="M190" s="46"/>
      <c r="N190" s="46"/>
      <c r="O190" s="47"/>
      <c r="P190" s="71">
        <f t="shared" si="13"/>
        <v>29.9</v>
      </c>
      <c r="Q190" s="83">
        <f t="shared" si="16"/>
        <v>1</v>
      </c>
      <c r="R190" s="84">
        <f t="shared" si="14"/>
        <v>29.9</v>
      </c>
      <c r="S190" s="85">
        <f t="shared" si="15"/>
        <v>29.9</v>
      </c>
      <c r="T190" s="88"/>
      <c r="U190" s="27" t="s">
        <v>860</v>
      </c>
    </row>
    <row r="191" spans="1:21" x14ac:dyDescent="0.3">
      <c r="A191" s="31" t="s">
        <v>446</v>
      </c>
      <c r="B191" s="15"/>
      <c r="C191" s="9"/>
      <c r="D191" s="33"/>
      <c r="E191" s="23" t="s">
        <v>859</v>
      </c>
      <c r="F191" s="39" t="s">
        <v>471</v>
      </c>
      <c r="G191" s="9"/>
      <c r="H191" s="41"/>
      <c r="I191" s="42"/>
      <c r="J191" s="42">
        <v>1</v>
      </c>
      <c r="K191" s="65">
        <v>15</v>
      </c>
      <c r="L191" s="65">
        <f t="shared" si="12"/>
        <v>15</v>
      </c>
      <c r="M191" s="46"/>
      <c r="N191" s="46"/>
      <c r="O191" s="47"/>
      <c r="P191" s="71">
        <f t="shared" si="13"/>
        <v>15</v>
      </c>
      <c r="Q191" s="83">
        <f t="shared" si="16"/>
        <v>1</v>
      </c>
      <c r="R191" s="84">
        <f t="shared" si="14"/>
        <v>15</v>
      </c>
      <c r="S191" s="85">
        <f t="shared" si="15"/>
        <v>15</v>
      </c>
      <c r="T191" s="88"/>
      <c r="U191" s="27"/>
    </row>
    <row r="192" spans="1:21" x14ac:dyDescent="0.3">
      <c r="A192" s="31" t="s">
        <v>447</v>
      </c>
      <c r="B192" s="16"/>
      <c r="C192" s="32"/>
      <c r="D192" s="33"/>
      <c r="E192" s="22" t="s">
        <v>871</v>
      </c>
      <c r="F192" s="39" t="s">
        <v>471</v>
      </c>
      <c r="G192" s="9" t="s">
        <v>861</v>
      </c>
      <c r="H192" s="52"/>
      <c r="I192" s="42"/>
      <c r="J192" s="42">
        <v>3</v>
      </c>
      <c r="K192" s="65">
        <v>2100</v>
      </c>
      <c r="L192" s="65">
        <f t="shared" ref="L192:L255" si="17">K192*J192</f>
        <v>6300</v>
      </c>
      <c r="M192" s="46"/>
      <c r="N192" s="46"/>
      <c r="O192" s="47"/>
      <c r="P192" s="71">
        <f t="shared" ref="P192:P255" si="18">K192</f>
        <v>2100</v>
      </c>
      <c r="Q192" s="83">
        <f t="shared" si="16"/>
        <v>3</v>
      </c>
      <c r="R192" s="84">
        <f t="shared" ref="R192:R255" si="19">K192</f>
        <v>2100</v>
      </c>
      <c r="S192" s="85">
        <f t="shared" ref="S192:S256" si="20">Q192*R192</f>
        <v>6300</v>
      </c>
      <c r="T192" s="88"/>
      <c r="U192" s="27"/>
    </row>
    <row r="193" spans="1:21" x14ac:dyDescent="0.3">
      <c r="A193" s="31" t="s">
        <v>448</v>
      </c>
      <c r="B193" s="15"/>
      <c r="C193" s="9"/>
      <c r="D193" s="33"/>
      <c r="E193" s="23" t="s">
        <v>862</v>
      </c>
      <c r="F193" s="39" t="s">
        <v>471</v>
      </c>
      <c r="G193" s="9" t="s">
        <v>863</v>
      </c>
      <c r="H193" s="41"/>
      <c r="I193" s="42"/>
      <c r="J193" s="42">
        <v>3</v>
      </c>
      <c r="K193" s="65">
        <v>360</v>
      </c>
      <c r="L193" s="65">
        <f t="shared" si="17"/>
        <v>1080</v>
      </c>
      <c r="M193" s="46"/>
      <c r="N193" s="46"/>
      <c r="O193" s="47"/>
      <c r="P193" s="71">
        <f t="shared" si="18"/>
        <v>360</v>
      </c>
      <c r="Q193" s="83">
        <f t="shared" si="16"/>
        <v>3</v>
      </c>
      <c r="R193" s="84">
        <f t="shared" si="19"/>
        <v>360</v>
      </c>
      <c r="S193" s="85">
        <f t="shared" si="20"/>
        <v>1080</v>
      </c>
      <c r="T193" s="88"/>
      <c r="U193" s="27"/>
    </row>
    <row r="194" spans="1:21" x14ac:dyDescent="0.3">
      <c r="A194" s="31" t="s">
        <v>449</v>
      </c>
      <c r="B194" s="15"/>
      <c r="C194" s="9"/>
      <c r="D194" s="33"/>
      <c r="E194" s="23" t="s">
        <v>881</v>
      </c>
      <c r="F194" s="39" t="s">
        <v>471</v>
      </c>
      <c r="G194" s="9" t="s">
        <v>294</v>
      </c>
      <c r="H194" s="41"/>
      <c r="I194" s="42"/>
      <c r="J194" s="42">
        <v>1</v>
      </c>
      <c r="K194" s="65">
        <v>11.5</v>
      </c>
      <c r="L194" s="65">
        <f t="shared" si="17"/>
        <v>11.5</v>
      </c>
      <c r="M194" s="46"/>
      <c r="N194" s="46"/>
      <c r="O194" s="47"/>
      <c r="P194" s="71">
        <f t="shared" si="18"/>
        <v>11.5</v>
      </c>
      <c r="Q194" s="83">
        <f t="shared" si="16"/>
        <v>1</v>
      </c>
      <c r="R194" s="84">
        <f t="shared" si="19"/>
        <v>11.5</v>
      </c>
      <c r="S194" s="85">
        <f t="shared" si="20"/>
        <v>11.5</v>
      </c>
      <c r="T194" s="88"/>
      <c r="U194" s="27"/>
    </row>
    <row r="195" spans="1:21" x14ac:dyDescent="0.3">
      <c r="A195" s="31" t="s">
        <v>450</v>
      </c>
      <c r="B195" s="15"/>
      <c r="C195" s="9"/>
      <c r="D195" s="33"/>
      <c r="E195" s="23" t="s">
        <v>882</v>
      </c>
      <c r="F195" s="39" t="s">
        <v>471</v>
      </c>
      <c r="G195" s="9" t="s">
        <v>883</v>
      </c>
      <c r="H195" s="41"/>
      <c r="I195" s="42"/>
      <c r="J195" s="42">
        <v>1</v>
      </c>
      <c r="K195" s="65">
        <v>65</v>
      </c>
      <c r="L195" s="65">
        <f t="shared" si="17"/>
        <v>65</v>
      </c>
      <c r="M195" s="46"/>
      <c r="N195" s="46"/>
      <c r="O195" s="47"/>
      <c r="P195" s="71">
        <f t="shared" si="18"/>
        <v>65</v>
      </c>
      <c r="Q195" s="83">
        <f t="shared" si="16"/>
        <v>1</v>
      </c>
      <c r="R195" s="84">
        <f t="shared" si="19"/>
        <v>65</v>
      </c>
      <c r="S195" s="85">
        <f t="shared" si="20"/>
        <v>65</v>
      </c>
      <c r="T195" s="88"/>
      <c r="U195" s="27" t="s">
        <v>708</v>
      </c>
    </row>
    <row r="196" spans="1:21" x14ac:dyDescent="0.3">
      <c r="A196" s="31" t="s">
        <v>451</v>
      </c>
      <c r="B196" s="15"/>
      <c r="C196" s="9"/>
      <c r="D196" s="33"/>
      <c r="E196" s="23" t="s">
        <v>884</v>
      </c>
      <c r="F196" s="39" t="s">
        <v>471</v>
      </c>
      <c r="G196" s="9" t="s">
        <v>885</v>
      </c>
      <c r="H196" s="41"/>
      <c r="I196" s="42"/>
      <c r="J196" s="42">
        <v>1</v>
      </c>
      <c r="K196" s="65">
        <v>80</v>
      </c>
      <c r="L196" s="65">
        <f t="shared" si="17"/>
        <v>80</v>
      </c>
      <c r="M196" s="46"/>
      <c r="N196" s="46"/>
      <c r="O196" s="47"/>
      <c r="P196" s="71">
        <f t="shared" si="18"/>
        <v>80</v>
      </c>
      <c r="Q196" s="83">
        <f t="shared" si="16"/>
        <v>1</v>
      </c>
      <c r="R196" s="84">
        <f t="shared" si="19"/>
        <v>80</v>
      </c>
      <c r="S196" s="85">
        <f t="shared" si="20"/>
        <v>80</v>
      </c>
      <c r="T196" s="88"/>
      <c r="U196" s="27"/>
    </row>
    <row r="197" spans="1:21" x14ac:dyDescent="0.3">
      <c r="A197" s="31" t="s">
        <v>452</v>
      </c>
      <c r="B197" s="15"/>
      <c r="C197" s="32"/>
      <c r="D197" s="33"/>
      <c r="E197" s="23" t="s">
        <v>890</v>
      </c>
      <c r="F197" s="39" t="s">
        <v>471</v>
      </c>
      <c r="G197" s="9" t="s">
        <v>886</v>
      </c>
      <c r="H197" s="52"/>
      <c r="I197" s="42"/>
      <c r="J197" s="42">
        <v>1</v>
      </c>
      <c r="K197" s="65">
        <v>400</v>
      </c>
      <c r="L197" s="65">
        <f t="shared" si="17"/>
        <v>400</v>
      </c>
      <c r="M197" s="46"/>
      <c r="N197" s="46"/>
      <c r="O197" s="47"/>
      <c r="P197" s="71">
        <f t="shared" si="18"/>
        <v>400</v>
      </c>
      <c r="Q197" s="83">
        <f t="shared" si="16"/>
        <v>1</v>
      </c>
      <c r="R197" s="84">
        <f t="shared" si="19"/>
        <v>400</v>
      </c>
      <c r="S197" s="85">
        <f t="shared" si="20"/>
        <v>400</v>
      </c>
      <c r="T197" s="88"/>
      <c r="U197" s="27"/>
    </row>
    <row r="198" spans="1:21" x14ac:dyDescent="0.3">
      <c r="A198" s="31" t="s">
        <v>453</v>
      </c>
      <c r="B198" s="15"/>
      <c r="C198" s="9"/>
      <c r="D198" s="33"/>
      <c r="E198" s="22" t="s">
        <v>887</v>
      </c>
      <c r="F198" s="39" t="s">
        <v>471</v>
      </c>
      <c r="G198" s="9" t="s">
        <v>294</v>
      </c>
      <c r="H198" s="41"/>
      <c r="I198" s="42"/>
      <c r="J198" s="42">
        <v>2</v>
      </c>
      <c r="K198" s="65">
        <v>240</v>
      </c>
      <c r="L198" s="65">
        <f t="shared" si="17"/>
        <v>480</v>
      </c>
      <c r="M198" s="46"/>
      <c r="N198" s="46"/>
      <c r="O198" s="47"/>
      <c r="P198" s="71">
        <f t="shared" si="18"/>
        <v>240</v>
      </c>
      <c r="Q198" s="83">
        <f t="shared" si="16"/>
        <v>2</v>
      </c>
      <c r="R198" s="84">
        <f t="shared" si="19"/>
        <v>240</v>
      </c>
      <c r="S198" s="85">
        <f t="shared" si="20"/>
        <v>480</v>
      </c>
      <c r="T198" s="88"/>
      <c r="U198" s="27"/>
    </row>
    <row r="199" spans="1:21" x14ac:dyDescent="0.3">
      <c r="A199" s="31" t="s">
        <v>454</v>
      </c>
      <c r="B199" s="15"/>
      <c r="C199" s="9"/>
      <c r="D199" s="33"/>
      <c r="E199" s="23" t="s">
        <v>888</v>
      </c>
      <c r="F199" s="39" t="s">
        <v>471</v>
      </c>
      <c r="G199" s="9" t="s">
        <v>294</v>
      </c>
      <c r="H199" s="41"/>
      <c r="I199" s="42"/>
      <c r="J199" s="42">
        <v>1</v>
      </c>
      <c r="K199" s="65">
        <v>110</v>
      </c>
      <c r="L199" s="65">
        <f t="shared" si="17"/>
        <v>110</v>
      </c>
      <c r="M199" s="46"/>
      <c r="N199" s="46"/>
      <c r="O199" s="47"/>
      <c r="P199" s="71">
        <f t="shared" si="18"/>
        <v>110</v>
      </c>
      <c r="Q199" s="83">
        <f t="shared" si="16"/>
        <v>1</v>
      </c>
      <c r="R199" s="84">
        <f t="shared" si="19"/>
        <v>110</v>
      </c>
      <c r="S199" s="85">
        <f t="shared" si="20"/>
        <v>110</v>
      </c>
      <c r="T199" s="88"/>
      <c r="U199" s="27"/>
    </row>
    <row r="200" spans="1:21" x14ac:dyDescent="0.3">
      <c r="A200" s="31" t="s">
        <v>455</v>
      </c>
      <c r="B200" s="15"/>
      <c r="C200" s="9"/>
      <c r="D200" s="33"/>
      <c r="E200" s="23" t="s">
        <v>945</v>
      </c>
      <c r="F200" s="39" t="s">
        <v>471</v>
      </c>
      <c r="G200" s="9" t="s">
        <v>889</v>
      </c>
      <c r="H200" s="41"/>
      <c r="I200" s="42"/>
      <c r="J200" s="42">
        <v>3</v>
      </c>
      <c r="K200" s="65">
        <v>220</v>
      </c>
      <c r="L200" s="65">
        <f t="shared" si="17"/>
        <v>660</v>
      </c>
      <c r="M200" s="46"/>
      <c r="N200" s="46"/>
      <c r="O200" s="47"/>
      <c r="P200" s="71">
        <f t="shared" si="18"/>
        <v>220</v>
      </c>
      <c r="Q200" s="83">
        <f t="shared" si="16"/>
        <v>3</v>
      </c>
      <c r="R200" s="84">
        <f t="shared" si="19"/>
        <v>220</v>
      </c>
      <c r="S200" s="85">
        <f t="shared" si="20"/>
        <v>660</v>
      </c>
      <c r="T200" s="88"/>
      <c r="U200" s="27"/>
    </row>
    <row r="201" spans="1:21" ht="28.8" x14ac:dyDescent="0.3">
      <c r="A201" s="31" t="s">
        <v>456</v>
      </c>
      <c r="B201" s="15"/>
      <c r="C201" s="9"/>
      <c r="D201" s="33"/>
      <c r="E201" s="22" t="s">
        <v>891</v>
      </c>
      <c r="F201" s="39" t="s">
        <v>471</v>
      </c>
      <c r="G201" s="9" t="s">
        <v>294</v>
      </c>
      <c r="H201" s="41"/>
      <c r="I201" s="42"/>
      <c r="J201" s="42">
        <v>1</v>
      </c>
      <c r="K201" s="65">
        <v>220</v>
      </c>
      <c r="L201" s="65">
        <f t="shared" si="17"/>
        <v>220</v>
      </c>
      <c r="M201" s="46"/>
      <c r="N201" s="46"/>
      <c r="O201" s="47"/>
      <c r="P201" s="71">
        <f t="shared" si="18"/>
        <v>220</v>
      </c>
      <c r="Q201" s="83">
        <f t="shared" si="16"/>
        <v>1</v>
      </c>
      <c r="R201" s="84">
        <f t="shared" si="19"/>
        <v>220</v>
      </c>
      <c r="S201" s="85">
        <f t="shared" si="20"/>
        <v>220</v>
      </c>
      <c r="T201" s="88"/>
      <c r="U201" s="27"/>
    </row>
    <row r="202" spans="1:21" x14ac:dyDescent="0.3">
      <c r="A202" s="31" t="s">
        <v>982</v>
      </c>
      <c r="B202" s="15"/>
      <c r="C202" s="9"/>
      <c r="D202" s="33"/>
      <c r="E202" s="22" t="s">
        <v>897</v>
      </c>
      <c r="F202" s="39" t="s">
        <v>694</v>
      </c>
      <c r="G202" s="9" t="s">
        <v>305</v>
      </c>
      <c r="H202" s="41"/>
      <c r="I202" s="42"/>
      <c r="J202" s="42">
        <v>11</v>
      </c>
      <c r="K202" s="65">
        <v>6</v>
      </c>
      <c r="L202" s="65">
        <f t="shared" si="17"/>
        <v>66</v>
      </c>
      <c r="M202" s="46"/>
      <c r="N202" s="46"/>
      <c r="O202" s="47"/>
      <c r="P202" s="71">
        <f t="shared" si="18"/>
        <v>6</v>
      </c>
      <c r="Q202" s="83">
        <f t="shared" si="16"/>
        <v>11</v>
      </c>
      <c r="R202" s="84">
        <f t="shared" si="19"/>
        <v>6</v>
      </c>
      <c r="S202" s="85">
        <f t="shared" si="20"/>
        <v>66</v>
      </c>
      <c r="T202" s="88"/>
      <c r="U202" s="27"/>
    </row>
    <row r="203" spans="1:21" x14ac:dyDescent="0.3">
      <c r="A203" s="31" t="s">
        <v>983</v>
      </c>
      <c r="B203" s="15"/>
      <c r="C203" s="9"/>
      <c r="D203" s="33"/>
      <c r="E203" s="22" t="s">
        <v>899</v>
      </c>
      <c r="F203" s="39" t="s">
        <v>694</v>
      </c>
      <c r="G203" s="9" t="s">
        <v>898</v>
      </c>
      <c r="H203" s="41"/>
      <c r="I203" s="42"/>
      <c r="J203" s="42">
        <v>7</v>
      </c>
      <c r="K203" s="65">
        <v>8.5</v>
      </c>
      <c r="L203" s="65">
        <f t="shared" si="17"/>
        <v>59.5</v>
      </c>
      <c r="M203" s="46"/>
      <c r="N203" s="46"/>
      <c r="O203" s="47"/>
      <c r="P203" s="71">
        <f t="shared" si="18"/>
        <v>8.5</v>
      </c>
      <c r="Q203" s="83">
        <f t="shared" si="16"/>
        <v>7</v>
      </c>
      <c r="R203" s="84">
        <f t="shared" si="19"/>
        <v>8.5</v>
      </c>
      <c r="S203" s="85">
        <f t="shared" si="20"/>
        <v>59.5</v>
      </c>
      <c r="T203" s="88"/>
      <c r="U203" s="27"/>
    </row>
    <row r="204" spans="1:21" x14ac:dyDescent="0.3">
      <c r="A204" s="31" t="s">
        <v>984</v>
      </c>
      <c r="B204" s="15"/>
      <c r="C204" s="9"/>
      <c r="D204" s="33"/>
      <c r="E204" s="22" t="s">
        <v>900</v>
      </c>
      <c r="F204" s="39" t="s">
        <v>471</v>
      </c>
      <c r="G204" s="9" t="s">
        <v>146</v>
      </c>
      <c r="H204" s="41"/>
      <c r="I204" s="42"/>
      <c r="J204" s="42">
        <v>1</v>
      </c>
      <c r="K204" s="65">
        <v>8.5</v>
      </c>
      <c r="L204" s="65">
        <f t="shared" si="17"/>
        <v>8.5</v>
      </c>
      <c r="M204" s="46"/>
      <c r="N204" s="46"/>
      <c r="O204" s="47"/>
      <c r="P204" s="71">
        <f t="shared" si="18"/>
        <v>8.5</v>
      </c>
      <c r="Q204" s="83">
        <f t="shared" si="16"/>
        <v>1</v>
      </c>
      <c r="R204" s="84">
        <f t="shared" si="19"/>
        <v>8.5</v>
      </c>
      <c r="S204" s="85">
        <f t="shared" si="20"/>
        <v>8.5</v>
      </c>
      <c r="T204" s="88"/>
      <c r="U204" s="27"/>
    </row>
    <row r="205" spans="1:21" x14ac:dyDescent="0.3">
      <c r="A205" s="31" t="s">
        <v>985</v>
      </c>
      <c r="B205" s="15"/>
      <c r="C205" s="9"/>
      <c r="D205" s="33"/>
      <c r="E205" s="23" t="s">
        <v>893</v>
      </c>
      <c r="F205" s="39" t="s">
        <v>471</v>
      </c>
      <c r="G205" s="9" t="s">
        <v>892</v>
      </c>
      <c r="H205" s="41"/>
      <c r="I205" s="42"/>
      <c r="J205" s="42">
        <v>1</v>
      </c>
      <c r="K205" s="65">
        <v>50</v>
      </c>
      <c r="L205" s="65">
        <f t="shared" si="17"/>
        <v>50</v>
      </c>
      <c r="M205" s="46"/>
      <c r="N205" s="46"/>
      <c r="O205" s="47"/>
      <c r="P205" s="71">
        <f t="shared" si="18"/>
        <v>50</v>
      </c>
      <c r="Q205" s="83">
        <f t="shared" si="16"/>
        <v>1</v>
      </c>
      <c r="R205" s="84">
        <f t="shared" si="19"/>
        <v>50</v>
      </c>
      <c r="S205" s="85">
        <f t="shared" si="20"/>
        <v>50</v>
      </c>
      <c r="T205" s="88"/>
      <c r="U205" s="27"/>
    </row>
    <row r="206" spans="1:21" x14ac:dyDescent="0.3">
      <c r="A206" s="31" t="s">
        <v>986</v>
      </c>
      <c r="B206" s="15"/>
      <c r="C206" s="9"/>
      <c r="D206" s="33"/>
      <c r="E206" s="23" t="s">
        <v>901</v>
      </c>
      <c r="F206" s="39" t="s">
        <v>471</v>
      </c>
      <c r="G206" s="9" t="s">
        <v>294</v>
      </c>
      <c r="H206" s="41"/>
      <c r="I206" s="42"/>
      <c r="J206" s="42">
        <v>4</v>
      </c>
      <c r="K206" s="65">
        <v>12.5</v>
      </c>
      <c r="L206" s="65">
        <f t="shared" si="17"/>
        <v>50</v>
      </c>
      <c r="M206" s="46"/>
      <c r="N206" s="46"/>
      <c r="O206" s="47"/>
      <c r="P206" s="71">
        <f t="shared" si="18"/>
        <v>12.5</v>
      </c>
      <c r="Q206" s="83">
        <f t="shared" si="16"/>
        <v>4</v>
      </c>
      <c r="R206" s="84">
        <f t="shared" si="19"/>
        <v>12.5</v>
      </c>
      <c r="S206" s="85">
        <f t="shared" si="20"/>
        <v>50</v>
      </c>
      <c r="T206" s="88"/>
      <c r="U206" s="27"/>
    </row>
    <row r="207" spans="1:21" x14ac:dyDescent="0.3">
      <c r="A207" s="31" t="s">
        <v>987</v>
      </c>
      <c r="B207" s="15"/>
      <c r="C207" s="9"/>
      <c r="D207" s="33"/>
      <c r="E207" s="23" t="s">
        <v>902</v>
      </c>
      <c r="F207" s="39" t="s">
        <v>471</v>
      </c>
      <c r="G207" s="9" t="s">
        <v>294</v>
      </c>
      <c r="H207" s="41"/>
      <c r="I207" s="42"/>
      <c r="J207" s="42">
        <v>2</v>
      </c>
      <c r="K207" s="65">
        <v>14</v>
      </c>
      <c r="L207" s="65">
        <f t="shared" si="17"/>
        <v>28</v>
      </c>
      <c r="M207" s="46"/>
      <c r="N207" s="46"/>
      <c r="O207" s="47"/>
      <c r="P207" s="71">
        <f t="shared" si="18"/>
        <v>14</v>
      </c>
      <c r="Q207" s="83">
        <f t="shared" si="16"/>
        <v>2</v>
      </c>
      <c r="R207" s="84">
        <f t="shared" si="19"/>
        <v>14</v>
      </c>
      <c r="S207" s="85">
        <f t="shared" si="20"/>
        <v>28</v>
      </c>
      <c r="T207" s="88"/>
      <c r="U207" s="27"/>
    </row>
    <row r="208" spans="1:21" ht="28.8" x14ac:dyDescent="0.3">
      <c r="A208" s="31" t="s">
        <v>988</v>
      </c>
      <c r="B208" s="15"/>
      <c r="C208" s="9"/>
      <c r="D208" s="33"/>
      <c r="E208" s="22" t="s">
        <v>904</v>
      </c>
      <c r="F208" s="39" t="s">
        <v>471</v>
      </c>
      <c r="G208" s="9" t="s">
        <v>903</v>
      </c>
      <c r="H208" s="41"/>
      <c r="I208" s="42"/>
      <c r="J208" s="42">
        <v>2</v>
      </c>
      <c r="K208" s="65">
        <v>22</v>
      </c>
      <c r="L208" s="65">
        <f t="shared" si="17"/>
        <v>44</v>
      </c>
      <c r="M208" s="46"/>
      <c r="N208" s="46"/>
      <c r="O208" s="47"/>
      <c r="P208" s="71">
        <f t="shared" si="18"/>
        <v>22</v>
      </c>
      <c r="Q208" s="83">
        <f t="shared" si="16"/>
        <v>2</v>
      </c>
      <c r="R208" s="84">
        <f t="shared" si="19"/>
        <v>22</v>
      </c>
      <c r="S208" s="85">
        <f t="shared" si="20"/>
        <v>44</v>
      </c>
      <c r="T208" s="88"/>
      <c r="U208" s="27"/>
    </row>
    <row r="209" spans="1:21" x14ac:dyDescent="0.3">
      <c r="A209" s="31" t="s">
        <v>989</v>
      </c>
      <c r="B209" s="15"/>
      <c r="C209" s="9"/>
      <c r="D209" s="33"/>
      <c r="E209" s="23" t="s">
        <v>946</v>
      </c>
      <c r="F209" s="39" t="s">
        <v>471</v>
      </c>
      <c r="G209" s="9" t="s">
        <v>294</v>
      </c>
      <c r="H209" s="41"/>
      <c r="I209" s="42"/>
      <c r="J209" s="42">
        <v>42</v>
      </c>
      <c r="K209" s="65">
        <v>2.5</v>
      </c>
      <c r="L209" s="65">
        <f t="shared" si="17"/>
        <v>105</v>
      </c>
      <c r="M209" s="46"/>
      <c r="N209" s="46"/>
      <c r="O209" s="47"/>
      <c r="P209" s="71">
        <f t="shared" si="18"/>
        <v>2.5</v>
      </c>
      <c r="Q209" s="83">
        <f t="shared" si="16"/>
        <v>42</v>
      </c>
      <c r="R209" s="84">
        <f t="shared" si="19"/>
        <v>2.5</v>
      </c>
      <c r="S209" s="85">
        <f t="shared" si="20"/>
        <v>105</v>
      </c>
      <c r="T209" s="88"/>
      <c r="U209" s="27"/>
    </row>
    <row r="210" spans="1:21" x14ac:dyDescent="0.3">
      <c r="A210" s="31" t="s">
        <v>990</v>
      </c>
      <c r="B210" s="15"/>
      <c r="C210" s="9"/>
      <c r="D210" s="33"/>
      <c r="E210" s="23" t="s">
        <v>905</v>
      </c>
      <c r="F210" s="39" t="s">
        <v>471</v>
      </c>
      <c r="G210" s="9" t="s">
        <v>305</v>
      </c>
      <c r="H210" s="41"/>
      <c r="I210" s="42"/>
      <c r="J210" s="42">
        <v>21</v>
      </c>
      <c r="K210" s="65">
        <v>18</v>
      </c>
      <c r="L210" s="65">
        <f t="shared" si="17"/>
        <v>378</v>
      </c>
      <c r="M210" s="46"/>
      <c r="N210" s="46"/>
      <c r="O210" s="47"/>
      <c r="P210" s="71">
        <f t="shared" si="18"/>
        <v>18</v>
      </c>
      <c r="Q210" s="83">
        <f t="shared" si="16"/>
        <v>21</v>
      </c>
      <c r="R210" s="84">
        <f t="shared" si="19"/>
        <v>18</v>
      </c>
      <c r="S210" s="85">
        <f t="shared" si="20"/>
        <v>378</v>
      </c>
      <c r="T210" s="88"/>
      <c r="U210" s="27"/>
    </row>
    <row r="211" spans="1:21" x14ac:dyDescent="0.3">
      <c r="A211" s="31" t="s">
        <v>991</v>
      </c>
      <c r="B211" s="15"/>
      <c r="C211" s="9"/>
      <c r="D211" s="33"/>
      <c r="E211" s="23" t="s">
        <v>906</v>
      </c>
      <c r="F211" s="39" t="s">
        <v>471</v>
      </c>
      <c r="G211" s="9" t="s">
        <v>135</v>
      </c>
      <c r="H211" s="41"/>
      <c r="I211" s="42"/>
      <c r="J211" s="42">
        <v>2</v>
      </c>
      <c r="K211" s="65">
        <v>130</v>
      </c>
      <c r="L211" s="65">
        <f t="shared" si="17"/>
        <v>260</v>
      </c>
      <c r="M211" s="46"/>
      <c r="N211" s="46"/>
      <c r="O211" s="47"/>
      <c r="P211" s="71">
        <f t="shared" si="18"/>
        <v>130</v>
      </c>
      <c r="Q211" s="83">
        <f t="shared" si="16"/>
        <v>2</v>
      </c>
      <c r="R211" s="84">
        <f t="shared" si="19"/>
        <v>130</v>
      </c>
      <c r="S211" s="85">
        <f t="shared" si="20"/>
        <v>260</v>
      </c>
      <c r="T211" s="88"/>
      <c r="U211" s="27"/>
    </row>
    <row r="212" spans="1:21" x14ac:dyDescent="0.3">
      <c r="A212" s="31" t="s">
        <v>992</v>
      </c>
      <c r="B212" s="15"/>
      <c r="C212" s="9"/>
      <c r="D212" s="33"/>
      <c r="E212" s="23" t="s">
        <v>909</v>
      </c>
      <c r="F212" s="39" t="s">
        <v>471</v>
      </c>
      <c r="G212" s="9" t="s">
        <v>907</v>
      </c>
      <c r="H212" s="41"/>
      <c r="I212" s="42"/>
      <c r="J212" s="42">
        <v>15</v>
      </c>
      <c r="K212" s="65">
        <v>12</v>
      </c>
      <c r="L212" s="65">
        <f t="shared" si="17"/>
        <v>180</v>
      </c>
      <c r="M212" s="46"/>
      <c r="N212" s="46"/>
      <c r="O212" s="47"/>
      <c r="P212" s="71">
        <f t="shared" si="18"/>
        <v>12</v>
      </c>
      <c r="Q212" s="83">
        <f t="shared" si="16"/>
        <v>15</v>
      </c>
      <c r="R212" s="84">
        <f t="shared" si="19"/>
        <v>12</v>
      </c>
      <c r="S212" s="85">
        <f t="shared" si="20"/>
        <v>180</v>
      </c>
      <c r="T212" s="88"/>
      <c r="U212" s="27"/>
    </row>
    <row r="213" spans="1:21" x14ac:dyDescent="0.3">
      <c r="A213" s="31" t="s">
        <v>993</v>
      </c>
      <c r="B213" s="15"/>
      <c r="C213" s="9"/>
      <c r="D213" s="33"/>
      <c r="E213" s="23" t="s">
        <v>910</v>
      </c>
      <c r="F213" s="39" t="s">
        <v>471</v>
      </c>
      <c r="G213" s="9" t="s">
        <v>908</v>
      </c>
      <c r="H213" s="41"/>
      <c r="I213" s="42"/>
      <c r="J213" s="42">
        <v>10</v>
      </c>
      <c r="K213" s="65">
        <v>10</v>
      </c>
      <c r="L213" s="65">
        <f t="shared" si="17"/>
        <v>100</v>
      </c>
      <c r="M213" s="46"/>
      <c r="N213" s="46"/>
      <c r="O213" s="47"/>
      <c r="P213" s="71">
        <f t="shared" si="18"/>
        <v>10</v>
      </c>
      <c r="Q213" s="83">
        <f t="shared" si="16"/>
        <v>10</v>
      </c>
      <c r="R213" s="84">
        <f t="shared" si="19"/>
        <v>10</v>
      </c>
      <c r="S213" s="85">
        <f t="shared" si="20"/>
        <v>100</v>
      </c>
      <c r="T213" s="88"/>
      <c r="U213" s="27"/>
    </row>
    <row r="214" spans="1:21" x14ac:dyDescent="0.3">
      <c r="A214" s="31" t="s">
        <v>994</v>
      </c>
      <c r="B214" s="15"/>
      <c r="C214" s="9"/>
      <c r="D214" s="33"/>
      <c r="E214" s="23" t="s">
        <v>911</v>
      </c>
      <c r="F214" s="39" t="s">
        <v>471</v>
      </c>
      <c r="G214" s="9" t="s">
        <v>117</v>
      </c>
      <c r="H214" s="41"/>
      <c r="I214" s="42"/>
      <c r="J214" s="42">
        <v>3</v>
      </c>
      <c r="K214" s="65">
        <v>13.5</v>
      </c>
      <c r="L214" s="65">
        <f t="shared" si="17"/>
        <v>40.5</v>
      </c>
      <c r="M214" s="46"/>
      <c r="N214" s="46"/>
      <c r="O214" s="47"/>
      <c r="P214" s="71">
        <f t="shared" si="18"/>
        <v>13.5</v>
      </c>
      <c r="Q214" s="83">
        <f t="shared" si="16"/>
        <v>3</v>
      </c>
      <c r="R214" s="84">
        <f t="shared" si="19"/>
        <v>13.5</v>
      </c>
      <c r="S214" s="85">
        <f t="shared" si="20"/>
        <v>40.5</v>
      </c>
      <c r="T214" s="88"/>
      <c r="U214" s="27"/>
    </row>
    <row r="215" spans="1:21" x14ac:dyDescent="0.3">
      <c r="A215" s="31" t="s">
        <v>995</v>
      </c>
      <c r="B215" s="15"/>
      <c r="C215" s="9"/>
      <c r="D215" s="33"/>
      <c r="E215" s="23" t="s">
        <v>947</v>
      </c>
      <c r="F215" s="39" t="s">
        <v>471</v>
      </c>
      <c r="G215" s="9" t="s">
        <v>135</v>
      </c>
      <c r="H215" s="41"/>
      <c r="I215" s="42"/>
      <c r="J215" s="42">
        <v>20</v>
      </c>
      <c r="K215" s="65">
        <v>13</v>
      </c>
      <c r="L215" s="65">
        <f t="shared" si="17"/>
        <v>260</v>
      </c>
      <c r="M215" s="46"/>
      <c r="N215" s="46"/>
      <c r="O215" s="47"/>
      <c r="P215" s="71">
        <f t="shared" si="18"/>
        <v>13</v>
      </c>
      <c r="Q215" s="83">
        <f t="shared" si="16"/>
        <v>20</v>
      </c>
      <c r="R215" s="84">
        <f t="shared" si="19"/>
        <v>13</v>
      </c>
      <c r="S215" s="85">
        <f t="shared" si="20"/>
        <v>260</v>
      </c>
      <c r="T215" s="88"/>
      <c r="U215" s="27"/>
    </row>
    <row r="216" spans="1:21" x14ac:dyDescent="0.3">
      <c r="A216" s="31" t="s">
        <v>996</v>
      </c>
      <c r="B216" s="15"/>
      <c r="C216" s="9"/>
      <c r="D216" s="33"/>
      <c r="E216" s="23" t="s">
        <v>912</v>
      </c>
      <c r="F216" s="39" t="s">
        <v>471</v>
      </c>
      <c r="G216" s="9" t="s">
        <v>362</v>
      </c>
      <c r="H216" s="41"/>
      <c r="I216" s="42"/>
      <c r="J216" s="42">
        <v>5</v>
      </c>
      <c r="K216" s="65">
        <v>11</v>
      </c>
      <c r="L216" s="65">
        <f t="shared" si="17"/>
        <v>55</v>
      </c>
      <c r="M216" s="46"/>
      <c r="N216" s="46"/>
      <c r="O216" s="47"/>
      <c r="P216" s="71">
        <f t="shared" si="18"/>
        <v>11</v>
      </c>
      <c r="Q216" s="83">
        <f t="shared" si="16"/>
        <v>5</v>
      </c>
      <c r="R216" s="84">
        <f t="shared" si="19"/>
        <v>11</v>
      </c>
      <c r="S216" s="85">
        <f t="shared" si="20"/>
        <v>55</v>
      </c>
      <c r="T216" s="88"/>
      <c r="U216" s="27"/>
    </row>
    <row r="217" spans="1:21" x14ac:dyDescent="0.3">
      <c r="A217" s="31" t="s">
        <v>997</v>
      </c>
      <c r="B217" s="15"/>
      <c r="C217" s="9"/>
      <c r="D217" s="33"/>
      <c r="E217" s="23" t="s">
        <v>914</v>
      </c>
      <c r="F217" s="39" t="s">
        <v>471</v>
      </c>
      <c r="G217" s="9" t="s">
        <v>294</v>
      </c>
      <c r="H217" s="41"/>
      <c r="I217" s="42"/>
      <c r="J217" s="42">
        <v>9</v>
      </c>
      <c r="K217" s="65">
        <v>12</v>
      </c>
      <c r="L217" s="65">
        <f t="shared" si="17"/>
        <v>108</v>
      </c>
      <c r="M217" s="46"/>
      <c r="N217" s="46"/>
      <c r="O217" s="47"/>
      <c r="P217" s="71">
        <f t="shared" si="18"/>
        <v>12</v>
      </c>
      <c r="Q217" s="83">
        <f t="shared" si="16"/>
        <v>9</v>
      </c>
      <c r="R217" s="84">
        <f t="shared" si="19"/>
        <v>12</v>
      </c>
      <c r="S217" s="85">
        <f t="shared" si="20"/>
        <v>108</v>
      </c>
      <c r="T217" s="88"/>
      <c r="U217" s="27"/>
    </row>
    <row r="218" spans="1:21" x14ac:dyDescent="0.3">
      <c r="A218" s="31" t="s">
        <v>998</v>
      </c>
      <c r="B218" s="15"/>
      <c r="C218" s="9"/>
      <c r="D218" s="33"/>
      <c r="E218" s="23" t="s">
        <v>915</v>
      </c>
      <c r="F218" s="39" t="s">
        <v>471</v>
      </c>
      <c r="G218" s="9" t="s">
        <v>294</v>
      </c>
      <c r="H218" s="41"/>
      <c r="I218" s="42"/>
      <c r="J218" s="42">
        <v>6</v>
      </c>
      <c r="K218" s="65">
        <v>25</v>
      </c>
      <c r="L218" s="65">
        <f t="shared" si="17"/>
        <v>150</v>
      </c>
      <c r="M218" s="46"/>
      <c r="N218" s="46"/>
      <c r="O218" s="47"/>
      <c r="P218" s="71">
        <f t="shared" si="18"/>
        <v>25</v>
      </c>
      <c r="Q218" s="83">
        <f t="shared" si="16"/>
        <v>6</v>
      </c>
      <c r="R218" s="84">
        <f t="shared" si="19"/>
        <v>25</v>
      </c>
      <c r="S218" s="85">
        <f t="shared" si="20"/>
        <v>150</v>
      </c>
      <c r="T218" s="88"/>
      <c r="U218" s="27"/>
    </row>
    <row r="219" spans="1:21" x14ac:dyDescent="0.3">
      <c r="A219" s="31" t="s">
        <v>999</v>
      </c>
      <c r="B219" s="15"/>
      <c r="C219" s="9"/>
      <c r="D219" s="33"/>
      <c r="E219" s="23" t="s">
        <v>917</v>
      </c>
      <c r="F219" s="39" t="s">
        <v>471</v>
      </c>
      <c r="G219" s="9" t="s">
        <v>916</v>
      </c>
      <c r="H219" s="41"/>
      <c r="I219" s="42"/>
      <c r="J219" s="42">
        <v>1</v>
      </c>
      <c r="K219" s="65">
        <v>70</v>
      </c>
      <c r="L219" s="65">
        <f t="shared" si="17"/>
        <v>70</v>
      </c>
      <c r="M219" s="46"/>
      <c r="N219" s="46"/>
      <c r="O219" s="47"/>
      <c r="P219" s="71">
        <f t="shared" si="18"/>
        <v>70</v>
      </c>
      <c r="Q219" s="83">
        <f t="shared" si="16"/>
        <v>1</v>
      </c>
      <c r="R219" s="84">
        <f t="shared" si="19"/>
        <v>70</v>
      </c>
      <c r="S219" s="85">
        <f t="shared" si="20"/>
        <v>70</v>
      </c>
      <c r="T219" s="88"/>
      <c r="U219" s="27"/>
    </row>
    <row r="220" spans="1:21" x14ac:dyDescent="0.3">
      <c r="A220" s="31" t="s">
        <v>1000</v>
      </c>
      <c r="B220" s="15"/>
      <c r="C220" s="9"/>
      <c r="D220" s="33"/>
      <c r="E220" s="23" t="s">
        <v>919</v>
      </c>
      <c r="F220" s="39" t="s">
        <v>471</v>
      </c>
      <c r="G220" s="9" t="s">
        <v>918</v>
      </c>
      <c r="H220" s="41"/>
      <c r="I220" s="42"/>
      <c r="J220" s="42">
        <v>3</v>
      </c>
      <c r="K220" s="65">
        <v>52</v>
      </c>
      <c r="L220" s="65">
        <f t="shared" si="17"/>
        <v>156</v>
      </c>
      <c r="M220" s="46"/>
      <c r="N220" s="46"/>
      <c r="O220" s="47"/>
      <c r="P220" s="71">
        <f t="shared" si="18"/>
        <v>52</v>
      </c>
      <c r="Q220" s="83">
        <f t="shared" si="16"/>
        <v>3</v>
      </c>
      <c r="R220" s="84">
        <f t="shared" si="19"/>
        <v>52</v>
      </c>
      <c r="S220" s="85">
        <f t="shared" si="20"/>
        <v>156</v>
      </c>
      <c r="T220" s="88"/>
      <c r="U220" s="27"/>
    </row>
    <row r="221" spans="1:21" x14ac:dyDescent="0.3">
      <c r="A221" s="31" t="s">
        <v>1001</v>
      </c>
      <c r="B221" s="15"/>
      <c r="C221" s="9"/>
      <c r="D221" s="33"/>
      <c r="E221" s="23" t="s">
        <v>921</v>
      </c>
      <c r="F221" s="39" t="s">
        <v>471</v>
      </c>
      <c r="G221" s="9" t="s">
        <v>920</v>
      </c>
      <c r="H221" s="41"/>
      <c r="I221" s="42"/>
      <c r="J221" s="42">
        <v>2</v>
      </c>
      <c r="K221" s="65">
        <v>8</v>
      </c>
      <c r="L221" s="65">
        <f t="shared" si="17"/>
        <v>16</v>
      </c>
      <c r="M221" s="46"/>
      <c r="N221" s="46"/>
      <c r="O221" s="47"/>
      <c r="P221" s="71">
        <f t="shared" si="18"/>
        <v>8</v>
      </c>
      <c r="Q221" s="83">
        <f t="shared" si="16"/>
        <v>2</v>
      </c>
      <c r="R221" s="84">
        <f t="shared" si="19"/>
        <v>8</v>
      </c>
      <c r="S221" s="85">
        <f t="shared" si="20"/>
        <v>16</v>
      </c>
      <c r="T221" s="88"/>
      <c r="U221" s="27"/>
    </row>
    <row r="222" spans="1:21" x14ac:dyDescent="0.3">
      <c r="A222" s="31" t="s">
        <v>1002</v>
      </c>
      <c r="B222" s="15"/>
      <c r="C222" s="9"/>
      <c r="D222" s="33"/>
      <c r="E222" s="23" t="s">
        <v>922</v>
      </c>
      <c r="F222" s="39" t="s">
        <v>471</v>
      </c>
      <c r="G222" s="9" t="s">
        <v>294</v>
      </c>
      <c r="H222" s="41"/>
      <c r="I222" s="42"/>
      <c r="J222" s="42">
        <v>157</v>
      </c>
      <c r="K222" s="65">
        <v>0.3</v>
      </c>
      <c r="L222" s="65">
        <f t="shared" ref="L222:L228" si="21">K222*J222</f>
        <v>47.1</v>
      </c>
      <c r="M222" s="46"/>
      <c r="N222" s="46"/>
      <c r="O222" s="47"/>
      <c r="P222" s="71">
        <f t="shared" si="18"/>
        <v>0.3</v>
      </c>
      <c r="Q222" s="83">
        <f t="shared" ref="Q222:Q228" si="22">J222-O222</f>
        <v>157</v>
      </c>
      <c r="R222" s="84">
        <f t="shared" si="19"/>
        <v>0.3</v>
      </c>
      <c r="S222" s="85">
        <f t="shared" si="20"/>
        <v>47.1</v>
      </c>
      <c r="T222" s="88"/>
      <c r="U222" s="27"/>
    </row>
    <row r="223" spans="1:21" x14ac:dyDescent="0.3">
      <c r="A223" s="31" t="s">
        <v>1003</v>
      </c>
      <c r="B223" s="15"/>
      <c r="C223" s="9"/>
      <c r="D223" s="33"/>
      <c r="E223" s="23" t="s">
        <v>926</v>
      </c>
      <c r="F223" s="39" t="s">
        <v>471</v>
      </c>
      <c r="G223" s="9" t="s">
        <v>294</v>
      </c>
      <c r="H223" s="41"/>
      <c r="I223" s="42"/>
      <c r="J223" s="42">
        <v>179</v>
      </c>
      <c r="K223" s="65">
        <v>0.9</v>
      </c>
      <c r="L223" s="65">
        <f t="shared" si="21"/>
        <v>161.1</v>
      </c>
      <c r="M223" s="46"/>
      <c r="N223" s="46"/>
      <c r="O223" s="47"/>
      <c r="P223" s="71">
        <f t="shared" si="18"/>
        <v>0.9</v>
      </c>
      <c r="Q223" s="83">
        <f t="shared" si="22"/>
        <v>179</v>
      </c>
      <c r="R223" s="84">
        <f t="shared" si="19"/>
        <v>0.9</v>
      </c>
      <c r="S223" s="85">
        <f t="shared" si="20"/>
        <v>161.1</v>
      </c>
      <c r="T223" s="88"/>
      <c r="U223" s="27"/>
    </row>
    <row r="224" spans="1:21" x14ac:dyDescent="0.3">
      <c r="A224" s="31" t="s">
        <v>1004</v>
      </c>
      <c r="B224" s="15"/>
      <c r="C224" s="9"/>
      <c r="D224" s="33"/>
      <c r="E224" s="23" t="s">
        <v>923</v>
      </c>
      <c r="F224" s="39" t="s">
        <v>471</v>
      </c>
      <c r="G224" s="9" t="s">
        <v>924</v>
      </c>
      <c r="H224" s="41"/>
      <c r="I224" s="42"/>
      <c r="J224" s="42">
        <v>6</v>
      </c>
      <c r="K224" s="65">
        <v>30</v>
      </c>
      <c r="L224" s="65">
        <f t="shared" si="21"/>
        <v>180</v>
      </c>
      <c r="M224" s="46"/>
      <c r="N224" s="46"/>
      <c r="O224" s="47"/>
      <c r="P224" s="71">
        <f t="shared" si="18"/>
        <v>30</v>
      </c>
      <c r="Q224" s="83">
        <f t="shared" si="22"/>
        <v>6</v>
      </c>
      <c r="R224" s="84">
        <f t="shared" si="19"/>
        <v>30</v>
      </c>
      <c r="S224" s="85">
        <f t="shared" si="20"/>
        <v>180</v>
      </c>
      <c r="T224" s="88"/>
      <c r="U224" s="27"/>
    </row>
    <row r="225" spans="1:21" x14ac:dyDescent="0.3">
      <c r="A225" s="31" t="s">
        <v>1005</v>
      </c>
      <c r="B225" s="15"/>
      <c r="C225" s="9"/>
      <c r="D225" s="33"/>
      <c r="E225" s="23" t="s">
        <v>933</v>
      </c>
      <c r="F225" s="39" t="s">
        <v>471</v>
      </c>
      <c r="G225" s="9" t="s">
        <v>925</v>
      </c>
      <c r="H225" s="41"/>
      <c r="I225" s="42"/>
      <c r="J225" s="42">
        <v>35</v>
      </c>
      <c r="K225" s="65">
        <v>38</v>
      </c>
      <c r="L225" s="65">
        <f t="shared" si="21"/>
        <v>1330</v>
      </c>
      <c r="M225" s="46"/>
      <c r="N225" s="46"/>
      <c r="O225" s="47"/>
      <c r="P225" s="71">
        <f t="shared" si="18"/>
        <v>38</v>
      </c>
      <c r="Q225" s="83">
        <f t="shared" si="22"/>
        <v>35</v>
      </c>
      <c r="R225" s="84">
        <f t="shared" si="19"/>
        <v>38</v>
      </c>
      <c r="S225" s="85">
        <f t="shared" si="20"/>
        <v>1330</v>
      </c>
      <c r="T225" s="88"/>
      <c r="U225" s="27"/>
    </row>
    <row r="226" spans="1:21" x14ac:dyDescent="0.3">
      <c r="A226" s="31" t="s">
        <v>1006</v>
      </c>
      <c r="B226" s="15"/>
      <c r="C226" s="9"/>
      <c r="D226" s="33"/>
      <c r="E226" s="23" t="s">
        <v>929</v>
      </c>
      <c r="F226" s="39" t="s">
        <v>471</v>
      </c>
      <c r="G226" s="9" t="s">
        <v>925</v>
      </c>
      <c r="H226" s="41"/>
      <c r="I226" s="42"/>
      <c r="J226" s="42">
        <v>24</v>
      </c>
      <c r="K226" s="65">
        <v>9.5</v>
      </c>
      <c r="L226" s="65">
        <f t="shared" si="21"/>
        <v>228</v>
      </c>
      <c r="M226" s="46"/>
      <c r="N226" s="46"/>
      <c r="O226" s="47"/>
      <c r="P226" s="71">
        <f t="shared" si="18"/>
        <v>9.5</v>
      </c>
      <c r="Q226" s="83">
        <f t="shared" si="22"/>
        <v>24</v>
      </c>
      <c r="R226" s="84">
        <f t="shared" si="19"/>
        <v>9.5</v>
      </c>
      <c r="S226" s="85">
        <f t="shared" si="20"/>
        <v>228</v>
      </c>
      <c r="T226" s="88"/>
      <c r="U226" s="27"/>
    </row>
    <row r="227" spans="1:21" x14ac:dyDescent="0.3">
      <c r="A227" s="31" t="s">
        <v>1007</v>
      </c>
      <c r="B227" s="15"/>
      <c r="C227" s="9"/>
      <c r="D227" s="33"/>
      <c r="E227" s="23" t="s">
        <v>927</v>
      </c>
      <c r="F227" s="39" t="s">
        <v>471</v>
      </c>
      <c r="G227" s="9" t="s">
        <v>925</v>
      </c>
      <c r="H227" s="41"/>
      <c r="I227" s="42"/>
      <c r="J227" s="42">
        <v>18</v>
      </c>
      <c r="K227" s="65">
        <v>4</v>
      </c>
      <c r="L227" s="65">
        <f t="shared" si="21"/>
        <v>72</v>
      </c>
      <c r="M227" s="46"/>
      <c r="N227" s="46"/>
      <c r="O227" s="47"/>
      <c r="P227" s="71">
        <f t="shared" si="18"/>
        <v>4</v>
      </c>
      <c r="Q227" s="83">
        <f t="shared" si="22"/>
        <v>18</v>
      </c>
      <c r="R227" s="84">
        <f t="shared" si="19"/>
        <v>4</v>
      </c>
      <c r="S227" s="85">
        <f t="shared" si="20"/>
        <v>72</v>
      </c>
      <c r="T227" s="88"/>
      <c r="U227" s="27"/>
    </row>
    <row r="228" spans="1:21" x14ac:dyDescent="0.3">
      <c r="A228" s="31" t="s">
        <v>1008</v>
      </c>
      <c r="B228" s="15"/>
      <c r="C228" s="9"/>
      <c r="D228" s="33"/>
      <c r="E228" s="23" t="s">
        <v>930</v>
      </c>
      <c r="F228" s="39" t="s">
        <v>471</v>
      </c>
      <c r="G228" s="9" t="s">
        <v>925</v>
      </c>
      <c r="H228" s="41"/>
      <c r="I228" s="42"/>
      <c r="J228" s="42">
        <v>10</v>
      </c>
      <c r="K228" s="65">
        <v>25</v>
      </c>
      <c r="L228" s="65">
        <f t="shared" si="21"/>
        <v>250</v>
      </c>
      <c r="M228" s="46"/>
      <c r="N228" s="46"/>
      <c r="O228" s="47"/>
      <c r="P228" s="71">
        <f t="shared" si="18"/>
        <v>25</v>
      </c>
      <c r="Q228" s="83">
        <f t="shared" si="22"/>
        <v>10</v>
      </c>
      <c r="R228" s="84">
        <f t="shared" si="19"/>
        <v>25</v>
      </c>
      <c r="S228" s="85">
        <f t="shared" si="20"/>
        <v>250</v>
      </c>
      <c r="T228" s="88"/>
      <c r="U228" s="27"/>
    </row>
    <row r="229" spans="1:21" x14ac:dyDescent="0.3">
      <c r="A229" s="31" t="s">
        <v>1009</v>
      </c>
      <c r="B229" s="15"/>
      <c r="C229" s="9"/>
      <c r="D229" s="33"/>
      <c r="E229" s="23" t="s">
        <v>928</v>
      </c>
      <c r="F229" s="39" t="s">
        <v>471</v>
      </c>
      <c r="G229" s="9" t="s">
        <v>294</v>
      </c>
      <c r="H229" s="41"/>
      <c r="I229" s="42"/>
      <c r="J229" s="42">
        <v>5</v>
      </c>
      <c r="K229" s="65">
        <v>65</v>
      </c>
      <c r="L229" s="65">
        <f t="shared" ref="L229" si="23">K229*J229</f>
        <v>325</v>
      </c>
      <c r="M229" s="46"/>
      <c r="N229" s="46"/>
      <c r="O229" s="47"/>
      <c r="P229" s="71">
        <f t="shared" si="18"/>
        <v>65</v>
      </c>
      <c r="Q229" s="83">
        <f t="shared" ref="Q229" si="24">J229-O229</f>
        <v>5</v>
      </c>
      <c r="R229" s="84">
        <f t="shared" si="19"/>
        <v>65</v>
      </c>
      <c r="S229" s="85">
        <f t="shared" si="20"/>
        <v>325</v>
      </c>
      <c r="T229" s="88"/>
      <c r="U229" s="27"/>
    </row>
    <row r="230" spans="1:21" ht="28.8" x14ac:dyDescent="0.3">
      <c r="A230" s="31" t="s">
        <v>1010</v>
      </c>
      <c r="B230" s="15"/>
      <c r="C230" s="32"/>
      <c r="D230" s="33"/>
      <c r="E230" s="22" t="s">
        <v>895</v>
      </c>
      <c r="F230" s="39" t="s">
        <v>471</v>
      </c>
      <c r="G230" s="9" t="s">
        <v>894</v>
      </c>
      <c r="H230" s="41"/>
      <c r="I230" s="42"/>
      <c r="J230" s="42">
        <v>2</v>
      </c>
      <c r="K230" s="65">
        <v>540</v>
      </c>
      <c r="L230" s="65">
        <f t="shared" si="17"/>
        <v>1080</v>
      </c>
      <c r="M230" s="46"/>
      <c r="N230" s="46"/>
      <c r="O230" s="47"/>
      <c r="P230" s="71">
        <f t="shared" si="18"/>
        <v>540</v>
      </c>
      <c r="Q230" s="83">
        <v>2</v>
      </c>
      <c r="R230" s="84">
        <f t="shared" si="19"/>
        <v>540</v>
      </c>
      <c r="S230" s="85">
        <f t="shared" si="20"/>
        <v>1080</v>
      </c>
      <c r="T230" s="88"/>
      <c r="U230" s="27"/>
    </row>
    <row r="231" spans="1:21" x14ac:dyDescent="0.3">
      <c r="A231" s="31" t="s">
        <v>1011</v>
      </c>
      <c r="B231" s="111"/>
      <c r="C231" s="4"/>
      <c r="D231" s="112"/>
      <c r="E231" s="4" t="s">
        <v>896</v>
      </c>
      <c r="F231" s="105" t="s">
        <v>471</v>
      </c>
      <c r="G231" s="4" t="s">
        <v>517</v>
      </c>
      <c r="H231" s="104"/>
      <c r="I231" s="104"/>
      <c r="J231" s="104">
        <v>28</v>
      </c>
      <c r="K231" s="103">
        <v>11.5</v>
      </c>
      <c r="L231" s="103">
        <f t="shared" si="17"/>
        <v>322</v>
      </c>
      <c r="M231" s="116"/>
      <c r="N231" s="116"/>
      <c r="O231" s="116"/>
      <c r="P231" s="119">
        <f t="shared" si="18"/>
        <v>11.5</v>
      </c>
      <c r="Q231" s="122">
        <f t="shared" si="16"/>
        <v>28</v>
      </c>
      <c r="R231" s="123">
        <f t="shared" si="19"/>
        <v>11.5</v>
      </c>
      <c r="S231" s="124">
        <f t="shared" si="20"/>
        <v>322</v>
      </c>
      <c r="T231" s="125"/>
      <c r="U231" s="4"/>
    </row>
    <row r="232" spans="1:21" x14ac:dyDescent="0.3">
      <c r="A232" s="31" t="s">
        <v>1012</v>
      </c>
      <c r="B232" s="111"/>
      <c r="C232" s="4"/>
      <c r="D232" s="112"/>
      <c r="E232" s="4" t="s">
        <v>931</v>
      </c>
      <c r="F232" s="105" t="s">
        <v>471</v>
      </c>
      <c r="G232" s="4" t="s">
        <v>294</v>
      </c>
      <c r="H232" s="104"/>
      <c r="I232" s="104"/>
      <c r="J232" s="104">
        <v>4</v>
      </c>
      <c r="K232" s="103">
        <v>55</v>
      </c>
      <c r="L232" s="103">
        <f t="shared" si="17"/>
        <v>220</v>
      </c>
      <c r="M232" s="116"/>
      <c r="N232" s="116"/>
      <c r="O232" s="116"/>
      <c r="P232" s="119">
        <f t="shared" si="18"/>
        <v>55</v>
      </c>
      <c r="Q232" s="122">
        <f t="shared" si="16"/>
        <v>4</v>
      </c>
      <c r="R232" s="123">
        <f t="shared" si="19"/>
        <v>55</v>
      </c>
      <c r="S232" s="124">
        <f t="shared" si="20"/>
        <v>220</v>
      </c>
      <c r="T232" s="125"/>
      <c r="U232" s="4"/>
    </row>
    <row r="233" spans="1:21" x14ac:dyDescent="0.3">
      <c r="A233" s="31" t="s">
        <v>1013</v>
      </c>
      <c r="B233" s="111"/>
      <c r="C233" s="4"/>
      <c r="D233" s="112"/>
      <c r="E233" s="4" t="s">
        <v>932</v>
      </c>
      <c r="F233" s="105" t="s">
        <v>471</v>
      </c>
      <c r="G233" s="4" t="s">
        <v>934</v>
      </c>
      <c r="H233" s="104"/>
      <c r="I233" s="104"/>
      <c r="J233" s="104">
        <v>71</v>
      </c>
      <c r="K233" s="103">
        <v>1.5</v>
      </c>
      <c r="L233" s="103">
        <f t="shared" si="17"/>
        <v>106.5</v>
      </c>
      <c r="M233" s="116"/>
      <c r="N233" s="116"/>
      <c r="O233" s="116"/>
      <c r="P233" s="119">
        <f t="shared" si="18"/>
        <v>1.5</v>
      </c>
      <c r="Q233" s="122">
        <f t="shared" si="16"/>
        <v>71</v>
      </c>
      <c r="R233" s="123">
        <f t="shared" si="19"/>
        <v>1.5</v>
      </c>
      <c r="S233" s="124">
        <f t="shared" si="20"/>
        <v>106.5</v>
      </c>
      <c r="T233" s="125"/>
      <c r="U233" s="4"/>
    </row>
    <row r="234" spans="1:21" x14ac:dyDescent="0.3">
      <c r="A234" s="31" t="s">
        <v>1014</v>
      </c>
      <c r="B234" s="111"/>
      <c r="C234" s="4"/>
      <c r="D234" s="112"/>
      <c r="E234" s="4" t="s">
        <v>936</v>
      </c>
      <c r="F234" s="105" t="s">
        <v>471</v>
      </c>
      <c r="G234" s="4" t="s">
        <v>935</v>
      </c>
      <c r="H234" s="104"/>
      <c r="I234" s="104"/>
      <c r="J234" s="104">
        <v>2</v>
      </c>
      <c r="K234" s="103">
        <v>120</v>
      </c>
      <c r="L234" s="103">
        <f t="shared" si="17"/>
        <v>240</v>
      </c>
      <c r="M234" s="116"/>
      <c r="N234" s="116"/>
      <c r="O234" s="116"/>
      <c r="P234" s="119">
        <f t="shared" si="18"/>
        <v>120</v>
      </c>
      <c r="Q234" s="122">
        <f t="shared" si="16"/>
        <v>2</v>
      </c>
      <c r="R234" s="123">
        <f t="shared" si="19"/>
        <v>120</v>
      </c>
      <c r="S234" s="124">
        <f t="shared" si="20"/>
        <v>240</v>
      </c>
      <c r="T234" s="125"/>
      <c r="U234" s="4"/>
    </row>
    <row r="235" spans="1:21" x14ac:dyDescent="0.3">
      <c r="A235" s="31" t="s">
        <v>1015</v>
      </c>
      <c r="B235" s="111"/>
      <c r="C235" s="4"/>
      <c r="D235" s="112"/>
      <c r="E235" s="4" t="s">
        <v>937</v>
      </c>
      <c r="F235" s="105" t="s">
        <v>471</v>
      </c>
      <c r="G235" s="4" t="s">
        <v>809</v>
      </c>
      <c r="H235" s="104"/>
      <c r="I235" s="104"/>
      <c r="J235" s="104">
        <v>1</v>
      </c>
      <c r="K235" s="103">
        <v>95</v>
      </c>
      <c r="L235" s="103">
        <f t="shared" si="17"/>
        <v>95</v>
      </c>
      <c r="M235" s="116"/>
      <c r="N235" s="116"/>
      <c r="O235" s="116"/>
      <c r="P235" s="119">
        <f t="shared" si="18"/>
        <v>95</v>
      </c>
      <c r="Q235" s="122">
        <f t="shared" si="16"/>
        <v>1</v>
      </c>
      <c r="R235" s="123">
        <f t="shared" si="19"/>
        <v>95</v>
      </c>
      <c r="S235" s="124">
        <f t="shared" si="20"/>
        <v>95</v>
      </c>
      <c r="T235" s="125"/>
      <c r="U235" s="4"/>
    </row>
    <row r="236" spans="1:21" x14ac:dyDescent="0.3">
      <c r="A236" s="31" t="s">
        <v>1016</v>
      </c>
      <c r="B236" s="111"/>
      <c r="C236" s="4"/>
      <c r="D236" s="112"/>
      <c r="E236" s="4" t="s">
        <v>939</v>
      </c>
      <c r="F236" s="105" t="s">
        <v>471</v>
      </c>
      <c r="G236" s="4" t="s">
        <v>940</v>
      </c>
      <c r="H236" s="104"/>
      <c r="I236" s="104"/>
      <c r="J236" s="104">
        <v>6</v>
      </c>
      <c r="K236" s="103">
        <v>35</v>
      </c>
      <c r="L236" s="103">
        <f t="shared" si="17"/>
        <v>210</v>
      </c>
      <c r="M236" s="116"/>
      <c r="N236" s="116"/>
      <c r="O236" s="116"/>
      <c r="P236" s="119">
        <f t="shared" si="18"/>
        <v>35</v>
      </c>
      <c r="Q236" s="122">
        <f t="shared" ref="Q236:Q241" si="25">J236-O236</f>
        <v>6</v>
      </c>
      <c r="R236" s="123">
        <f t="shared" si="19"/>
        <v>35</v>
      </c>
      <c r="S236" s="124">
        <f t="shared" si="20"/>
        <v>210</v>
      </c>
      <c r="T236" s="125"/>
      <c r="U236" s="4"/>
    </row>
    <row r="237" spans="1:21" ht="28.8" x14ac:dyDescent="0.3">
      <c r="A237" s="31" t="s">
        <v>1017</v>
      </c>
      <c r="B237" s="111"/>
      <c r="C237" s="4"/>
      <c r="D237" s="112"/>
      <c r="E237" s="113" t="s">
        <v>942</v>
      </c>
      <c r="F237" s="105" t="s">
        <v>471</v>
      </c>
      <c r="G237" s="4" t="s">
        <v>941</v>
      </c>
      <c r="H237" s="104"/>
      <c r="I237" s="104"/>
      <c r="J237" s="104">
        <v>6</v>
      </c>
      <c r="K237" s="103">
        <v>120</v>
      </c>
      <c r="L237" s="103">
        <f t="shared" si="17"/>
        <v>720</v>
      </c>
      <c r="M237" s="116"/>
      <c r="N237" s="116"/>
      <c r="O237" s="116"/>
      <c r="P237" s="119">
        <f t="shared" si="18"/>
        <v>120</v>
      </c>
      <c r="Q237" s="122">
        <f t="shared" si="25"/>
        <v>6</v>
      </c>
      <c r="R237" s="123">
        <f t="shared" si="19"/>
        <v>120</v>
      </c>
      <c r="S237" s="124">
        <f t="shared" si="20"/>
        <v>720</v>
      </c>
      <c r="T237" s="125"/>
      <c r="U237" s="4"/>
    </row>
    <row r="238" spans="1:21" ht="28.8" x14ac:dyDescent="0.3">
      <c r="A238" s="31" t="s">
        <v>1018</v>
      </c>
      <c r="B238" s="111"/>
      <c r="C238" s="4"/>
      <c r="D238" s="112"/>
      <c r="E238" s="113" t="s">
        <v>949</v>
      </c>
      <c r="F238" s="105" t="s">
        <v>471</v>
      </c>
      <c r="G238" s="4" t="s">
        <v>954</v>
      </c>
      <c r="H238" s="104"/>
      <c r="I238" s="104"/>
      <c r="J238" s="104">
        <v>74</v>
      </c>
      <c r="K238" s="103">
        <v>0.04</v>
      </c>
      <c r="L238" s="103">
        <f t="shared" si="17"/>
        <v>2.96</v>
      </c>
      <c r="M238" s="116"/>
      <c r="N238" s="116"/>
      <c r="O238" s="116"/>
      <c r="P238" s="119">
        <f t="shared" si="18"/>
        <v>0.04</v>
      </c>
      <c r="Q238" s="122">
        <f t="shared" si="25"/>
        <v>74</v>
      </c>
      <c r="R238" s="123">
        <f t="shared" si="19"/>
        <v>0.04</v>
      </c>
      <c r="S238" s="124">
        <f t="shared" si="20"/>
        <v>2.96</v>
      </c>
      <c r="T238" s="125"/>
      <c r="U238" s="4"/>
    </row>
    <row r="239" spans="1:21" x14ac:dyDescent="0.3">
      <c r="A239" s="31" t="s">
        <v>1019</v>
      </c>
      <c r="B239" s="111"/>
      <c r="C239" s="4"/>
      <c r="D239" s="112"/>
      <c r="E239" s="113" t="s">
        <v>969</v>
      </c>
      <c r="F239" s="105" t="s">
        <v>674</v>
      </c>
      <c r="G239" s="4" t="s">
        <v>954</v>
      </c>
      <c r="H239" s="104"/>
      <c r="I239" s="104"/>
      <c r="J239" s="152">
        <v>0.26</v>
      </c>
      <c r="K239" s="103">
        <v>14</v>
      </c>
      <c r="L239" s="103">
        <f t="shared" si="17"/>
        <v>3.64</v>
      </c>
      <c r="M239" s="116"/>
      <c r="N239" s="116"/>
      <c r="O239" s="116"/>
      <c r="P239" s="119">
        <f t="shared" si="18"/>
        <v>14</v>
      </c>
      <c r="Q239" s="153">
        <f t="shared" si="25"/>
        <v>0.26</v>
      </c>
      <c r="R239" s="123">
        <f t="shared" si="19"/>
        <v>14</v>
      </c>
      <c r="S239" s="124">
        <f t="shared" si="20"/>
        <v>3.64</v>
      </c>
      <c r="T239" s="125"/>
      <c r="U239" s="4" t="s">
        <v>975</v>
      </c>
    </row>
    <row r="240" spans="1:21" ht="28.8" x14ac:dyDescent="0.3">
      <c r="A240" s="31" t="s">
        <v>1020</v>
      </c>
      <c r="B240" s="111"/>
      <c r="C240" s="4"/>
      <c r="D240" s="112"/>
      <c r="E240" s="113" t="s">
        <v>948</v>
      </c>
      <c r="F240" s="105" t="s">
        <v>674</v>
      </c>
      <c r="G240" s="4" t="s">
        <v>954</v>
      </c>
      <c r="H240" s="104"/>
      <c r="I240" s="104"/>
      <c r="J240" s="104">
        <v>0.57299999999999995</v>
      </c>
      <c r="K240" s="103">
        <v>14</v>
      </c>
      <c r="L240" s="103">
        <f>K240*J240</f>
        <v>8.0219999999999985</v>
      </c>
      <c r="M240" s="116"/>
      <c r="N240" s="116"/>
      <c r="O240" s="116"/>
      <c r="P240" s="119">
        <f t="shared" si="18"/>
        <v>14</v>
      </c>
      <c r="Q240" s="122">
        <f t="shared" si="25"/>
        <v>0.57299999999999995</v>
      </c>
      <c r="R240" s="123">
        <f t="shared" si="19"/>
        <v>14</v>
      </c>
      <c r="S240" s="124">
        <f t="shared" si="20"/>
        <v>8.0219999999999985</v>
      </c>
      <c r="T240" s="125"/>
      <c r="U240" s="4" t="s">
        <v>976</v>
      </c>
    </row>
    <row r="241" spans="1:21" x14ac:dyDescent="0.3">
      <c r="A241" s="31" t="s">
        <v>1021</v>
      </c>
      <c r="B241" s="111"/>
      <c r="C241" s="4"/>
      <c r="D241" s="112"/>
      <c r="E241" s="4" t="s">
        <v>950</v>
      </c>
      <c r="F241" s="105" t="s">
        <v>471</v>
      </c>
      <c r="G241" s="4" t="s">
        <v>294</v>
      </c>
      <c r="H241" s="104"/>
      <c r="I241" s="104"/>
      <c r="J241" s="104">
        <v>97</v>
      </c>
      <c r="K241" s="103">
        <v>0.1</v>
      </c>
      <c r="L241" s="103">
        <f t="shared" si="17"/>
        <v>9.7000000000000011</v>
      </c>
      <c r="M241" s="116"/>
      <c r="N241" s="116"/>
      <c r="O241" s="116"/>
      <c r="P241" s="119">
        <f t="shared" si="18"/>
        <v>0.1</v>
      </c>
      <c r="Q241" s="122">
        <f t="shared" si="25"/>
        <v>97</v>
      </c>
      <c r="R241" s="123">
        <f t="shared" si="19"/>
        <v>0.1</v>
      </c>
      <c r="S241" s="124">
        <f t="shared" si="20"/>
        <v>9.7000000000000011</v>
      </c>
      <c r="T241" s="125"/>
      <c r="U241" s="4"/>
    </row>
    <row r="242" spans="1:21" x14ac:dyDescent="0.3">
      <c r="A242" s="31" t="s">
        <v>1022</v>
      </c>
      <c r="B242" s="111"/>
      <c r="C242" s="4"/>
      <c r="D242" s="112"/>
      <c r="E242" s="4" t="s">
        <v>951</v>
      </c>
      <c r="F242" s="105" t="s">
        <v>471</v>
      </c>
      <c r="G242" s="4" t="s">
        <v>294</v>
      </c>
      <c r="H242" s="104"/>
      <c r="I242" s="104"/>
      <c r="J242" s="104">
        <v>72</v>
      </c>
      <c r="K242" s="103">
        <v>0.15</v>
      </c>
      <c r="L242" s="103">
        <f t="shared" si="17"/>
        <v>10.799999999999999</v>
      </c>
      <c r="M242" s="116"/>
      <c r="N242" s="116"/>
      <c r="O242" s="116"/>
      <c r="P242" s="119">
        <f t="shared" si="18"/>
        <v>0.15</v>
      </c>
      <c r="Q242" s="122">
        <f t="shared" ref="Q242" si="26">J242-O242</f>
        <v>72</v>
      </c>
      <c r="R242" s="123">
        <f t="shared" si="19"/>
        <v>0.15</v>
      </c>
      <c r="S242" s="124">
        <f t="shared" si="20"/>
        <v>10.799999999999999</v>
      </c>
      <c r="T242" s="125"/>
      <c r="U242" s="4"/>
    </row>
    <row r="243" spans="1:21" x14ac:dyDescent="0.3">
      <c r="A243" s="31" t="s">
        <v>1023</v>
      </c>
      <c r="B243" s="111"/>
      <c r="C243" s="4"/>
      <c r="D243" s="112"/>
      <c r="E243" s="4" t="s">
        <v>952</v>
      </c>
      <c r="F243" s="105" t="s">
        <v>471</v>
      </c>
      <c r="G243" s="4" t="s">
        <v>294</v>
      </c>
      <c r="H243" s="104"/>
      <c r="I243" s="104"/>
      <c r="J243" s="104">
        <v>80</v>
      </c>
      <c r="K243" s="103">
        <v>0.18</v>
      </c>
      <c r="L243" s="103">
        <f t="shared" si="17"/>
        <v>14.399999999999999</v>
      </c>
      <c r="M243" s="116"/>
      <c r="N243" s="116"/>
      <c r="O243" s="116"/>
      <c r="P243" s="119">
        <f t="shared" si="18"/>
        <v>0.18</v>
      </c>
      <c r="Q243" s="122">
        <f t="shared" ref="Q243:Q259" si="27">J243-O243</f>
        <v>80</v>
      </c>
      <c r="R243" s="123">
        <f t="shared" si="19"/>
        <v>0.18</v>
      </c>
      <c r="S243" s="124">
        <f t="shared" si="20"/>
        <v>14.399999999999999</v>
      </c>
      <c r="T243" s="125"/>
      <c r="U243" s="4"/>
    </row>
    <row r="244" spans="1:21" x14ac:dyDescent="0.3">
      <c r="A244" s="31" t="s">
        <v>1024</v>
      </c>
      <c r="B244" s="111"/>
      <c r="C244" s="4"/>
      <c r="D244" s="112"/>
      <c r="E244" s="4" t="s">
        <v>955</v>
      </c>
      <c r="F244" s="105" t="s">
        <v>471</v>
      </c>
      <c r="G244" s="4" t="s">
        <v>954</v>
      </c>
      <c r="H244" s="104"/>
      <c r="I244" s="104"/>
      <c r="J244" s="150">
        <v>1000</v>
      </c>
      <c r="K244" s="103">
        <v>3.3000000000000002E-2</v>
      </c>
      <c r="L244" s="103">
        <f t="shared" si="17"/>
        <v>33</v>
      </c>
      <c r="M244" s="116"/>
      <c r="N244" s="116"/>
      <c r="O244" s="116"/>
      <c r="P244" s="119">
        <f t="shared" si="18"/>
        <v>3.3000000000000002E-2</v>
      </c>
      <c r="Q244" s="122">
        <f t="shared" si="27"/>
        <v>1000</v>
      </c>
      <c r="R244" s="123">
        <f t="shared" si="19"/>
        <v>3.3000000000000002E-2</v>
      </c>
      <c r="S244" s="124">
        <f t="shared" si="20"/>
        <v>33</v>
      </c>
      <c r="T244" s="125"/>
      <c r="U244" s="4"/>
    </row>
    <row r="245" spans="1:21" x14ac:dyDescent="0.3">
      <c r="A245" s="31" t="s">
        <v>1025</v>
      </c>
      <c r="B245" s="111"/>
      <c r="C245" s="4"/>
      <c r="D245" s="112"/>
      <c r="E245" s="4" t="s">
        <v>953</v>
      </c>
      <c r="F245" s="105" t="s">
        <v>471</v>
      </c>
      <c r="G245" s="4" t="s">
        <v>954</v>
      </c>
      <c r="H245" s="104"/>
      <c r="I245" s="104"/>
      <c r="J245" s="150">
        <v>1225</v>
      </c>
      <c r="K245" s="103">
        <v>0.06</v>
      </c>
      <c r="L245" s="103">
        <f t="shared" si="17"/>
        <v>73.5</v>
      </c>
      <c r="M245" s="116"/>
      <c r="N245" s="116"/>
      <c r="O245" s="116"/>
      <c r="P245" s="119">
        <f t="shared" si="18"/>
        <v>0.06</v>
      </c>
      <c r="Q245" s="122">
        <f t="shared" si="27"/>
        <v>1225</v>
      </c>
      <c r="R245" s="123">
        <f t="shared" si="19"/>
        <v>0.06</v>
      </c>
      <c r="S245" s="124">
        <f t="shared" si="20"/>
        <v>73.5</v>
      </c>
      <c r="T245" s="125"/>
      <c r="U245" s="4" t="s">
        <v>972</v>
      </c>
    </row>
    <row r="246" spans="1:21" x14ac:dyDescent="0.3">
      <c r="A246" s="31" t="s">
        <v>1026</v>
      </c>
      <c r="B246" s="111"/>
      <c r="C246" s="4"/>
      <c r="D246" s="112"/>
      <c r="E246" s="4" t="s">
        <v>956</v>
      </c>
      <c r="F246" s="105" t="s">
        <v>674</v>
      </c>
      <c r="G246" s="4" t="s">
        <v>954</v>
      </c>
      <c r="H246" s="104"/>
      <c r="I246" s="104"/>
      <c r="J246" s="150">
        <v>2</v>
      </c>
      <c r="K246" s="103">
        <v>19.5</v>
      </c>
      <c r="L246" s="103">
        <f t="shared" si="17"/>
        <v>39</v>
      </c>
      <c r="M246" s="116"/>
      <c r="N246" s="116"/>
      <c r="O246" s="116"/>
      <c r="P246" s="119">
        <f t="shared" si="18"/>
        <v>19.5</v>
      </c>
      <c r="Q246" s="122">
        <f t="shared" si="27"/>
        <v>2</v>
      </c>
      <c r="R246" s="123">
        <f t="shared" si="19"/>
        <v>19.5</v>
      </c>
      <c r="S246" s="124">
        <f t="shared" si="20"/>
        <v>39</v>
      </c>
      <c r="T246" s="125"/>
      <c r="U246" s="4" t="s">
        <v>971</v>
      </c>
    </row>
    <row r="247" spans="1:21" x14ac:dyDescent="0.3">
      <c r="A247" s="31" t="s">
        <v>1027</v>
      </c>
      <c r="B247" s="111"/>
      <c r="C247" s="4"/>
      <c r="D247" s="112"/>
      <c r="E247" s="4" t="s">
        <v>958</v>
      </c>
      <c r="F247" s="105" t="s">
        <v>674</v>
      </c>
      <c r="G247" s="4" t="s">
        <v>957</v>
      </c>
      <c r="H247" s="104"/>
      <c r="I247" s="104"/>
      <c r="J247" s="149">
        <v>1.2250000000000001</v>
      </c>
      <c r="K247" s="103">
        <v>17.5</v>
      </c>
      <c r="L247" s="103">
        <f t="shared" si="17"/>
        <v>21.4375</v>
      </c>
      <c r="M247" s="116"/>
      <c r="N247" s="116"/>
      <c r="O247" s="116"/>
      <c r="P247" s="119">
        <f t="shared" si="18"/>
        <v>17.5</v>
      </c>
      <c r="Q247" s="122">
        <f t="shared" si="27"/>
        <v>1.2250000000000001</v>
      </c>
      <c r="R247" s="123">
        <f t="shared" si="19"/>
        <v>17.5</v>
      </c>
      <c r="S247" s="124">
        <f t="shared" si="20"/>
        <v>21.4375</v>
      </c>
      <c r="T247" s="125"/>
      <c r="U247" s="4" t="s">
        <v>973</v>
      </c>
    </row>
    <row r="248" spans="1:21" x14ac:dyDescent="0.3">
      <c r="A248" s="31" t="s">
        <v>1028</v>
      </c>
      <c r="B248" s="111"/>
      <c r="C248" s="4"/>
      <c r="D248" s="112"/>
      <c r="E248" s="4" t="s">
        <v>959</v>
      </c>
      <c r="F248" s="105" t="s">
        <v>674</v>
      </c>
      <c r="G248" s="4" t="s">
        <v>957</v>
      </c>
      <c r="H248" s="104"/>
      <c r="I248" s="104"/>
      <c r="J248" s="149">
        <v>2.12</v>
      </c>
      <c r="K248" s="103">
        <v>17.5</v>
      </c>
      <c r="L248" s="103">
        <f t="shared" si="17"/>
        <v>37.1</v>
      </c>
      <c r="M248" s="116"/>
      <c r="N248" s="116"/>
      <c r="O248" s="116"/>
      <c r="P248" s="119">
        <f t="shared" si="18"/>
        <v>17.5</v>
      </c>
      <c r="Q248" s="153">
        <f t="shared" si="27"/>
        <v>2.12</v>
      </c>
      <c r="R248" s="123">
        <f t="shared" si="19"/>
        <v>17.5</v>
      </c>
      <c r="S248" s="124">
        <f t="shared" si="20"/>
        <v>37.1</v>
      </c>
      <c r="T248" s="125"/>
      <c r="U248" s="4" t="s">
        <v>974</v>
      </c>
    </row>
    <row r="249" spans="1:21" x14ac:dyDescent="0.3">
      <c r="A249" s="31" t="s">
        <v>1029</v>
      </c>
      <c r="B249" s="111"/>
      <c r="C249" s="4"/>
      <c r="D249" s="112"/>
      <c r="E249" s="4" t="s">
        <v>968</v>
      </c>
      <c r="F249" s="105" t="s">
        <v>471</v>
      </c>
      <c r="G249" s="4" t="s">
        <v>962</v>
      </c>
      <c r="H249" s="104"/>
      <c r="I249" s="104"/>
      <c r="J249" s="150">
        <v>2100</v>
      </c>
      <c r="K249" s="103">
        <v>0.45</v>
      </c>
      <c r="L249" s="103">
        <f t="shared" si="17"/>
        <v>945</v>
      </c>
      <c r="M249" s="116"/>
      <c r="N249" s="116"/>
      <c r="O249" s="116"/>
      <c r="P249" s="119">
        <f t="shared" si="18"/>
        <v>0.45</v>
      </c>
      <c r="Q249" s="122">
        <f t="shared" si="27"/>
        <v>2100</v>
      </c>
      <c r="R249" s="123">
        <f t="shared" si="19"/>
        <v>0.45</v>
      </c>
      <c r="S249" s="124">
        <f t="shared" si="20"/>
        <v>945</v>
      </c>
      <c r="T249" s="125"/>
      <c r="U249" s="4" t="s">
        <v>981</v>
      </c>
    </row>
    <row r="250" spans="1:21" x14ac:dyDescent="0.3">
      <c r="A250" s="31" t="s">
        <v>1030</v>
      </c>
      <c r="B250" s="111"/>
      <c r="C250" s="4"/>
      <c r="D250" s="112"/>
      <c r="E250" s="4" t="s">
        <v>961</v>
      </c>
      <c r="F250" s="105" t="s">
        <v>471</v>
      </c>
      <c r="G250" s="4" t="s">
        <v>962</v>
      </c>
      <c r="H250" s="104"/>
      <c r="I250" s="104"/>
      <c r="J250" s="150">
        <v>50</v>
      </c>
      <c r="K250" s="103">
        <v>0.8</v>
      </c>
      <c r="L250" s="103">
        <f t="shared" si="17"/>
        <v>40</v>
      </c>
      <c r="M250" s="116"/>
      <c r="N250" s="116"/>
      <c r="O250" s="116"/>
      <c r="P250" s="119">
        <f t="shared" si="18"/>
        <v>0.8</v>
      </c>
      <c r="Q250" s="122">
        <f t="shared" si="27"/>
        <v>50</v>
      </c>
      <c r="R250" s="123">
        <f t="shared" si="19"/>
        <v>0.8</v>
      </c>
      <c r="S250" s="124">
        <f t="shared" si="20"/>
        <v>40</v>
      </c>
      <c r="T250" s="125"/>
      <c r="U250" s="4"/>
    </row>
    <row r="251" spans="1:21" x14ac:dyDescent="0.3">
      <c r="A251" s="31" t="s">
        <v>1031</v>
      </c>
      <c r="B251" s="111"/>
      <c r="C251" s="4"/>
      <c r="D251" s="112"/>
      <c r="E251" s="4" t="s">
        <v>960</v>
      </c>
      <c r="F251" s="105" t="s">
        <v>471</v>
      </c>
      <c r="G251" s="4" t="s">
        <v>962</v>
      </c>
      <c r="H251" s="104"/>
      <c r="I251" s="104"/>
      <c r="J251" s="150">
        <v>26</v>
      </c>
      <c r="K251" s="103">
        <v>1.2</v>
      </c>
      <c r="L251" s="103">
        <f t="shared" si="17"/>
        <v>31.2</v>
      </c>
      <c r="M251" s="116"/>
      <c r="N251" s="116"/>
      <c r="O251" s="116"/>
      <c r="P251" s="119">
        <f t="shared" si="18"/>
        <v>1.2</v>
      </c>
      <c r="Q251" s="122">
        <f t="shared" si="27"/>
        <v>26</v>
      </c>
      <c r="R251" s="123">
        <f t="shared" si="19"/>
        <v>1.2</v>
      </c>
      <c r="S251" s="124">
        <f t="shared" si="20"/>
        <v>31.2</v>
      </c>
      <c r="T251" s="125"/>
      <c r="U251" s="4"/>
    </row>
    <row r="252" spans="1:21" x14ac:dyDescent="0.3">
      <c r="A252" s="31" t="s">
        <v>1032</v>
      </c>
      <c r="B252" s="111"/>
      <c r="C252" s="4"/>
      <c r="D252" s="112"/>
      <c r="E252" s="4" t="s">
        <v>963</v>
      </c>
      <c r="F252" s="105" t="s">
        <v>674</v>
      </c>
      <c r="G252" s="4" t="s">
        <v>294</v>
      </c>
      <c r="H252" s="104"/>
      <c r="I252" s="104"/>
      <c r="J252" s="149">
        <v>0.79</v>
      </c>
      <c r="K252" s="103">
        <v>35</v>
      </c>
      <c r="L252" s="103">
        <f t="shared" si="17"/>
        <v>27.650000000000002</v>
      </c>
      <c r="M252" s="116"/>
      <c r="N252" s="116"/>
      <c r="O252" s="116"/>
      <c r="P252" s="119">
        <f t="shared" si="18"/>
        <v>35</v>
      </c>
      <c r="Q252" s="122">
        <f t="shared" si="27"/>
        <v>0.79</v>
      </c>
      <c r="R252" s="123">
        <f t="shared" si="19"/>
        <v>35</v>
      </c>
      <c r="S252" s="124">
        <f t="shared" si="20"/>
        <v>27.650000000000002</v>
      </c>
      <c r="T252" s="125"/>
      <c r="U252" s="4" t="s">
        <v>977</v>
      </c>
    </row>
    <row r="253" spans="1:21" x14ac:dyDescent="0.3">
      <c r="A253" s="31" t="s">
        <v>1033</v>
      </c>
      <c r="B253" s="111"/>
      <c r="C253" s="4"/>
      <c r="D253" s="112"/>
      <c r="E253" s="4" t="s">
        <v>964</v>
      </c>
      <c r="F253" s="105" t="s">
        <v>471</v>
      </c>
      <c r="G253" s="4" t="s">
        <v>294</v>
      </c>
      <c r="H253" s="104"/>
      <c r="I253" s="104"/>
      <c r="J253" s="150">
        <v>3</v>
      </c>
      <c r="K253" s="103">
        <v>2.5</v>
      </c>
      <c r="L253" s="103">
        <f t="shared" si="17"/>
        <v>7.5</v>
      </c>
      <c r="M253" s="116"/>
      <c r="N253" s="116"/>
      <c r="O253" s="116"/>
      <c r="P253" s="119">
        <f t="shared" si="18"/>
        <v>2.5</v>
      </c>
      <c r="Q253" s="122">
        <f t="shared" si="27"/>
        <v>3</v>
      </c>
      <c r="R253" s="123">
        <f t="shared" si="19"/>
        <v>2.5</v>
      </c>
      <c r="S253" s="124">
        <f t="shared" si="20"/>
        <v>7.5</v>
      </c>
      <c r="T253" s="125"/>
      <c r="U253" s="4"/>
    </row>
    <row r="254" spans="1:21" x14ac:dyDescent="0.3">
      <c r="A254" s="31" t="s">
        <v>1034</v>
      </c>
      <c r="B254" s="111"/>
      <c r="C254" s="4"/>
      <c r="D254" s="112"/>
      <c r="E254" s="4" t="s">
        <v>965</v>
      </c>
      <c r="F254" s="105" t="s">
        <v>471</v>
      </c>
      <c r="G254" s="4" t="s">
        <v>294</v>
      </c>
      <c r="H254" s="104"/>
      <c r="I254" s="104"/>
      <c r="J254" s="150">
        <v>77</v>
      </c>
      <c r="K254" s="103">
        <v>0.6</v>
      </c>
      <c r="L254" s="103">
        <f t="shared" si="17"/>
        <v>46.199999999999996</v>
      </c>
      <c r="M254" s="116"/>
      <c r="N254" s="116"/>
      <c r="O254" s="116"/>
      <c r="P254" s="119">
        <f t="shared" si="18"/>
        <v>0.6</v>
      </c>
      <c r="Q254" s="122">
        <f t="shared" si="27"/>
        <v>77</v>
      </c>
      <c r="R254" s="123">
        <f t="shared" si="19"/>
        <v>0.6</v>
      </c>
      <c r="S254" s="124">
        <f t="shared" si="20"/>
        <v>46.199999999999996</v>
      </c>
      <c r="T254" s="125"/>
      <c r="U254" s="4"/>
    </row>
    <row r="255" spans="1:21" x14ac:dyDescent="0.3">
      <c r="A255" s="31" t="s">
        <v>1035</v>
      </c>
      <c r="B255" s="111"/>
      <c r="C255" s="4"/>
      <c r="D255" s="112"/>
      <c r="E255" s="4" t="s">
        <v>978</v>
      </c>
      <c r="F255" s="105" t="s">
        <v>471</v>
      </c>
      <c r="G255" s="4" t="s">
        <v>294</v>
      </c>
      <c r="H255" s="104"/>
      <c r="I255" s="104"/>
      <c r="J255" s="150">
        <v>110</v>
      </c>
      <c r="K255" s="103">
        <v>0.06</v>
      </c>
      <c r="L255" s="103">
        <f t="shared" si="17"/>
        <v>6.6</v>
      </c>
      <c r="M255" s="116"/>
      <c r="N255" s="116"/>
      <c r="O255" s="116"/>
      <c r="P255" s="119">
        <f t="shared" si="18"/>
        <v>0.06</v>
      </c>
      <c r="Q255" s="122">
        <f t="shared" si="27"/>
        <v>110</v>
      </c>
      <c r="R255" s="123">
        <f t="shared" si="19"/>
        <v>0.06</v>
      </c>
      <c r="S255" s="124">
        <f t="shared" si="20"/>
        <v>6.6</v>
      </c>
      <c r="T255" s="125"/>
      <c r="U255" s="4"/>
    </row>
    <row r="256" spans="1:21" x14ac:dyDescent="0.3">
      <c r="A256" s="31" t="s">
        <v>1036</v>
      </c>
      <c r="B256" s="111"/>
      <c r="C256" s="4"/>
      <c r="D256" s="112"/>
      <c r="E256" s="4" t="s">
        <v>979</v>
      </c>
      <c r="F256" s="105" t="s">
        <v>471</v>
      </c>
      <c r="G256" s="4" t="s">
        <v>294</v>
      </c>
      <c r="H256" s="104"/>
      <c r="I256" s="104"/>
      <c r="J256" s="150">
        <v>150</v>
      </c>
      <c r="K256" s="103">
        <v>0.18</v>
      </c>
      <c r="L256" s="103">
        <f t="shared" ref="L256:L259" si="28">K256*J256</f>
        <v>27</v>
      </c>
      <c r="M256" s="116"/>
      <c r="N256" s="116"/>
      <c r="O256" s="116"/>
      <c r="P256" s="119">
        <f t="shared" ref="P256:P259" si="29">K256</f>
        <v>0.18</v>
      </c>
      <c r="Q256" s="122">
        <f t="shared" si="27"/>
        <v>150</v>
      </c>
      <c r="R256" s="123">
        <f t="shared" ref="R256:R259" si="30">K256</f>
        <v>0.18</v>
      </c>
      <c r="S256" s="124">
        <f t="shared" si="20"/>
        <v>27</v>
      </c>
      <c r="T256" s="125"/>
      <c r="U256" s="4"/>
    </row>
    <row r="257" spans="1:21" x14ac:dyDescent="0.3">
      <c r="A257" s="31" t="s">
        <v>1037</v>
      </c>
      <c r="B257" s="111"/>
      <c r="C257" s="4"/>
      <c r="D257" s="112"/>
      <c r="E257" s="4" t="s">
        <v>966</v>
      </c>
      <c r="F257" s="105" t="s">
        <v>471</v>
      </c>
      <c r="G257" s="4" t="s">
        <v>294</v>
      </c>
      <c r="H257" s="104"/>
      <c r="I257" s="104"/>
      <c r="J257" s="150">
        <v>700</v>
      </c>
      <c r="K257" s="103">
        <v>0.1</v>
      </c>
      <c r="L257" s="103">
        <f t="shared" si="28"/>
        <v>70</v>
      </c>
      <c r="M257" s="116"/>
      <c r="N257" s="116"/>
      <c r="O257" s="116"/>
      <c r="P257" s="119">
        <f t="shared" si="29"/>
        <v>0.1</v>
      </c>
      <c r="Q257" s="122">
        <f t="shared" si="27"/>
        <v>700</v>
      </c>
      <c r="R257" s="123">
        <f t="shared" si="30"/>
        <v>0.1</v>
      </c>
      <c r="S257" s="124">
        <f t="shared" ref="S257:S259" si="31">Q257*R257</f>
        <v>70</v>
      </c>
      <c r="T257" s="125"/>
      <c r="U257" s="4"/>
    </row>
    <row r="258" spans="1:21" x14ac:dyDescent="0.3">
      <c r="A258" s="31" t="s">
        <v>1038</v>
      </c>
      <c r="B258" s="111"/>
      <c r="C258" s="4"/>
      <c r="D258" s="112"/>
      <c r="E258" s="4" t="s">
        <v>967</v>
      </c>
      <c r="F258" s="105" t="s">
        <v>471</v>
      </c>
      <c r="G258" s="4" t="s">
        <v>294</v>
      </c>
      <c r="H258" s="104"/>
      <c r="I258" s="104"/>
      <c r="J258" s="150">
        <v>300</v>
      </c>
      <c r="K258" s="103">
        <v>0.15</v>
      </c>
      <c r="L258" s="103">
        <f t="shared" si="28"/>
        <v>45</v>
      </c>
      <c r="M258" s="116"/>
      <c r="N258" s="116"/>
      <c r="O258" s="116"/>
      <c r="P258" s="119">
        <f t="shared" si="29"/>
        <v>0.15</v>
      </c>
      <c r="Q258" s="122">
        <f t="shared" si="27"/>
        <v>300</v>
      </c>
      <c r="R258" s="123">
        <f t="shared" si="30"/>
        <v>0.15</v>
      </c>
      <c r="S258" s="124">
        <f t="shared" si="31"/>
        <v>45</v>
      </c>
      <c r="T258" s="125"/>
      <c r="U258" s="4"/>
    </row>
    <row r="259" spans="1:21" x14ac:dyDescent="0.3">
      <c r="A259" s="31" t="s">
        <v>1039</v>
      </c>
      <c r="B259" s="111"/>
      <c r="C259" s="4"/>
      <c r="D259" s="112"/>
      <c r="E259" s="4" t="s">
        <v>980</v>
      </c>
      <c r="F259" s="105" t="s">
        <v>719</v>
      </c>
      <c r="G259" s="4" t="s">
        <v>294</v>
      </c>
      <c r="H259" s="104"/>
      <c r="I259" s="104"/>
      <c r="J259" s="150">
        <v>20</v>
      </c>
      <c r="K259" s="103">
        <v>18</v>
      </c>
      <c r="L259" s="103">
        <f t="shared" si="28"/>
        <v>360</v>
      </c>
      <c r="M259" s="116"/>
      <c r="N259" s="116"/>
      <c r="O259" s="116"/>
      <c r="P259" s="119">
        <f t="shared" si="29"/>
        <v>18</v>
      </c>
      <c r="Q259" s="122">
        <f t="shared" si="27"/>
        <v>20</v>
      </c>
      <c r="R259" s="123">
        <f t="shared" si="30"/>
        <v>18</v>
      </c>
      <c r="S259" s="124">
        <f t="shared" si="31"/>
        <v>360</v>
      </c>
      <c r="T259" s="125"/>
      <c r="U259" s="4"/>
    </row>
    <row r="260" spans="1:21" ht="18" x14ac:dyDescent="0.35">
      <c r="E260" s="147"/>
      <c r="J260" s="148"/>
      <c r="L260" s="91">
        <f>SUM(L4:L259)</f>
        <v>95163.5095</v>
      </c>
      <c r="S260" s="90">
        <f>SUM(S4:S259)</f>
        <v>88030.029500000004</v>
      </c>
    </row>
    <row r="262" spans="1:21" x14ac:dyDescent="0.3">
      <c r="E262" s="146"/>
    </row>
  </sheetData>
  <autoFilter ref="A3:U263" xr:uid="{4CEC4939-7769-4034-B8CE-DD71C9B5C288}">
    <sortState xmlns:xlrd2="http://schemas.microsoft.com/office/spreadsheetml/2017/richdata2" ref="A5:U263">
      <sortCondition ref="E3"/>
    </sortState>
  </autoFilter>
  <mergeCells count="16">
    <mergeCell ref="O75:O76"/>
    <mergeCell ref="M75:M76"/>
    <mergeCell ref="G2:G3"/>
    <mergeCell ref="H2:K2"/>
    <mergeCell ref="M2:P2"/>
    <mergeCell ref="Q2:T2"/>
    <mergeCell ref="U2:U3"/>
    <mergeCell ref="A28:A29"/>
    <mergeCell ref="T28:T29"/>
    <mergeCell ref="U28:U29"/>
    <mergeCell ref="A2:A3"/>
    <mergeCell ref="B2:B3"/>
    <mergeCell ref="C2:C3"/>
    <mergeCell ref="D2:D3"/>
    <mergeCell ref="E2:E3"/>
    <mergeCell ref="F2:F3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FBC3-B843-41B7-9C61-BEE258B68A27}">
  <dimension ref="B2:H38"/>
  <sheetViews>
    <sheetView workbookViewId="0">
      <selection activeCell="K10" sqref="K10"/>
    </sheetView>
  </sheetViews>
  <sheetFormatPr baseColWidth="10" defaultRowHeight="14.4" x14ac:dyDescent="0.3"/>
  <cols>
    <col min="2" max="2" width="17.33203125" customWidth="1"/>
    <col min="3" max="3" width="38.5546875" customWidth="1"/>
    <col min="4" max="4" width="13.44140625" customWidth="1"/>
    <col min="5" max="5" width="21" customWidth="1"/>
    <col min="6" max="6" width="15.6640625" customWidth="1"/>
    <col min="7" max="7" width="9.6640625" customWidth="1"/>
    <col min="8" max="8" width="16.21875" customWidth="1"/>
  </cols>
  <sheetData>
    <row r="2" spans="2:8" ht="28.8" x14ac:dyDescent="0.3">
      <c r="B2" s="209" t="s">
        <v>1048</v>
      </c>
      <c r="C2" s="210" t="s">
        <v>1049</v>
      </c>
      <c r="D2" s="211" t="s">
        <v>1050</v>
      </c>
      <c r="E2" s="212" t="s">
        <v>1051</v>
      </c>
      <c r="F2" s="212" t="s">
        <v>1052</v>
      </c>
      <c r="G2" s="211" t="s">
        <v>1053</v>
      </c>
      <c r="H2" s="211" t="s">
        <v>1054</v>
      </c>
    </row>
    <row r="3" spans="2:8" x14ac:dyDescent="0.3">
      <c r="B3" s="207">
        <v>112287623099</v>
      </c>
      <c r="C3" s="4" t="s">
        <v>1056</v>
      </c>
      <c r="D3" s="6">
        <v>41977</v>
      </c>
      <c r="E3" s="4" t="s">
        <v>1057</v>
      </c>
      <c r="F3" s="4" t="s">
        <v>1058</v>
      </c>
      <c r="G3" s="4" t="s">
        <v>1059</v>
      </c>
      <c r="H3" s="4" t="s">
        <v>1060</v>
      </c>
    </row>
    <row r="4" spans="2:8" x14ac:dyDescent="0.3">
      <c r="B4" s="207">
        <v>252200500039</v>
      </c>
      <c r="C4" s="4" t="s">
        <v>1061</v>
      </c>
      <c r="D4" s="6">
        <v>39167</v>
      </c>
      <c r="E4" s="4" t="s">
        <v>1062</v>
      </c>
      <c r="F4" s="4" t="s">
        <v>1063</v>
      </c>
      <c r="G4" s="4" t="s">
        <v>1059</v>
      </c>
      <c r="H4" s="4" t="s">
        <v>1060</v>
      </c>
    </row>
    <row r="5" spans="2:8" x14ac:dyDescent="0.3">
      <c r="B5" s="207">
        <v>532209200001</v>
      </c>
      <c r="C5" s="4" t="s">
        <v>1064</v>
      </c>
      <c r="D5" s="6">
        <v>44041</v>
      </c>
      <c r="E5" s="4" t="s">
        <v>1065</v>
      </c>
      <c r="F5" s="4" t="s">
        <v>1058</v>
      </c>
      <c r="G5" s="4" t="s">
        <v>1066</v>
      </c>
      <c r="H5" s="4" t="s">
        <v>1067</v>
      </c>
    </row>
    <row r="6" spans="2:8" x14ac:dyDescent="0.3">
      <c r="B6" s="207">
        <v>532209200002</v>
      </c>
      <c r="C6" s="4" t="s">
        <v>1064</v>
      </c>
      <c r="D6" s="6">
        <v>44047</v>
      </c>
      <c r="E6" s="4" t="s">
        <v>1065</v>
      </c>
      <c r="F6" s="4" t="s">
        <v>1058</v>
      </c>
      <c r="G6" s="4" t="s">
        <v>1066</v>
      </c>
      <c r="H6" s="4" t="s">
        <v>1067</v>
      </c>
    </row>
    <row r="7" spans="2:8" x14ac:dyDescent="0.3">
      <c r="B7" s="207">
        <v>532209200003</v>
      </c>
      <c r="C7" s="4" t="s">
        <v>1064</v>
      </c>
      <c r="D7" s="6">
        <v>44047</v>
      </c>
      <c r="E7" s="4" t="s">
        <v>1065</v>
      </c>
      <c r="F7" s="4" t="s">
        <v>1058</v>
      </c>
      <c r="G7" s="4" t="s">
        <v>1066</v>
      </c>
      <c r="H7" s="4" t="s">
        <v>1067</v>
      </c>
    </row>
    <row r="8" spans="2:8" ht="28.8" x14ac:dyDescent="0.3">
      <c r="B8" s="207">
        <v>602264430100</v>
      </c>
      <c r="C8" s="113" t="s">
        <v>1068</v>
      </c>
      <c r="D8" s="6">
        <v>44830</v>
      </c>
      <c r="E8" s="4" t="s">
        <v>48</v>
      </c>
      <c r="F8" s="4" t="s">
        <v>1069</v>
      </c>
      <c r="G8" s="4" t="s">
        <v>1066</v>
      </c>
      <c r="H8" s="4" t="s">
        <v>1067</v>
      </c>
    </row>
    <row r="9" spans="2:8" x14ac:dyDescent="0.3">
      <c r="B9" s="207">
        <v>672227260011</v>
      </c>
      <c r="C9" s="4" t="s">
        <v>1070</v>
      </c>
      <c r="D9" s="6">
        <v>44152</v>
      </c>
      <c r="E9" s="4" t="s">
        <v>1071</v>
      </c>
      <c r="F9" s="4" t="s">
        <v>1069</v>
      </c>
      <c r="G9" s="4" t="s">
        <v>1066</v>
      </c>
      <c r="H9" s="4" t="s">
        <v>1067</v>
      </c>
    </row>
    <row r="10" spans="2:8" x14ac:dyDescent="0.3">
      <c r="B10" s="207">
        <v>672235280062</v>
      </c>
      <c r="C10" s="4" t="s">
        <v>1072</v>
      </c>
      <c r="D10" s="6">
        <v>45625</v>
      </c>
      <c r="E10" s="4" t="s">
        <v>1073</v>
      </c>
      <c r="F10" s="4" t="s">
        <v>1074</v>
      </c>
      <c r="G10" s="4" t="s">
        <v>1066</v>
      </c>
      <c r="H10" s="4" t="s">
        <v>1067</v>
      </c>
    </row>
    <row r="11" spans="2:8" ht="28.8" x14ac:dyDescent="0.3">
      <c r="B11" s="208">
        <v>672235280063</v>
      </c>
      <c r="C11" s="113" t="s">
        <v>1075</v>
      </c>
      <c r="D11" s="6">
        <v>45912</v>
      </c>
      <c r="E11" s="4" t="s">
        <v>1076</v>
      </c>
      <c r="F11" s="4" t="s">
        <v>1069</v>
      </c>
      <c r="G11" s="4" t="s">
        <v>1066</v>
      </c>
      <c r="H11" s="4" t="s">
        <v>1067</v>
      </c>
    </row>
    <row r="12" spans="2:8" ht="28.8" x14ac:dyDescent="0.3">
      <c r="B12" s="208">
        <v>672235280064</v>
      </c>
      <c r="C12" s="113" t="s">
        <v>1075</v>
      </c>
      <c r="D12" s="6">
        <v>45912</v>
      </c>
      <c r="E12" s="4" t="s">
        <v>1076</v>
      </c>
      <c r="F12" s="4" t="s">
        <v>1069</v>
      </c>
      <c r="G12" s="4" t="s">
        <v>1066</v>
      </c>
      <c r="H12" s="4" t="s">
        <v>1067</v>
      </c>
    </row>
    <row r="13" spans="2:8" x14ac:dyDescent="0.3">
      <c r="B13" s="207">
        <v>672254010005</v>
      </c>
      <c r="C13" s="113" t="s">
        <v>1077</v>
      </c>
      <c r="D13" s="6">
        <v>43313</v>
      </c>
      <c r="E13" s="4" t="s">
        <v>1071</v>
      </c>
      <c r="F13" s="4" t="s">
        <v>1074</v>
      </c>
      <c r="G13" s="4" t="s">
        <v>1066</v>
      </c>
      <c r="H13" s="4" t="s">
        <v>1067</v>
      </c>
    </row>
    <row r="14" spans="2:8" x14ac:dyDescent="0.3">
      <c r="B14" s="207">
        <v>672288570023</v>
      </c>
      <c r="C14" s="113" t="s">
        <v>1078</v>
      </c>
      <c r="D14" s="6">
        <v>44152</v>
      </c>
      <c r="E14" s="4" t="s">
        <v>1079</v>
      </c>
      <c r="F14" s="4" t="s">
        <v>1080</v>
      </c>
      <c r="G14" s="4" t="s">
        <v>1066</v>
      </c>
      <c r="H14" s="4" t="s">
        <v>1067</v>
      </c>
    </row>
    <row r="15" spans="2:8" x14ac:dyDescent="0.3">
      <c r="B15" s="207">
        <v>672295930172</v>
      </c>
      <c r="C15" s="113" t="s">
        <v>1081</v>
      </c>
      <c r="D15" s="6">
        <v>42566</v>
      </c>
      <c r="E15" s="4" t="s">
        <v>130</v>
      </c>
      <c r="F15" s="4" t="s">
        <v>1063</v>
      </c>
      <c r="G15" s="4" t="s">
        <v>1066</v>
      </c>
      <c r="H15" s="4" t="s">
        <v>1067</v>
      </c>
    </row>
    <row r="16" spans="2:8" ht="28.8" x14ac:dyDescent="0.3">
      <c r="B16" s="207">
        <v>672295930173</v>
      </c>
      <c r="C16" s="113" t="s">
        <v>1082</v>
      </c>
      <c r="D16" s="6">
        <v>44152</v>
      </c>
      <c r="E16" s="4" t="s">
        <v>130</v>
      </c>
      <c r="F16" s="4" t="s">
        <v>1080</v>
      </c>
      <c r="G16" s="4" t="s">
        <v>1066</v>
      </c>
      <c r="H16" s="4" t="s">
        <v>1067</v>
      </c>
    </row>
    <row r="17" spans="2:8" ht="28.8" x14ac:dyDescent="0.3">
      <c r="B17" s="207">
        <v>672295930174</v>
      </c>
      <c r="C17" s="113" t="s">
        <v>1082</v>
      </c>
      <c r="D17" s="6">
        <v>44152</v>
      </c>
      <c r="E17" s="4" t="s">
        <v>130</v>
      </c>
      <c r="F17" s="4" t="s">
        <v>1080</v>
      </c>
      <c r="G17" s="4" t="s">
        <v>1066</v>
      </c>
      <c r="H17" s="4" t="s">
        <v>1067</v>
      </c>
    </row>
    <row r="18" spans="2:8" x14ac:dyDescent="0.3">
      <c r="B18" s="207">
        <v>675001050020</v>
      </c>
      <c r="C18" s="113" t="s">
        <v>1083</v>
      </c>
      <c r="D18" s="6">
        <v>43336</v>
      </c>
      <c r="E18" s="4" t="s">
        <v>1084</v>
      </c>
      <c r="F18" s="4" t="s">
        <v>1063</v>
      </c>
      <c r="G18" s="4" t="s">
        <v>1066</v>
      </c>
      <c r="H18" s="4" t="s">
        <v>1067</v>
      </c>
    </row>
    <row r="19" spans="2:8" x14ac:dyDescent="0.3">
      <c r="B19" s="207">
        <v>675026900001</v>
      </c>
      <c r="C19" s="113" t="s">
        <v>1085</v>
      </c>
      <c r="D19" s="6">
        <v>44152</v>
      </c>
      <c r="E19" s="4" t="s">
        <v>1086</v>
      </c>
      <c r="F19" s="4" t="s">
        <v>1080</v>
      </c>
      <c r="G19" s="4" t="s">
        <v>1066</v>
      </c>
      <c r="H19" s="4" t="s">
        <v>1067</v>
      </c>
    </row>
    <row r="20" spans="2:8" x14ac:dyDescent="0.3">
      <c r="B20" s="207">
        <v>675088500001</v>
      </c>
      <c r="C20" s="113" t="s">
        <v>1087</v>
      </c>
      <c r="D20" s="6">
        <v>44152</v>
      </c>
      <c r="E20" s="4" t="s">
        <v>130</v>
      </c>
      <c r="F20" s="4" t="s">
        <v>1080</v>
      </c>
      <c r="G20" s="4" t="s">
        <v>1066</v>
      </c>
      <c r="H20" s="4" t="s">
        <v>1067</v>
      </c>
    </row>
    <row r="21" spans="2:8" x14ac:dyDescent="0.3">
      <c r="B21" s="207">
        <v>675088500002</v>
      </c>
      <c r="C21" s="113" t="s">
        <v>1087</v>
      </c>
      <c r="D21" s="6">
        <v>44152</v>
      </c>
      <c r="E21" s="4" t="s">
        <v>130</v>
      </c>
      <c r="F21" s="4" t="s">
        <v>1080</v>
      </c>
      <c r="G21" s="4" t="s">
        <v>1066</v>
      </c>
      <c r="H21" s="4" t="s">
        <v>1067</v>
      </c>
    </row>
    <row r="22" spans="2:8" x14ac:dyDescent="0.3">
      <c r="B22" s="204"/>
    </row>
    <row r="23" spans="2:8" x14ac:dyDescent="0.3">
      <c r="B23" s="204"/>
    </row>
    <row r="24" spans="2:8" x14ac:dyDescent="0.3">
      <c r="B24" s="204"/>
    </row>
    <row r="25" spans="2:8" x14ac:dyDescent="0.3">
      <c r="B25" s="204"/>
    </row>
    <row r="26" spans="2:8" x14ac:dyDescent="0.3">
      <c r="B26" s="204"/>
    </row>
    <row r="27" spans="2:8" x14ac:dyDescent="0.3">
      <c r="B27" s="204"/>
    </row>
    <row r="28" spans="2:8" x14ac:dyDescent="0.3">
      <c r="B28" s="204"/>
    </row>
    <row r="29" spans="2:8" x14ac:dyDescent="0.3">
      <c r="B29" s="204"/>
    </row>
    <row r="30" spans="2:8" x14ac:dyDescent="0.3">
      <c r="B30" s="204"/>
    </row>
    <row r="31" spans="2:8" x14ac:dyDescent="0.3">
      <c r="B31" s="204"/>
    </row>
    <row r="32" spans="2:8" x14ac:dyDescent="0.3">
      <c r="B32" s="204"/>
    </row>
    <row r="33" spans="2:2" x14ac:dyDescent="0.3">
      <c r="B33" s="204"/>
    </row>
    <row r="34" spans="2:2" x14ac:dyDescent="0.3">
      <c r="B34" s="204"/>
    </row>
    <row r="35" spans="2:2" x14ac:dyDescent="0.3">
      <c r="B35" s="204"/>
    </row>
    <row r="36" spans="2:2" x14ac:dyDescent="0.3">
      <c r="B36" s="204"/>
    </row>
    <row r="37" spans="2:2" x14ac:dyDescent="0.3">
      <c r="B37" s="204"/>
    </row>
    <row r="38" spans="2:2" x14ac:dyDescent="0.3">
      <c r="B38" s="2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C7C8-68FF-49AC-9BE0-C1A0785BBCE9}">
  <dimension ref="B2:H15"/>
  <sheetViews>
    <sheetView workbookViewId="0">
      <selection activeCell="D3" sqref="D3"/>
    </sheetView>
  </sheetViews>
  <sheetFormatPr baseColWidth="10" defaultRowHeight="14.4" x14ac:dyDescent="0.3"/>
  <cols>
    <col min="2" max="2" width="15.109375" customWidth="1"/>
    <col min="3" max="3" width="36" customWidth="1"/>
    <col min="4" max="4" width="14" customWidth="1"/>
    <col min="5" max="5" width="14.88671875" customWidth="1"/>
    <col min="6" max="6" width="13.21875" customWidth="1"/>
    <col min="7" max="7" width="10" customWidth="1"/>
    <col min="8" max="8" width="14.77734375" customWidth="1"/>
  </cols>
  <sheetData>
    <row r="2" spans="2:8" ht="28.8" x14ac:dyDescent="0.3">
      <c r="B2" s="205" t="s">
        <v>1048</v>
      </c>
      <c r="C2" s="111" t="s">
        <v>1049</v>
      </c>
      <c r="D2" s="205" t="s">
        <v>1050</v>
      </c>
      <c r="E2" s="111" t="s">
        <v>1051</v>
      </c>
      <c r="F2" s="111" t="s">
        <v>1052</v>
      </c>
      <c r="G2" s="206" t="s">
        <v>1055</v>
      </c>
      <c r="H2" s="206" t="s">
        <v>1054</v>
      </c>
    </row>
    <row r="3" spans="2:8" x14ac:dyDescent="0.3">
      <c r="B3" s="4"/>
      <c r="C3" s="4" t="s">
        <v>1088</v>
      </c>
      <c r="D3" s="6">
        <v>45643</v>
      </c>
      <c r="E3" s="4"/>
      <c r="F3" s="4"/>
      <c r="G3" s="4"/>
      <c r="H3" s="4"/>
    </row>
    <row r="4" spans="2:8" x14ac:dyDescent="0.3">
      <c r="B4" s="4"/>
      <c r="C4" s="4"/>
      <c r="D4" s="4"/>
      <c r="E4" s="4"/>
      <c r="F4" s="4"/>
      <c r="G4" s="4"/>
      <c r="H4" s="4"/>
    </row>
    <row r="5" spans="2:8" x14ac:dyDescent="0.3">
      <c r="B5" s="4"/>
      <c r="C5" s="4"/>
      <c r="D5" s="4"/>
      <c r="E5" s="4"/>
      <c r="F5" s="4"/>
      <c r="G5" s="4"/>
      <c r="H5" s="4"/>
    </row>
    <row r="6" spans="2:8" x14ac:dyDescent="0.3">
      <c r="B6" s="4"/>
      <c r="C6" s="4"/>
      <c r="D6" s="4"/>
      <c r="E6" s="4"/>
      <c r="F6" s="4"/>
      <c r="G6" s="4"/>
      <c r="H6" s="4"/>
    </row>
    <row r="7" spans="2:8" x14ac:dyDescent="0.3">
      <c r="B7" s="4"/>
      <c r="C7" s="4"/>
      <c r="D7" s="4"/>
      <c r="E7" s="4"/>
      <c r="F7" s="4"/>
      <c r="G7" s="4"/>
      <c r="H7" s="4"/>
    </row>
    <row r="8" spans="2:8" x14ac:dyDescent="0.3">
      <c r="B8" s="4"/>
      <c r="C8" s="4"/>
      <c r="D8" s="4"/>
      <c r="E8" s="4"/>
      <c r="F8" s="4"/>
      <c r="G8" s="4"/>
      <c r="H8" s="4"/>
    </row>
    <row r="9" spans="2:8" x14ac:dyDescent="0.3">
      <c r="B9" s="4"/>
      <c r="C9" s="4"/>
      <c r="D9" s="4"/>
      <c r="E9" s="4"/>
      <c r="F9" s="4"/>
      <c r="G9" s="4"/>
      <c r="H9" s="4"/>
    </row>
    <row r="10" spans="2:8" x14ac:dyDescent="0.3">
      <c r="B10" s="4"/>
      <c r="C10" s="4"/>
      <c r="D10" s="4"/>
      <c r="E10" s="4"/>
      <c r="F10" s="4"/>
      <c r="G10" s="4"/>
      <c r="H10" s="4"/>
    </row>
    <row r="11" spans="2:8" x14ac:dyDescent="0.3">
      <c r="B11" s="4"/>
      <c r="C11" s="4"/>
      <c r="D11" s="4"/>
      <c r="E11" s="4"/>
      <c r="F11" s="4"/>
      <c r="G11" s="4"/>
      <c r="H11" s="4"/>
    </row>
    <row r="12" spans="2:8" x14ac:dyDescent="0.3">
      <c r="B12" s="4"/>
      <c r="C12" s="4"/>
      <c r="D12" s="4"/>
      <c r="E12" s="4"/>
      <c r="F12" s="4"/>
      <c r="G12" s="4"/>
      <c r="H12" s="4"/>
    </row>
    <row r="13" spans="2:8" x14ac:dyDescent="0.3">
      <c r="B13" s="4"/>
      <c r="C13" s="4"/>
      <c r="D13" s="4"/>
      <c r="E13" s="4"/>
      <c r="F13" s="4"/>
      <c r="G13" s="4"/>
      <c r="H13" s="4"/>
    </row>
    <row r="14" spans="2:8" x14ac:dyDescent="0.3">
      <c r="B14" s="4"/>
      <c r="C14" s="4"/>
      <c r="D14" s="4"/>
      <c r="E14" s="4"/>
      <c r="F14" s="4"/>
      <c r="G14" s="4"/>
      <c r="H14" s="4"/>
    </row>
    <row r="15" spans="2:8" x14ac:dyDescent="0.3">
      <c r="B15" s="4"/>
      <c r="C15" s="4"/>
      <c r="D15" s="4"/>
      <c r="E15" s="4"/>
      <c r="F15" s="4"/>
      <c r="G15" s="4"/>
      <c r="H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Kardex valorizado</vt:lpstr>
      <vt:lpstr>Almacen 1</vt:lpstr>
      <vt:lpstr>Almacen 2</vt:lpstr>
      <vt:lpstr>HERRAMIENTAS DANIEL</vt:lpstr>
      <vt:lpstr>HERRAMIENTAS HUGO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LOURDES GALLEGOS ROIG</cp:lastModifiedBy>
  <dcterms:created xsi:type="dcterms:W3CDTF">2026-05-06T01:46:04Z</dcterms:created>
  <dcterms:modified xsi:type="dcterms:W3CDTF">2026-05-22T20:47:57Z</dcterms:modified>
</cp:coreProperties>
</file>